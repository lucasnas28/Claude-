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500" firstSheet="0" activeTab="1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Inputs (2)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  <sheet xmlns:r="http://schemas.openxmlformats.org/officeDocument/2006/relationships" name="Control" sheetId="5" state="visible" r:id="rId5"/>
  </sheets>
  <definedNames>
    <definedName name="aaa" hidden="1">{#N/A,#N/A,FALSE,"Aging Summary";#N/A,#N/A,FALSE,"Ratio Analysis";#N/A,#N/A,FALSE,"Test 120 Day Accts";#N/A,#N/A,FALSE,"Tickmarks"}</definedName>
    <definedName name="AAAA" hidden="1">{#N/A,#N/A,FALSE,"Aging Summary";#N/A,#N/A,FALSE,"Ratio Analysis";#N/A,#N/A,FALSE,"Test 120 Day Accts";#N/A,#N/A,FALSE,"Tickmarks"}</definedName>
    <definedName name="BalType" hidden="1">TRUE()</definedName>
    <definedName name="beta_observed">Valuation!$D$93</definedName>
    <definedName name="GrpAcct1" hidden="1">"5611"</definedName>
    <definedName name="GrpAcct2" hidden="1">"5612"</definedName>
    <definedName name="GrpLevel" hidden="1">2</definedName>
    <definedName name="last_close">Valuation!$G$7</definedName>
    <definedName name="NumofGrpAccts" hidden="1">2</definedName>
    <definedName name="nvnvnvnv" hidden="1">{#N/A,#N/A,FALSE,"Aging Summary";#N/A,#N/A,FALSE,"Ratio Analysis";#N/A,#N/A,FALSE,"Test 120 Day Accts";#N/A,#N/A,FALSE,"Tickmarks"}</definedName>
    <definedName name="RowLevel" hidden="1">1</definedName>
    <definedName name="TBdbName" hidden="1">"88D5BF544BE111D2B8C5006097494125.mdb"</definedName>
    <definedName name="TextRefCopyRangeCount" hidden="1">68</definedName>
    <definedName name="ticker">Valuation!$D$7</definedName>
    <definedName name="Useful_Life_of_Depreciable_PP_E">"PPElife"</definedName>
    <definedName name="wrn.Aging._.and._.Trend._.Analysis." hidden="1">{#N/A,#N/A,FALSE,"Aging Summary";#N/A,#N/A,FALSE,"Ratio Analysis";#N/A,#N/A,FALSE,"Test 120 Day Accts";#N/A,#N/A,FALSE,"Tickmarks"}</definedName>
    <definedName name="wrn.EXPENSES._.98._.US." hidden="1">{"Expenses 98 MKT",#N/A,TRUE,"MKT";"Expenses 98 BUSS",#N/A,TRUE,"BusOper";"Expenses 98 TECH",#N/A,TRUE,"Tech";"Expenses 98 LOCAL",#N/A,TRUE,"LocalProg";"Expenses 98 GA",#N/A,TRUE,"G&amp;A";"Expenses 98 CONSOL",#N/A,TRUE,"Consolidate"}</definedName>
    <definedName name="wrn.EXPENSES._.99._.REAL." hidden="1">{"Reais 99 MKT",#N/A,TRUE,"MKT";"Reais 99 BUSS",#N/A,TRUE,"BusOper";"Reais 99 TECH",#N/A,TRUE,"Tech";"Reais 99 LOCAL",#N/A,TRUE,"LocalProg";"Reais 99 GA",#N/A,TRUE,"G&amp;A";"Reais 99 CONSOL",#N/A,TRUE,"Consolidate"}</definedName>
    <definedName name="wrn.FINANCIAL._.MONTH." hidden="1">{"Expense Analysis MKT",#N/A,TRUE,"MKT";"Expense Analysis BUSS",#N/A,TRUE,"BusOper";"Expense Analysis TECH",#N/A,TRUE,"Tech";"Expense Analysis LOCAL",#N/A,TRUE,"LocalProg";"Expense Analysis GA",#N/A,TRUE,"G&amp;A";"Expense Analysis CONSOL",#N/A,TRUE,"Consolidate"}</definedName>
    <definedName name="wrn.FINANCIAL._.MONTHS." hidden="1">{"Expenses Amalysis Months MKT",#N/A,TRUE,"MKT";"Expenses Analysis Months BUSS",#N/A,TRUE,"BusOper";"Expenses Analysis Months TECH",#N/A,TRUE,"Tech";"Expenses Analysis Months LOCAL",#N/A,TRUE,"LocalProg";"Expenses Analysis Months GA",#N/A,TRUE,"G&amp;A";"Expenses Analysis Months CONSOL",#N/A,TRUE,"Consolidate"}</definedName>
    <definedName name="wrn.FINANCIAL._.US._.MONTH." hidden="1">{"Expenses us MKT",#N/A,TRUE,"MKT";"Expenses us BUSS",#N/A,TRUE,"BusOper";"Expenses us TECH",#N/A,TRUE,"Tech";"Expenses us LOCAL",#N/A,TRUE,"LocalProg";"Expenses us GA",#N/A,TRUE,"G&amp;A";"Expenses us CONSOL",#N/A,TRUE,"Consolidate"}</definedName>
    <definedName name="wrn.FINANCIAL._.US._.MONTHS." hidden="1">{"Expenses Months us MKT",#N/A,TRUE,"MKT";"Expenses Months us BUSS",#N/A,TRUE,"BusOper";"Expenses Months us TECH",#N/A,TRUE,"Tech";"Expenses Months us LOCAL",#N/A,TRUE,"LocalProg";"Expenses Months us GA",#N/A,TRUE,"G&amp;A";"Expenses Months us CONSOL",#N/A,TRUE,"Consolidate"}</definedName>
    <definedName name="wrn.grafico." hidden="1">{#N/A,#N/A,FALSE,"Graficos    ( 9 )"}</definedName>
    <definedName name="wrn.WORK._.PAPER." hidden="1">{#N/A,#N/A,TRUE,"Consolidate";"Work Paper MKT",#N/A,TRUE,"MKT";"Work Paper BUSS",#N/A,TRUE,"BusOper";"Work Paper TECH",#N/A,TRUE,"Tech";"Work Paper LOCAL",#N/A,TRUE,"LocalProg";"Work Paper GA",#N/A,TRUE,"G&amp;A";"Work Paper CONSOL",#N/A,TRUE,"Consolidate"}</definedName>
    <definedName name="wrn.WORK._.PAPER._.99." hidden="1">{"Work Paper99 MKT",#N/A,TRUE,"MKT";"Work Paper99 BUSS",#N/A,TRUE,"BusOper";"Work Paper99 TECH",#N/A,TRUE,"Tech";"Work Paper99 LOCAL",#N/A,TRUE,"LocalProg";"Work Paper99 GA",#N/A,TRUE,"G&amp;A";"Work Paper99 CONSOL",#N/A,TRUE,"Consolidate"}</definedName>
    <definedName name="XRefColumnsCount" hidden="1">2</definedName>
    <definedName name="XRefCopyRangeCount" hidden="1">5</definedName>
    <definedName name="XRefPasteRangeCount" hidden="1">35</definedName>
    <definedName name="beta_observed" localSheetId="1">#REF!</definedName>
    <definedName name="ticker" localSheetId="1">#REF!</definedName>
    <definedName name="costdebtfirm" localSheetId="3">Valuation!$D$86</definedName>
    <definedName name="costequity" localSheetId="3">Valuation!$D$94</definedName>
    <definedName name="debt" localSheetId="3">Valuation!$G$88</definedName>
    <definedName name="debt_weight" localSheetId="3">Valuation!$J$88</definedName>
    <definedName name="g" localSheetId="3">Valuation!$D$63</definedName>
    <definedName name="market_equity" localSheetId="3">Valuation!$G$89</definedName>
    <definedName name="noplat_t1" localSheetId="3">Valuation!$D$65</definedName>
    <definedName name="relevered_beta" localSheetId="3">Valuation!$M$102</definedName>
    <definedName name="risk_free_rate" localSheetId="3">Valuation!$D$91</definedName>
    <definedName name="risk_premium" localSheetId="3">Valuation!$D$92</definedName>
    <definedName name="ronic" localSheetId="3">Valuation!$D$64</definedName>
    <definedName name="stub_year_fraction" localSheetId="3">Valuation!$D$11</definedName>
    <definedName name="totalcap" localSheetId="3">Valuation!$G$90</definedName>
    <definedName name="wacc" localSheetId="3">Valuation!$D$12</definedName>
  </definedNames>
  <calcPr calcId="191029" fullCalcOnLoad="1"/>
</workbook>
</file>

<file path=xl/styles.xml><?xml version="1.0" encoding="utf-8"?>
<styleSheet xmlns="http://schemas.openxmlformats.org/spreadsheetml/2006/main">
  <numFmts count="38">
    <numFmt numFmtId="164" formatCode="#,##0_ ;[Red]\-#,##0\ "/>
    <numFmt numFmtId="165" formatCode="#,##0_);[Red]\(#,##0\)"/>
    <numFmt numFmtId="166" formatCode="#,##0.0_);[Red]\(#,##0.0\)"/>
    <numFmt numFmtId="167" formatCode="#,##0.0_ ;[Red]\-#,##0.0\ "/>
    <numFmt numFmtId="168" formatCode="[$-409]d\-mmm;@"/>
    <numFmt numFmtId="169" formatCode="[$-409]d\-mmm"/>
    <numFmt numFmtId="170" formatCode="[$-416]d\-mmm"/>
    <numFmt numFmtId="171" formatCode="0.0%"/>
    <numFmt numFmtId="172" formatCode="#,##0.0;[Red]#,##0.0"/>
    <numFmt numFmtId="173" formatCode="#,##0.00_);[Red]\(#,##0.00\)"/>
    <numFmt numFmtId="174" formatCode="0.0\x"/>
    <numFmt numFmtId="175" formatCode="0.0"/>
    <numFmt numFmtId="176" formatCode="[$-409]d\-mmm\-yy;@"/>
    <numFmt numFmtId="177" formatCode="[$BRL]\ #,##0.00_);[Red]\([$BRL]\ #,##0.00\)"/>
    <numFmt numFmtId="178" formatCode="#,##0.0_);\(#,##0.0\)"/>
    <numFmt numFmtId="179" formatCode="#,##0.000_);\(#,##0.000\)"/>
    <numFmt numFmtId="180" formatCode="&quot;R$ &quot;#,##0.00"/>
    <numFmt numFmtId="181" formatCode="#,##0.0\x"/>
    <numFmt numFmtId="182" formatCode="\$#,##0.00_);&quot;($&quot;#,##0.00\)"/>
    <numFmt numFmtId="183" formatCode="#,##0.000_);[Red]\(#,##0.000\)"/>
    <numFmt numFmtId="184" formatCode="\$#,##0.00_);[Red]&quot;($&quot;#,##0.00\)"/>
    <numFmt numFmtId="185" formatCode="\$#,##0.0_);&quot;($&quot;#,##0.0\)"/>
    <numFmt numFmtId="186" formatCode="#,##0_);\(#,##0\)"/>
    <numFmt numFmtId="187" formatCode="0.0%;\(0.0%\)"/>
    <numFmt numFmtId="188" formatCode="0.000"/>
    <numFmt numFmtId="189" formatCode="#,##0.00_);\(#,##0.00\)"/>
    <numFmt numFmtId="190" formatCode="#,##0.0"/>
    <numFmt numFmtId="191" formatCode="0.00\x"/>
    <numFmt numFmtId="192" formatCode="0.0&quot;x&quot;"/>
    <numFmt numFmtId="193" formatCode="#,##0.0;\(#,##0.0\)"/>
    <numFmt numFmtId="194" formatCode="_(* #,##0.00_);_(* \(#,##0.00\);_(* \-??_);_(@_)"/>
    <numFmt numFmtId="195" formatCode="_(* #,##0_);_(* \(#,##0\);_(* \-_);_(@_)"/>
    <numFmt numFmtId="196" formatCode="_(\$* #,##0.00_);_(\$* \(#,##0.00\);_(\$* \-??_);_(@_)"/>
    <numFmt numFmtId="197" formatCode="_(\$* #,##0_);_(\$* \(#,##0\);_(\$* \-_);_(@_)"/>
    <numFmt numFmtId="198" formatCode="m/d/yyyy"/>
    <numFmt numFmtId="199" formatCode="0_);\(0\)"/>
    <numFmt numFmtId="200" formatCode="#,##0.0;(#,##0.0)"/>
    <numFmt numFmtId="201" formatCode="dd/mm/yyyy"/>
  </numFmts>
  <fonts count="26">
    <font>
      <name val="Arial"/>
      <family val="2"/>
      <sz val="10"/>
    </font>
    <font>
      <name val="Arial"/>
      <charset val="1"/>
      <sz val="10"/>
    </font>
    <font>
      <name val="Arial"/>
      <charset val="1"/>
      <b val="1"/>
      <sz val="8"/>
    </font>
    <font>
      <name val="Aptos Narrow"/>
      <charset val="1"/>
      <color theme="1"/>
      <sz val="11"/>
    </font>
    <font>
      <name val="Verdana"/>
      <charset val="1"/>
      <color theme="1"/>
      <sz val="10"/>
    </font>
    <font>
      <name val="Arial"/>
      <charset val="1"/>
      <sz val="8"/>
    </font>
    <font>
      <name val="Arial"/>
      <charset val="1"/>
      <b val="1"/>
      <color rgb="FF333333"/>
      <sz val="10"/>
    </font>
    <font>
      <name val="Calibri"/>
      <charset val="1"/>
      <color rgb="FF000000"/>
      <sz val="11"/>
    </font>
    <font>
      <name val="Cambria"/>
      <charset val="1"/>
      <b val="1"/>
      <color rgb="FFFFFFFF"/>
      <sz val="11"/>
    </font>
    <font>
      <name val="Cambria"/>
      <charset val="1"/>
      <b val="1"/>
      <color rgb="FF17365D"/>
      <sz val="11"/>
    </font>
    <font>
      <name val="Verdana"/>
      <charset val="1"/>
      <color rgb="FF0000FF"/>
      <sz val="10"/>
    </font>
    <font>
      <name val="Verdana"/>
      <charset val="1"/>
      <b val="1"/>
      <color theme="1"/>
      <sz val="10"/>
    </font>
    <font>
      <name val="Verdana"/>
      <charset val="1"/>
      <b val="1"/>
      <color rgb="FFFFFFFF"/>
      <sz val="10"/>
    </font>
    <font>
      <name val="Verdana"/>
      <charset val="1"/>
      <i val="1"/>
      <color theme="1"/>
      <sz val="10"/>
    </font>
    <font>
      <name val="Verdana"/>
      <charset val="1"/>
      <sz val="10"/>
    </font>
    <font>
      <name val="Verdana"/>
      <charset val="1"/>
      <b val="1"/>
      <color theme="0"/>
      <sz val="10"/>
    </font>
    <font>
      <name val="Verdana"/>
      <charset val="1"/>
      <b val="1"/>
      <sz val="10"/>
    </font>
    <font>
      <name val="Verdana"/>
      <charset val="1"/>
      <b val="1"/>
      <color theme="0" tint="-0.0499893185216834"/>
      <sz val="10"/>
    </font>
    <font>
      <name val="Verdana"/>
      <charset val="1"/>
      <b val="1"/>
      <color rgb="FF333333"/>
      <sz val="10"/>
    </font>
    <font>
      <name val="Verdana"/>
      <charset val="1"/>
      <b val="1"/>
      <color rgb="FF0000FF"/>
      <sz val="10"/>
    </font>
    <font>
      <name val="Verdana"/>
      <charset val="1"/>
      <color rgb="FF008000"/>
      <sz val="10"/>
    </font>
    <font>
      <name val="Cambria"/>
      <charset val="1"/>
      <b val="1"/>
      <color rgb="FFFFFFFF"/>
      <sz val="14"/>
    </font>
    <font>
      <name val="Cambria"/>
      <charset val="1"/>
      <color rgb="FF0000FF"/>
      <sz val="11"/>
    </font>
    <font>
      <name val="Verdana"/>
      <family val="2"/>
      <b val="1"/>
      <color rgb="FFFFFFFF"/>
      <sz val="10"/>
    </font>
    <font>
      <name val="Verdana"/>
      <family val="2"/>
      <b val="1"/>
      <color theme="1"/>
      <sz val="10"/>
    </font>
    <font>
      <name val="Verdana"/>
      <b val="1"/>
      <sz val="10"/>
    </font>
  </fonts>
  <fills count="18">
    <fill>
      <patternFill/>
    </fill>
    <fill>
      <patternFill patternType="gray125"/>
    </fill>
    <fill>
      <patternFill patternType="solid">
        <fgColor rgb="FFC0C0C0"/>
        <bgColor rgb="FFD8D8D8"/>
      </patternFill>
    </fill>
    <fill>
      <patternFill patternType="solid">
        <fgColor rgb="FF17365D"/>
        <bgColor rgb="FF333333"/>
      </patternFill>
    </fill>
    <fill>
      <patternFill patternType="solid">
        <fgColor rgb="FFD9EAF7"/>
        <bgColor rgb="FFE2F0D9"/>
      </patternFill>
    </fill>
    <fill>
      <patternFill patternType="solid">
        <fgColor rgb="FFE2F0D9"/>
        <bgColor rgb="FFD9EAF7"/>
      </patternFill>
    </fill>
    <fill>
      <patternFill patternType="solid">
        <fgColor rgb="FFFFFFCC"/>
        <bgColor rgb="FFFFF2CC"/>
      </patternFill>
    </fill>
    <fill>
      <patternFill patternType="solid">
        <fgColor rgb="FFD9D9D9"/>
        <bgColor rgb="FFD8D8D8"/>
      </patternFill>
    </fill>
    <fill>
      <patternFill patternType="solid">
        <fgColor rgb="FFD8D8D8"/>
        <bgColor rgb="FFD9D9D9"/>
      </patternFill>
    </fill>
    <fill>
      <patternFill patternType="solid">
        <fgColor rgb="FF00B050"/>
        <bgColor rgb="FF008080"/>
      </patternFill>
    </fill>
    <fill>
      <patternFill patternType="solid">
        <fgColor theme="0"/>
        <bgColor rgb="FFF2F2F2"/>
      </patternFill>
    </fill>
    <fill>
      <patternFill patternType="solid">
        <fgColor theme="4" tint="0.3998840296639912"/>
        <bgColor rgb="FF00CCFF"/>
      </patternFill>
    </fill>
    <fill>
      <patternFill patternType="solid">
        <fgColor theme="0" tint="-0.0499893185216834"/>
        <bgColor rgb="FFE2F0D9"/>
      </patternFill>
    </fill>
    <fill>
      <patternFill patternType="solid">
        <fgColor rgb="FFFFF2CC"/>
        <bgColor rgb="FFFFFFCC"/>
      </patternFill>
    </fill>
    <fill>
      <patternFill patternType="solid">
        <fgColor rgb="FF4472C4"/>
        <bgColor rgb="FF666699"/>
      </patternFill>
    </fill>
    <fill>
      <patternFill patternType="solid">
        <fgColor rgb="FF00B050"/>
        <bgColor rgb="FF00B050"/>
      </patternFill>
    </fill>
    <fill>
      <patternFill patternType="solid">
        <fgColor rgb="FFD9D9D9"/>
        <bgColor rgb="FFD9D9D9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medium">
        <color auto="1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hair">
        <color rgb="FF0000FF"/>
      </left>
      <right style="hair">
        <color rgb="FF0000FF"/>
      </right>
      <top style="thin">
        <color auto="1"/>
      </top>
      <bottom style="hair">
        <color rgb="FF0000FF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rgb="FF00B050"/>
      </left>
      <right style="medium">
        <color rgb="FF00B050"/>
      </right>
      <top style="medium">
        <color rgb="FF00B050"/>
      </top>
      <bottom style="medium">
        <color rgb="FF00B050"/>
      </bottom>
      <diagonal/>
    </border>
    <border>
      <left/>
      <right style="thin">
        <color rgb="FFFFFF00"/>
      </right>
      <top/>
      <bottom style="thin">
        <color rgb="FFFFFF00"/>
      </bottom>
      <diagonal/>
    </border>
    <border>
      <left style="thin">
        <color rgb="FFFFFF00"/>
      </left>
      <right/>
      <top/>
      <bottom style="thin">
        <color rgb="FFFFFF00"/>
      </bottom>
      <diagonal/>
    </border>
    <border>
      <left/>
      <right style="thin">
        <color rgb="FFFFFF00"/>
      </right>
      <top style="thin">
        <color rgb="FFFFFF00"/>
      </top>
      <bottom style="thin">
        <color rgb="FFFFFF00"/>
      </bottom>
      <diagonal/>
    </border>
    <border>
      <left style="thin">
        <color rgb="FFFFFF00"/>
      </left>
      <right/>
      <top style="thin">
        <color rgb="FFFFFF00"/>
      </top>
      <bottom style="thin">
        <color rgb="FFFFFF00"/>
      </bottom>
      <diagonal/>
    </border>
    <border>
      <left/>
      <right style="thin">
        <color rgb="FFFFFF00"/>
      </right>
      <top/>
      <bottom style="thin">
        <color auto="1"/>
      </bottom>
      <diagonal/>
    </border>
    <border>
      <left style="thin">
        <color rgb="FFFFFF00"/>
      </left>
      <right/>
      <top/>
      <bottom style="thin">
        <color auto="1"/>
      </bottom>
      <diagonal/>
    </border>
    <border>
      <left style="medium">
        <color rgb="FF00B050"/>
      </left>
      <right style="thin">
        <color auto="1"/>
      </right>
      <top style="medium">
        <color rgb="FF00B050"/>
      </top>
      <bottom style="medium">
        <color rgb="FF00B050"/>
      </bottom>
      <diagonal/>
    </border>
    <border>
      <left/>
      <right style="thin">
        <color auto="1"/>
      </right>
      <top style="thin">
        <color rgb="FFFFFF00"/>
      </top>
      <bottom style="thin">
        <color rgb="FFFFFF00"/>
      </bottom>
      <diagonal/>
    </border>
    <border>
      <left/>
      <right style="thin">
        <color auto="1"/>
      </right>
      <top style="thin">
        <color rgb="FFFFFF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5">
    <xf numFmtId="0" fontId="0" fillId="0" borderId="0"/>
    <xf numFmtId="194" fontId="1" fillId="0" borderId="0"/>
    <xf numFmtId="194" fontId="1" fillId="0" borderId="0"/>
    <xf numFmtId="194" fontId="1" fillId="0" borderId="0"/>
    <xf numFmtId="194" fontId="1" fillId="0" borderId="0"/>
    <xf numFmtId="195" fontId="1" fillId="0" borderId="0"/>
    <xf numFmtId="195" fontId="1" fillId="0" borderId="0"/>
    <xf numFmtId="195" fontId="1" fillId="0" borderId="0"/>
    <xf numFmtId="195" fontId="1" fillId="0" borderId="0"/>
    <xf numFmtId="196" fontId="1" fillId="0" borderId="0"/>
    <xf numFmtId="196" fontId="1" fillId="0" borderId="0"/>
    <xf numFmtId="196" fontId="1" fillId="0" borderId="0"/>
    <xf numFmtId="196" fontId="1" fillId="0" borderId="0"/>
    <xf numFmtId="196" fontId="1" fillId="0" borderId="0"/>
    <xf numFmtId="197" fontId="1" fillId="0" borderId="0"/>
    <xf numFmtId="197" fontId="1" fillId="0" borderId="0"/>
    <xf numFmtId="197" fontId="1" fillId="0" borderId="0"/>
    <xf numFmtId="197" fontId="1" fillId="0" borderId="0"/>
    <xf numFmtId="198" fontId="2" fillId="0" borderId="1"/>
    <xf numFmtId="0" fontId="1" fillId="0" borderId="0"/>
    <xf numFmtId="0" fontId="1" fillId="0" borderId="0"/>
    <xf numFmtId="0" fontId="3" fillId="0" borderId="0"/>
    <xf numFmtId="0" fontId="1" fillId="0" borderId="0"/>
    <xf numFmtId="0" fontId="4" fillId="0" borderId="0"/>
    <xf numFmtId="0" fontId="3" fillId="0" borderId="0"/>
    <xf numFmtId="0" fontId="1" fillId="0" borderId="0"/>
    <xf numFmtId="0" fontId="1" fillId="0" borderId="0"/>
    <xf numFmtId="199" fontId="5" fillId="0" borderId="0"/>
    <xf numFmtId="0" fontId="6" fillId="2" borderId="2"/>
    <xf numFmtId="9" fontId="1" fillId="0" borderId="0"/>
    <xf numFmtId="9" fontId="3" fillId="0" borderId="0"/>
    <xf numFmtId="9" fontId="1" fillId="0" borderId="0"/>
    <xf numFmtId="9" fontId="1" fillId="0" borderId="0"/>
    <xf numFmtId="9" fontId="4" fillId="0" borderId="0"/>
    <xf numFmtId="194" fontId="7" fillId="0" borderId="0"/>
  </cellStyleXfs>
  <cellXfs count="275">
    <xf numFmtId="0" fontId="0" fillId="0" borderId="0" pivotButton="0" quotePrefix="0" xfId="0"/>
    <xf numFmtId="0" fontId="8" fillId="3" borderId="0" pivotButton="0" quotePrefix="0" xfId="24"/>
    <xf numFmtId="0" fontId="9" fillId="4" borderId="0" pivotButton="0" quotePrefix="0" xfId="24"/>
    <xf numFmtId="0" fontId="4" fillId="0" borderId="0" applyAlignment="1" pivotButton="0" quotePrefix="0" xfId="24">
      <alignment horizontal="center"/>
    </xf>
    <xf numFmtId="0" fontId="4" fillId="0" borderId="0" pivotButton="0" quotePrefix="0" xfId="24"/>
    <xf numFmtId="0" fontId="8" fillId="3" borderId="0" applyAlignment="1" pivotButton="0" quotePrefix="0" xfId="24">
      <alignment horizontal="center"/>
    </xf>
    <xf numFmtId="0" fontId="8" fillId="3" borderId="0" applyAlignment="1" pivotButton="0" quotePrefix="0" xfId="21">
      <alignment horizontal="center"/>
    </xf>
    <xf numFmtId="164" fontId="8" fillId="3" borderId="0" applyAlignment="1" pivotButton="0" quotePrefix="0" xfId="21">
      <alignment horizontal="center"/>
    </xf>
    <xf numFmtId="0" fontId="3" fillId="5" borderId="0" pivotButton="0" quotePrefix="0" xfId="24"/>
    <xf numFmtId="165" fontId="10" fillId="6" borderId="0" applyAlignment="1" pivotButton="0" quotePrefix="0" xfId="24">
      <alignment horizontal="center"/>
    </xf>
    <xf numFmtId="0" fontId="4" fillId="7" borderId="0" pivotButton="0" quotePrefix="0" xfId="20"/>
    <xf numFmtId="166" fontId="10" fillId="6" borderId="0" applyAlignment="1" pivotButton="0" quotePrefix="0" xfId="24">
      <alignment horizontal="center"/>
    </xf>
    <xf numFmtId="166" fontId="4" fillId="0" borderId="0" applyAlignment="1" pivotButton="0" quotePrefix="0" xfId="24">
      <alignment horizontal="center"/>
    </xf>
    <xf numFmtId="167" fontId="4" fillId="7" borderId="0" applyAlignment="1" pivotButton="0" quotePrefix="0" xfId="20">
      <alignment horizontal="left"/>
    </xf>
    <xf numFmtId="0" fontId="4" fillId="7" borderId="0" applyAlignment="1" pivotButton="0" quotePrefix="0" xfId="20">
      <alignment horizontal="left"/>
    </xf>
    <xf numFmtId="0" fontId="4" fillId="7" borderId="1" applyAlignment="1" pivotButton="0" quotePrefix="0" xfId="20">
      <alignment horizontal="left"/>
    </xf>
    <xf numFmtId="166" fontId="4" fillId="0" borderId="0" pivotButton="0" quotePrefix="0" xfId="24"/>
    <xf numFmtId="0" fontId="11" fillId="0" borderId="0" pivotButton="0" quotePrefix="0" xfId="20"/>
    <xf numFmtId="0" fontId="4" fillId="0" borderId="0" pivotButton="0" quotePrefix="0" xfId="20"/>
    <xf numFmtId="168" fontId="10" fillId="6" borderId="0" applyAlignment="1" pivotButton="0" quotePrefix="0" xfId="24">
      <alignment horizontal="center"/>
    </xf>
    <xf numFmtId="169" fontId="10" fillId="6" borderId="0" applyAlignment="1" pivotButton="0" quotePrefix="0" xfId="21">
      <alignment horizontal="center"/>
    </xf>
    <xf numFmtId="170" fontId="4" fillId="7" borderId="0" applyAlignment="1" pivotButton="0" quotePrefix="0" xfId="21">
      <alignment horizontal="center"/>
    </xf>
    <xf numFmtId="170" fontId="11" fillId="7" borderId="0" applyAlignment="1" pivotButton="0" quotePrefix="0" xfId="21">
      <alignment horizontal="center"/>
    </xf>
    <xf numFmtId="168" fontId="10" fillId="0" borderId="0" applyAlignment="1" pivotButton="0" quotePrefix="0" xfId="24">
      <alignment horizontal="center"/>
    </xf>
    <xf numFmtId="164" fontId="4" fillId="0" borderId="0" applyAlignment="1" pivotButton="0" quotePrefix="0" xfId="21">
      <alignment horizontal="center"/>
    </xf>
    <xf numFmtId="0" fontId="4" fillId="0" borderId="0" applyAlignment="1" pivotButton="0" quotePrefix="0" xfId="21">
      <alignment horizontal="center"/>
    </xf>
    <xf numFmtId="0" fontId="11" fillId="8" borderId="0" applyAlignment="1" pivotButton="0" quotePrefix="0" xfId="21">
      <alignment horizontal="center"/>
    </xf>
    <xf numFmtId="10" fontId="11" fillId="0" borderId="0" applyAlignment="1" pivotButton="0" quotePrefix="0" xfId="30">
      <alignment horizontal="center"/>
    </xf>
    <xf numFmtId="0" fontId="11" fillId="0" borderId="0" applyAlignment="1" pivotButton="0" quotePrefix="0" xfId="21">
      <alignment horizontal="center"/>
    </xf>
    <xf numFmtId="10" fontId="11" fillId="0" borderId="0" applyAlignment="1" pivotButton="0" quotePrefix="0" xfId="21">
      <alignment horizontal="center"/>
    </xf>
    <xf numFmtId="0" fontId="11" fillId="0" borderId="0" applyAlignment="1" pivotButton="0" quotePrefix="0" xfId="24">
      <alignment horizontal="center"/>
    </xf>
    <xf numFmtId="0" fontId="12" fillId="9" borderId="0" applyAlignment="1" pivotButton="0" quotePrefix="0" xfId="20">
      <alignment horizontal="left"/>
    </xf>
    <xf numFmtId="0" fontId="11" fillId="0" borderId="0" pivotButton="0" quotePrefix="0" xfId="24"/>
    <xf numFmtId="0" fontId="11" fillId="7" borderId="0" pivotButton="0" quotePrefix="0" xfId="20"/>
    <xf numFmtId="166" fontId="11" fillId="7" borderId="0" applyAlignment="1" pivotButton="0" quotePrefix="0" xfId="24">
      <alignment horizontal="center"/>
    </xf>
    <xf numFmtId="166" fontId="11" fillId="0" borderId="0" applyAlignment="1" pivotButton="0" quotePrefix="0" xfId="24">
      <alignment horizontal="center"/>
    </xf>
    <xf numFmtId="0" fontId="11" fillId="10" borderId="0" applyAlignment="1" pivotButton="0" quotePrefix="0" xfId="24">
      <alignment horizontal="center"/>
    </xf>
    <xf numFmtId="0" fontId="4" fillId="10" borderId="0" applyAlignment="1" pivotButton="0" quotePrefix="0" xfId="24">
      <alignment horizontal="center"/>
    </xf>
    <xf numFmtId="171" fontId="4" fillId="10" borderId="0" pivotButton="0" quotePrefix="0" xfId="20"/>
    <xf numFmtId="166" fontId="11" fillId="10" borderId="0" applyAlignment="1" pivotButton="0" quotePrefix="0" xfId="24">
      <alignment horizontal="center"/>
    </xf>
    <xf numFmtId="9" fontId="4" fillId="10" borderId="0" applyAlignment="1" pivotButton="0" quotePrefix="0" xfId="30">
      <alignment horizontal="center"/>
    </xf>
    <xf numFmtId="10" fontId="10" fillId="6" borderId="0" applyAlignment="1" pivotButton="0" quotePrefix="0" xfId="24">
      <alignment horizontal="center"/>
    </xf>
    <xf numFmtId="166" fontId="4" fillId="10" borderId="0" applyAlignment="1" pivotButton="0" quotePrefix="0" xfId="24">
      <alignment horizontal="center"/>
    </xf>
    <xf numFmtId="0" fontId="11" fillId="10" borderId="0" pivotButton="0" quotePrefix="0" xfId="24"/>
    <xf numFmtId="171" fontId="13" fillId="10" borderId="0" pivotButton="0" quotePrefix="0" xfId="20"/>
    <xf numFmtId="0" fontId="11" fillId="10" borderId="0" pivotButton="0" quotePrefix="0" xfId="20"/>
    <xf numFmtId="166" fontId="4" fillId="7" borderId="0" applyAlignment="1" pivotButton="0" quotePrefix="0" xfId="24">
      <alignment horizontal="center"/>
    </xf>
    <xf numFmtId="171" fontId="4" fillId="10" borderId="0" applyAlignment="1" pivotButton="0" quotePrefix="0" xfId="20">
      <alignment horizontal="left"/>
    </xf>
    <xf numFmtId="171" fontId="4" fillId="10" borderId="0" applyAlignment="1" pivotButton="0" quotePrefix="0" xfId="30">
      <alignment horizontal="center"/>
    </xf>
    <xf numFmtId="171" fontId="10" fillId="6" borderId="0" applyAlignment="1" pivotButton="0" quotePrefix="0" xfId="30">
      <alignment horizontal="center"/>
    </xf>
    <xf numFmtId="167" fontId="4" fillId="0" borderId="0" applyAlignment="1" pivotButton="0" quotePrefix="0" xfId="20">
      <alignment horizontal="left"/>
    </xf>
    <xf numFmtId="171" fontId="4" fillId="0" borderId="0" applyAlignment="1" pivotButton="0" quotePrefix="0" xfId="30">
      <alignment horizontal="center"/>
    </xf>
    <xf numFmtId="171" fontId="10" fillId="6" borderId="0" applyAlignment="1" pivotButton="0" quotePrefix="0" xfId="24">
      <alignment horizontal="center"/>
    </xf>
    <xf numFmtId="9" fontId="4" fillId="0" borderId="0" applyAlignment="1" pivotButton="0" quotePrefix="0" xfId="30">
      <alignment horizontal="center"/>
    </xf>
    <xf numFmtId="9" fontId="4" fillId="0" borderId="0" applyAlignment="1" pivotButton="0" quotePrefix="0" xfId="30">
      <alignment horizontal="left"/>
    </xf>
    <xf numFmtId="9" fontId="10" fillId="6" borderId="0" applyAlignment="1" pivotButton="0" quotePrefix="0" xfId="30">
      <alignment horizontal="center"/>
    </xf>
    <xf numFmtId="9" fontId="4" fillId="0" borderId="0" pivotButton="0" quotePrefix="0" xfId="30"/>
    <xf numFmtId="0" fontId="4" fillId="0" borderId="0" applyAlignment="1" pivotButton="0" quotePrefix="0" xfId="20">
      <alignment horizontal="left"/>
    </xf>
    <xf numFmtId="171" fontId="4" fillId="0" borderId="0" applyAlignment="1" pivotButton="0" quotePrefix="0" xfId="24">
      <alignment horizontal="center"/>
    </xf>
    <xf numFmtId="0" fontId="4" fillId="10" borderId="0" applyAlignment="1" pivotButton="0" quotePrefix="0" xfId="20">
      <alignment horizontal="left"/>
    </xf>
    <xf numFmtId="0" fontId="14" fillId="10" borderId="0" applyAlignment="1" pivotButton="0" quotePrefix="0" xfId="20">
      <alignment horizontal="left"/>
    </xf>
    <xf numFmtId="166" fontId="14" fillId="10" borderId="0" applyAlignment="1" pivotButton="0" quotePrefix="0" xfId="24">
      <alignment horizontal="center"/>
    </xf>
    <xf numFmtId="164" fontId="10" fillId="6" borderId="0" applyAlignment="1" pivotButton="0" quotePrefix="0" xfId="24">
      <alignment horizontal="center"/>
    </xf>
    <xf numFmtId="166" fontId="4" fillId="0" borderId="0" applyAlignment="1" pivotButton="0" quotePrefix="0" xfId="24">
      <alignment horizontal="center" vertical="center"/>
    </xf>
    <xf numFmtId="172" fontId="4" fillId="0" borderId="0" applyAlignment="1" pivotButton="0" quotePrefix="0" xfId="24">
      <alignment horizontal="center"/>
    </xf>
    <xf numFmtId="0" fontId="11" fillId="7" borderId="0" applyAlignment="1" pivotButton="0" quotePrefix="0" xfId="20">
      <alignment horizontal="left"/>
    </xf>
    <xf numFmtId="0" fontId="4" fillId="10" borderId="0" pivotButton="0" quotePrefix="0" xfId="24"/>
    <xf numFmtId="167" fontId="4" fillId="10" borderId="0" applyAlignment="1" pivotButton="0" quotePrefix="0" xfId="20">
      <alignment horizontal="left"/>
    </xf>
    <xf numFmtId="173" fontId="4" fillId="0" borderId="0" applyAlignment="1" pivotButton="0" quotePrefix="0" xfId="24">
      <alignment horizontal="center"/>
    </xf>
    <xf numFmtId="165" fontId="4" fillId="0" borderId="0" applyAlignment="1" pivotButton="0" quotePrefix="0" xfId="24">
      <alignment horizontal="center"/>
    </xf>
    <xf numFmtId="0" fontId="12" fillId="9" borderId="0" applyAlignment="1" pivotButton="0" quotePrefix="0" xfId="20">
      <alignment horizontal="center"/>
    </xf>
    <xf numFmtId="0" fontId="4" fillId="7" borderId="1" pivotButton="0" quotePrefix="0" xfId="20"/>
    <xf numFmtId="172" fontId="4" fillId="0" borderId="0" pivotButton="0" quotePrefix="0" xfId="24"/>
    <xf numFmtId="0" fontId="15" fillId="11" borderId="0" pivotButton="0" quotePrefix="0" xfId="24"/>
    <xf numFmtId="0" fontId="11" fillId="0" borderId="0" applyAlignment="1" pivotButton="0" quotePrefix="0" xfId="24">
      <alignment vertical="center"/>
    </xf>
    <xf numFmtId="0" fontId="11" fillId="0" borderId="0" applyAlignment="1" pivotButton="0" quotePrefix="0" xfId="24">
      <alignment horizontal="center" vertical="center"/>
    </xf>
    <xf numFmtId="0" fontId="4" fillId="0" borderId="0" applyAlignment="1" pivotButton="0" quotePrefix="0" xfId="24">
      <alignment horizontal="center" vertical="center"/>
    </xf>
    <xf numFmtId="0" fontId="4" fillId="0" borderId="0" applyAlignment="1" pivotButton="0" quotePrefix="0" xfId="24">
      <alignment vertical="center"/>
    </xf>
    <xf numFmtId="9" fontId="4" fillId="0" borderId="0" applyAlignment="1" pivotButton="0" quotePrefix="0" xfId="30">
      <alignment vertical="center"/>
    </xf>
    <xf numFmtId="9" fontId="4" fillId="0" borderId="0" applyAlignment="1" pivotButton="0" quotePrefix="0" xfId="30">
      <alignment horizontal="center" vertical="center"/>
    </xf>
    <xf numFmtId="171" fontId="4" fillId="0" borderId="0" applyAlignment="1" pivotButton="0" quotePrefix="0" xfId="24">
      <alignment horizontal="center" vertical="center"/>
    </xf>
    <xf numFmtId="171" fontId="4" fillId="0" borderId="0" applyAlignment="1" pivotButton="0" quotePrefix="0" xfId="30">
      <alignment horizontal="center" vertical="center"/>
    </xf>
    <xf numFmtId="174" fontId="4" fillId="0" borderId="0" applyAlignment="1" pivotButton="0" quotePrefix="0" xfId="24">
      <alignment horizontal="center" vertical="center"/>
    </xf>
    <xf numFmtId="174" fontId="4" fillId="0" borderId="0" applyAlignment="1" pivotButton="0" quotePrefix="0" xfId="24">
      <alignment vertical="center"/>
    </xf>
    <xf numFmtId="171" fontId="4" fillId="0" borderId="0" applyAlignment="1" pivotButton="0" quotePrefix="0" xfId="30">
      <alignment vertical="center"/>
    </xf>
    <xf numFmtId="175" fontId="4" fillId="0" borderId="0" applyAlignment="1" pivotButton="0" quotePrefix="0" xfId="24">
      <alignment horizontal="center" vertical="center"/>
    </xf>
    <xf numFmtId="166" fontId="4" fillId="0" borderId="0" applyAlignment="1" pivotButton="0" quotePrefix="0" xfId="24">
      <alignment vertical="center"/>
    </xf>
    <xf numFmtId="9" fontId="4" fillId="0" borderId="0" applyAlignment="1" pivotButton="0" quotePrefix="0" xfId="24">
      <alignment vertical="center"/>
    </xf>
    <xf numFmtId="9" fontId="4" fillId="0" borderId="0" applyAlignment="1" pivotButton="0" quotePrefix="0" xfId="24">
      <alignment horizontal="center" vertical="center"/>
    </xf>
    <xf numFmtId="172" fontId="4" fillId="0" borderId="0" applyAlignment="1" pivotButton="0" quotePrefix="0" xfId="24">
      <alignment vertical="center"/>
    </xf>
    <xf numFmtId="172" fontId="4" fillId="0" borderId="0" applyAlignment="1" pivotButton="0" quotePrefix="0" xfId="24">
      <alignment horizontal="center" vertical="center"/>
    </xf>
    <xf numFmtId="166" fontId="4" fillId="0" borderId="0" applyAlignment="1" pivotButton="0" quotePrefix="0" xfId="24">
      <alignment horizontal="right" vertical="center"/>
    </xf>
    <xf numFmtId="0" fontId="14" fillId="0" borderId="0" pivotButton="0" quotePrefix="0" xfId="22"/>
    <xf numFmtId="0" fontId="12" fillId="0" borderId="0" pivotButton="0" quotePrefix="0" xfId="22"/>
    <xf numFmtId="0" fontId="14" fillId="0" borderId="3" pivotButton="0" quotePrefix="0" xfId="22"/>
    <xf numFmtId="176" fontId="10" fillId="6" borderId="4" applyAlignment="1" pivotButton="0" quotePrefix="0" xfId="18">
      <alignment horizontal="center"/>
    </xf>
    <xf numFmtId="177" fontId="10" fillId="6" borderId="0" applyAlignment="1" pivotButton="0" quotePrefix="0" xfId="22">
      <alignment horizontal="center"/>
    </xf>
    <xf numFmtId="171" fontId="14" fillId="0" borderId="0" applyAlignment="1" pivotButton="0" quotePrefix="0" xfId="22">
      <alignment horizontal="right"/>
    </xf>
    <xf numFmtId="176" fontId="10" fillId="6" borderId="4" applyAlignment="1" pivotButton="0" quotePrefix="0" xfId="18">
      <alignment horizontal="right"/>
    </xf>
    <xf numFmtId="171" fontId="14" fillId="0" borderId="0" applyAlignment="1" pivotButton="0" quotePrefix="0" xfId="22">
      <alignment horizontal="center"/>
    </xf>
    <xf numFmtId="178" fontId="10" fillId="0" borderId="0" applyAlignment="1" pivotButton="0" quotePrefix="0" xfId="22">
      <alignment horizontal="center"/>
    </xf>
    <xf numFmtId="179" fontId="14" fillId="0" borderId="0" applyAlignment="1" pivotButton="0" quotePrefix="0" xfId="22">
      <alignment horizontal="center"/>
    </xf>
    <xf numFmtId="0" fontId="16" fillId="0" borderId="0" pivotButton="0" quotePrefix="0" xfId="22"/>
    <xf numFmtId="180" fontId="14" fillId="0" borderId="0" pivotButton="0" quotePrefix="0" xfId="22"/>
    <xf numFmtId="0" fontId="11" fillId="7" borderId="0" pivotButton="0" quotePrefix="0" xfId="22"/>
    <xf numFmtId="0" fontId="11" fillId="7" borderId="1" pivotButton="0" quotePrefix="0" xfId="22"/>
    <xf numFmtId="0" fontId="16" fillId="0" borderId="0" applyAlignment="1" pivotButton="0" quotePrefix="0" xfId="22">
      <alignment horizontal="center"/>
    </xf>
    <xf numFmtId="0" fontId="14" fillId="0" borderId="0" applyAlignment="1" pivotButton="0" quotePrefix="0" xfId="22">
      <alignment horizontal="center"/>
    </xf>
    <xf numFmtId="1" fontId="16" fillId="0" borderId="0" applyAlignment="1" pivotButton="0" quotePrefix="0" xfId="22">
      <alignment horizontal="center"/>
    </xf>
    <xf numFmtId="0" fontId="14" fillId="0" borderId="1" pivotButton="0" quotePrefix="0" xfId="22"/>
    <xf numFmtId="168" fontId="14" fillId="0" borderId="1" applyAlignment="1" pivotButton="0" quotePrefix="0" xfId="22">
      <alignment horizontal="center"/>
    </xf>
    <xf numFmtId="168" fontId="14" fillId="0" borderId="0" applyAlignment="1" pivotButton="0" quotePrefix="0" xfId="22">
      <alignment horizontal="center"/>
    </xf>
    <xf numFmtId="0" fontId="14" fillId="0" borderId="5" pivotButton="0" quotePrefix="0" xfId="22"/>
    <xf numFmtId="178" fontId="14" fillId="12" borderId="6" applyAlignment="1" pivotButton="0" quotePrefix="0" xfId="22">
      <alignment horizontal="center"/>
    </xf>
    <xf numFmtId="178" fontId="14" fillId="12" borderId="7" applyAlignment="1" pivotButton="0" quotePrefix="0" xfId="22">
      <alignment horizontal="center"/>
    </xf>
    <xf numFmtId="171" fontId="16" fillId="0" borderId="0" applyAlignment="1" pivotButton="0" quotePrefix="0" xfId="33">
      <alignment horizontal="center"/>
    </xf>
    <xf numFmtId="0" fontId="14" fillId="0" borderId="8" pivotButton="0" quotePrefix="0" xfId="22"/>
    <xf numFmtId="171" fontId="16" fillId="0" borderId="1" applyAlignment="1" pivotButton="0" quotePrefix="0" xfId="33">
      <alignment horizontal="center"/>
    </xf>
    <xf numFmtId="171" fontId="16" fillId="0" borderId="9" applyAlignment="1" pivotButton="0" quotePrefix="0" xfId="33">
      <alignment horizontal="center"/>
    </xf>
    <xf numFmtId="178" fontId="14" fillId="0" borderId="5" pivotButton="0" quotePrefix="0" xfId="22"/>
    <xf numFmtId="0" fontId="14" fillId="0" borderId="6" pivotButton="0" quotePrefix="0" xfId="22"/>
    <xf numFmtId="0" fontId="14" fillId="0" borderId="7" pivotButton="0" quotePrefix="0" xfId="22"/>
    <xf numFmtId="171" fontId="14" fillId="0" borderId="1" applyAlignment="1" pivotButton="0" quotePrefix="0" xfId="33">
      <alignment horizontal="center"/>
    </xf>
    <xf numFmtId="0" fontId="14" fillId="0" borderId="9" pivotButton="0" quotePrefix="0" xfId="22"/>
    <xf numFmtId="171" fontId="14" fillId="0" borderId="9" applyAlignment="1" pivotButton="0" quotePrefix="0" xfId="33">
      <alignment horizontal="center"/>
    </xf>
    <xf numFmtId="171" fontId="14" fillId="12" borderId="6" applyAlignment="1" pivotButton="0" quotePrefix="0" xfId="22">
      <alignment horizontal="center"/>
    </xf>
    <xf numFmtId="171" fontId="14" fillId="12" borderId="7" applyAlignment="1" pivotButton="0" quotePrefix="0" xfId="22">
      <alignment horizontal="center"/>
    </xf>
    <xf numFmtId="178" fontId="14" fillId="0" borderId="1" applyAlignment="1" pivotButton="0" quotePrefix="0" xfId="22">
      <alignment horizontal="center"/>
    </xf>
    <xf numFmtId="178" fontId="14" fillId="0" borderId="9" applyAlignment="1" pivotButton="0" quotePrefix="0" xfId="22">
      <alignment horizontal="center"/>
    </xf>
    <xf numFmtId="178" fontId="14" fillId="0" borderId="10" applyAlignment="1" pivotButton="0" quotePrefix="0" xfId="22">
      <alignment horizontal="left"/>
    </xf>
    <xf numFmtId="178" fontId="14" fillId="12" borderId="11" applyAlignment="1" pivotButton="0" quotePrefix="0" xfId="22">
      <alignment horizontal="center"/>
    </xf>
    <xf numFmtId="178" fontId="14" fillId="12" borderId="12" applyAlignment="1" pivotButton="0" quotePrefix="0" xfId="22">
      <alignment horizontal="center"/>
    </xf>
    <xf numFmtId="178" fontId="14" fillId="0" borderId="5" applyAlignment="1" pivotButton="0" quotePrefix="0" xfId="22">
      <alignment horizontal="left"/>
    </xf>
    <xf numFmtId="178" fontId="14" fillId="0" borderId="6" applyAlignment="1" pivotButton="0" quotePrefix="0" xfId="22">
      <alignment horizontal="center"/>
    </xf>
    <xf numFmtId="178" fontId="14" fillId="0" borderId="7" applyAlignment="1" pivotButton="0" quotePrefix="0" xfId="22">
      <alignment horizontal="center"/>
    </xf>
    <xf numFmtId="178" fontId="14" fillId="0" borderId="13" applyAlignment="1" pivotButton="0" quotePrefix="0" xfId="22">
      <alignment horizontal="left"/>
    </xf>
    <xf numFmtId="178" fontId="14" fillId="12" borderId="0" applyAlignment="1" pivotButton="0" quotePrefix="0" xfId="22">
      <alignment horizontal="center"/>
    </xf>
    <xf numFmtId="178" fontId="14" fillId="12" borderId="14" applyAlignment="1" pivotButton="0" quotePrefix="0" xfId="22">
      <alignment horizontal="center"/>
    </xf>
    <xf numFmtId="178" fontId="14" fillId="0" borderId="8" applyAlignment="1" pivotButton="0" quotePrefix="0" xfId="22">
      <alignment horizontal="left"/>
    </xf>
    <xf numFmtId="178" fontId="14" fillId="12" borderId="1" applyAlignment="1" pivotButton="0" quotePrefix="0" xfId="22">
      <alignment horizontal="center"/>
    </xf>
    <xf numFmtId="178" fontId="14" fillId="12" borderId="9" applyAlignment="1" pivotButton="0" quotePrefix="0" xfId="22">
      <alignment horizontal="center"/>
    </xf>
    <xf numFmtId="178" fontId="14" fillId="0" borderId="0" applyAlignment="1" pivotButton="0" quotePrefix="0" xfId="22">
      <alignment horizontal="center"/>
    </xf>
    <xf numFmtId="178" fontId="14" fillId="0" borderId="15" applyAlignment="1" pivotButton="0" quotePrefix="0" xfId="22">
      <alignment horizontal="center"/>
    </xf>
    <xf numFmtId="0" fontId="14" fillId="0" borderId="13" pivotButton="0" quotePrefix="0" xfId="22"/>
    <xf numFmtId="0" fontId="14" fillId="0" borderId="14" pivotButton="0" quotePrefix="0" xfId="22"/>
    <xf numFmtId="178" fontId="4" fillId="0" borderId="0" applyAlignment="1" pivotButton="0" quotePrefix="0" xfId="22">
      <alignment horizontal="center"/>
    </xf>
    <xf numFmtId="178" fontId="4" fillId="0" borderId="14" applyAlignment="1" pivotButton="0" quotePrefix="0" xfId="22">
      <alignment horizontal="center"/>
    </xf>
    <xf numFmtId="171" fontId="10" fillId="6" borderId="1" applyAlignment="1" pivotButton="0" quotePrefix="0" xfId="33">
      <alignment horizontal="center"/>
    </xf>
    <xf numFmtId="171" fontId="10" fillId="6" borderId="9" applyAlignment="1" pivotButton="0" quotePrefix="0" xfId="33">
      <alignment horizontal="center"/>
    </xf>
    <xf numFmtId="0" fontId="16" fillId="0" borderId="10" pivotButton="0" quotePrefix="0" xfId="22"/>
    <xf numFmtId="171" fontId="16" fillId="12" borderId="11" applyAlignment="1" pivotButton="0" quotePrefix="0" xfId="22">
      <alignment horizontal="center"/>
    </xf>
    <xf numFmtId="171" fontId="16" fillId="0" borderId="11" applyAlignment="1" pivotButton="0" quotePrefix="0" xfId="33">
      <alignment horizontal="center"/>
    </xf>
    <xf numFmtId="171" fontId="16" fillId="0" borderId="12" applyAlignment="1" pivotButton="0" quotePrefix="0" xfId="33">
      <alignment horizontal="center"/>
    </xf>
    <xf numFmtId="171" fontId="16" fillId="0" borderId="0" applyAlignment="1" pivotButton="0" quotePrefix="0" xfId="22">
      <alignment horizontal="center"/>
    </xf>
    <xf numFmtId="181" fontId="14" fillId="0" borderId="0" applyAlignment="1" pivotButton="0" quotePrefix="0" xfId="23">
      <alignment horizontal="center" vertical="center"/>
    </xf>
    <xf numFmtId="178" fontId="16" fillId="0" borderId="0" applyAlignment="1" pivotButton="0" quotePrefix="0" xfId="22">
      <alignment horizontal="center"/>
    </xf>
    <xf numFmtId="178" fontId="18" fillId="2" borderId="2" applyAlignment="1" pivotButton="0" quotePrefix="0" xfId="28">
      <alignment horizontal="center"/>
    </xf>
    <xf numFmtId="0" fontId="14" fillId="0" borderId="0" applyAlignment="1" pivotButton="0" quotePrefix="0" xfId="22">
      <alignment horizontal="left"/>
    </xf>
    <xf numFmtId="173" fontId="14" fillId="0" borderId="0" applyAlignment="1" pivotButton="0" quotePrefix="0" xfId="22">
      <alignment horizontal="center"/>
    </xf>
    <xf numFmtId="173" fontId="18" fillId="2" borderId="2" applyAlignment="1" pivotButton="0" quotePrefix="0" xfId="28">
      <alignment horizontal="center"/>
    </xf>
    <xf numFmtId="10" fontId="14" fillId="0" borderId="0" pivotButton="0" quotePrefix="0" xfId="22"/>
    <xf numFmtId="178" fontId="16" fillId="0" borderId="0" pivotButton="0" quotePrefix="0" xfId="22"/>
    <xf numFmtId="179" fontId="14" fillId="0" borderId="0" pivotButton="0" quotePrefix="0" xfId="22"/>
    <xf numFmtId="0" fontId="11" fillId="7" borderId="5" pivotButton="0" quotePrefix="0" xfId="22"/>
    <xf numFmtId="171" fontId="4" fillId="7" borderId="7" applyAlignment="1" pivotButton="0" quotePrefix="0" xfId="22">
      <alignment horizontal="center"/>
    </xf>
    <xf numFmtId="0" fontId="11" fillId="7" borderId="6" pivotButton="0" quotePrefix="0" xfId="22"/>
    <xf numFmtId="0" fontId="4" fillId="7" borderId="6" pivotButton="0" quotePrefix="0" xfId="22"/>
    <xf numFmtId="0" fontId="11" fillId="7" borderId="16" pivotButton="0" quotePrefix="0" xfId="22"/>
    <xf numFmtId="171" fontId="4" fillId="7" borderId="17" applyAlignment="1" pivotButton="0" quotePrefix="0" xfId="22">
      <alignment horizontal="center"/>
    </xf>
    <xf numFmtId="0" fontId="4" fillId="7" borderId="17" pivotButton="0" quotePrefix="0" xfId="22"/>
    <xf numFmtId="0" fontId="4" fillId="7" borderId="18" pivotButton="0" quotePrefix="0" xfId="22"/>
    <xf numFmtId="0" fontId="16" fillId="0" borderId="13" applyAlignment="1" pivotButton="0" quotePrefix="0" xfId="22">
      <alignment horizontal="left"/>
    </xf>
    <xf numFmtId="178" fontId="14" fillId="0" borderId="14" applyAlignment="1" pivotButton="0" quotePrefix="0" xfId="22">
      <alignment horizontal="right"/>
    </xf>
    <xf numFmtId="0" fontId="16" fillId="0" borderId="0" applyAlignment="1" pivotButton="0" quotePrefix="0" xfId="22">
      <alignment horizontal="left"/>
    </xf>
    <xf numFmtId="0" fontId="14" fillId="0" borderId="13" applyAlignment="1" pivotButton="0" quotePrefix="0" xfId="22">
      <alignment horizontal="left"/>
    </xf>
    <xf numFmtId="178" fontId="4" fillId="12" borderId="14" applyAlignment="1" pivotButton="0" quotePrefix="0" xfId="22">
      <alignment horizontal="center"/>
    </xf>
    <xf numFmtId="171" fontId="19" fillId="6" borderId="14" applyAlignment="1" pivotButton="0" quotePrefix="0" xfId="22">
      <alignment horizontal="center"/>
    </xf>
    <xf numFmtId="182" fontId="4" fillId="12" borderId="14" applyAlignment="1" pivotButton="0" quotePrefix="0" xfId="18">
      <alignment horizontal="center"/>
    </xf>
    <xf numFmtId="171" fontId="11" fillId="0" borderId="19" applyAlignment="1" pivotButton="0" quotePrefix="0" xfId="24">
      <alignment horizontal="center"/>
    </xf>
    <xf numFmtId="0" fontId="14" fillId="0" borderId="1" applyAlignment="1" pivotButton="0" quotePrefix="0" xfId="22">
      <alignment horizontal="left"/>
    </xf>
    <xf numFmtId="0" fontId="14" fillId="0" borderId="9" applyAlignment="1" pivotButton="0" quotePrefix="0" xfId="22">
      <alignment horizontal="right"/>
    </xf>
    <xf numFmtId="178" fontId="16" fillId="0" borderId="14" applyAlignment="1" pivotButton="0" quotePrefix="0" xfId="22">
      <alignment horizontal="center"/>
    </xf>
    <xf numFmtId="0" fontId="14" fillId="0" borderId="1" applyAlignment="1" pivotButton="0" quotePrefix="0" xfId="22">
      <alignment horizontal="right"/>
    </xf>
    <xf numFmtId="183" fontId="10" fillId="6" borderId="20" pivotButton="0" quotePrefix="0" xfId="22"/>
    <xf numFmtId="182" fontId="10" fillId="6" borderId="21" pivotButton="0" quotePrefix="0" xfId="10"/>
    <xf numFmtId="179" fontId="14" fillId="0" borderId="14" applyAlignment="1" pivotButton="0" quotePrefix="0" xfId="22">
      <alignment horizontal="right"/>
    </xf>
    <xf numFmtId="183" fontId="10" fillId="6" borderId="22" pivotButton="0" quotePrefix="0" xfId="22"/>
    <xf numFmtId="182" fontId="10" fillId="6" borderId="23" pivotButton="0" quotePrefix="0" xfId="10"/>
    <xf numFmtId="178" fontId="14" fillId="0" borderId="14" applyAlignment="1" pivotButton="0" quotePrefix="0" xfId="22">
      <alignment horizontal="center"/>
    </xf>
    <xf numFmtId="183" fontId="10" fillId="6" borderId="24" pivotButton="0" quotePrefix="0" xfId="22"/>
    <xf numFmtId="182" fontId="10" fillId="6" borderId="25" pivotButton="0" quotePrefix="0" xfId="10"/>
    <xf numFmtId="179" fontId="14" fillId="0" borderId="9" applyAlignment="1" pivotButton="0" quotePrefix="0" xfId="22">
      <alignment horizontal="right"/>
    </xf>
    <xf numFmtId="174" fontId="10" fillId="6" borderId="14" applyAlignment="1" pivotButton="0" quotePrefix="0" xfId="22">
      <alignment horizontal="center"/>
    </xf>
    <xf numFmtId="184" fontId="14" fillId="0" borderId="0" applyAlignment="1" pivotButton="0" quotePrefix="0" xfId="22">
      <alignment horizontal="right"/>
    </xf>
    <xf numFmtId="185" fontId="14" fillId="0" borderId="14" applyAlignment="1" pivotButton="0" quotePrefix="0" xfId="22">
      <alignment horizontal="right"/>
    </xf>
    <xf numFmtId="0" fontId="14" fillId="0" borderId="0" applyAlignment="1" pivotButton="0" quotePrefix="0" xfId="22">
      <alignment horizontal="right"/>
    </xf>
    <xf numFmtId="178" fontId="20" fillId="0" borderId="0" pivotButton="0" quotePrefix="0" xfId="22"/>
    <xf numFmtId="178" fontId="14" fillId="0" borderId="14" pivotButton="0" quotePrefix="0" xfId="22"/>
    <xf numFmtId="182" fontId="16" fillId="0" borderId="26" applyAlignment="1" pivotButton="0" quotePrefix="0" xfId="22">
      <alignment horizontal="center"/>
    </xf>
    <xf numFmtId="183" fontId="10" fillId="6" borderId="27" applyAlignment="1" pivotButton="0" quotePrefix="0" xfId="22">
      <alignment horizontal="right"/>
    </xf>
    <xf numFmtId="0" fontId="14" fillId="0" borderId="14" applyAlignment="1" pivotButton="0" quotePrefix="0" xfId="22">
      <alignment horizontal="right"/>
    </xf>
    <xf numFmtId="182" fontId="16" fillId="0" borderId="14" applyAlignment="1" pivotButton="0" quotePrefix="0" xfId="22">
      <alignment horizontal="center"/>
    </xf>
    <xf numFmtId="183" fontId="10" fillId="6" borderId="28" applyAlignment="1" pivotButton="0" quotePrefix="0" xfId="22">
      <alignment horizontal="right"/>
    </xf>
    <xf numFmtId="186" fontId="10" fillId="6" borderId="14" applyAlignment="1" pivotButton="0" quotePrefix="0" xfId="22">
      <alignment horizontal="right"/>
    </xf>
    <xf numFmtId="0" fontId="16" fillId="0" borderId="0" applyAlignment="1" pivotButton="0" quotePrefix="0" xfId="22">
      <alignment horizontal="right"/>
    </xf>
    <xf numFmtId="178" fontId="16" fillId="0" borderId="14" applyAlignment="1" pivotButton="0" quotePrefix="0" xfId="27">
      <alignment horizontal="right"/>
    </xf>
    <xf numFmtId="0" fontId="14" fillId="0" borderId="8" applyAlignment="1" pivotButton="0" quotePrefix="0" xfId="22">
      <alignment horizontal="left"/>
    </xf>
    <xf numFmtId="171" fontId="14" fillId="0" borderId="9" applyAlignment="1" pivotButton="0" quotePrefix="0" xfId="22">
      <alignment horizontal="right"/>
    </xf>
    <xf numFmtId="0" fontId="11" fillId="7" borderId="3" pivotButton="0" quotePrefix="0" xfId="22"/>
    <xf numFmtId="171" fontId="4" fillId="7" borderId="3" applyAlignment="1" pivotButton="0" quotePrefix="0" xfId="22">
      <alignment horizontal="center"/>
    </xf>
    <xf numFmtId="0" fontId="4" fillId="7" borderId="3" pivotButton="0" quotePrefix="0" xfId="22"/>
    <xf numFmtId="0" fontId="16" fillId="0" borderId="1" pivotButton="0" quotePrefix="0" xfId="22"/>
    <xf numFmtId="171" fontId="10" fillId="6" borderId="0" applyAlignment="1" pivotButton="0" quotePrefix="0" xfId="22">
      <alignment horizontal="center"/>
    </xf>
    <xf numFmtId="0" fontId="14" fillId="0" borderId="11" applyAlignment="1" pivotButton="0" quotePrefix="0" xfId="22">
      <alignment horizontal="right"/>
    </xf>
    <xf numFmtId="178" fontId="14" fillId="0" borderId="0" pivotButton="0" quotePrefix="0" xfId="22"/>
    <xf numFmtId="9" fontId="14" fillId="0" borderId="0" pivotButton="0" quotePrefix="0" xfId="22"/>
    <xf numFmtId="187" fontId="14" fillId="0" borderId="0" applyAlignment="1" pivotButton="0" quotePrefix="0" xfId="22">
      <alignment horizontal="center"/>
    </xf>
    <xf numFmtId="178" fontId="14" fillId="0" borderId="0" applyAlignment="1" pivotButton="0" quotePrefix="0" xfId="22">
      <alignment horizontal="right"/>
    </xf>
    <xf numFmtId="188" fontId="14" fillId="0" borderId="0" pivotButton="0" quotePrefix="0" xfId="22"/>
    <xf numFmtId="189" fontId="10" fillId="6" borderId="0" applyAlignment="1" pivotButton="0" quotePrefix="0" xfId="22">
      <alignment horizontal="center"/>
    </xf>
    <xf numFmtId="0" fontId="16" fillId="0" borderId="1" applyAlignment="1" pivotButton="0" quotePrefix="0" xfId="22">
      <alignment horizontal="left" wrapText="1"/>
    </xf>
    <xf numFmtId="0" fontId="16" fillId="0" borderId="1" applyAlignment="1" pivotButton="0" quotePrefix="0" xfId="22">
      <alignment horizontal="center" wrapText="1"/>
    </xf>
    <xf numFmtId="189" fontId="14" fillId="0" borderId="0" applyAlignment="1" pivotButton="0" quotePrefix="0" xfId="22">
      <alignment horizontal="center"/>
    </xf>
    <xf numFmtId="182" fontId="14" fillId="0" borderId="0" applyAlignment="1" pivotButton="0" quotePrefix="0" xfId="22">
      <alignment horizontal="center"/>
    </xf>
    <xf numFmtId="10" fontId="14" fillId="0" borderId="0" applyAlignment="1" pivotButton="0" quotePrefix="0" xfId="22">
      <alignment horizontal="center"/>
    </xf>
    <xf numFmtId="2" fontId="14" fillId="0" borderId="0" applyAlignment="1" pivotButton="0" quotePrefix="0" xfId="22">
      <alignment horizontal="center"/>
    </xf>
    <xf numFmtId="189" fontId="10" fillId="6" borderId="0" applyAlignment="1" pivotButton="0" quotePrefix="0" xfId="22">
      <alignment horizontal="left"/>
    </xf>
    <xf numFmtId="182" fontId="10" fillId="6" borderId="0" applyAlignment="1" pivotButton="0" quotePrefix="0" xfId="22">
      <alignment horizontal="center"/>
    </xf>
    <xf numFmtId="178" fontId="10" fillId="6" borderId="0" applyAlignment="1" pivotButton="0" quotePrefix="0" xfId="22">
      <alignment horizontal="center"/>
    </xf>
    <xf numFmtId="10" fontId="10" fillId="6" borderId="0" applyAlignment="1" pivotButton="0" quotePrefix="0" xfId="22">
      <alignment horizontal="center"/>
    </xf>
    <xf numFmtId="189" fontId="10" fillId="6" borderId="1" applyAlignment="1" pivotButton="0" quotePrefix="0" xfId="22">
      <alignment horizontal="left"/>
    </xf>
    <xf numFmtId="189" fontId="10" fillId="6" borderId="1" applyAlignment="1" pivotButton="0" quotePrefix="0" xfId="22">
      <alignment horizontal="center"/>
    </xf>
    <xf numFmtId="182" fontId="10" fillId="6" borderId="1" applyAlignment="1" pivotButton="0" quotePrefix="0" xfId="22">
      <alignment horizontal="center"/>
    </xf>
    <xf numFmtId="178" fontId="10" fillId="6" borderId="1" applyAlignment="1" pivotButton="0" quotePrefix="0" xfId="22">
      <alignment horizontal="center"/>
    </xf>
    <xf numFmtId="10" fontId="14" fillId="0" borderId="1" applyAlignment="1" pivotButton="0" quotePrefix="0" xfId="22">
      <alignment horizontal="center"/>
    </xf>
    <xf numFmtId="10" fontId="10" fillId="6" borderId="1" applyAlignment="1" pivotButton="0" quotePrefix="0" xfId="22">
      <alignment horizontal="center"/>
    </xf>
    <xf numFmtId="189" fontId="14" fillId="0" borderId="1" applyAlignment="1" pivotButton="0" quotePrefix="0" xfId="22">
      <alignment horizontal="center"/>
    </xf>
    <xf numFmtId="189" fontId="16" fillId="0" borderId="0" applyAlignment="1" pivotButton="0" quotePrefix="0" xfId="22">
      <alignment horizontal="right"/>
    </xf>
    <xf numFmtId="189" fontId="16" fillId="0" borderId="29" applyAlignment="1" pivotButton="0" quotePrefix="0" xfId="22">
      <alignment horizontal="center"/>
    </xf>
    <xf numFmtId="0" fontId="21" fillId="3" borderId="0" pivotButton="0" quotePrefix="0" xfId="24"/>
    <xf numFmtId="0" fontId="22" fillId="13" borderId="0" pivotButton="0" quotePrefix="0" xfId="24"/>
    <xf numFmtId="0" fontId="8" fillId="14" borderId="0" pivotButton="0" quotePrefix="0" xfId="24"/>
    <xf numFmtId="180" fontId="22" fillId="13" borderId="0" pivotButton="0" quotePrefix="0" xfId="24"/>
    <xf numFmtId="190" fontId="22" fillId="13" borderId="0" pivotButton="0" quotePrefix="0" xfId="24"/>
    <xf numFmtId="171" fontId="22" fillId="13" borderId="0" pivotButton="0" quotePrefix="0" xfId="24"/>
    <xf numFmtId="14" fontId="22" fillId="13" borderId="0" pivotButton="0" quotePrefix="0" xfId="24"/>
    <xf numFmtId="191" fontId="22" fillId="13" borderId="0" pivotButton="0" quotePrefix="0" xfId="24"/>
    <xf numFmtId="171" fontId="3" fillId="0" borderId="0" pivotButton="0" quotePrefix="0" xfId="24"/>
    <xf numFmtId="174" fontId="22" fillId="13" borderId="0" pivotButton="0" quotePrefix="0" xfId="24"/>
    <xf numFmtId="175" fontId="3" fillId="0" borderId="0" pivotButton="0" quotePrefix="0" xfId="24"/>
    <xf numFmtId="0" fontId="17" fillId="9" borderId="0" applyAlignment="1" pivotButton="0" quotePrefix="0" xfId="22">
      <alignment horizontal="center" wrapText="1"/>
    </xf>
    <xf numFmtId="0" fontId="14" fillId="0" borderId="0" pivotButton="0" quotePrefix="0" xfId="22"/>
    <xf numFmtId="0" fontId="16" fillId="0" borderId="1" applyAlignment="1" pivotButton="0" quotePrefix="0" xfId="22">
      <alignment horizontal="center"/>
    </xf>
    <xf numFmtId="0" fontId="0" fillId="0" borderId="1" pivotButton="0" quotePrefix="0" xfId="0"/>
    <xf numFmtId="0" fontId="16" fillId="0" borderId="10" applyAlignment="1" pivotButton="0" quotePrefix="0" xfId="22">
      <alignment horizontal="center"/>
    </xf>
    <xf numFmtId="0" fontId="0" fillId="0" borderId="11" pivotButton="0" quotePrefix="0" xfId="0"/>
    <xf numFmtId="0" fontId="15" fillId="9" borderId="1" applyAlignment="1" pivotButton="0" quotePrefix="0" xfId="22">
      <alignment horizontal="center"/>
    </xf>
    <xf numFmtId="171" fontId="4" fillId="0" borderId="0" applyAlignment="1" pivotButton="0" quotePrefix="0" xfId="30">
      <alignment horizontal="right" vertical="center"/>
    </xf>
    <xf numFmtId="171" fontId="4" fillId="0" borderId="0" applyAlignment="1" pivotButton="0" quotePrefix="0" xfId="24">
      <alignment horizontal="right" vertical="center"/>
    </xf>
    <xf numFmtId="192" fontId="4" fillId="0" borderId="0" applyAlignment="1" pivotButton="0" quotePrefix="0" xfId="24">
      <alignment horizontal="right" vertical="center"/>
    </xf>
    <xf numFmtId="193" fontId="4" fillId="0" borderId="0" applyAlignment="1" pivotButton="0" quotePrefix="0" xfId="24">
      <alignment horizontal="right" vertical="center"/>
    </xf>
    <xf numFmtId="192" fontId="4" fillId="0" borderId="0" applyAlignment="1" pivotButton="0" quotePrefix="0" xfId="30">
      <alignment horizontal="right" vertical="center"/>
    </xf>
    <xf numFmtId="192" fontId="4" fillId="0" borderId="0" applyAlignment="1" pivotButton="0" quotePrefix="0" xfId="24">
      <alignment horizontal="right" vertical="center"/>
    </xf>
    <xf numFmtId="193" fontId="4" fillId="0" borderId="0" applyAlignment="1" pivotButton="0" quotePrefix="0" xfId="24">
      <alignment horizontal="right" vertical="center"/>
    </xf>
    <xf numFmtId="192" fontId="4" fillId="0" borderId="0" applyAlignment="1" pivotButton="0" quotePrefix="0" xfId="30">
      <alignment horizontal="right" vertical="center"/>
    </xf>
    <xf numFmtId="200" fontId="0" fillId="0" borderId="0" pivotButton="0" quotePrefix="0" xfId="0"/>
    <xf numFmtId="169" fontId="11" fillId="7" borderId="0" applyAlignment="1" pivotButton="0" quotePrefix="0" xfId="21">
      <alignment horizontal="center"/>
    </xf>
    <xf numFmtId="0" fontId="23" fillId="15" borderId="0" applyAlignment="1" pivotButton="0" quotePrefix="0" xfId="0">
      <alignment horizontal="left"/>
    </xf>
    <xf numFmtId="0" fontId="24" fillId="16" borderId="0" pivotButton="0" quotePrefix="0" xfId="0"/>
    <xf numFmtId="3" fontId="24" fillId="17" borderId="0" applyAlignment="1" pivotButton="0" quotePrefix="0" xfId="0">
      <alignment horizontal="center"/>
    </xf>
    <xf numFmtId="3" fontId="24" fillId="0" borderId="0" applyAlignment="1" pivotButton="0" quotePrefix="0" xfId="0">
      <alignment horizontal="center"/>
    </xf>
    <xf numFmtId="0" fontId="25" fillId="16" borderId="0" pivotButton="0" quotePrefix="0" xfId="0"/>
    <xf numFmtId="171" fontId="24" fillId="17" borderId="0" applyAlignment="1" pivotButton="0" quotePrefix="0" xfId="0">
      <alignment horizontal="center"/>
    </xf>
    <xf numFmtId="171" fontId="24" fillId="0" borderId="0" applyAlignment="1" pivotButton="0" quotePrefix="0" xfId="0">
      <alignment horizontal="center"/>
    </xf>
    <xf numFmtId="201" fontId="22" fillId="13" borderId="0" pivotButton="0" quotePrefix="0" xfId="24"/>
  </cellXfs>
  <cellStyles count="35">
    <cellStyle name="Normal" xfId="0" builtinId="0"/>
    <cellStyle name="Comma" xfId="1"/>
    <cellStyle name="Comma 1" xfId="2"/>
    <cellStyle name="Comma 2" xfId="3"/>
    <cellStyle name="Comma 3" xfId="4"/>
    <cellStyle name="Comma [0]" xfId="5"/>
    <cellStyle name="Comma [0] 2" xfId="6"/>
    <cellStyle name="Comma [0] 3" xfId="7"/>
    <cellStyle name="Comma [0] 4" xfId="8"/>
    <cellStyle name="Currency" xfId="9"/>
    <cellStyle name="Currency 2" xfId="10"/>
    <cellStyle name="Currency 3" xfId="11"/>
    <cellStyle name="Currency 4" xfId="12"/>
    <cellStyle name="Currency 5" xfId="13"/>
    <cellStyle name="Currency [0]" xfId="14"/>
    <cellStyle name="Currency [0] 4" xfId="15"/>
    <cellStyle name="Currency [0] 5" xfId="16"/>
    <cellStyle name="Currency [0] 6" xfId="17"/>
    <cellStyle name="m/d/yy" xfId="18"/>
    <cellStyle name="Normal 3" xfId="19"/>
    <cellStyle name="Normal 2" xfId="20"/>
    <cellStyle name="Normal 2 2" xfId="21"/>
    <cellStyle name="Normal 2 3" xfId="22"/>
    <cellStyle name="Normal 4" xfId="23"/>
    <cellStyle name="Normal 5" xfId="24"/>
    <cellStyle name="Normal 6" xfId="25"/>
    <cellStyle name="Normal 7" xfId="26"/>
    <cellStyle name="Normal [3] 2" xfId="27"/>
    <cellStyle name="Output_dcfmodel" xfId="28"/>
    <cellStyle name="Percent" xfId="29"/>
    <cellStyle name="Percent 6" xfId="30"/>
    <cellStyle name="Percent 7" xfId="31"/>
    <cellStyle name="Percent 8" xfId="32"/>
    <cellStyle name="Porcentagem 3" xfId="33"/>
    <cellStyle name="Separador de milhares 2 17" xfId="34"/>
  </cellStyles>
  <dxfs count="24"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</font>
      <fill>
        <patternFill>
          <bgColor rgb="FF00B05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</font>
      <fill>
        <patternFill>
          <bgColor rgb="FF00B05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FF"/>
      </font>
      <fill>
        <patternFill>
          <bgColor rgb="FFFFFF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9EAF7"/>
      <rgbColor rgb="FF660066"/>
      <rgbColor rgb="FFFF8080"/>
      <rgbColor rgb="FF0066CC"/>
      <rgbColor rgb="FFD8D8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F0D9"/>
      <rgbColor rgb="FFFFF2CC"/>
      <rgbColor rgb="FF99CCFF"/>
      <rgbColor rgb="FFFF99CC"/>
      <rgbColor rgb="FFCC99FF"/>
      <rgbColor rgb="FFD9D9D9"/>
      <rgbColor rgb="FF4472C4"/>
      <rgbColor rgb="FF46B1E1"/>
      <rgbColor rgb="FF99CC00"/>
      <rgbColor rgb="FFFFCC00"/>
      <rgbColor rgb="FFFF9900"/>
      <rgbColor rgb="FFFF6600"/>
      <rgbColor rgb="FF666699"/>
      <rgbColor rgb="FF70AD47"/>
      <rgbColor rgb="FF17365D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None</author>
  </authors>
  <commentList>
    <comment ref="D64" authorId="0" shapeId="0">
      <text>
        <t>MG: 
- expected rate of return on new invested capital</t>
      </text>
    </comment>
  </commentList>
</comments>
</file>

<file path=xl/theme/theme1.xml><?xml version="1.0" encoding="utf-8"?>
<a:theme xmlns:a="http://schemas.openxmlformats.org/drawingml/2006/main" name="Tema do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90"/>
  <sheetViews>
    <sheetView showGridLines="0" tabSelected="1" zoomScaleNormal="100" workbookViewId="0">
      <pane xSplit="3" ySplit="2" topLeftCell="D3" activePane="bottomRight" state="frozen"/>
      <selection activeCell="C3" sqref="C3"/>
      <selection pane="topRight" activeCell="C3" sqref="C3"/>
      <selection pane="bottomLeft" activeCell="C3" sqref="C3"/>
      <selection pane="bottomRight" activeCell="C3" sqref="C3"/>
    </sheetView>
  </sheetViews>
  <sheetFormatPr baseColWidth="8" defaultColWidth="9.7109375" defaultRowHeight="12.75"/>
  <cols>
    <col width="90" customWidth="1" min="1" max="1"/>
    <col width="10.140625" customWidth="1" min="2" max="2"/>
    <col width="45" customWidth="1" min="3" max="3"/>
    <col width="12.42578125" customWidth="1" min="4" max="33"/>
  </cols>
  <sheetData>
    <row r="1" ht="14.25" customHeight="1">
      <c r="A1" s="1" t="inlineStr">
        <is>
          <t>Base histórica normalizada (US$ mil) — convertida da máscara anterior; linhas de origem auditáveis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</row>
    <row r="2" ht="14.25" customHeight="1">
      <c r="A2" s="2" t="inlineStr">
        <is>
          <t>Fonte / conta original</t>
        </is>
      </c>
      <c r="B2" s="2" t="inlineStr">
        <is>
          <t>Código</t>
        </is>
      </c>
      <c r="C2" s="2" t="inlineStr">
        <is>
          <t>Conta padronizada</t>
        </is>
      </c>
      <c r="D2" s="2" t="inlineStr">
        <is>
          <t>1Q21</t>
        </is>
      </c>
      <c r="E2" s="2" t="inlineStr">
        <is>
          <t>2Q21</t>
        </is>
      </c>
      <c r="F2" s="2" t="inlineStr">
        <is>
          <t>3Q21</t>
        </is>
      </c>
      <c r="G2" s="2" t="inlineStr">
        <is>
          <t>4Q21</t>
        </is>
      </c>
      <c r="H2" s="2" t="inlineStr">
        <is>
          <t>2021</t>
        </is>
      </c>
      <c r="I2" s="2" t="inlineStr">
        <is>
          <t>1Q22</t>
        </is>
      </c>
      <c r="J2" s="2" t="inlineStr">
        <is>
          <t>2Q22</t>
        </is>
      </c>
      <c r="K2" s="2" t="inlineStr">
        <is>
          <t>3Q22</t>
        </is>
      </c>
      <c r="L2" s="2" t="inlineStr">
        <is>
          <t>4Q22</t>
        </is>
      </c>
      <c r="M2" s="2" t="inlineStr">
        <is>
          <t>2022</t>
        </is>
      </c>
      <c r="N2" s="2" t="inlineStr">
        <is>
          <t>1Q23</t>
        </is>
      </c>
      <c r="O2" s="2" t="inlineStr">
        <is>
          <t>2Q23</t>
        </is>
      </c>
      <c r="P2" s="2" t="inlineStr">
        <is>
          <t>3Q23</t>
        </is>
      </c>
      <c r="Q2" s="2" t="inlineStr">
        <is>
          <t>4Q23</t>
        </is>
      </c>
      <c r="R2" s="2" t="inlineStr">
        <is>
          <t>2023</t>
        </is>
      </c>
      <c r="S2" s="2" t="inlineStr">
        <is>
          <t>1Q24</t>
        </is>
      </c>
      <c r="T2" s="2" t="inlineStr">
        <is>
          <t>2Q24</t>
        </is>
      </c>
      <c r="U2" s="2" t="inlineStr">
        <is>
          <t>3Q24</t>
        </is>
      </c>
      <c r="V2" s="2" t="inlineStr">
        <is>
          <t>4Q24</t>
        </is>
      </c>
      <c r="W2" s="2" t="inlineStr">
        <is>
          <t>2024</t>
        </is>
      </c>
      <c r="X2" s="2" t="inlineStr">
        <is>
          <t>1Q25</t>
        </is>
      </c>
      <c r="Y2" s="2" t="inlineStr">
        <is>
          <t>2Q25</t>
        </is>
      </c>
      <c r="Z2" s="2" t="inlineStr">
        <is>
          <t>3Q25</t>
        </is>
      </c>
      <c r="AA2" s="2" t="inlineStr">
        <is>
          <t>4Q25</t>
        </is>
      </c>
      <c r="AB2" s="2" t="inlineStr">
        <is>
          <t>2025</t>
        </is>
      </c>
      <c r="AC2" s="2" t="inlineStr">
        <is>
          <t>1Q26</t>
        </is>
      </c>
      <c r="AD2" s="2" t="inlineStr">
        <is>
          <t>2Q26</t>
        </is>
      </c>
      <c r="AE2" s="2" t="inlineStr">
        <is>
          <t>3Q26</t>
        </is>
      </c>
      <c r="AF2" s="2" t="inlineStr">
        <is>
          <t>4Q26</t>
        </is>
      </c>
      <c r="AG2" s="2" t="inlineStr">
        <is>
          <t>2026</t>
        </is>
      </c>
    </row>
    <row r="3">
      <c r="A3" t="inlineStr">
        <is>
          <t>Fonte: ver coluna A de cada linha</t>
        </is>
      </c>
      <c r="C3" t="inlineStr">
        <is>
          <t>Unidade: US$ mil (monetário); demais unidades × 1.000</t>
        </is>
      </c>
    </row>
    <row r="4">
      <c r="A4" t="inlineStr">
        <is>
          <t>DRE - trimestre isolado (USD). Brutos SEC XBRL; linhas "derivada" são fórmulas nesta aba</t>
        </is>
      </c>
      <c r="C4" t="inlineStr">
        <is>
          <t>[linha bruta, sem código; lançada nas linhas abaixo]</t>
        </is>
      </c>
      <c r="D4" s="265" t="n"/>
      <c r="E4" s="265" t="n"/>
      <c r="F4" s="265" t="n"/>
      <c r="G4" s="265" t="n"/>
      <c r="I4" s="265" t="n"/>
      <c r="J4" s="265" t="n"/>
      <c r="K4" s="265" t="n"/>
      <c r="L4" s="265" t="n"/>
      <c r="N4" s="265" t="n"/>
      <c r="O4" s="265" t="n"/>
      <c r="P4" s="265" t="n"/>
      <c r="Q4" s="265" t="n"/>
      <c r="S4" s="265" t="n"/>
      <c r="T4" s="265" t="n"/>
      <c r="U4" s="265" t="n"/>
      <c r="V4" s="265" t="n"/>
      <c r="X4" s="265" t="n"/>
      <c r="Y4" s="265" t="n"/>
      <c r="Z4" s="265" t="n"/>
      <c r="AA4" s="265" t="n"/>
      <c r="AC4" s="265" t="n"/>
      <c r="AD4" s="265" t="n"/>
    </row>
    <row r="5">
      <c r="A5" t="inlineStr">
        <is>
          <t>Receita [us-gaap:Revenues/RevenueFromContractWithCustomerExcludingAssessedTax] · fonte · unid. moeda</t>
        </is>
      </c>
      <c r="B5" t="n">
        <v>1</v>
      </c>
      <c r="C5" t="inlineStr">
        <is>
          <t>Net Revenues</t>
        </is>
      </c>
      <c r="D5" s="265" t="n">
        <v>4155000</v>
      </c>
      <c r="E5" s="265" t="n">
        <v>4528000</v>
      </c>
      <c r="F5" s="265" t="n">
        <v>4985000</v>
      </c>
      <c r="G5" s="265" t="n">
        <v>5216000</v>
      </c>
      <c r="I5" s="265" t="n">
        <v>5167000</v>
      </c>
      <c r="J5" s="265" t="n">
        <v>5497000</v>
      </c>
      <c r="K5" s="265" t="n">
        <v>5756000</v>
      </c>
      <c r="L5" s="265" t="n">
        <v>5817000</v>
      </c>
      <c r="N5" s="265" t="n">
        <v>5748000</v>
      </c>
      <c r="O5" s="265" t="n">
        <v>6269000</v>
      </c>
      <c r="P5" s="265" t="n">
        <v>6533000</v>
      </c>
      <c r="Q5" s="265" t="n">
        <v>6548000</v>
      </c>
      <c r="S5" s="265" t="n">
        <v>6348000</v>
      </c>
      <c r="T5" s="265" t="n">
        <v>6961000</v>
      </c>
      <c r="U5" s="265" t="n">
        <v>7369000</v>
      </c>
      <c r="V5" s="265" t="n">
        <v>7489000</v>
      </c>
      <c r="X5" s="265" t="n">
        <v>7250000</v>
      </c>
      <c r="Y5" s="265" t="n">
        <v>8133000</v>
      </c>
      <c r="Z5" s="265" t="n">
        <v>8602000</v>
      </c>
      <c r="AA5" s="265" t="n">
        <v>8806000</v>
      </c>
      <c r="AC5" s="265" t="n">
        <v>8398000</v>
      </c>
      <c r="AD5" s="265" t="n">
        <v>9277000</v>
      </c>
    </row>
    <row r="6">
      <c r="A6" t="inlineStr">
        <is>
          <t>Custo da receita (divulgado positivo) [us-gaap:CostOfRevenue/CostOfGoodsAndServicesSold] · fonte · unid. moeda</t>
        </is>
      </c>
      <c r="C6" t="inlineStr">
        <is>
          <t>[linha bruta, sem código; lançada nas linhas abaixo]</t>
        </is>
      </c>
      <c r="D6" s="265" t="n">
        <v>0</v>
      </c>
      <c r="E6" s="265" t="n">
        <v>0</v>
      </c>
      <c r="F6" s="265" t="n">
        <v>0</v>
      </c>
      <c r="G6" s="265" t="n">
        <v>0</v>
      </c>
      <c r="I6" s="265" t="n">
        <v>0</v>
      </c>
      <c r="J6" s="265" t="n">
        <v>0</v>
      </c>
      <c r="K6" s="265" t="n">
        <v>0</v>
      </c>
      <c r="L6" s="265" t="n">
        <v>0</v>
      </c>
      <c r="N6" s="265" t="n">
        <v>0</v>
      </c>
      <c r="O6" s="265" t="n">
        <v>0</v>
      </c>
      <c r="P6" s="265" t="n">
        <v>0</v>
      </c>
      <c r="Q6" s="265" t="n">
        <v>0</v>
      </c>
      <c r="S6" s="265" t="n">
        <v>0</v>
      </c>
      <c r="T6" s="265" t="n">
        <v>0</v>
      </c>
      <c r="U6" s="265" t="n">
        <v>0</v>
      </c>
      <c r="V6" s="265" t="n">
        <v>0</v>
      </c>
      <c r="X6" s="265" t="n">
        <v>0</v>
      </c>
      <c r="Y6" s="265" t="n">
        <v>0</v>
      </c>
      <c r="Z6" s="265" t="n">
        <v>0</v>
      </c>
      <c r="AA6" s="265" t="n">
        <v>0</v>
      </c>
      <c r="AC6" s="265" t="n">
        <v>0</v>
      </c>
      <c r="AD6" s="265" t="n">
        <v>0</v>
      </c>
    </row>
    <row r="7">
      <c r="A7" t="inlineStr">
        <is>
          <t>(lançamento) código 2, sinal -1 sobre a linha bruta 6: Custo da receita (divulgado positivo) [us-gaap:CostOfRevenue/CostOfGoodsAndServicesSold]</t>
        </is>
      </c>
      <c r="B7" t="n">
        <v>2</v>
      </c>
      <c r="C7" t="inlineStr">
        <is>
          <t>COGS (cash)</t>
        </is>
      </c>
      <c r="D7" s="265">
        <f>IF(D6="","",-1*D6)</f>
        <v>0</v>
      </c>
      <c r="E7" s="265">
        <f>IF(E6="","",-1*E6)</f>
        <v>0</v>
      </c>
      <c r="F7" s="265">
        <f>IF(F6="","",-1*F6)</f>
        <v>0</v>
      </c>
      <c r="G7" s="265">
        <f>IF(G6="","",-1*G6)</f>
        <v>0</v>
      </c>
      <c r="I7" s="265">
        <f>IF(I6="","",-1*I6)</f>
        <v>0</v>
      </c>
      <c r="J7" s="265">
        <f>IF(J6="","",-1*J6)</f>
        <v>0</v>
      </c>
      <c r="K7" s="265">
        <f>IF(K6="","",-1*K6)</f>
        <v>0</v>
      </c>
      <c r="L7" s="265">
        <f>IF(L6="","",-1*L6)</f>
        <v>0</v>
      </c>
      <c r="N7" s="265">
        <f>IF(N6="","",-1*N6)</f>
        <v>0</v>
      </c>
      <c r="O7" s="265">
        <f>IF(O6="","",-1*O6)</f>
        <v>0</v>
      </c>
      <c r="P7" s="265">
        <f>IF(P6="","",-1*P6)</f>
        <v>0</v>
      </c>
      <c r="Q7" s="265">
        <f>IF(Q6="","",-1*Q6)</f>
        <v>0</v>
      </c>
      <c r="S7" s="265">
        <f>IF(S6="","",-1*S6)</f>
        <v>0</v>
      </c>
      <c r="T7" s="265">
        <f>IF(T6="","",-1*T6)</f>
        <v>0</v>
      </c>
      <c r="U7" s="265">
        <f>IF(U6="","",-1*U6)</f>
        <v>0</v>
      </c>
      <c r="V7" s="265">
        <f>IF(V6="","",-1*V6)</f>
        <v>0</v>
      </c>
      <c r="X7" s="265">
        <f>IF(X6="","",-1*X6)</f>
        <v>0</v>
      </c>
      <c r="Y7" s="265">
        <f>IF(Y6="","",-1*Y6)</f>
        <v>0</v>
      </c>
      <c r="Z7" s="265">
        <f>IF(Z6="","",-1*Z6)</f>
        <v>0</v>
      </c>
      <c r="AA7" s="265">
        <f>IF(AA6="","",-1*AA6)</f>
        <v>0</v>
      </c>
      <c r="AC7" s="265">
        <f>IF(AC6="","",-1*AC6)</f>
        <v>0</v>
      </c>
      <c r="AD7" s="265">
        <f>IF(AD6="","",-1*AD6)</f>
        <v>0</v>
      </c>
    </row>
    <row r="8">
      <c r="A8" t="inlineStr">
        <is>
          <t>Lucro operacional [us-gaap:OperatingIncomeLoss] · memoria · unid. moeda</t>
        </is>
      </c>
      <c r="C8" t="inlineStr">
        <is>
          <t>[linha bruta, sem código; lançada nas linhas abaixo]</t>
        </is>
      </c>
      <c r="D8" s="265" t="n">
        <v>2197000</v>
      </c>
      <c r="E8" s="265" t="n">
        <v>2341000</v>
      </c>
      <c r="F8" s="265" t="n">
        <v>2717000</v>
      </c>
      <c r="G8" s="265" t="n">
        <v>2827000</v>
      </c>
      <c r="I8" s="265" t="n">
        <v>2950000</v>
      </c>
      <c r="J8" s="265" t="n">
        <v>3018000</v>
      </c>
      <c r="K8" s="265" t="n">
        <v>3112000</v>
      </c>
      <c r="L8" s="265" t="n">
        <v>3184000</v>
      </c>
      <c r="N8" s="265" t="n">
        <v>3136000</v>
      </c>
      <c r="O8" s="265" t="n">
        <v>3656000</v>
      </c>
      <c r="P8" s="265" t="n">
        <v>3844000</v>
      </c>
      <c r="Q8" s="265" t="n">
        <v>3372000</v>
      </c>
      <c r="S8" s="265" t="n">
        <v>3604000</v>
      </c>
      <c r="T8" s="265" t="n">
        <v>4036000</v>
      </c>
      <c r="U8" s="265" t="n">
        <v>4004000</v>
      </c>
      <c r="V8" s="265" t="n">
        <v>3938000</v>
      </c>
      <c r="X8" s="265" t="n">
        <v>4149000</v>
      </c>
      <c r="Y8" s="265" t="n">
        <v>4777000</v>
      </c>
      <c r="Z8" s="265" t="n">
        <v>5061000</v>
      </c>
      <c r="AA8" s="265" t="n">
        <v>4910000</v>
      </c>
      <c r="AC8" s="265" t="n">
        <v>4907000</v>
      </c>
      <c r="AD8" s="265" t="n">
        <v>5587000</v>
      </c>
    </row>
    <row r="9">
      <c r="A9" t="inlineStr">
        <is>
          <t>Despesas operacionais = receita - custo - lucro operacional (P&amp;D + SG&amp;A + outras operacionais) · derivada · unid. moeda</t>
        </is>
      </c>
      <c r="C9" t="inlineStr">
        <is>
          <t>[linha bruta, sem código; lançada nas linhas abaixo]</t>
        </is>
      </c>
      <c r="D9" s="265">
        <f>N(D5)-N(D6)-N(D8)</f>
        <v>1958000</v>
      </c>
      <c r="E9" s="265">
        <f>N(E5)-N(E6)-N(E8)</f>
        <v>2187000</v>
      </c>
      <c r="F9" s="265">
        <f>N(F5)-N(F6)-N(F8)</f>
        <v>2268000</v>
      </c>
      <c r="G9" s="265">
        <f>N(G5)-N(G6)-N(G8)</f>
        <v>2389000</v>
      </c>
      <c r="I9" s="265">
        <f>N(I5)-N(I6)-N(I8)</f>
        <v>2217000</v>
      </c>
      <c r="J9" s="265">
        <f>N(J5)-N(J6)-N(J8)</f>
        <v>2479000</v>
      </c>
      <c r="K9" s="265">
        <f>N(K5)-N(K6)-N(K8)</f>
        <v>2644000</v>
      </c>
      <c r="L9" s="265">
        <f>N(L5)-N(L6)-N(L8)</f>
        <v>2633000</v>
      </c>
      <c r="N9" s="265">
        <f>N(N5)-N(N6)-N(N8)</f>
        <v>2612000</v>
      </c>
      <c r="O9" s="265">
        <f>N(O5)-N(O6)-N(O8)</f>
        <v>2613000</v>
      </c>
      <c r="P9" s="265">
        <f>N(P5)-N(P6)-N(P8)</f>
        <v>2689000</v>
      </c>
      <c r="Q9" s="265">
        <f>N(Q5)-N(Q6)-N(Q8)</f>
        <v>3176000</v>
      </c>
      <c r="S9" s="265">
        <f>N(S5)-N(S6)-N(S8)</f>
        <v>2744000</v>
      </c>
      <c r="T9" s="265">
        <f>N(T5)-N(T6)-N(T8)</f>
        <v>2925000</v>
      </c>
      <c r="U9" s="265">
        <f>N(U5)-N(U6)-N(U8)</f>
        <v>3365000</v>
      </c>
      <c r="V9" s="265">
        <f>N(V5)-N(V6)-N(V8)</f>
        <v>3551000</v>
      </c>
      <c r="X9" s="265">
        <f>N(X5)-N(X6)-N(X8)</f>
        <v>3101000</v>
      </c>
      <c r="Y9" s="265">
        <f>N(Y5)-N(Y6)-N(Y8)</f>
        <v>3356000</v>
      </c>
      <c r="Z9" s="265">
        <f>N(Z5)-N(Z6)-N(Z8)</f>
        <v>3541000</v>
      </c>
      <c r="AA9" s="265">
        <f>N(AA5)-N(AA6)-N(AA8)</f>
        <v>3896000</v>
      </c>
      <c r="AC9" s="265">
        <f>N(AC5)-N(AC6)-N(AC8)</f>
        <v>3491000</v>
      </c>
      <c r="AD9" s="265">
        <f>N(AD5)-N(AD6)-N(AD8)</f>
        <v>3690000</v>
      </c>
    </row>
    <row r="10">
      <c r="A10" t="inlineStr">
        <is>
          <t>(lançamento) código 3, sinal -1 sobre a linha bruta 9: Despesas operacionais = receita - custo - lucro operacional (P&amp;D + SG&amp;A + outras operacion</t>
        </is>
      </c>
      <c r="B10" t="n">
        <v>3</v>
      </c>
      <c r="C10" t="inlineStr">
        <is>
          <t>SG&amp;A and Other (cash)</t>
        </is>
      </c>
      <c r="D10" s="265">
        <f>IF(D9="","",-1*D9)</f>
        <v>-1958000</v>
      </c>
      <c r="E10" s="265">
        <f>IF(E9="","",-1*E9)</f>
        <v>-2187000</v>
      </c>
      <c r="F10" s="265">
        <f>IF(F9="","",-1*F9)</f>
        <v>-2268000</v>
      </c>
      <c r="G10" s="265">
        <f>IF(G9="","",-1*G9)</f>
        <v>-2389000</v>
      </c>
      <c r="I10" s="265">
        <f>IF(I9="","",-1*I9)</f>
        <v>-2217000</v>
      </c>
      <c r="J10" s="265">
        <f>IF(J9="","",-1*J9)</f>
        <v>-2479000</v>
      </c>
      <c r="K10" s="265">
        <f>IF(K9="","",-1*K9)</f>
        <v>-2644000</v>
      </c>
      <c r="L10" s="265">
        <f>IF(L9="","",-1*L9)</f>
        <v>-2633000</v>
      </c>
      <c r="N10" s="265">
        <f>IF(N9="","",-1*N9)</f>
        <v>-2612000</v>
      </c>
      <c r="O10" s="265">
        <f>IF(O9="","",-1*O9)</f>
        <v>-2613000</v>
      </c>
      <c r="P10" s="265">
        <f>IF(P9="","",-1*P9)</f>
        <v>-2689000</v>
      </c>
      <c r="Q10" s="265">
        <f>IF(Q9="","",-1*Q9)</f>
        <v>-3176000</v>
      </c>
      <c r="S10" s="265">
        <f>IF(S9="","",-1*S9)</f>
        <v>-2744000</v>
      </c>
      <c r="T10" s="265">
        <f>IF(T9="","",-1*T9)</f>
        <v>-2925000</v>
      </c>
      <c r="U10" s="265">
        <f>IF(U9="","",-1*U9)</f>
        <v>-3365000</v>
      </c>
      <c r="V10" s="265">
        <f>IF(V9="","",-1*V9)</f>
        <v>-3551000</v>
      </c>
      <c r="X10" s="265">
        <f>IF(X9="","",-1*X9)</f>
        <v>-3101000</v>
      </c>
      <c r="Y10" s="265">
        <f>IF(Y9="","",-1*Y9)</f>
        <v>-3356000</v>
      </c>
      <c r="Z10" s="265">
        <f>IF(Z9="","",-1*Z9)</f>
        <v>-3541000</v>
      </c>
      <c r="AA10" s="265">
        <f>IF(AA9="","",-1*AA9)</f>
        <v>-3896000</v>
      </c>
      <c r="AC10" s="265">
        <f>IF(AC9="","",-1*AC9)</f>
        <v>-3491000</v>
      </c>
      <c r="AD10" s="265">
        <f>IF(AD9="","",-1*AD9)</f>
        <v>-3690000</v>
      </c>
    </row>
    <row r="11">
      <c r="A11" t="inlineStr">
        <is>
          <t>Lucro antes do IR [us-gaap:IncomeLossFromContinuingOperationsBeforeIncomeTaxesExtraordi] · memoria · unid. moeda</t>
        </is>
      </c>
      <c r="C11" t="inlineStr">
        <is>
          <t>[linha bruta, sem código; lançada nas linhas abaixo]</t>
        </is>
      </c>
      <c r="D11" s="265" t="n">
        <v>2190000</v>
      </c>
      <c r="E11" s="265" t="n">
        <v>2478000</v>
      </c>
      <c r="F11" s="265" t="n">
        <v>2816000</v>
      </c>
      <c r="G11" s="265" t="n">
        <v>2823000</v>
      </c>
      <c r="I11" s="265" t="n">
        <v>2773000</v>
      </c>
      <c r="J11" s="265" t="n">
        <v>2798000</v>
      </c>
      <c r="K11" s="265" t="n">
        <v>3072000</v>
      </c>
      <c r="L11" s="265" t="n">
        <v>3089000</v>
      </c>
      <c r="N11" s="265" t="n">
        <v>2853000</v>
      </c>
      <c r="O11" s="265" t="n">
        <v>3704000</v>
      </c>
      <c r="P11" s="265" t="n">
        <v>3761000</v>
      </c>
      <c r="Q11" s="265" t="n">
        <v>3321000</v>
      </c>
      <c r="S11" s="265" t="n">
        <v>3558000</v>
      </c>
      <c r="T11" s="265" t="n">
        <v>3939000</v>
      </c>
      <c r="U11" s="265" t="n">
        <v>3866000</v>
      </c>
      <c r="V11" s="265" t="n">
        <v>3891000</v>
      </c>
      <c r="X11" s="265" t="n">
        <v>4031000</v>
      </c>
      <c r="Y11" s="265" t="n">
        <v>4672000</v>
      </c>
      <c r="Z11" s="265" t="n">
        <v>4999000</v>
      </c>
      <c r="AA11" s="265" t="n">
        <v>4876000</v>
      </c>
      <c r="AC11" s="265" t="n">
        <v>4812000</v>
      </c>
      <c r="AD11" s="265" t="n">
        <v>5486000</v>
      </c>
    </row>
    <row r="12">
      <c r="A12" t="inlineStr">
        <is>
          <t>Resultado não operacional total = lucro antes do IR - lucro operacional · derivada · unid. moeda</t>
        </is>
      </c>
      <c r="B12" t="n">
        <v>6</v>
      </c>
      <c r="C12" t="inlineStr">
        <is>
          <t>Nonoperating Income / (Loss)</t>
        </is>
      </c>
      <c r="D12" s="265">
        <f>N(D11)-N(D8)</f>
        <v>-7000</v>
      </c>
      <c r="E12" s="265">
        <f>N(E11)-N(E8)</f>
        <v>137000</v>
      </c>
      <c r="F12" s="265">
        <f>N(F11)-N(F8)</f>
        <v>99000</v>
      </c>
      <c r="G12" s="265">
        <f>N(G11)-N(G8)</f>
        <v>-4000</v>
      </c>
      <c r="I12" s="265">
        <f>N(I11)-N(I8)</f>
        <v>-177000</v>
      </c>
      <c r="J12" s="265">
        <f>N(J11)-N(J8)</f>
        <v>-220000</v>
      </c>
      <c r="K12" s="265">
        <f>N(K11)-N(K8)</f>
        <v>-40000</v>
      </c>
      <c r="L12" s="265">
        <f>N(L11)-N(L8)</f>
        <v>-95000</v>
      </c>
      <c r="N12" s="265">
        <f>N(N11)-N(N8)</f>
        <v>-283000</v>
      </c>
      <c r="O12" s="265">
        <f>N(O11)-N(O8)</f>
        <v>48000</v>
      </c>
      <c r="P12" s="265">
        <f>N(P11)-N(P8)</f>
        <v>-83000</v>
      </c>
      <c r="Q12" s="265">
        <f>N(Q11)-N(Q8)</f>
        <v>-51000</v>
      </c>
      <c r="S12" s="265">
        <f>N(S11)-N(S8)</f>
        <v>-46000</v>
      </c>
      <c r="T12" s="265">
        <f>N(T11)-N(T8)</f>
        <v>-97000</v>
      </c>
      <c r="U12" s="265">
        <f>N(U11)-N(U8)</f>
        <v>-138000</v>
      </c>
      <c r="V12" s="265">
        <f>N(V11)-N(V8)</f>
        <v>-47000</v>
      </c>
      <c r="X12" s="265">
        <f>N(X11)-N(X8)</f>
        <v>-118000</v>
      </c>
      <c r="Y12" s="265">
        <f>N(Y11)-N(Y8)</f>
        <v>-105000</v>
      </c>
      <c r="Z12" s="265">
        <f>N(Z11)-N(Z8)</f>
        <v>-62000</v>
      </c>
      <c r="AA12" s="265">
        <f>N(AA11)-N(AA8)</f>
        <v>-34000</v>
      </c>
      <c r="AC12" s="265">
        <f>N(AC11)-N(AC8)</f>
        <v>-95000</v>
      </c>
      <c r="AD12" s="265">
        <f>N(AD11)-N(AD8)</f>
        <v>-101000</v>
      </c>
    </row>
    <row r="13">
      <c r="A13" t="inlineStr">
        <is>
          <t>Despesa de juros (divulgado positivo): COD1=5 lança; COD2=6 devolve ao não operacional, que já a contém [us-gaap:InterestExpense/InterestExpenseNonoperating] · fonte · unid. moeda</t>
        </is>
      </c>
      <c r="C13" t="inlineStr">
        <is>
          <t>[linha bruta, sem código; lançada nas linhas abaixo]</t>
        </is>
      </c>
      <c r="D13" s="265" t="n">
        <v>107000</v>
      </c>
      <c r="E13" s="265" t="n">
        <v>106000</v>
      </c>
      <c r="F13" s="265" t="n">
        <v>110000</v>
      </c>
      <c r="G13" s="265" t="n">
        <v>108000</v>
      </c>
      <c r="I13" s="265" t="n">
        <v>110000</v>
      </c>
      <c r="J13" s="265" t="n">
        <v>114000</v>
      </c>
      <c r="K13" s="265" t="n">
        <v>120000</v>
      </c>
      <c r="L13" s="265" t="n">
        <v>127000</v>
      </c>
      <c r="N13" s="265" t="n">
        <v>132000</v>
      </c>
      <c r="O13" s="265" t="n">
        <v>144000</v>
      </c>
      <c r="P13" s="265" t="n">
        <v>151000</v>
      </c>
      <c r="Q13" s="265" t="n">
        <v>148000</v>
      </c>
      <c r="S13" s="265" t="n">
        <v>150000</v>
      </c>
      <c r="T13" s="265" t="n">
        <v>153000</v>
      </c>
      <c r="U13" s="265" t="n">
        <v>159000</v>
      </c>
      <c r="V13" s="265" t="n">
        <v>184000</v>
      </c>
      <c r="X13" s="265" t="n">
        <v>182000</v>
      </c>
      <c r="Y13" s="265" t="n">
        <v>195000</v>
      </c>
      <c r="Z13" s="265" t="n">
        <v>186000</v>
      </c>
      <c r="AA13" s="265" t="n">
        <v>159000</v>
      </c>
      <c r="AC13" s="265" t="n">
        <v>185000</v>
      </c>
      <c r="AD13" s="265" t="n">
        <v>218000</v>
      </c>
    </row>
    <row r="14">
      <c r="A14" t="inlineStr">
        <is>
          <t>(lançamento) código 5, sinal -1 sobre a linha bruta 13: Despesa de juros (divulgado positivo): COD1=5 lança; COD2=6 devolve ao não operacional, qu</t>
        </is>
      </c>
      <c r="B14" t="n">
        <v>5</v>
      </c>
      <c r="C14" t="inlineStr">
        <is>
          <t>Interest Expense</t>
        </is>
      </c>
      <c r="D14" s="265">
        <f>IF(D13="","",-1*D13)</f>
        <v>-107000</v>
      </c>
      <c r="E14" s="265">
        <f>IF(E13="","",-1*E13)</f>
        <v>-106000</v>
      </c>
      <c r="F14" s="265">
        <f>IF(F13="","",-1*F13)</f>
        <v>-110000</v>
      </c>
      <c r="G14" s="265">
        <f>IF(G13="","",-1*G13)</f>
        <v>-108000</v>
      </c>
      <c r="I14" s="265">
        <f>IF(I13="","",-1*I13)</f>
        <v>-110000</v>
      </c>
      <c r="J14" s="265">
        <f>IF(J13="","",-1*J13)</f>
        <v>-114000</v>
      </c>
      <c r="K14" s="265">
        <f>IF(K13="","",-1*K13)</f>
        <v>-120000</v>
      </c>
      <c r="L14" s="265">
        <f>IF(L13="","",-1*L13)</f>
        <v>-127000</v>
      </c>
      <c r="N14" s="265">
        <f>IF(N13="","",-1*N13)</f>
        <v>-132000</v>
      </c>
      <c r="O14" s="265">
        <f>IF(O13="","",-1*O13)</f>
        <v>-144000</v>
      </c>
      <c r="P14" s="265">
        <f>IF(P13="","",-1*P13)</f>
        <v>-151000</v>
      </c>
      <c r="Q14" s="265">
        <f>IF(Q13="","",-1*Q13)</f>
        <v>-148000</v>
      </c>
      <c r="S14" s="265">
        <f>IF(S13="","",-1*S13)</f>
        <v>-150000</v>
      </c>
      <c r="T14" s="265">
        <f>IF(T13="","",-1*T13)</f>
        <v>-153000</v>
      </c>
      <c r="U14" s="265">
        <f>IF(U13="","",-1*U13)</f>
        <v>-159000</v>
      </c>
      <c r="V14" s="265">
        <f>IF(V13="","",-1*V13)</f>
        <v>-184000</v>
      </c>
      <c r="X14" s="265">
        <f>IF(X13="","",-1*X13)</f>
        <v>-182000</v>
      </c>
      <c r="Y14" s="265">
        <f>IF(Y13="","",-1*Y13)</f>
        <v>-195000</v>
      </c>
      <c r="Z14" s="265">
        <f>IF(Z13="","",-1*Z13)</f>
        <v>-186000</v>
      </c>
      <c r="AA14" s="265">
        <f>IF(AA13="","",-1*AA13)</f>
        <v>-159000</v>
      </c>
      <c r="AC14" s="265">
        <f>IF(AC13="","",-1*AC13)</f>
        <v>-185000</v>
      </c>
      <c r="AD14" s="265">
        <f>IF(AD13="","",-1*AD13)</f>
        <v>-218000</v>
      </c>
    </row>
    <row r="15">
      <c r="A15" t="inlineStr">
        <is>
          <t>(lançamento) código 6, sinal +1 sobre a linha bruta 13: Despesa de juros (divulgado positivo): COD1=5 lança; COD2=6 devolve ao não operacional, qu</t>
        </is>
      </c>
      <c r="B15" t="n">
        <v>6</v>
      </c>
      <c r="C15" t="inlineStr">
        <is>
          <t>Nonoperating Income / (Loss)</t>
        </is>
      </c>
      <c r="D15" s="265">
        <f>IF(D13="","",D13)</f>
        <v>107000</v>
      </c>
      <c r="E15" s="265">
        <f>IF(E13="","",E13)</f>
        <v>106000</v>
      </c>
      <c r="F15" s="265">
        <f>IF(F13="","",F13)</f>
        <v>110000</v>
      </c>
      <c r="G15" s="265">
        <f>IF(G13="","",G13)</f>
        <v>108000</v>
      </c>
      <c r="I15" s="265">
        <f>IF(I13="","",I13)</f>
        <v>110000</v>
      </c>
      <c r="J15" s="265">
        <f>IF(J13="","",J13)</f>
        <v>114000</v>
      </c>
      <c r="K15" s="265">
        <f>IF(K13="","",K13)</f>
        <v>120000</v>
      </c>
      <c r="L15" s="265">
        <f>IF(L13="","",L13)</f>
        <v>127000</v>
      </c>
      <c r="N15" s="265">
        <f>IF(N13="","",N13)</f>
        <v>132000</v>
      </c>
      <c r="O15" s="265">
        <f>IF(O13="","",O13)</f>
        <v>144000</v>
      </c>
      <c r="P15" s="265">
        <f>IF(P13="","",P13)</f>
        <v>151000</v>
      </c>
      <c r="Q15" s="265">
        <f>IF(Q13="","",Q13)</f>
        <v>148000</v>
      </c>
      <c r="S15" s="265">
        <f>IF(S13="","",S13)</f>
        <v>150000</v>
      </c>
      <c r="T15" s="265">
        <f>IF(T13="","",T13)</f>
        <v>153000</v>
      </c>
      <c r="U15" s="265">
        <f>IF(U13="","",U13)</f>
        <v>159000</v>
      </c>
      <c r="V15" s="265">
        <f>IF(V13="","",V13)</f>
        <v>184000</v>
      </c>
      <c r="X15" s="265">
        <f>IF(X13="","",X13)</f>
        <v>182000</v>
      </c>
      <c r="Y15" s="265">
        <f>IF(Y13="","",Y13)</f>
        <v>195000</v>
      </c>
      <c r="Z15" s="265">
        <f>IF(Z13="","",Z13)</f>
        <v>186000</v>
      </c>
      <c r="AA15" s="265">
        <f>IF(AA13="","",AA13)</f>
        <v>159000</v>
      </c>
      <c r="AC15" s="265">
        <f>IF(AC13="","",AC13)</f>
        <v>185000</v>
      </c>
      <c r="AD15" s="265">
        <f>IF(AD13="","",AD13)</f>
        <v>218000</v>
      </c>
    </row>
    <row r="16">
      <c r="A16" t="inlineStr">
        <is>
          <t>Imposto de renda (divulgado positivo) [us-gaap:IncomeTaxExpenseBenefit] · fonte · unid. moeda</t>
        </is>
      </c>
      <c r="C16" t="inlineStr">
        <is>
          <t>[linha bruta, sem código; lançada nas linhas abaixo]</t>
        </is>
      </c>
      <c r="D16" s="265" t="n">
        <v>362000</v>
      </c>
      <c r="E16" s="265" t="n">
        <v>412000</v>
      </c>
      <c r="F16" s="265" t="n">
        <v>402000</v>
      </c>
      <c r="G16" s="265" t="n">
        <v>444000</v>
      </c>
      <c r="I16" s="265" t="n">
        <v>142000</v>
      </c>
      <c r="J16" s="265" t="n">
        <v>523000</v>
      </c>
      <c r="K16" s="265" t="n">
        <v>573000</v>
      </c>
      <c r="L16" s="265" t="n">
        <v>564000</v>
      </c>
      <c r="N16" s="265" t="n">
        <v>492000</v>
      </c>
      <c r="O16" s="265" t="n">
        <v>859000</v>
      </c>
      <c r="P16" s="265" t="n">
        <v>563000</v>
      </c>
      <c r="Q16" s="265" t="n">
        <v>530000</v>
      </c>
      <c r="S16" s="265" t="n">
        <v>547000</v>
      </c>
      <c r="T16" s="265" t="n">
        <v>681000</v>
      </c>
      <c r="U16" s="265" t="n">
        <v>603000</v>
      </c>
      <c r="V16" s="265" t="n">
        <v>549000</v>
      </c>
      <c r="X16" s="265" t="n">
        <v>751000</v>
      </c>
      <c r="Y16" s="265" t="n">
        <v>971000</v>
      </c>
      <c r="Z16" s="265" t="n">
        <v>1072000</v>
      </c>
      <c r="AA16" s="265" t="n">
        <v>816000</v>
      </c>
      <c r="AC16" s="265" t="n">
        <v>930000</v>
      </c>
      <c r="AD16" s="265" t="n">
        <v>1098000</v>
      </c>
    </row>
    <row r="17">
      <c r="A17" t="inlineStr">
        <is>
          <t>(lançamento) código 7, sinal -1 sobre a linha bruta 16: Imposto de renda (divulgado positivo) [us-gaap:IncomeTaxExpenseBenefit]</t>
        </is>
      </c>
      <c r="B17" t="n">
        <v>7</v>
      </c>
      <c r="C17" t="inlineStr">
        <is>
          <t>Taxes</t>
        </is>
      </c>
      <c r="D17" s="265">
        <f>IF(D16="","",-1*D16)</f>
        <v>-362000</v>
      </c>
      <c r="E17" s="265">
        <f>IF(E16="","",-1*E16)</f>
        <v>-412000</v>
      </c>
      <c r="F17" s="265">
        <f>IF(F16="","",-1*F16)</f>
        <v>-402000</v>
      </c>
      <c r="G17" s="265">
        <f>IF(G16="","",-1*G16)</f>
        <v>-444000</v>
      </c>
      <c r="I17" s="265">
        <f>IF(I16="","",-1*I16)</f>
        <v>-142000</v>
      </c>
      <c r="J17" s="265">
        <f>IF(J16="","",-1*J16)</f>
        <v>-523000</v>
      </c>
      <c r="K17" s="265">
        <f>IF(K16="","",-1*K16)</f>
        <v>-573000</v>
      </c>
      <c r="L17" s="265">
        <f>IF(L16="","",-1*L16)</f>
        <v>-564000</v>
      </c>
      <c r="N17" s="265">
        <f>IF(N16="","",-1*N16)</f>
        <v>-492000</v>
      </c>
      <c r="O17" s="265">
        <f>IF(O16="","",-1*O16)</f>
        <v>-859000</v>
      </c>
      <c r="P17" s="265">
        <f>IF(P16="","",-1*P16)</f>
        <v>-563000</v>
      </c>
      <c r="Q17" s="265">
        <f>IF(Q16="","",-1*Q16)</f>
        <v>-530000</v>
      </c>
      <c r="S17" s="265">
        <f>IF(S16="","",-1*S16)</f>
        <v>-547000</v>
      </c>
      <c r="T17" s="265">
        <f>IF(T16="","",-1*T16)</f>
        <v>-681000</v>
      </c>
      <c r="U17" s="265">
        <f>IF(U16="","",-1*U16)</f>
        <v>-603000</v>
      </c>
      <c r="V17" s="265">
        <f>IF(V16="","",-1*V16)</f>
        <v>-549000</v>
      </c>
      <c r="X17" s="265">
        <f>IF(X16="","",-1*X16)</f>
        <v>-751000</v>
      </c>
      <c r="Y17" s="265">
        <f>IF(Y16="","",-1*Y16)</f>
        <v>-971000</v>
      </c>
      <c r="Z17" s="265">
        <f>IF(Z16="","",-1*Z16)</f>
        <v>-1072000</v>
      </c>
      <c r="AA17" s="265">
        <f>IF(AA16="","",-1*AA16)</f>
        <v>-816000</v>
      </c>
      <c r="AC17" s="265">
        <f>IF(AC16="","",-1*AC16)</f>
        <v>-930000</v>
      </c>
      <c r="AD17" s="265">
        <f>IF(AD16="","",-1*AD16)</f>
        <v>-1098000</v>
      </c>
    </row>
    <row r="18">
      <c r="A18" t="inlineStr">
        <is>
          <t>Lucro atribuído a não controladores (divulgado positivo) [us-gaap:NetIncomeLossAttributableToNoncontrollingInterest] · fonte · unid. moeda</t>
        </is>
      </c>
      <c r="C18" t="inlineStr">
        <is>
          <t>[linha bruta, sem código; lançada nas linhas abaixo]</t>
        </is>
      </c>
      <c r="D18" s="265" t="n">
        <v>-1000</v>
      </c>
      <c r="E18" s="265" t="n">
        <v>0</v>
      </c>
      <c r="F18" s="265" t="n">
        <v>11000</v>
      </c>
      <c r="G18" s="265" t="n">
        <v>-1000</v>
      </c>
      <c r="I18" s="265" t="n">
        <v>3000</v>
      </c>
      <c r="J18" s="265" t="n">
        <v>3000</v>
      </c>
      <c r="K18" s="265" t="n">
        <v>3000</v>
      </c>
      <c r="L18" s="265" t="n">
        <v>4000</v>
      </c>
      <c r="N18" s="265" t="n">
        <v>2000</v>
      </c>
      <c r="O18" s="265" t="n">
        <v>3000</v>
      </c>
      <c r="P18" s="265" t="n">
        <v>4000</v>
      </c>
      <c r="Q18" s="265" t="n">
        <v>3000</v>
      </c>
      <c r="S18" s="265" t="n">
        <v>3000</v>
      </c>
      <c r="T18" s="265" t="n">
        <v>4000</v>
      </c>
      <c r="U18" s="265" t="n">
        <v>4000</v>
      </c>
      <c r="V18" s="265" t="n">
        <v>5000</v>
      </c>
      <c r="X18" s="265" t="n">
        <v>5000</v>
      </c>
      <c r="Y18" s="265" t="n">
        <v>4000</v>
      </c>
      <c r="Z18" s="265" t="n">
        <v>6000</v>
      </c>
      <c r="AA18" s="265" t="n">
        <v>6000</v>
      </c>
      <c r="AC18" s="265" t="n">
        <v>6000</v>
      </c>
      <c r="AD18" s="265" t="n">
        <v>8000</v>
      </c>
    </row>
    <row r="19">
      <c r="A19" t="inlineStr">
        <is>
          <t>(lançamento) código 9, sinal -1 sobre a linha bruta 18: Lucro atribuído a não controladores (divulgado positivo) [us-gaap:NetIncomeLossAttributabl</t>
        </is>
      </c>
      <c r="B19" t="n">
        <v>9</v>
      </c>
      <c r="C19" t="inlineStr">
        <is>
          <t>Minority Interest Expense, after tax (enter as - )</t>
        </is>
      </c>
      <c r="D19" s="265">
        <f>IF(D18="","",-1*D18)</f>
        <v>1000</v>
      </c>
      <c r="E19" s="265">
        <f>IF(E18="","",-1*E18)</f>
        <v>0</v>
      </c>
      <c r="F19" s="265">
        <f>IF(F18="","",-1*F18)</f>
        <v>-11000</v>
      </c>
      <c r="G19" s="265">
        <f>IF(G18="","",-1*G18)</f>
        <v>1000</v>
      </c>
      <c r="I19" s="265">
        <f>IF(I18="","",-1*I18)</f>
        <v>-3000</v>
      </c>
      <c r="J19" s="265">
        <f>IF(J18="","",-1*J18)</f>
        <v>-3000</v>
      </c>
      <c r="K19" s="265">
        <f>IF(K18="","",-1*K18)</f>
        <v>-3000</v>
      </c>
      <c r="L19" s="265">
        <f>IF(L18="","",-1*L18)</f>
        <v>-4000</v>
      </c>
      <c r="N19" s="265">
        <f>IF(N18="","",-1*N18)</f>
        <v>-2000</v>
      </c>
      <c r="O19" s="265">
        <f>IF(O18="","",-1*O18)</f>
        <v>-3000</v>
      </c>
      <c r="P19" s="265">
        <f>IF(P18="","",-1*P18)</f>
        <v>-4000</v>
      </c>
      <c r="Q19" s="265">
        <f>IF(Q18="","",-1*Q18)</f>
        <v>-3000</v>
      </c>
      <c r="S19" s="265">
        <f>IF(S18="","",-1*S18)</f>
        <v>-3000</v>
      </c>
      <c r="T19" s="265">
        <f>IF(T18="","",-1*T18)</f>
        <v>-4000</v>
      </c>
      <c r="U19" s="265">
        <f>IF(U18="","",-1*U18)</f>
        <v>-4000</v>
      </c>
      <c r="V19" s="265">
        <f>IF(V18="","",-1*V18)</f>
        <v>-5000</v>
      </c>
      <c r="X19" s="265">
        <f>IF(X18="","",-1*X18)</f>
        <v>-5000</v>
      </c>
      <c r="Y19" s="265">
        <f>IF(Y18="","",-1*Y18)</f>
        <v>-4000</v>
      </c>
      <c r="Z19" s="265">
        <f>IF(Z18="","",-1*Z18)</f>
        <v>-6000</v>
      </c>
      <c r="AA19" s="265">
        <f>IF(AA18="","",-1*AA18)</f>
        <v>-6000</v>
      </c>
      <c r="AC19" s="265">
        <f>IF(AC18="","",-1*AC18)</f>
        <v>-6000</v>
      </c>
      <c r="AD19" s="265">
        <f>IF(AD18="","",-1*AD18)</f>
        <v>-8000</v>
      </c>
    </row>
    <row r="20">
      <c r="A20" t="inlineStr">
        <is>
          <t>Lucro líquido atribuído à companhia [us-gaap:NetIncomeLoss] · memoria · unid. moeda</t>
        </is>
      </c>
      <c r="C20" t="inlineStr">
        <is>
          <t>[linha bruta, sem código; lançada nas linhas abaixo]</t>
        </is>
      </c>
      <c r="D20" s="265" t="n">
        <v>1828000</v>
      </c>
      <c r="E20" s="265" t="n">
        <v>2066000</v>
      </c>
      <c r="F20" s="265" t="n">
        <v>2414000</v>
      </c>
      <c r="G20" s="265" t="n">
        <v>2379000</v>
      </c>
      <c r="I20" s="265" t="n">
        <v>2631000</v>
      </c>
      <c r="J20" s="265" t="n">
        <v>2275000</v>
      </c>
      <c r="K20" s="265" t="n">
        <v>2499000</v>
      </c>
      <c r="L20" s="265" t="n">
        <v>2525000</v>
      </c>
      <c r="N20" s="265" t="n">
        <v>2361000</v>
      </c>
      <c r="O20" s="265" t="n">
        <v>2845000</v>
      </c>
      <c r="P20" s="265" t="n">
        <v>3198000</v>
      </c>
      <c r="Q20" s="265" t="n">
        <v>2791000</v>
      </c>
      <c r="S20" s="265" t="n">
        <v>3011000</v>
      </c>
      <c r="T20" s="265" t="n">
        <v>3258000</v>
      </c>
      <c r="U20" s="265" t="n">
        <v>3263000</v>
      </c>
      <c r="V20" s="265" t="n">
        <v>3342000</v>
      </c>
      <c r="X20" s="265" t="n">
        <v>3280000</v>
      </c>
      <c r="Y20" s="265" t="n">
        <v>3701000</v>
      </c>
      <c r="Z20" s="265" t="n">
        <v>3927000</v>
      </c>
      <c r="AA20" s="265" t="n">
        <v>4060000</v>
      </c>
      <c r="AC20" s="265" t="n">
        <v>3882000</v>
      </c>
      <c r="AD20" s="265" t="n">
        <v>4388000</v>
      </c>
    </row>
    <row r="21">
      <c r="A21" t="inlineStr">
        <is>
          <t>Resultado após IR não classificado acima (equivalência patrimonial, operações descontinuadas): lucro - (LAIR - IR - minoritários); zero quando não há · derivada · unid. moeda</t>
        </is>
      </c>
      <c r="B21" t="n">
        <v>8</v>
      </c>
      <c r="C21" t="inlineStr">
        <is>
          <t>Equity in Income of Affiliates, after tax (enter as +)</t>
        </is>
      </c>
      <c r="D21" s="265">
        <f>N(D20)-(N(D11)-N(D16)-N(D18))</f>
        <v>-1000</v>
      </c>
      <c r="E21" s="265">
        <f>N(E20)-(N(E11)-N(E16)-N(E18))</f>
        <v>0</v>
      </c>
      <c r="F21" s="265">
        <f>N(F20)-(N(F11)-N(F16)-N(F18))</f>
        <v>11000</v>
      </c>
      <c r="G21" s="265">
        <f>N(G20)-(N(G11)-N(G16)-N(G18))</f>
        <v>-1000</v>
      </c>
      <c r="I21" s="265">
        <f>N(I20)-(N(I11)-N(I16)-N(I18))</f>
        <v>3000</v>
      </c>
      <c r="J21" s="265">
        <f>N(J20)-(N(J11)-N(J16)-N(J18))</f>
        <v>3000</v>
      </c>
      <c r="K21" s="265">
        <f>N(K20)-(N(K11)-N(K16)-N(K18))</f>
        <v>3000</v>
      </c>
      <c r="L21" s="265">
        <f>N(L20)-(N(L11)-N(L16)-N(L18))</f>
        <v>4000</v>
      </c>
      <c r="N21" s="265">
        <f>N(N20)-(N(N11)-N(N16)-N(N18))</f>
        <v>2000</v>
      </c>
      <c r="O21" s="265">
        <f>N(O20)-(N(O11)-N(O16)-N(O18))</f>
        <v>3000</v>
      </c>
      <c r="P21" s="265">
        <f>N(P20)-(N(P11)-N(P16)-N(P18))</f>
        <v>4000</v>
      </c>
      <c r="Q21" s="265">
        <f>N(Q20)-(N(Q11)-N(Q16)-N(Q18))</f>
        <v>3000</v>
      </c>
      <c r="S21" s="265">
        <f>N(S20)-(N(S11)-N(S16)-N(S18))</f>
        <v>3000</v>
      </c>
      <c r="T21" s="265">
        <f>N(T20)-(N(T11)-N(T16)-N(T18))</f>
        <v>4000</v>
      </c>
      <c r="U21" s="265">
        <f>N(U20)-(N(U11)-N(U16)-N(U18))</f>
        <v>4000</v>
      </c>
      <c r="V21" s="265">
        <f>N(V20)-(N(V11)-N(V16)-N(V18))</f>
        <v>5000</v>
      </c>
      <c r="X21" s="265">
        <f>N(X20)-(N(X11)-N(X16)-N(X18))</f>
        <v>5000</v>
      </c>
      <c r="Y21" s="265">
        <f>N(Y20)-(N(Y11)-N(Y16)-N(Y18))</f>
        <v>4000</v>
      </c>
      <c r="Z21" s="265">
        <f>N(Z20)-(N(Z11)-N(Z16)-N(Z18))</f>
        <v>6000</v>
      </c>
      <c r="AA21" s="265">
        <f>N(AA20)-(N(AA11)-N(AA16)-N(AA18))</f>
        <v>6000</v>
      </c>
      <c r="AC21" s="265">
        <f>N(AC20)-(N(AC11)-N(AC16)-N(AC18))</f>
        <v>6000</v>
      </c>
      <c r="AD21" s="265">
        <f>N(AD20)-(N(AD11)-N(AD16)-N(AD18))</f>
        <v>8000</v>
      </c>
    </row>
    <row r="22">
      <c r="A22" t="inlineStr">
        <is>
          <t>Lucro líquido (check IS, código 44) · derivada · unid. moeda</t>
        </is>
      </c>
      <c r="B22" t="n">
        <v>44</v>
      </c>
      <c r="C22" t="inlineStr">
        <is>
          <t>Lucro líquido (check IS, código 44)</t>
        </is>
      </c>
      <c r="D22" s="265">
        <f>N(D20)</f>
        <v>1828000</v>
      </c>
      <c r="E22" s="265">
        <f>N(E20)</f>
        <v>2066000</v>
      </c>
      <c r="F22" s="265">
        <f>N(F20)</f>
        <v>2414000</v>
      </c>
      <c r="G22" s="265">
        <f>N(G20)</f>
        <v>2379000</v>
      </c>
      <c r="I22" s="265">
        <f>N(I20)</f>
        <v>2631000</v>
      </c>
      <c r="J22" s="265">
        <f>N(J20)</f>
        <v>2275000</v>
      </c>
      <c r="K22" s="265">
        <f>N(K20)</f>
        <v>2499000</v>
      </c>
      <c r="L22" s="265">
        <f>N(L20)</f>
        <v>2525000</v>
      </c>
      <c r="N22" s="265">
        <f>N(N20)</f>
        <v>2361000</v>
      </c>
      <c r="O22" s="265">
        <f>N(O20)</f>
        <v>2845000</v>
      </c>
      <c r="P22" s="265">
        <f>N(P20)</f>
        <v>3198000</v>
      </c>
      <c r="Q22" s="265">
        <f>N(Q20)</f>
        <v>2791000</v>
      </c>
      <c r="S22" s="265">
        <f>N(S20)</f>
        <v>3011000</v>
      </c>
      <c r="T22" s="265">
        <f>N(T20)</f>
        <v>3258000</v>
      </c>
      <c r="U22" s="265">
        <f>N(U20)</f>
        <v>3263000</v>
      </c>
      <c r="V22" s="265">
        <f>N(V20)</f>
        <v>3342000</v>
      </c>
      <c r="X22" s="265">
        <f>N(X20)</f>
        <v>3280000</v>
      </c>
      <c r="Y22" s="265">
        <f>N(Y20)</f>
        <v>3701000</v>
      </c>
      <c r="Z22" s="265">
        <f>N(Z20)</f>
        <v>3927000</v>
      </c>
      <c r="AA22" s="265">
        <f>N(AA20)</f>
        <v>4060000</v>
      </c>
      <c r="AC22" s="265">
        <f>N(AC20)</f>
        <v>3882000</v>
      </c>
      <c r="AD22" s="265">
        <f>N(AD20)</f>
        <v>4388000</v>
      </c>
    </row>
    <row r="23">
      <c r="A23" t="inlineStr">
        <is>
          <t>DFC - trimestre isolado (desacumulado na extração)</t>
        </is>
      </c>
      <c r="C23" t="inlineStr">
        <is>
          <t>[linha bruta, sem código; lançada nas linhas abaixo]</t>
        </is>
      </c>
      <c r="D23" s="265" t="n"/>
      <c r="E23" s="265" t="n"/>
      <c r="F23" s="265" t="n"/>
      <c r="G23" s="265" t="n"/>
      <c r="I23" s="265" t="n"/>
      <c r="J23" s="265" t="n"/>
      <c r="K23" s="265" t="n"/>
      <c r="L23" s="265" t="n"/>
      <c r="N23" s="265" t="n"/>
      <c r="O23" s="265" t="n"/>
      <c r="P23" s="265" t="n"/>
      <c r="Q23" s="265" t="n"/>
      <c r="S23" s="265" t="n"/>
      <c r="T23" s="265" t="n"/>
      <c r="U23" s="265" t="n"/>
      <c r="V23" s="265" t="n"/>
      <c r="X23" s="265" t="n"/>
      <c r="Y23" s="265" t="n"/>
      <c r="Z23" s="265" t="n"/>
      <c r="AA23" s="265" t="n"/>
      <c r="AC23" s="265" t="n"/>
      <c r="AD23" s="265" t="n"/>
    </row>
    <row r="24">
      <c r="A24" t="inlineStr">
        <is>
          <t>D&amp;A (fluxo de caixa). COD1=4 lança (positivo -&gt; -1); COD2=3 devolve às despesas operacionais (a companhia não abre D&amp;A entre custo e despesa) [us-gaap:DepreciationDepletionAndAmortization/DepreciationAmortizationAndImpairment] · fonte · unid. moeda</t>
        </is>
      </c>
      <c r="C24" t="inlineStr">
        <is>
          <t>[linha bruta, sem código; lançada nas linhas abaixo]</t>
        </is>
      </c>
      <c r="D24" s="265" t="n">
        <v>163000</v>
      </c>
      <c r="E24" s="265" t="n">
        <v>186000</v>
      </c>
      <c r="F24" s="265" t="n">
        <v>188000</v>
      </c>
      <c r="G24" s="265" t="n">
        <v>189000</v>
      </c>
      <c r="I24" s="265" t="n">
        <v>192000</v>
      </c>
      <c r="J24" s="265" t="n">
        <v>189000</v>
      </c>
      <c r="K24" s="265" t="n">
        <v>185000</v>
      </c>
      <c r="L24" s="265" t="n">
        <v>184000</v>
      </c>
      <c r="N24" s="265" t="n">
        <v>191000</v>
      </c>
      <c r="O24" s="265" t="n">
        <v>192000</v>
      </c>
      <c r="P24" s="265" t="n">
        <v>211000</v>
      </c>
      <c r="Q24" s="265" t="n">
        <v>205000</v>
      </c>
      <c r="S24" s="265" t="n">
        <v>216000</v>
      </c>
      <c r="T24" s="265" t="n">
        <v>225000</v>
      </c>
      <c r="U24" s="265" t="n">
        <v>225000</v>
      </c>
      <c r="V24" s="265" t="n">
        <v>231000</v>
      </c>
      <c r="X24" s="265" t="n">
        <v>275000</v>
      </c>
      <c r="Y24" s="265" t="n">
        <v>281000</v>
      </c>
      <c r="Z24" s="265" t="n">
        <v>290000</v>
      </c>
      <c r="AA24" s="265" t="n">
        <v>297000</v>
      </c>
      <c r="AC24" s="265" t="n">
        <v>299000</v>
      </c>
      <c r="AD24" s="265" t="n">
        <v>309000</v>
      </c>
    </row>
    <row r="25">
      <c r="A25" t="inlineStr">
        <is>
          <t>(lançamento) código 4, sinal -1 sobre a linha bruta 24: D&amp;A (fluxo de caixa). COD1=4 lança (positivo -&gt; -1); COD2=3 devolve às despesas operaciona</t>
        </is>
      </c>
      <c r="B25" t="n">
        <v>4</v>
      </c>
      <c r="C25" t="inlineStr">
        <is>
          <t>D&amp;A</t>
        </is>
      </c>
      <c r="D25" s="265">
        <f>IF(D24="","",-1*D24)</f>
        <v>-163000</v>
      </c>
      <c r="E25" s="265">
        <f>IF(E24="","",-1*E24)</f>
        <v>-186000</v>
      </c>
      <c r="F25" s="265">
        <f>IF(F24="","",-1*F24)</f>
        <v>-188000</v>
      </c>
      <c r="G25" s="265">
        <f>IF(G24="","",-1*G24)</f>
        <v>-189000</v>
      </c>
      <c r="I25" s="265">
        <f>IF(I24="","",-1*I24)</f>
        <v>-192000</v>
      </c>
      <c r="J25" s="265">
        <f>IF(J24="","",-1*J24)</f>
        <v>-189000</v>
      </c>
      <c r="K25" s="265">
        <f>IF(K24="","",-1*K24)</f>
        <v>-185000</v>
      </c>
      <c r="L25" s="265">
        <f>IF(L24="","",-1*L24)</f>
        <v>-184000</v>
      </c>
      <c r="N25" s="265">
        <f>IF(N24="","",-1*N24)</f>
        <v>-191000</v>
      </c>
      <c r="O25" s="265">
        <f>IF(O24="","",-1*O24)</f>
        <v>-192000</v>
      </c>
      <c r="P25" s="265">
        <f>IF(P24="","",-1*P24)</f>
        <v>-211000</v>
      </c>
      <c r="Q25" s="265">
        <f>IF(Q24="","",-1*Q24)</f>
        <v>-205000</v>
      </c>
      <c r="S25" s="265">
        <f>IF(S24="","",-1*S24)</f>
        <v>-216000</v>
      </c>
      <c r="T25" s="265">
        <f>IF(T24="","",-1*T24)</f>
        <v>-225000</v>
      </c>
      <c r="U25" s="265">
        <f>IF(U24="","",-1*U24)</f>
        <v>-225000</v>
      </c>
      <c r="V25" s="265">
        <f>IF(V24="","",-1*V24)</f>
        <v>-231000</v>
      </c>
      <c r="X25" s="265">
        <f>IF(X24="","",-1*X24)</f>
        <v>-275000</v>
      </c>
      <c r="Y25" s="265">
        <f>IF(Y24="","",-1*Y24)</f>
        <v>-281000</v>
      </c>
      <c r="Z25" s="265">
        <f>IF(Z24="","",-1*Z24)</f>
        <v>-290000</v>
      </c>
      <c r="AA25" s="265">
        <f>IF(AA24="","",-1*AA24)</f>
        <v>-297000</v>
      </c>
      <c r="AC25" s="265">
        <f>IF(AC24="","",-1*AC24)</f>
        <v>-299000</v>
      </c>
      <c r="AD25" s="265">
        <f>IF(AD24="","",-1*AD24)</f>
        <v>-309000</v>
      </c>
    </row>
    <row r="26">
      <c r="A26" t="inlineStr">
        <is>
          <t>(lançamento) código 3, sinal +1 sobre a linha bruta 24: D&amp;A (fluxo de caixa). COD1=4 lança (positivo -&gt; -1); COD2=3 devolve às despesas operaciona</t>
        </is>
      </c>
      <c r="B26" t="n">
        <v>3</v>
      </c>
      <c r="C26" t="inlineStr">
        <is>
          <t>SG&amp;A and Other (cash)</t>
        </is>
      </c>
      <c r="D26" s="265">
        <f>IF(D24="","",D24)</f>
        <v>163000</v>
      </c>
      <c r="E26" s="265">
        <f>IF(E24="","",E24)</f>
        <v>186000</v>
      </c>
      <c r="F26" s="265">
        <f>IF(F24="","",F24)</f>
        <v>188000</v>
      </c>
      <c r="G26" s="265">
        <f>IF(G24="","",G24)</f>
        <v>189000</v>
      </c>
      <c r="I26" s="265">
        <f>IF(I24="","",I24)</f>
        <v>192000</v>
      </c>
      <c r="J26" s="265">
        <f>IF(J24="","",J24)</f>
        <v>189000</v>
      </c>
      <c r="K26" s="265">
        <f>IF(K24="","",K24)</f>
        <v>185000</v>
      </c>
      <c r="L26" s="265">
        <f>IF(L24="","",L24)</f>
        <v>184000</v>
      </c>
      <c r="N26" s="265">
        <f>IF(N24="","",N24)</f>
        <v>191000</v>
      </c>
      <c r="O26" s="265">
        <f>IF(O24="","",O24)</f>
        <v>192000</v>
      </c>
      <c r="P26" s="265">
        <f>IF(P24="","",P24)</f>
        <v>211000</v>
      </c>
      <c r="Q26" s="265">
        <f>IF(Q24="","",Q24)</f>
        <v>205000</v>
      </c>
      <c r="S26" s="265">
        <f>IF(S24="","",S24)</f>
        <v>216000</v>
      </c>
      <c r="T26" s="265">
        <f>IF(T24="","",T24)</f>
        <v>225000</v>
      </c>
      <c r="U26" s="265">
        <f>IF(U24="","",U24)</f>
        <v>225000</v>
      </c>
      <c r="V26" s="265">
        <f>IF(V24="","",V24)</f>
        <v>231000</v>
      </c>
      <c r="X26" s="265">
        <f>IF(X24="","",X24)</f>
        <v>275000</v>
      </c>
      <c r="Y26" s="265">
        <f>IF(Y24="","",Y24)</f>
        <v>281000</v>
      </c>
      <c r="Z26" s="265">
        <f>IF(Z24="","",Z24)</f>
        <v>290000</v>
      </c>
      <c r="AA26" s="265">
        <f>IF(AA24="","",AA24)</f>
        <v>297000</v>
      </c>
      <c r="AC26" s="265">
        <f>IF(AC24="","",AC24)</f>
        <v>299000</v>
      </c>
      <c r="AD26" s="265">
        <f>IF(AD24="","",AD24)</f>
        <v>309000</v>
      </c>
    </row>
    <row r="27">
      <c r="A27" t="inlineStr">
        <is>
          <t>Dividendos pagos [us-gaap:PaymentsOfDividends] · fonte · unid. moeda</t>
        </is>
      </c>
      <c r="C27" t="inlineStr">
        <is>
          <t>[linha bruta, sem código; lançada nas linhas abaixo]</t>
        </is>
      </c>
      <c r="D27" s="265" t="n">
        <v>439000</v>
      </c>
      <c r="E27" s="265" t="n">
        <v>434000</v>
      </c>
      <c r="F27" s="265" t="n">
        <v>434000</v>
      </c>
      <c r="G27" s="265" t="n">
        <v>434000</v>
      </c>
      <c r="I27" s="265" t="n">
        <v>479000</v>
      </c>
      <c r="J27" s="265" t="n">
        <v>477000</v>
      </c>
      <c r="K27" s="265" t="n">
        <v>474000</v>
      </c>
      <c r="L27" s="265" t="n">
        <v>473000</v>
      </c>
      <c r="N27" s="265" t="n">
        <v>545000</v>
      </c>
      <c r="O27" s="265" t="n">
        <v>541000</v>
      </c>
      <c r="P27" s="265" t="n">
        <v>538000</v>
      </c>
      <c r="Q27" s="265" t="n">
        <v>534000</v>
      </c>
      <c r="S27" s="265" t="n">
        <v>616000</v>
      </c>
      <c r="T27" s="265" t="n">
        <v>615000</v>
      </c>
      <c r="U27" s="265" t="n">
        <v>611000</v>
      </c>
      <c r="V27" s="265" t="n">
        <v>606000</v>
      </c>
      <c r="X27" s="265" t="n">
        <v>694000</v>
      </c>
      <c r="Y27" s="265" t="n">
        <v>691000</v>
      </c>
      <c r="Z27" s="265" t="n">
        <v>687000</v>
      </c>
      <c r="AA27" s="265" t="n">
        <v>684000</v>
      </c>
      <c r="AC27" s="265" t="n">
        <v>777000</v>
      </c>
      <c r="AD27" s="265" t="n">
        <v>771000</v>
      </c>
    </row>
    <row r="28">
      <c r="A28" t="inlineStr">
        <is>
          <t>(lançamento) código 10, sinal -1 sobre a linha bruta 27: Dividendos pagos [us-gaap:PaymentsOfDividends]</t>
        </is>
      </c>
      <c r="B28" t="n">
        <v>10</v>
      </c>
      <c r="C28" t="inlineStr">
        <is>
          <t>Common Dividends</t>
        </is>
      </c>
      <c r="D28" s="265">
        <f>IF(D27="","",-1*D27)</f>
        <v>-439000</v>
      </c>
      <c r="E28" s="265">
        <f>IF(E27="","",-1*E27)</f>
        <v>-434000</v>
      </c>
      <c r="F28" s="265">
        <f>IF(F27="","",-1*F27)</f>
        <v>-434000</v>
      </c>
      <c r="G28" s="265">
        <f>IF(G27="","",-1*G27)</f>
        <v>-434000</v>
      </c>
      <c r="I28" s="265">
        <f>IF(I27="","",-1*I27)</f>
        <v>-479000</v>
      </c>
      <c r="J28" s="265">
        <f>IF(J27="","",-1*J27)</f>
        <v>-477000</v>
      </c>
      <c r="K28" s="265">
        <f>IF(K27="","",-1*K27)</f>
        <v>-474000</v>
      </c>
      <c r="L28" s="265">
        <f>IF(L27="","",-1*L27)</f>
        <v>-473000</v>
      </c>
      <c r="N28" s="265">
        <f>IF(N27="","",-1*N27)</f>
        <v>-545000</v>
      </c>
      <c r="O28" s="265">
        <f>IF(O27="","",-1*O27)</f>
        <v>-541000</v>
      </c>
      <c r="P28" s="265">
        <f>IF(P27="","",-1*P27)</f>
        <v>-538000</v>
      </c>
      <c r="Q28" s="265">
        <f>IF(Q27="","",-1*Q27)</f>
        <v>-534000</v>
      </c>
      <c r="S28" s="265">
        <f>IF(S27="","",-1*S27)</f>
        <v>-616000</v>
      </c>
      <c r="T28" s="265">
        <f>IF(T27="","",-1*T27)</f>
        <v>-615000</v>
      </c>
      <c r="U28" s="265">
        <f>IF(U27="","",-1*U27)</f>
        <v>-611000</v>
      </c>
      <c r="V28" s="265">
        <f>IF(V27="","",-1*V27)</f>
        <v>-606000</v>
      </c>
      <c r="X28" s="265">
        <f>IF(X27="","",-1*X27)</f>
        <v>-694000</v>
      </c>
      <c r="Y28" s="265">
        <f>IF(Y27="","",-1*Y27)</f>
        <v>-691000</v>
      </c>
      <c r="Z28" s="265">
        <f>IF(Z27="","",-1*Z27)</f>
        <v>-687000</v>
      </c>
      <c r="AA28" s="265">
        <f>IF(AA27="","",-1*AA27)</f>
        <v>-684000</v>
      </c>
      <c r="AC28" s="265">
        <f>IF(AC27="","",-1*AC27)</f>
        <v>-777000</v>
      </c>
      <c r="AD28" s="265">
        <f>IF(AD27="","",-1*AD27)</f>
        <v>-771000</v>
      </c>
    </row>
    <row r="29">
      <c r="A29" t="inlineStr">
        <is>
          <t>BALANÇO DE FACE (USD, saldo no fim do trimestre; cada trimestre lido da instância do próprio 10-Q/10-K)</t>
        </is>
      </c>
      <c r="C29" t="inlineStr">
        <is>
          <t>[linha bruta, sem código; lançada nas linhas abaixo]</t>
        </is>
      </c>
      <c r="D29" s="265" t="n"/>
      <c r="E29" s="265" t="n"/>
      <c r="F29" s="265" t="n"/>
      <c r="G29" s="265" t="n"/>
      <c r="I29" s="265" t="n"/>
      <c r="J29" s="265" t="n"/>
      <c r="K29" s="265" t="n"/>
      <c r="L29" s="265" t="n"/>
      <c r="N29" s="265" t="n"/>
      <c r="O29" s="265" t="n"/>
      <c r="P29" s="265" t="n"/>
      <c r="Q29" s="265" t="n"/>
      <c r="S29" s="265" t="n"/>
      <c r="T29" s="265" t="n"/>
      <c r="U29" s="265" t="n"/>
      <c r="V29" s="265" t="n"/>
      <c r="X29" s="265" t="n"/>
      <c r="Y29" s="265" t="n"/>
      <c r="Z29" s="265" t="n"/>
      <c r="AA29" s="265" t="n"/>
      <c r="AC29" s="265" t="n"/>
      <c r="AD29" s="265" t="n"/>
    </row>
    <row r="30">
      <c r="A30" t="inlineStr">
        <is>
          <t>CashAndCashEquivalentsAtCarryingValue · fonte · unid. moeda</t>
        </is>
      </c>
      <c r="B30" t="n">
        <v>11</v>
      </c>
      <c r="C30" t="inlineStr">
        <is>
          <t>Cash and equivalents (inc. investment securities)</t>
        </is>
      </c>
      <c r="D30" s="265" t="n">
        <v>7246000</v>
      </c>
      <c r="E30" s="265" t="n">
        <v>6216000</v>
      </c>
      <c r="F30" s="265" t="n">
        <v>6406000</v>
      </c>
      <c r="G30" s="265" t="n">
        <v>7421000</v>
      </c>
      <c r="I30" s="265" t="n">
        <v>6879000</v>
      </c>
      <c r="J30" s="265" t="n">
        <v>5921000</v>
      </c>
      <c r="K30" s="265" t="n">
        <v>7633000</v>
      </c>
      <c r="L30" s="265" t="n">
        <v>7008000</v>
      </c>
      <c r="N30" s="265" t="n">
        <v>6566000</v>
      </c>
      <c r="O30" s="265" t="n">
        <v>6170000</v>
      </c>
      <c r="P30" s="265" t="n">
        <v>6890000</v>
      </c>
      <c r="Q30" s="265" t="n">
        <v>8588000</v>
      </c>
      <c r="S30" s="265" t="n">
        <v>7293000</v>
      </c>
      <c r="T30" s="265" t="n">
        <v>6996000</v>
      </c>
      <c r="U30" s="265" t="n">
        <v>11063000</v>
      </c>
      <c r="V30" s="265" t="n">
        <v>8442000</v>
      </c>
      <c r="X30" s="265" t="n">
        <v>7575000</v>
      </c>
      <c r="Y30" s="265" t="n">
        <v>9031000</v>
      </c>
      <c r="Z30" s="265" t="n">
        <v>10313000</v>
      </c>
      <c r="AA30" s="265" t="n">
        <v>10566000</v>
      </c>
      <c r="AC30" s="265" t="n">
        <v>7906000</v>
      </c>
      <c r="AD30" s="265" t="n">
        <v>11291000</v>
      </c>
    </row>
    <row r="31">
      <c r="A31" t="inlineStr">
        <is>
          <t>Investments · fonte · unid. moeda</t>
        </is>
      </c>
      <c r="B31" t="n">
        <v>11</v>
      </c>
      <c r="C31" t="inlineStr">
        <is>
          <t>Cash and equivalents (inc. investment securities)</t>
        </is>
      </c>
      <c r="D31" s="265" t="n">
        <v>489000</v>
      </c>
      <c r="E31" s="265" t="n">
        <v>544000</v>
      </c>
      <c r="F31" s="265" t="n">
        <v>510000</v>
      </c>
      <c r="G31" s="265" t="n">
        <v>473000</v>
      </c>
      <c r="I31" s="265" t="n">
        <v>449000</v>
      </c>
      <c r="J31" s="265" t="n">
        <v>438000</v>
      </c>
      <c r="K31" s="265" t="n">
        <v>412000</v>
      </c>
      <c r="L31" s="265" t="n">
        <v>400000</v>
      </c>
      <c r="N31" s="265" t="n">
        <v>402000</v>
      </c>
      <c r="O31" s="265" t="n">
        <v>344000</v>
      </c>
      <c r="P31" s="265" t="n">
        <v>602000</v>
      </c>
      <c r="Q31" s="265" t="n">
        <v>592000</v>
      </c>
      <c r="S31" s="265" t="n">
        <v>364000</v>
      </c>
      <c r="T31" s="265" t="n">
        <v>362000</v>
      </c>
      <c r="U31" s="265" t="n">
        <v>338000</v>
      </c>
      <c r="V31" s="265" t="n">
        <v>330000</v>
      </c>
      <c r="X31" s="265" t="n">
        <v>319000</v>
      </c>
      <c r="Y31" s="265" t="n">
        <v>336000</v>
      </c>
      <c r="Z31" s="265" t="n">
        <v>335000</v>
      </c>
      <c r="AA31" s="265" t="n">
        <v>332000</v>
      </c>
      <c r="AC31" s="265" t="n">
        <v>313000</v>
      </c>
      <c r="AD31" s="265" t="n">
        <v>318000</v>
      </c>
    </row>
    <row r="32">
      <c r="A32" t="inlineStr">
        <is>
          <t>AccountsReceivableNetCurrent · fonte · unid. moeda</t>
        </is>
      </c>
      <c r="B32" t="n">
        <v>12</v>
      </c>
      <c r="C32" t="inlineStr">
        <is>
          <t>Accounts receivable</t>
        </is>
      </c>
      <c r="D32" s="265" t="n">
        <v>2648000</v>
      </c>
      <c r="E32" s="265" t="n">
        <v>2773000</v>
      </c>
      <c r="F32" s="265" t="n">
        <v>2820000</v>
      </c>
      <c r="G32" s="265" t="n">
        <v>3006000</v>
      </c>
      <c r="I32" s="265" t="n">
        <v>2889000</v>
      </c>
      <c r="J32" s="265" t="n">
        <v>3175000</v>
      </c>
      <c r="K32" s="265" t="n">
        <v>3167000</v>
      </c>
      <c r="L32" s="265" t="n">
        <v>3425000</v>
      </c>
      <c r="N32" s="265" t="n">
        <v>3511000</v>
      </c>
      <c r="O32" s="265" t="n">
        <v>3763000</v>
      </c>
      <c r="P32" s="265" t="n">
        <v>3925000</v>
      </c>
      <c r="Q32" s="265" t="n">
        <v>4060000</v>
      </c>
      <c r="S32" s="265" t="n">
        <v>4231000</v>
      </c>
      <c r="T32" s="265" t="n">
        <v>4195000</v>
      </c>
      <c r="U32" s="265" t="n">
        <v>4014000</v>
      </c>
      <c r="V32" s="265" t="n">
        <v>3773000</v>
      </c>
      <c r="X32" s="265" t="n">
        <v>3965000</v>
      </c>
      <c r="Y32" s="265" t="n">
        <v>4184000</v>
      </c>
      <c r="Z32" s="265" t="n">
        <v>4247000</v>
      </c>
      <c r="AA32" s="265" t="n">
        <v>4609000</v>
      </c>
      <c r="AC32" s="265" t="n">
        <v>4720000</v>
      </c>
      <c r="AD32" s="265" t="n">
        <v>5047000</v>
      </c>
    </row>
    <row r="33">
      <c r="A33" t="inlineStr">
        <is>
          <t>DeferredIncomeTaxAssetsNet · fonte · unid. moeda</t>
        </is>
      </c>
      <c r="B33" t="n">
        <v>14</v>
      </c>
      <c r="C33" t="inlineStr">
        <is>
          <t>Deferred income taxes</t>
        </is>
      </c>
      <c r="D33" s="265" t="n">
        <v>459000</v>
      </c>
      <c r="E33" s="265" t="n">
        <v>454000</v>
      </c>
      <c r="F33" s="265" t="n">
        <v>471000</v>
      </c>
      <c r="G33" s="265" t="n">
        <v>486000</v>
      </c>
      <c r="I33" s="265" t="n">
        <v>795000</v>
      </c>
      <c r="J33" s="265" t="n">
        <v>920000</v>
      </c>
      <c r="K33" s="265" t="n">
        <v>1069000</v>
      </c>
      <c r="L33" s="265" t="n">
        <v>1151000</v>
      </c>
      <c r="N33" s="265" t="n">
        <v>1267000</v>
      </c>
      <c r="O33" s="265" t="n">
        <v>1121000</v>
      </c>
      <c r="P33" s="265" t="n">
        <v>1370000</v>
      </c>
      <c r="Q33" s="265" t="n">
        <v>1355000</v>
      </c>
      <c r="S33" s="265" t="n">
        <v>1329000</v>
      </c>
      <c r="T33" s="265" t="n">
        <v>1423000</v>
      </c>
      <c r="U33" s="265" t="n">
        <v>1612000</v>
      </c>
      <c r="V33" s="265" t="n">
        <v>1614000</v>
      </c>
      <c r="X33" s="265" t="n">
        <v>1575000</v>
      </c>
      <c r="Y33" s="265" t="n">
        <v>1570000</v>
      </c>
      <c r="Z33" s="265" t="n">
        <v>1546000</v>
      </c>
      <c r="AA33" s="265" t="n">
        <v>1567000</v>
      </c>
      <c r="AC33" s="265" t="n">
        <v>1396000</v>
      </c>
      <c r="AD33" s="265" t="n">
        <v>1441000</v>
      </c>
    </row>
    <row r="34">
      <c r="A34" t="inlineStr">
        <is>
          <t>RestrictedCashAndCashEquivalentsAtCarryingValue · fonte · unid. moeda</t>
        </is>
      </c>
      <c r="B34" t="n">
        <v>16</v>
      </c>
      <c r="C34" t="inlineStr">
        <is>
          <t>Other current assets</t>
        </is>
      </c>
      <c r="D34" s="265" t="n">
        <v>586000</v>
      </c>
      <c r="E34" s="265" t="n">
        <v>586000</v>
      </c>
      <c r="F34" s="265" t="n">
        <v>586000</v>
      </c>
      <c r="G34" s="265" t="n">
        <v>586000</v>
      </c>
      <c r="I34" s="265" t="n">
        <v>585000</v>
      </c>
      <c r="J34" s="265" t="n">
        <v>584000</v>
      </c>
      <c r="K34" s="265" t="n">
        <v>586000</v>
      </c>
      <c r="L34" s="265" t="n">
        <v>589000</v>
      </c>
      <c r="N34" s="265" t="n">
        <v>596000</v>
      </c>
      <c r="O34" s="265" t="n">
        <v>598000</v>
      </c>
      <c r="P34" s="265" t="n">
        <v>0</v>
      </c>
      <c r="Q34" s="265" t="n">
        <v>0</v>
      </c>
      <c r="S34" s="265" t="n">
        <v>0</v>
      </c>
      <c r="T34" s="265" t="n">
        <v>0</v>
      </c>
      <c r="U34" s="265" t="n">
        <v>0</v>
      </c>
      <c r="V34" s="265" t="n">
        <v>492000</v>
      </c>
      <c r="X34" s="265" t="n">
        <v>507000</v>
      </c>
      <c r="Y34" s="265" t="n">
        <v>542000</v>
      </c>
      <c r="Z34" s="265" t="n">
        <v>478000</v>
      </c>
      <c r="AA34" s="265" t="n">
        <v>561000</v>
      </c>
      <c r="AC34" s="265" t="n">
        <v>551000</v>
      </c>
      <c r="AD34" s="265" t="n">
        <v>488000</v>
      </c>
    </row>
    <row r="35">
      <c r="A35" t="inlineStr">
        <is>
          <t>SettlementDueFromCustomers · fonte · unid. moeda</t>
        </is>
      </c>
      <c r="B35" t="n">
        <v>16</v>
      </c>
      <c r="C35" t="inlineStr">
        <is>
          <t>Other current assets</t>
        </is>
      </c>
      <c r="D35" s="265" t="n">
        <v>1678000</v>
      </c>
      <c r="E35" s="265" t="n">
        <v>937000</v>
      </c>
      <c r="F35" s="265" t="n">
        <v>861000</v>
      </c>
      <c r="G35" s="265" t="n">
        <v>1319000</v>
      </c>
      <c r="I35" s="265" t="n">
        <v>1101000</v>
      </c>
      <c r="J35" s="265" t="n">
        <v>1063000</v>
      </c>
      <c r="K35" s="265" t="n">
        <v>1019000</v>
      </c>
      <c r="L35" s="265" t="n">
        <v>1270000</v>
      </c>
      <c r="N35" s="265" t="n">
        <v>1236000</v>
      </c>
      <c r="O35" s="265" t="n">
        <v>1378000</v>
      </c>
      <c r="P35" s="265" t="n">
        <v>1118000</v>
      </c>
      <c r="Q35" s="265" t="n">
        <v>1233000</v>
      </c>
      <c r="S35" s="265" t="n">
        <v>1647000</v>
      </c>
      <c r="T35" s="265" t="n">
        <v>1514000</v>
      </c>
      <c r="U35" s="265" t="n">
        <v>1978000</v>
      </c>
      <c r="V35" s="265" t="n">
        <v>1821000</v>
      </c>
      <c r="X35" s="265" t="n">
        <v>2119000</v>
      </c>
      <c r="Y35" s="265" t="n">
        <v>2418000</v>
      </c>
      <c r="Z35" s="265" t="n">
        <v>1842000</v>
      </c>
      <c r="AA35" s="265" t="n">
        <v>1626000</v>
      </c>
      <c r="AC35" s="265" t="n">
        <v>2062000</v>
      </c>
      <c r="AD35" s="265" t="n">
        <v>2371000</v>
      </c>
    </row>
    <row r="36">
      <c r="A36" t="inlineStr">
        <is>
          <t>DepositsAssetsCurrent · fonte · unid. moeda</t>
        </is>
      </c>
      <c r="B36" t="n">
        <v>16</v>
      </c>
      <c r="C36" t="inlineStr">
        <is>
          <t>Other current assets</t>
        </is>
      </c>
      <c r="D36" s="265" t="n">
        <v>1759000</v>
      </c>
      <c r="E36" s="265" t="n">
        <v>1806000</v>
      </c>
      <c r="F36" s="265" t="n">
        <v>1832000</v>
      </c>
      <c r="G36" s="265" t="n">
        <v>1873000</v>
      </c>
      <c r="I36" s="265" t="n">
        <v>1730000</v>
      </c>
      <c r="J36" s="265" t="n">
        <v>1621000</v>
      </c>
      <c r="K36" s="265" t="n">
        <v>1531000</v>
      </c>
      <c r="L36" s="265" t="n">
        <v>1568000</v>
      </c>
      <c r="N36" s="265" t="n">
        <v>1608000</v>
      </c>
      <c r="O36" s="265" t="n">
        <v>1723000</v>
      </c>
      <c r="P36" s="265" t="n">
        <v>1824000</v>
      </c>
      <c r="Q36" s="265" t="n">
        <v>1845000</v>
      </c>
      <c r="S36" s="265" t="n">
        <v>1861000</v>
      </c>
      <c r="T36" s="265" t="n">
        <v>1772000</v>
      </c>
      <c r="U36" s="265" t="n">
        <v>1868000</v>
      </c>
      <c r="V36" s="265" t="n">
        <v>1874000</v>
      </c>
      <c r="X36" s="265" t="n">
        <v>1900000</v>
      </c>
      <c r="Y36" s="265" t="n">
        <v>1999000</v>
      </c>
      <c r="Z36" s="265" t="n">
        <v>2054000</v>
      </c>
      <c r="AA36" s="265" t="n">
        <v>2121000</v>
      </c>
      <c r="AC36" s="265" t="n">
        <v>2307000</v>
      </c>
      <c r="AD36" s="265" t="n">
        <v>2196000</v>
      </c>
    </row>
    <row r="37">
      <c r="A37" t="inlineStr">
        <is>
          <t>PrepaidExpenseAndOtherAssetsCurrent · fonte · unid. moeda</t>
        </is>
      </c>
      <c r="B37" t="n">
        <v>16</v>
      </c>
      <c r="C37" t="inlineStr">
        <is>
          <t>Other current assets</t>
        </is>
      </c>
      <c r="D37" s="265" t="n">
        <v>1999000</v>
      </c>
      <c r="E37" s="265" t="n">
        <v>2217000</v>
      </c>
      <c r="F37" s="265" t="n">
        <v>2367000</v>
      </c>
      <c r="G37" s="265" t="n">
        <v>2271000</v>
      </c>
      <c r="I37" s="265" t="n">
        <v>2320000</v>
      </c>
      <c r="J37" s="265" t="n">
        <v>2409000</v>
      </c>
      <c r="K37" s="265" t="n">
        <v>2475000</v>
      </c>
      <c r="L37" s="265" t="n">
        <v>2346000</v>
      </c>
      <c r="N37" s="265" t="n">
        <v>2501000</v>
      </c>
      <c r="O37" s="265" t="n">
        <v>2554000</v>
      </c>
      <c r="P37" s="265" t="n">
        <v>2624000</v>
      </c>
      <c r="Q37" s="265" t="n">
        <v>2643000</v>
      </c>
      <c r="S37" s="265" t="n">
        <v>3028000</v>
      </c>
      <c r="T37" s="265" t="n">
        <v>2941000</v>
      </c>
      <c r="U37" s="265" t="n">
        <v>3039000</v>
      </c>
      <c r="V37" s="265" t="n">
        <v>2992000</v>
      </c>
      <c r="X37" s="265" t="n">
        <v>3419000</v>
      </c>
      <c r="Y37" s="265" t="n">
        <v>3630000</v>
      </c>
      <c r="Z37" s="265" t="n">
        <v>3954000</v>
      </c>
      <c r="AA37" s="265" t="n">
        <v>3743000</v>
      </c>
      <c r="AC37" s="265" t="n">
        <v>4639000</v>
      </c>
      <c r="AD37" s="265" t="n">
        <v>4811000</v>
      </c>
    </row>
    <row r="38">
      <c r="A38" t="inlineStr">
        <is>
          <t>PropertyPlantAndEquipmentNet · fonte · unid. moeda</t>
        </is>
      </c>
      <c r="B38" t="n">
        <v>18</v>
      </c>
      <c r="C38" t="inlineStr">
        <is>
          <t>PP&amp;E</t>
        </is>
      </c>
      <c r="D38" s="265" t="n">
        <v>1850000</v>
      </c>
      <c r="E38" s="265" t="n">
        <v>1839000</v>
      </c>
      <c r="F38" s="265" t="n">
        <v>1860000</v>
      </c>
      <c r="G38" s="265" t="n">
        <v>0</v>
      </c>
      <c r="I38" s="265" t="n">
        <v>1957000</v>
      </c>
      <c r="J38" s="265" t="n">
        <v>1950000</v>
      </c>
      <c r="K38" s="265" t="n">
        <v>1951000</v>
      </c>
      <c r="L38" s="265" t="n">
        <v>0</v>
      </c>
      <c r="N38" s="265" t="n">
        <v>2006000</v>
      </c>
      <c r="O38" s="265" t="n">
        <v>1986000</v>
      </c>
      <c r="P38" s="265" t="n">
        <v>1972000</v>
      </c>
      <c r="Q38" s="265" t="n">
        <v>0</v>
      </c>
      <c r="S38" s="265" t="n">
        <v>2077000</v>
      </c>
      <c r="T38" s="265" t="n">
        <v>2148000</v>
      </c>
      <c r="U38" s="265" t="n">
        <v>2176000</v>
      </c>
      <c r="V38" s="265" t="n">
        <v>0</v>
      </c>
      <c r="X38" s="265" t="n">
        <v>2171000</v>
      </c>
      <c r="Y38" s="265" t="n">
        <v>2225000</v>
      </c>
      <c r="Z38" s="265" t="n">
        <v>2299000</v>
      </c>
      <c r="AA38" s="265" t="n">
        <v>0</v>
      </c>
      <c r="AC38" s="265" t="n">
        <v>2349000</v>
      </c>
      <c r="AD38" s="265" t="n">
        <v>2541000</v>
      </c>
    </row>
    <row r="39">
      <c r="A39" t="inlineStr">
        <is>
          <t>PropertyPlantAndEquipmentAndFinanceLeaseRightOfUseAssetAfterAccumulatedDepreciationAndAmortization · fonte · unid. moeda</t>
        </is>
      </c>
      <c r="B39" t="n">
        <v>18</v>
      </c>
      <c r="C39" t="inlineStr">
        <is>
          <t>PP&amp;E</t>
        </is>
      </c>
      <c r="D39" s="265" t="n">
        <v>0</v>
      </c>
      <c r="E39" s="265" t="n">
        <v>0</v>
      </c>
      <c r="F39" s="265" t="n">
        <v>0</v>
      </c>
      <c r="G39" s="265" t="n">
        <v>1907000</v>
      </c>
      <c r="I39" s="265" t="n">
        <v>0</v>
      </c>
      <c r="J39" s="265" t="n">
        <v>0</v>
      </c>
      <c r="K39" s="265" t="n">
        <v>0</v>
      </c>
      <c r="L39" s="265" t="n">
        <v>2006000</v>
      </c>
      <c r="N39" s="265" t="n">
        <v>0</v>
      </c>
      <c r="O39" s="265" t="n">
        <v>0</v>
      </c>
      <c r="P39" s="265" t="n">
        <v>0</v>
      </c>
      <c r="Q39" s="265" t="n">
        <v>2061000</v>
      </c>
      <c r="S39" s="265" t="n">
        <v>0</v>
      </c>
      <c r="T39" s="265" t="n">
        <v>0</v>
      </c>
      <c r="U39" s="265" t="n">
        <v>0</v>
      </c>
      <c r="V39" s="265" t="n">
        <v>2138000</v>
      </c>
      <c r="X39" s="265" t="n">
        <v>0</v>
      </c>
      <c r="Y39" s="265" t="n">
        <v>0</v>
      </c>
      <c r="Z39" s="265" t="n">
        <v>0</v>
      </c>
      <c r="AA39" s="265" t="n">
        <v>2303000</v>
      </c>
      <c r="AC39" s="265" t="n">
        <v>0</v>
      </c>
      <c r="AD39" s="265" t="n">
        <v>0</v>
      </c>
    </row>
    <row r="40">
      <c r="A40" t="inlineStr">
        <is>
          <t>Goodwill · fonte · unid. moeda</t>
        </is>
      </c>
      <c r="B40" t="n">
        <v>20</v>
      </c>
      <c r="C40" t="inlineStr">
        <is>
          <t>Goodwill</t>
        </is>
      </c>
      <c r="D40" s="265" t="n">
        <v>7051000</v>
      </c>
      <c r="E40" s="265" t="n">
        <v>7661000</v>
      </c>
      <c r="F40" s="265" t="n">
        <v>7569000</v>
      </c>
      <c r="G40" s="265" t="n">
        <v>7662000</v>
      </c>
      <c r="I40" s="265" t="n">
        <v>7625000</v>
      </c>
      <c r="J40" s="265" t="n">
        <v>7519000</v>
      </c>
      <c r="K40" s="265" t="n">
        <v>7176000</v>
      </c>
      <c r="L40" s="265" t="n">
        <v>7522000</v>
      </c>
      <c r="N40" s="265" t="n">
        <v>7575000</v>
      </c>
      <c r="O40" s="265" t="n">
        <v>7579000</v>
      </c>
      <c r="P40" s="265" t="n">
        <v>7488000</v>
      </c>
      <c r="Q40" s="265" t="n">
        <v>7660000</v>
      </c>
      <c r="S40" s="265" t="n">
        <v>7545000</v>
      </c>
      <c r="T40" s="265" t="n">
        <v>7563000</v>
      </c>
      <c r="U40" s="265" t="n">
        <v>7721000</v>
      </c>
      <c r="V40" s="265" t="n">
        <v>9193000</v>
      </c>
      <c r="X40" s="265" t="n">
        <v>9352000</v>
      </c>
      <c r="Y40" s="265" t="n">
        <v>9598000</v>
      </c>
      <c r="Z40" s="265" t="n">
        <v>9574000</v>
      </c>
      <c r="AA40" s="265" t="n">
        <v>9560000</v>
      </c>
      <c r="AC40" s="265" t="n">
        <v>9525000</v>
      </c>
      <c r="AD40" s="265" t="n">
        <v>9498000</v>
      </c>
    </row>
    <row r="41">
      <c r="A41" t="inlineStr">
        <is>
          <t>IntangibleAssetsNetExcludingGoodwill · fonte · unid. moeda</t>
        </is>
      </c>
      <c r="B41" t="n">
        <v>21</v>
      </c>
      <c r="C41" t="inlineStr">
        <is>
          <t>Intangibles</t>
        </is>
      </c>
      <c r="D41" s="265" t="n">
        <v>3321000</v>
      </c>
      <c r="E41" s="265" t="n">
        <v>3613000</v>
      </c>
      <c r="F41" s="265" t="n">
        <v>3561000</v>
      </c>
      <c r="G41" s="265" t="n">
        <v>3671000</v>
      </c>
      <c r="I41" s="265" t="n">
        <v>3675000</v>
      </c>
      <c r="J41" s="265" t="n">
        <v>3676000</v>
      </c>
      <c r="K41" s="265" t="n">
        <v>3582000</v>
      </c>
      <c r="L41" s="265" t="n">
        <v>3859000</v>
      </c>
      <c r="N41" s="265" t="n">
        <v>4027000</v>
      </c>
      <c r="O41" s="265" t="n">
        <v>4049000</v>
      </c>
      <c r="P41" s="265" t="n">
        <v>4022000</v>
      </c>
      <c r="Q41" s="265" t="n">
        <v>4086000</v>
      </c>
      <c r="S41" s="265" t="n">
        <v>4123000</v>
      </c>
      <c r="T41" s="265" t="n">
        <v>4149000</v>
      </c>
      <c r="U41" s="265" t="n">
        <v>4235000</v>
      </c>
      <c r="V41" s="265" t="n">
        <v>5453000</v>
      </c>
      <c r="X41" s="265" t="n">
        <v>5533000</v>
      </c>
      <c r="Y41" s="265" t="n">
        <v>5629000</v>
      </c>
      <c r="Z41" s="265" t="n">
        <v>5591000</v>
      </c>
      <c r="AA41" s="265" t="n">
        <v>5554000</v>
      </c>
      <c r="AC41" s="265" t="n">
        <v>5495000</v>
      </c>
      <c r="AD41" s="265" t="n">
        <v>5466000</v>
      </c>
    </row>
    <row r="42">
      <c r="A42" t="inlineStr">
        <is>
          <t>OtherAssetsNoncurrent · fonte · unid. moeda</t>
        </is>
      </c>
      <c r="B42" t="n">
        <v>22</v>
      </c>
      <c r="C42" t="inlineStr">
        <is>
          <t>Other non-current assets</t>
        </is>
      </c>
      <c r="D42" s="265" t="n">
        <v>5714000</v>
      </c>
      <c r="E42" s="265" t="n">
        <v>6265000</v>
      </c>
      <c r="F42" s="265" t="n">
        <v>6567000</v>
      </c>
      <c r="G42" s="265" t="n">
        <v>6994000</v>
      </c>
      <c r="I42" s="265" t="n">
        <v>7158000</v>
      </c>
      <c r="J42" s="265" t="n">
        <v>6955000</v>
      </c>
      <c r="K42" s="265" t="n">
        <v>7011000</v>
      </c>
      <c r="L42" s="265" t="n">
        <v>7580000</v>
      </c>
      <c r="N42" s="265" t="n">
        <v>7641000</v>
      </c>
      <c r="O42" s="265" t="n">
        <v>7739000</v>
      </c>
      <c r="P42" s="265" t="n">
        <v>7839000</v>
      </c>
      <c r="Q42" s="265" t="n">
        <v>8325000</v>
      </c>
      <c r="S42" s="265" t="n">
        <v>9104000</v>
      </c>
      <c r="T42" s="265" t="n">
        <v>9270000</v>
      </c>
      <c r="U42" s="265" t="n">
        <v>9193000</v>
      </c>
      <c r="V42" s="265" t="n">
        <v>9959000</v>
      </c>
      <c r="X42" s="265" t="n">
        <v>10035000</v>
      </c>
      <c r="Y42" s="265" t="n">
        <v>10269000</v>
      </c>
      <c r="Z42" s="265" t="n">
        <v>11056000</v>
      </c>
      <c r="AA42" s="265" t="n">
        <v>11615000</v>
      </c>
      <c r="AC42" s="265" t="n">
        <v>11186000</v>
      </c>
      <c r="AD42" s="265" t="n">
        <v>12223000</v>
      </c>
    </row>
    <row r="43">
      <c r="A43" t="inlineStr">
        <is>
          <t>AccountsPayableCurrent · fonte · unid. moeda</t>
        </is>
      </c>
      <c r="B43" t="n">
        <v>23</v>
      </c>
      <c r="C43" t="inlineStr">
        <is>
          <t>Accounts payable</t>
        </is>
      </c>
      <c r="D43" s="265" t="n">
        <v>476000</v>
      </c>
      <c r="E43" s="265" t="n">
        <v>547000</v>
      </c>
      <c r="F43" s="265" t="n">
        <v>557000</v>
      </c>
      <c r="G43" s="265" t="n">
        <v>738000</v>
      </c>
      <c r="I43" s="265" t="n">
        <v>666000</v>
      </c>
      <c r="J43" s="265" t="n">
        <v>633000</v>
      </c>
      <c r="K43" s="265" t="n">
        <v>615000</v>
      </c>
      <c r="L43" s="265" t="n">
        <v>926000</v>
      </c>
      <c r="N43" s="265" t="n">
        <v>735000</v>
      </c>
      <c r="O43" s="265" t="n">
        <v>643000</v>
      </c>
      <c r="P43" s="265" t="n">
        <v>589000</v>
      </c>
      <c r="Q43" s="265" t="n">
        <v>834000</v>
      </c>
      <c r="S43" s="265" t="n">
        <v>790000</v>
      </c>
      <c r="T43" s="265" t="n">
        <v>835000</v>
      </c>
      <c r="U43" s="265" t="n">
        <v>911000</v>
      </c>
      <c r="V43" s="265" t="n">
        <v>929000</v>
      </c>
      <c r="X43" s="265" t="n">
        <v>993000</v>
      </c>
      <c r="Y43" s="265" t="n">
        <v>818000</v>
      </c>
      <c r="Z43" s="265" t="n">
        <v>935000</v>
      </c>
      <c r="AA43" s="265" t="n">
        <v>999000</v>
      </c>
      <c r="AC43" s="265" t="n">
        <v>1030000</v>
      </c>
      <c r="AD43" s="265" t="n">
        <v>1130000</v>
      </c>
    </row>
    <row r="44">
      <c r="A44" t="inlineStr">
        <is>
          <t>AccruedLiabilitiesCurrent · fonte · unid. moeda</t>
        </is>
      </c>
      <c r="B44" t="n">
        <v>24</v>
      </c>
      <c r="C44" t="inlineStr">
        <is>
          <t>Accrued expenses</t>
        </is>
      </c>
      <c r="D44" s="265" t="n">
        <v>5200000</v>
      </c>
      <c r="E44" s="265" t="n">
        <v>5564000</v>
      </c>
      <c r="F44" s="265" t="n">
        <v>5964000</v>
      </c>
      <c r="G44" s="265" t="n">
        <v>6642000</v>
      </c>
      <c r="I44" s="265" t="n">
        <v>5954000</v>
      </c>
      <c r="J44" s="265" t="n">
        <v>6111000</v>
      </c>
      <c r="K44" s="265" t="n">
        <v>6888000</v>
      </c>
      <c r="L44" s="265" t="n">
        <v>7801000</v>
      </c>
      <c r="N44" s="265" t="n">
        <v>7310000</v>
      </c>
      <c r="O44" s="265" t="n">
        <v>7117000</v>
      </c>
      <c r="P44" s="265" t="n">
        <v>7775000</v>
      </c>
      <c r="Q44" s="265" t="n">
        <v>8517000</v>
      </c>
      <c r="S44" s="265" t="n">
        <v>8062000</v>
      </c>
      <c r="T44" s="265" t="n">
        <v>8007000</v>
      </c>
      <c r="U44" s="265" t="n">
        <v>9105000</v>
      </c>
      <c r="V44" s="265" t="n">
        <v>10393000</v>
      </c>
      <c r="X44" s="265" t="n">
        <v>9263000</v>
      </c>
      <c r="Y44" s="265" t="n">
        <v>10116000</v>
      </c>
      <c r="Z44" s="265" t="n">
        <v>11979000</v>
      </c>
      <c r="AA44" s="265" t="n">
        <v>13272000</v>
      </c>
      <c r="AC44" s="265" t="n">
        <v>12327000</v>
      </c>
      <c r="AD44" s="265" t="n">
        <v>13027000</v>
      </c>
    </row>
    <row r="45">
      <c r="A45" t="inlineStr">
        <is>
          <t>SettlementDueToCustomers · fonte · unid. moeda</t>
        </is>
      </c>
      <c r="B45" t="n">
        <v>26</v>
      </c>
      <c r="C45" t="inlineStr">
        <is>
          <t>Other current liabilities (non-debt)</t>
        </is>
      </c>
      <c r="D45" s="265" t="n">
        <v>1297000</v>
      </c>
      <c r="E45" s="265" t="n">
        <v>569000</v>
      </c>
      <c r="F45" s="265" t="n">
        <v>496000</v>
      </c>
      <c r="G45" s="265" t="n">
        <v>913000</v>
      </c>
      <c r="I45" s="265" t="n">
        <v>547000</v>
      </c>
      <c r="J45" s="265" t="n">
        <v>672000</v>
      </c>
      <c r="K45" s="265" t="n">
        <v>1054000</v>
      </c>
      <c r="L45" s="265" t="n">
        <v>1111000</v>
      </c>
      <c r="N45" s="265" t="n">
        <v>870000</v>
      </c>
      <c r="O45" s="265" t="n">
        <v>1142000</v>
      </c>
      <c r="P45" s="265" t="n">
        <v>992000</v>
      </c>
      <c r="Q45" s="265" t="n">
        <v>1399000</v>
      </c>
      <c r="S45" s="265" t="n">
        <v>1824000</v>
      </c>
      <c r="T45" s="265" t="n">
        <v>1594000</v>
      </c>
      <c r="U45" s="265" t="n">
        <v>2129000</v>
      </c>
      <c r="V45" s="265" t="n">
        <v>2316000</v>
      </c>
      <c r="X45" s="265" t="n">
        <v>2441000</v>
      </c>
      <c r="Y45" s="265" t="n">
        <v>2676000</v>
      </c>
      <c r="Z45" s="265" t="n">
        <v>2422000</v>
      </c>
      <c r="AA45" s="265" t="n">
        <v>2409000</v>
      </c>
      <c r="AC45" s="265" t="n">
        <v>2544000</v>
      </c>
      <c r="AD45" s="265" t="n">
        <v>3159000</v>
      </c>
    </row>
    <row r="46">
      <c r="A46" t="inlineStr">
        <is>
          <t>ContractWithCustomerLiabilityCurrent · fonte · unid. moeda</t>
        </is>
      </c>
      <c r="B46" t="n">
        <v>26</v>
      </c>
      <c r="C46" t="inlineStr">
        <is>
          <t>Other current liabilities (non-debt)</t>
        </is>
      </c>
      <c r="D46" s="265" t="n">
        <v>1759000</v>
      </c>
      <c r="E46" s="265" t="n">
        <v>1806000</v>
      </c>
      <c r="F46" s="265" t="n">
        <v>1832000</v>
      </c>
      <c r="G46" s="265" t="n">
        <v>1873000</v>
      </c>
      <c r="I46" s="265" t="n">
        <v>1730000</v>
      </c>
      <c r="J46" s="265" t="n">
        <v>1621000</v>
      </c>
      <c r="K46" s="265" t="n">
        <v>1531000</v>
      </c>
      <c r="L46" s="265" t="n">
        <v>1568000</v>
      </c>
      <c r="N46" s="265" t="n">
        <v>1608000</v>
      </c>
      <c r="O46" s="265" t="n">
        <v>1723000</v>
      </c>
      <c r="P46" s="265" t="n">
        <v>1824000</v>
      </c>
      <c r="Q46" s="265" t="n">
        <v>0</v>
      </c>
      <c r="S46" s="265" t="n">
        <v>1861000</v>
      </c>
      <c r="T46" s="265" t="n">
        <v>1772000</v>
      </c>
      <c r="U46" s="265" t="n">
        <v>1868000</v>
      </c>
      <c r="V46" s="265" t="n">
        <v>0</v>
      </c>
      <c r="X46" s="265" t="n">
        <v>1900000</v>
      </c>
      <c r="Y46" s="265" t="n">
        <v>1999000</v>
      </c>
      <c r="Z46" s="265" t="n">
        <v>0</v>
      </c>
      <c r="AA46" s="265" t="n">
        <v>0</v>
      </c>
      <c r="AC46" s="265" t="n">
        <v>0</v>
      </c>
      <c r="AD46" s="265" t="n">
        <v>0</v>
      </c>
    </row>
    <row r="47">
      <c r="A47" t="inlineStr">
        <is>
          <t>LitigationReserveCurrent · fonte · unid. moeda</t>
        </is>
      </c>
      <c r="B47" t="n">
        <v>26</v>
      </c>
      <c r="C47" t="inlineStr">
        <is>
          <t>Other current liabilities (non-debt)</t>
        </is>
      </c>
      <c r="D47" s="265" t="n">
        <v>841000</v>
      </c>
      <c r="E47" s="265" t="n">
        <v>906000</v>
      </c>
      <c r="F47" s="265" t="n">
        <v>838000</v>
      </c>
      <c r="G47" s="265" t="n">
        <v>840000</v>
      </c>
      <c r="I47" s="265" t="n">
        <v>797000</v>
      </c>
      <c r="J47" s="265" t="n">
        <v>923000</v>
      </c>
      <c r="K47" s="265" t="n">
        <v>1086000</v>
      </c>
      <c r="L47" s="265" t="n">
        <v>1094000</v>
      </c>
      <c r="N47" s="265" t="n">
        <v>1107000</v>
      </c>
      <c r="O47" s="265" t="n">
        <v>1079000</v>
      </c>
      <c r="P47" s="265" t="n">
        <v>475000</v>
      </c>
      <c r="Q47" s="265" t="n">
        <v>723000</v>
      </c>
      <c r="S47" s="265" t="n">
        <v>595000</v>
      </c>
      <c r="T47" s="265" t="n">
        <v>525000</v>
      </c>
      <c r="U47" s="265" t="n">
        <v>665000</v>
      </c>
      <c r="V47" s="265" t="n">
        <v>930000</v>
      </c>
      <c r="X47" s="265" t="n">
        <v>1057000</v>
      </c>
      <c r="Y47" s="265" t="n">
        <v>1035000</v>
      </c>
      <c r="Z47" s="265" t="n">
        <v>943000</v>
      </c>
      <c r="AA47" s="265" t="n">
        <v>800000</v>
      </c>
      <c r="AC47" s="265" t="n">
        <v>339000</v>
      </c>
      <c r="AD47" s="265" t="n">
        <v>296000</v>
      </c>
    </row>
    <row r="48">
      <c r="A48" t="inlineStr">
        <is>
          <t>OtherLiabilitiesCurrent · fonte · unid. moeda</t>
        </is>
      </c>
      <c r="B48" t="n">
        <v>26</v>
      </c>
      <c r="C48" t="inlineStr">
        <is>
          <t>Other current liabilities (non-debt)</t>
        </is>
      </c>
      <c r="D48" s="265" t="n">
        <v>1253000</v>
      </c>
      <c r="E48" s="265" t="n">
        <v>1256000</v>
      </c>
      <c r="F48" s="265" t="n">
        <v>1224000</v>
      </c>
      <c r="G48" s="265" t="n">
        <v>1364000</v>
      </c>
      <c r="I48" s="265" t="n">
        <v>1456000</v>
      </c>
      <c r="J48" s="265" t="n">
        <v>1390000</v>
      </c>
      <c r="K48" s="265" t="n">
        <v>1345000</v>
      </c>
      <c r="L48" s="265" t="n">
        <v>1397000</v>
      </c>
      <c r="N48" s="265" t="n">
        <v>1745000</v>
      </c>
      <c r="O48" s="265" t="n">
        <v>1596000</v>
      </c>
      <c r="P48" s="265" t="n">
        <v>1527000</v>
      </c>
      <c r="Q48" s="265" t="n">
        <v>1609000</v>
      </c>
      <c r="S48" s="265" t="n">
        <v>1687000</v>
      </c>
      <c r="T48" s="265" t="n">
        <v>1775000</v>
      </c>
      <c r="U48" s="265" t="n">
        <v>1866000</v>
      </c>
      <c r="V48" s="265" t="n">
        <v>2028000</v>
      </c>
      <c r="X48" s="265" t="n">
        <v>2174000</v>
      </c>
      <c r="Y48" s="265" t="n">
        <v>2385000</v>
      </c>
      <c r="Z48" s="265" t="n">
        <v>2360000</v>
      </c>
      <c r="AA48" s="265" t="n">
        <v>2412000</v>
      </c>
      <c r="AC48" s="265" t="n">
        <v>2639000</v>
      </c>
      <c r="AD48" s="265" t="n">
        <v>2737000</v>
      </c>
    </row>
    <row r="49">
      <c r="A49" t="inlineStr">
        <is>
          <t>DepositLiabilityCurrent · fonte · unid. moeda</t>
        </is>
      </c>
      <c r="B49" t="n">
        <v>26</v>
      </c>
      <c r="C49" t="inlineStr">
        <is>
          <t>Other current liabilities (non-debt)</t>
        </is>
      </c>
      <c r="D49" s="265" t="n">
        <v>0</v>
      </c>
      <c r="E49" s="265" t="n">
        <v>0</v>
      </c>
      <c r="F49" s="265" t="n">
        <v>0</v>
      </c>
      <c r="G49" s="265" t="n">
        <v>0</v>
      </c>
      <c r="I49" s="265" t="n">
        <v>0</v>
      </c>
      <c r="J49" s="265" t="n">
        <v>0</v>
      </c>
      <c r="K49" s="265" t="n">
        <v>0</v>
      </c>
      <c r="L49" s="265" t="n">
        <v>0</v>
      </c>
      <c r="N49" s="265" t="n">
        <v>0</v>
      </c>
      <c r="O49" s="265" t="n">
        <v>0</v>
      </c>
      <c r="P49" s="265" t="n">
        <v>0</v>
      </c>
      <c r="Q49" s="265" t="n">
        <v>1845000</v>
      </c>
      <c r="S49" s="265" t="n">
        <v>0</v>
      </c>
      <c r="T49" s="265" t="n">
        <v>0</v>
      </c>
      <c r="U49" s="265" t="n">
        <v>0</v>
      </c>
      <c r="V49" s="265" t="n">
        <v>1874000</v>
      </c>
      <c r="X49" s="265" t="n">
        <v>0</v>
      </c>
      <c r="Y49" s="265" t="n">
        <v>0</v>
      </c>
      <c r="Z49" s="265" t="n">
        <v>0</v>
      </c>
      <c r="AA49" s="265" t="n">
        <v>2121000</v>
      </c>
      <c r="AC49" s="265" t="n">
        <v>0</v>
      </c>
      <c r="AD49" s="265" t="n">
        <v>0</v>
      </c>
    </row>
    <row r="50">
      <c r="A50" t="inlineStr">
        <is>
          <t>ContractWithCustomerLiabilityRestrictedSecurityDepositsCurrent · fonte · unid. moeda</t>
        </is>
      </c>
      <c r="B50" t="n">
        <v>26</v>
      </c>
      <c r="C50" t="inlineStr">
        <is>
          <t>Other current liabilities (non-debt)</t>
        </is>
      </c>
      <c r="D50" s="265" t="n">
        <v>0</v>
      </c>
      <c r="E50" s="265" t="n">
        <v>0</v>
      </c>
      <c r="F50" s="265" t="n">
        <v>0</v>
      </c>
      <c r="G50" s="265" t="n">
        <v>0</v>
      </c>
      <c r="I50" s="265" t="n">
        <v>0</v>
      </c>
      <c r="J50" s="265" t="n">
        <v>0</v>
      </c>
      <c r="K50" s="265" t="n">
        <v>0</v>
      </c>
      <c r="L50" s="265" t="n">
        <v>0</v>
      </c>
      <c r="N50" s="265" t="n">
        <v>0</v>
      </c>
      <c r="O50" s="265" t="n">
        <v>0</v>
      </c>
      <c r="P50" s="265" t="n">
        <v>0</v>
      </c>
      <c r="Q50" s="265" t="n">
        <v>0</v>
      </c>
      <c r="S50" s="265" t="n">
        <v>0</v>
      </c>
      <c r="T50" s="265" t="n">
        <v>0</v>
      </c>
      <c r="U50" s="265" t="n">
        <v>0</v>
      </c>
      <c r="V50" s="265" t="n">
        <v>0</v>
      </c>
      <c r="X50" s="265" t="n">
        <v>0</v>
      </c>
      <c r="Y50" s="265" t="n">
        <v>0</v>
      </c>
      <c r="Z50" s="265" t="n">
        <v>2054000</v>
      </c>
      <c r="AA50" s="265" t="n">
        <v>0</v>
      </c>
      <c r="AC50" s="265" t="n">
        <v>2307000</v>
      </c>
      <c r="AD50" s="265" t="n">
        <v>2196000</v>
      </c>
    </row>
    <row r="51">
      <c r="A51" t="inlineStr">
        <is>
          <t>LongTermDebtCurrent · fonte · unid. moeda</t>
        </is>
      </c>
      <c r="B51" t="n">
        <v>27</v>
      </c>
      <c r="C51" t="inlineStr">
        <is>
          <t>Current portion of long-term debt</t>
        </is>
      </c>
      <c r="D51" s="265" t="n">
        <v>649000</v>
      </c>
      <c r="E51" s="265" t="n">
        <v>649000</v>
      </c>
      <c r="F51" s="265" t="n">
        <v>650000</v>
      </c>
      <c r="G51" s="265" t="n">
        <v>792000</v>
      </c>
      <c r="I51" s="265" t="n">
        <v>778000</v>
      </c>
      <c r="J51" s="265" t="n">
        <v>735000</v>
      </c>
      <c r="K51" s="265" t="n">
        <v>957000</v>
      </c>
      <c r="L51" s="265" t="n">
        <v>274000</v>
      </c>
      <c r="N51" s="265" t="n">
        <v>276000</v>
      </c>
      <c r="O51" s="265" t="n">
        <v>1336000</v>
      </c>
      <c r="P51" s="265" t="n">
        <v>1337000</v>
      </c>
      <c r="Q51" s="265" t="n">
        <v>1337000</v>
      </c>
      <c r="S51" s="265" t="n">
        <v>2086000</v>
      </c>
      <c r="T51" s="265" t="n">
        <v>1086000</v>
      </c>
      <c r="U51" s="265" t="n">
        <v>750000</v>
      </c>
      <c r="V51" s="265" t="n">
        <v>750000</v>
      </c>
      <c r="X51" s="265" t="n">
        <v>0</v>
      </c>
      <c r="Y51" s="265" t="n">
        <v>0</v>
      </c>
      <c r="Z51" s="265" t="n">
        <v>0</v>
      </c>
      <c r="AA51" s="265" t="n">
        <v>749000</v>
      </c>
      <c r="AC51" s="265" t="n">
        <v>1748000</v>
      </c>
      <c r="AD51" s="265" t="n">
        <v>2459000</v>
      </c>
    </row>
    <row r="52">
      <c r="A52" t="inlineStr">
        <is>
          <t>LongTermDebtNoncurrent · fonte · unid. moeda</t>
        </is>
      </c>
      <c r="B52" t="n">
        <v>30</v>
      </c>
      <c r="C52" t="inlineStr">
        <is>
          <t>Long term debt</t>
        </is>
      </c>
      <c r="D52" s="265" t="n">
        <v>13221000</v>
      </c>
      <c r="E52" s="265" t="n">
        <v>13250000</v>
      </c>
      <c r="F52" s="265" t="n">
        <v>13211000</v>
      </c>
      <c r="G52" s="265" t="n">
        <v>13109000</v>
      </c>
      <c r="I52" s="265" t="n">
        <v>13868000</v>
      </c>
      <c r="J52" s="265" t="n">
        <v>13746000</v>
      </c>
      <c r="K52" s="265" t="n">
        <v>13577000</v>
      </c>
      <c r="L52" s="265" t="n">
        <v>13749000</v>
      </c>
      <c r="N52" s="265" t="n">
        <v>15292000</v>
      </c>
      <c r="O52" s="265" t="n">
        <v>14284000</v>
      </c>
      <c r="P52" s="265" t="n">
        <v>14229000</v>
      </c>
      <c r="Q52" s="265" t="n">
        <v>14344000</v>
      </c>
      <c r="S52" s="265" t="n">
        <v>13543000</v>
      </c>
      <c r="T52" s="265" t="n">
        <v>14519000</v>
      </c>
      <c r="U52" s="265" t="n">
        <v>17608000</v>
      </c>
      <c r="V52" s="265" t="n">
        <v>17476000</v>
      </c>
      <c r="X52" s="265" t="n">
        <v>18802000</v>
      </c>
      <c r="Y52" s="265" t="n">
        <v>18970000</v>
      </c>
      <c r="Z52" s="265" t="n">
        <v>18983000</v>
      </c>
      <c r="AA52" s="265" t="n">
        <v>18251000</v>
      </c>
      <c r="AC52" s="265" t="n">
        <v>17212000</v>
      </c>
      <c r="AD52" s="265" t="n">
        <v>22184000</v>
      </c>
    </row>
    <row r="53">
      <c r="A53" t="inlineStr">
        <is>
          <t>DeferredIncomeTaxLiabilitiesNet · fonte · unid. moeda</t>
        </is>
      </c>
      <c r="B53" t="n">
        <v>33</v>
      </c>
      <c r="C53" t="inlineStr">
        <is>
          <t>Deferred income taxes</t>
        </is>
      </c>
      <c r="D53" s="265" t="n">
        <v>391000</v>
      </c>
      <c r="E53" s="265" t="n">
        <v>394000</v>
      </c>
      <c r="F53" s="265" t="n">
        <v>374000</v>
      </c>
      <c r="G53" s="265" t="n">
        <v>395000</v>
      </c>
      <c r="I53" s="265" t="n">
        <v>386000</v>
      </c>
      <c r="J53" s="265" t="n">
        <v>371000</v>
      </c>
      <c r="K53" s="265" t="n">
        <v>346000</v>
      </c>
      <c r="L53" s="265" t="n">
        <v>393000</v>
      </c>
      <c r="N53" s="265" t="n">
        <v>389000</v>
      </c>
      <c r="O53" s="265" t="n">
        <v>395000</v>
      </c>
      <c r="P53" s="265" t="n">
        <v>385000</v>
      </c>
      <c r="Q53" s="265" t="n">
        <v>369000</v>
      </c>
      <c r="S53" s="265" t="n">
        <v>345000</v>
      </c>
      <c r="T53" s="265" t="n">
        <v>337000</v>
      </c>
      <c r="U53" s="265" t="n">
        <v>349000</v>
      </c>
      <c r="V53" s="265" t="n">
        <v>317000</v>
      </c>
      <c r="X53" s="265" t="n">
        <v>315000</v>
      </c>
      <c r="Y53" s="265" t="n">
        <v>361000</v>
      </c>
      <c r="Z53" s="265" t="n">
        <v>326000</v>
      </c>
      <c r="AA53" s="265" t="n">
        <v>307000</v>
      </c>
      <c r="AC53" s="265" t="n">
        <v>331000</v>
      </c>
      <c r="AD53" s="265" t="n">
        <v>315000</v>
      </c>
    </row>
    <row r="54">
      <c r="A54" t="inlineStr">
        <is>
          <t>OtherLiabilitiesNoncurrent · fonte · unid. moeda</t>
        </is>
      </c>
      <c r="B54" t="n">
        <v>34</v>
      </c>
      <c r="C54" t="inlineStr">
        <is>
          <t>Other non-current liabilities</t>
        </is>
      </c>
      <c r="D54" s="265" t="n">
        <v>3260000</v>
      </c>
      <c r="E54" s="265" t="n">
        <v>3401000</v>
      </c>
      <c r="F54" s="265" t="n">
        <v>3462000</v>
      </c>
      <c r="G54" s="265" t="n">
        <v>3591000</v>
      </c>
      <c r="I54" s="265" t="n">
        <v>3851000</v>
      </c>
      <c r="J54" s="265" t="n">
        <v>3767000</v>
      </c>
      <c r="K54" s="265" t="n">
        <v>3770000</v>
      </c>
      <c r="L54" s="265" t="n">
        <v>4034000</v>
      </c>
      <c r="N54" s="265" t="n">
        <v>4197000</v>
      </c>
      <c r="O54" s="265" t="n">
        <v>4110000</v>
      </c>
      <c r="P54" s="265" t="n">
        <v>4160000</v>
      </c>
      <c r="Q54" s="265" t="n">
        <v>4474000</v>
      </c>
      <c r="S54" s="265" t="n">
        <v>4501000</v>
      </c>
      <c r="T54" s="265" t="n">
        <v>4401000</v>
      </c>
      <c r="U54" s="265" t="n">
        <v>4488000</v>
      </c>
      <c r="V54" s="265" t="n">
        <v>4553000</v>
      </c>
      <c r="X54" s="265" t="n">
        <v>4829000</v>
      </c>
      <c r="Y54" s="265" t="n">
        <v>5197000</v>
      </c>
      <c r="Z54" s="265" t="n">
        <v>5368000</v>
      </c>
      <c r="AA54" s="265" t="n">
        <v>5091000</v>
      </c>
      <c r="AC54" s="265" t="n">
        <v>5250000</v>
      </c>
      <c r="AD54" s="265" t="n">
        <v>4582000</v>
      </c>
    </row>
    <row r="55">
      <c r="A55" t="inlineStr">
        <is>
          <t>MinorityInterest · fonte · unid. moeda</t>
        </is>
      </c>
      <c r="B55" t="n">
        <v>35</v>
      </c>
      <c r="C55" t="inlineStr">
        <is>
          <t>Minority interest</t>
        </is>
      </c>
      <c r="D55" s="265" t="n">
        <v>98000</v>
      </c>
      <c r="E55" s="265" t="n">
        <v>98000</v>
      </c>
      <c r="F55" s="265" t="n">
        <v>70000</v>
      </c>
      <c r="G55" s="265" t="n">
        <v>71000</v>
      </c>
      <c r="I55" s="265" t="n">
        <v>68000</v>
      </c>
      <c r="J55" s="265" t="n">
        <v>65000</v>
      </c>
      <c r="K55" s="265" t="n">
        <v>62000</v>
      </c>
      <c r="L55" s="265" t="n">
        <v>58000</v>
      </c>
      <c r="N55" s="265" t="n">
        <v>56000</v>
      </c>
      <c r="O55" s="265" t="n">
        <v>53000</v>
      </c>
      <c r="P55" s="265" t="n">
        <v>49000</v>
      </c>
      <c r="Q55" s="265" t="n">
        <v>46000</v>
      </c>
      <c r="S55" s="265" t="n">
        <v>43000</v>
      </c>
      <c r="T55" s="265" t="n">
        <v>39000</v>
      </c>
      <c r="U55" s="265" t="n">
        <v>35000</v>
      </c>
      <c r="V55" s="265" t="n">
        <v>30000</v>
      </c>
      <c r="X55" s="265" t="n">
        <v>25000</v>
      </c>
      <c r="Y55" s="265" t="n">
        <v>21000</v>
      </c>
      <c r="Z55" s="265" t="n">
        <v>15000</v>
      </c>
      <c r="AA55" s="265" t="n">
        <v>9000</v>
      </c>
      <c r="AC55" s="265" t="n">
        <v>3000</v>
      </c>
      <c r="AD55" s="265" t="n">
        <v>-5000</v>
      </c>
    </row>
    <row r="56">
      <c r="A56" t="inlineStr">
        <is>
          <t>CommonStockValue[CommonClassAMember] · fonte · unid. moeda</t>
        </is>
      </c>
      <c r="B56" t="n">
        <v>37</v>
      </c>
      <c r="C56" t="inlineStr">
        <is>
          <t>Common Stock and APIC</t>
        </is>
      </c>
      <c r="D56" s="265" t="n">
        <v>0</v>
      </c>
      <c r="E56" s="265" t="n">
        <v>0</v>
      </c>
      <c r="F56" s="265" t="n">
        <v>0</v>
      </c>
      <c r="G56" s="265" t="n">
        <v>0</v>
      </c>
      <c r="I56" s="265" t="n">
        <v>0</v>
      </c>
      <c r="J56" s="265" t="n">
        <v>0</v>
      </c>
      <c r="K56" s="265" t="n">
        <v>0</v>
      </c>
      <c r="L56" s="265" t="n">
        <v>0</v>
      </c>
      <c r="N56" s="265" t="n">
        <v>0</v>
      </c>
      <c r="O56" s="265" t="n">
        <v>0</v>
      </c>
      <c r="P56" s="265" t="n">
        <v>0</v>
      </c>
      <c r="Q56" s="265" t="n">
        <v>0</v>
      </c>
      <c r="S56" s="265" t="n">
        <v>0</v>
      </c>
      <c r="T56" s="265" t="n">
        <v>0</v>
      </c>
      <c r="U56" s="265" t="n">
        <v>0</v>
      </c>
      <c r="V56" s="265" t="n">
        <v>0</v>
      </c>
      <c r="X56" s="265" t="n">
        <v>0</v>
      </c>
      <c r="Y56" s="265" t="n">
        <v>0</v>
      </c>
      <c r="Z56" s="265" t="n">
        <v>0</v>
      </c>
      <c r="AA56" s="265" t="n">
        <v>0</v>
      </c>
      <c r="AC56" s="265" t="n">
        <v>0</v>
      </c>
      <c r="AD56" s="265" t="n">
        <v>0</v>
      </c>
    </row>
    <row r="57">
      <c r="A57" t="inlineStr">
        <is>
          <t>CommonStockValue[CommonClassBMember] · fonte · unid. moeda</t>
        </is>
      </c>
      <c r="B57" t="n">
        <v>37</v>
      </c>
      <c r="C57" t="inlineStr">
        <is>
          <t>Common Stock and APIC</t>
        </is>
      </c>
      <c r="D57" s="265" t="n">
        <v>0</v>
      </c>
      <c r="E57" s="265" t="n">
        <v>0</v>
      </c>
      <c r="F57" s="265" t="n">
        <v>0</v>
      </c>
      <c r="G57" s="265" t="n">
        <v>0</v>
      </c>
      <c r="I57" s="265" t="n">
        <v>0</v>
      </c>
      <c r="J57" s="265" t="n">
        <v>0</v>
      </c>
      <c r="K57" s="265" t="n">
        <v>0</v>
      </c>
      <c r="L57" s="265" t="n">
        <v>0</v>
      </c>
      <c r="N57" s="265" t="n">
        <v>0</v>
      </c>
      <c r="O57" s="265" t="n">
        <v>0</v>
      </c>
      <c r="P57" s="265" t="n">
        <v>0</v>
      </c>
      <c r="Q57" s="265" t="n">
        <v>0</v>
      </c>
      <c r="S57" s="265" t="n">
        <v>0</v>
      </c>
      <c r="T57" s="265" t="n">
        <v>0</v>
      </c>
      <c r="U57" s="265" t="n">
        <v>0</v>
      </c>
      <c r="V57" s="265" t="n">
        <v>0</v>
      </c>
      <c r="X57" s="265" t="n">
        <v>0</v>
      </c>
      <c r="Y57" s="265" t="n">
        <v>0</v>
      </c>
      <c r="Z57" s="265" t="n">
        <v>0</v>
      </c>
      <c r="AA57" s="265" t="n">
        <v>0</v>
      </c>
      <c r="AC57" s="265" t="n">
        <v>0</v>
      </c>
      <c r="AD57" s="265" t="n">
        <v>0</v>
      </c>
    </row>
    <row r="58">
      <c r="A58" t="inlineStr">
        <is>
          <t>AdditionalPaidInCapital · fonte · unid. moeda</t>
        </is>
      </c>
      <c r="B58" t="n">
        <v>37</v>
      </c>
      <c r="C58" t="inlineStr">
        <is>
          <t>Common Stock and APIC</t>
        </is>
      </c>
      <c r="D58" s="265" t="n">
        <v>4949000</v>
      </c>
      <c r="E58" s="265" t="n">
        <v>5053000</v>
      </c>
      <c r="F58" s="265" t="n">
        <v>5026000</v>
      </c>
      <c r="G58" s="265" t="n">
        <v>5061000</v>
      </c>
      <c r="I58" s="265" t="n">
        <v>5026000</v>
      </c>
      <c r="J58" s="265" t="n">
        <v>5163000</v>
      </c>
      <c r="K58" s="265" t="n">
        <v>5269000</v>
      </c>
      <c r="L58" s="265" t="n">
        <v>5298000</v>
      </c>
      <c r="N58" s="265" t="n">
        <v>5376000</v>
      </c>
      <c r="O58" s="265" t="n">
        <v>5622000</v>
      </c>
      <c r="P58" s="265" t="n">
        <v>5791000</v>
      </c>
      <c r="Q58" s="265" t="n">
        <v>5893000</v>
      </c>
      <c r="S58" s="265" t="n">
        <v>5920000</v>
      </c>
      <c r="T58" s="265" t="n">
        <v>6089000</v>
      </c>
      <c r="U58" s="265" t="n">
        <v>6290000</v>
      </c>
      <c r="V58" s="265" t="n">
        <v>6442000</v>
      </c>
      <c r="X58" s="265" t="n">
        <v>6326000</v>
      </c>
      <c r="Y58" s="265" t="n">
        <v>6562000</v>
      </c>
      <c r="Z58" s="265" t="n">
        <v>6757000</v>
      </c>
      <c r="AA58" s="265" t="n">
        <v>6907000</v>
      </c>
      <c r="AC58" s="265" t="n">
        <v>6843000</v>
      </c>
      <c r="AD58" s="265" t="n">
        <v>7070000</v>
      </c>
    </row>
    <row r="59">
      <c r="A59" t="inlineStr">
        <is>
          <t>TreasuryStockValue (divulgado positivo, lançado negativo) · fonte · unid. moeda</t>
        </is>
      </c>
      <c r="B59" t="n">
        <v>38</v>
      </c>
      <c r="C59" t="inlineStr">
        <is>
          <t>Treasury stock (contra account)</t>
        </is>
      </c>
      <c r="D59" s="265" t="n">
        <v>-38024000</v>
      </c>
      <c r="E59" s="265" t="n">
        <v>-39729000</v>
      </c>
      <c r="F59" s="265" t="n">
        <v>-41282000</v>
      </c>
      <c r="G59" s="265" t="n">
        <v>-42588000</v>
      </c>
      <c r="I59" s="265" t="n">
        <v>-44994000</v>
      </c>
      <c r="J59" s="265" t="n">
        <v>-47359000</v>
      </c>
      <c r="K59" s="265" t="n">
        <v>-48916000</v>
      </c>
      <c r="L59" s="265" t="n">
        <v>-51354000</v>
      </c>
      <c r="N59" s="265" t="n">
        <v>-54241000</v>
      </c>
      <c r="O59" s="265" t="n">
        <v>-56659000</v>
      </c>
      <c r="P59" s="265" t="n">
        <v>-58573000</v>
      </c>
      <c r="Q59" s="265" t="n">
        <v>-60429000</v>
      </c>
      <c r="S59" s="265" t="n">
        <v>-62434000</v>
      </c>
      <c r="T59" s="265" t="n">
        <v>-65067000</v>
      </c>
      <c r="U59" s="265" t="n">
        <v>-68035000</v>
      </c>
      <c r="V59" s="265" t="n">
        <v>-71431000</v>
      </c>
      <c r="X59" s="265" t="n">
        <v>-73995000</v>
      </c>
      <c r="Y59" s="265" t="n">
        <v>-76299000</v>
      </c>
      <c r="Z59" s="265" t="n">
        <v>-79670000</v>
      </c>
      <c r="AA59" s="265" t="n">
        <v>-83224000</v>
      </c>
      <c r="AC59" s="265" t="n">
        <v>-87342000</v>
      </c>
      <c r="AD59" s="265" t="n">
        <v>-92226000</v>
      </c>
    </row>
    <row r="60">
      <c r="A60" t="inlineStr">
        <is>
          <t>AccumulatedOtherComprehensiveIncomeLossNetOfTax · fonte · unid. moeda</t>
        </is>
      </c>
      <c r="B60" t="n">
        <v>39</v>
      </c>
      <c r="C60" t="inlineStr">
        <is>
          <t>Comprehensive (accumulated) loss</t>
        </is>
      </c>
      <c r="D60" s="265" t="n">
        <v>-738000</v>
      </c>
      <c r="E60" s="265" t="n">
        <v>-653000</v>
      </c>
      <c r="F60" s="265" t="n">
        <v>-791000</v>
      </c>
      <c r="G60" s="265" t="n">
        <v>-809000</v>
      </c>
      <c r="I60" s="265" t="n">
        <v>-798000</v>
      </c>
      <c r="J60" s="265" t="n">
        <v>-1232000</v>
      </c>
      <c r="K60" s="265" t="n">
        <v>-1617000</v>
      </c>
      <c r="L60" s="265" t="n">
        <v>-1253000</v>
      </c>
      <c r="N60" s="265" t="n">
        <v>-1229000</v>
      </c>
      <c r="O60" s="265" t="n">
        <v>-1189000</v>
      </c>
      <c r="P60" s="265" t="n">
        <v>-1297000</v>
      </c>
      <c r="Q60" s="265" t="n">
        <v>-1099000</v>
      </c>
      <c r="S60" s="265" t="n">
        <v>-1202000</v>
      </c>
      <c r="T60" s="265" t="n">
        <v>-1205000</v>
      </c>
      <c r="U60" s="265" t="n">
        <v>-1073000</v>
      </c>
      <c r="V60" s="265" t="n">
        <v>-1433000</v>
      </c>
      <c r="X60" s="265" t="n">
        <v>-1155000</v>
      </c>
      <c r="Y60" s="265" t="n">
        <v>-919000</v>
      </c>
      <c r="Z60" s="265" t="n">
        <v>-935000</v>
      </c>
      <c r="AA60" s="265" t="n">
        <v>-981000</v>
      </c>
      <c r="AC60" s="265" t="n">
        <v>-928000</v>
      </c>
      <c r="AD60" s="265" t="n">
        <v>-1004000</v>
      </c>
    </row>
    <row r="61">
      <c r="A61" t="inlineStr">
        <is>
          <t>RedeemableNoncontrollingInterestEquityFairValue · fonte · unid. moeda</t>
        </is>
      </c>
      <c r="B61" t="n">
        <v>40</v>
      </c>
      <c r="C61" t="inlineStr">
        <is>
          <t>Other equity account</t>
        </is>
      </c>
      <c r="D61" s="265" t="n">
        <v>28000</v>
      </c>
      <c r="E61" s="265" t="n">
        <v>29000</v>
      </c>
      <c r="F61" s="265" t="n">
        <v>29000</v>
      </c>
      <c r="G61" s="265" t="n">
        <v>29000</v>
      </c>
      <c r="I61" s="265" t="n">
        <v>28000</v>
      </c>
      <c r="J61" s="265" t="n">
        <v>26000</v>
      </c>
      <c r="K61" s="265" t="n">
        <v>20000</v>
      </c>
      <c r="L61" s="265" t="n">
        <v>21000</v>
      </c>
      <c r="N61" s="265" t="n">
        <v>21000</v>
      </c>
      <c r="O61" s="265" t="n">
        <v>22000</v>
      </c>
      <c r="P61" s="265" t="n">
        <v>21000</v>
      </c>
      <c r="Q61" s="265" t="n">
        <v>22000</v>
      </c>
      <c r="S61" s="265" t="n">
        <v>22000</v>
      </c>
      <c r="T61" s="265" t="n">
        <v>22000</v>
      </c>
      <c r="U61" s="265" t="n">
        <v>23000</v>
      </c>
      <c r="V61" s="265" t="n">
        <v>0</v>
      </c>
      <c r="X61" s="265" t="n">
        <v>0</v>
      </c>
      <c r="Y61" s="265" t="n">
        <v>0</v>
      </c>
      <c r="Z61" s="265" t="n">
        <v>0</v>
      </c>
      <c r="AA61" s="265" t="n">
        <v>0</v>
      </c>
      <c r="AC61" s="265" t="n">
        <v>0</v>
      </c>
      <c r="AD61" s="265" t="n">
        <v>0</v>
      </c>
    </row>
    <row r="62">
      <c r="A62" t="inlineStr">
        <is>
          <t>RetainedEarningsAccumulatedDeficit · fonte · unid. moeda</t>
        </is>
      </c>
      <c r="B62" t="n">
        <v>41</v>
      </c>
      <c r="C62" t="inlineStr">
        <is>
          <t>Retained earnings</t>
        </is>
      </c>
      <c r="D62" s="265" t="n">
        <v>40140000</v>
      </c>
      <c r="E62" s="265" t="n">
        <v>41771000</v>
      </c>
      <c r="F62" s="265" t="n">
        <v>43750000</v>
      </c>
      <c r="G62" s="265" t="n">
        <v>45648000</v>
      </c>
      <c r="I62" s="265" t="n">
        <v>47800000</v>
      </c>
      <c r="J62" s="265" t="n">
        <v>49599000</v>
      </c>
      <c r="K62" s="265" t="n">
        <v>51625000</v>
      </c>
      <c r="L62" s="265" t="n">
        <v>53607000</v>
      </c>
      <c r="N62" s="265" t="n">
        <v>55424000</v>
      </c>
      <c r="O62" s="265" t="n">
        <v>57730000</v>
      </c>
      <c r="P62" s="265" t="n">
        <v>60390000</v>
      </c>
      <c r="Q62" s="265" t="n">
        <v>62564000</v>
      </c>
      <c r="S62" s="265" t="n">
        <v>64959000</v>
      </c>
      <c r="T62" s="265" t="n">
        <v>67604000</v>
      </c>
      <c r="U62" s="265" t="n">
        <v>70258000</v>
      </c>
      <c r="V62" s="265" t="n">
        <v>72907000</v>
      </c>
      <c r="X62" s="265" t="n">
        <v>75495000</v>
      </c>
      <c r="Y62" s="265" t="n">
        <v>78509000</v>
      </c>
      <c r="Z62" s="265" t="n">
        <v>81752000</v>
      </c>
      <c r="AA62" s="265" t="n">
        <v>85035000</v>
      </c>
      <c r="AC62" s="265" t="n">
        <v>88146000</v>
      </c>
      <c r="AD62" s="265" t="n">
        <v>91771000</v>
      </c>
    </row>
    <row r="63">
      <c r="A63" t="inlineStr">
        <is>
          <t>[vazio] Estoques: não aparece como linha própria nas demonstrações (zero) · derivada · unid. moeda</t>
        </is>
      </c>
      <c r="B63" t="n">
        <v>13</v>
      </c>
      <c r="C63" t="inlineStr">
        <is>
          <t>Inventories</t>
        </is>
      </c>
      <c r="D63" s="265" t="n">
        <v>0</v>
      </c>
      <c r="E63" s="265" t="n">
        <v>0</v>
      </c>
      <c r="F63" s="265" t="n">
        <v>0</v>
      </c>
      <c r="G63" s="265" t="n">
        <v>0</v>
      </c>
      <c r="I63" s="265" t="n">
        <v>0</v>
      </c>
      <c r="J63" s="265" t="n">
        <v>0</v>
      </c>
      <c r="K63" s="265" t="n">
        <v>0</v>
      </c>
      <c r="L63" s="265" t="n">
        <v>0</v>
      </c>
      <c r="N63" s="265" t="n">
        <v>0</v>
      </c>
      <c r="O63" s="265" t="n">
        <v>0</v>
      </c>
      <c r="P63" s="265" t="n">
        <v>0</v>
      </c>
      <c r="Q63" s="265" t="n">
        <v>0</v>
      </c>
      <c r="S63" s="265" t="n">
        <v>0</v>
      </c>
      <c r="T63" s="265" t="n">
        <v>0</v>
      </c>
      <c r="U63" s="265" t="n">
        <v>0</v>
      </c>
      <c r="V63" s="265" t="n">
        <v>0</v>
      </c>
      <c r="X63" s="265" t="n">
        <v>0</v>
      </c>
      <c r="Y63" s="265" t="n">
        <v>0</v>
      </c>
      <c r="Z63" s="265" t="n">
        <v>0</v>
      </c>
      <c r="AA63" s="265" t="n">
        <v>0</v>
      </c>
      <c r="AC63" s="265" t="n">
        <v>0</v>
      </c>
      <c r="AD63" s="265" t="n">
        <v>0</v>
      </c>
    </row>
    <row r="64">
      <c r="A64" t="inlineStr">
        <is>
          <t>[vazio] Despesas antecipadas: não aparece como linha própria nas demonstrações (zero) · derivada · unid. moeda</t>
        </is>
      </c>
      <c r="B64" t="n">
        <v>15</v>
      </c>
      <c r="C64" t="inlineStr">
        <is>
          <t>Prepaid expenses</t>
        </is>
      </c>
      <c r="D64" s="265" t="n">
        <v>0</v>
      </c>
      <c r="E64" s="265" t="n">
        <v>0</v>
      </c>
      <c r="F64" s="265" t="n">
        <v>0</v>
      </c>
      <c r="G64" s="265" t="n">
        <v>0</v>
      </c>
      <c r="I64" s="265" t="n">
        <v>0</v>
      </c>
      <c r="J64" s="265" t="n">
        <v>0</v>
      </c>
      <c r="K64" s="265" t="n">
        <v>0</v>
      </c>
      <c r="L64" s="265" t="n">
        <v>0</v>
      </c>
      <c r="N64" s="265" t="n">
        <v>0</v>
      </c>
      <c r="O64" s="265" t="n">
        <v>0</v>
      </c>
      <c r="P64" s="265" t="n">
        <v>0</v>
      </c>
      <c r="Q64" s="265" t="n">
        <v>0</v>
      </c>
      <c r="S64" s="265" t="n">
        <v>0</v>
      </c>
      <c r="T64" s="265" t="n">
        <v>0</v>
      </c>
      <c r="U64" s="265" t="n">
        <v>0</v>
      </c>
      <c r="V64" s="265" t="n">
        <v>0</v>
      </c>
      <c r="X64" s="265" t="n">
        <v>0</v>
      </c>
      <c r="Y64" s="265" t="n">
        <v>0</v>
      </c>
      <c r="Z64" s="265" t="n">
        <v>0</v>
      </c>
      <c r="AA64" s="265" t="n">
        <v>0</v>
      </c>
      <c r="AC64" s="265" t="n">
        <v>0</v>
      </c>
      <c r="AD64" s="265" t="n">
        <v>0</v>
      </c>
    </row>
    <row r="65">
      <c r="A65" t="inlineStr">
        <is>
          <t>[vazio] Investimentos em coligadas: não aparece como linha própria nas demonstrações (zero) · derivada · unid. moeda</t>
        </is>
      </c>
      <c r="B65" t="n">
        <v>17</v>
      </c>
      <c r="C65" t="inlineStr">
        <is>
          <t>Equity in affiliates</t>
        </is>
      </c>
      <c r="D65" s="265" t="n">
        <v>0</v>
      </c>
      <c r="E65" s="265" t="n">
        <v>0</v>
      </c>
      <c r="F65" s="265" t="n">
        <v>0</v>
      </c>
      <c r="G65" s="265" t="n">
        <v>0</v>
      </c>
      <c r="I65" s="265" t="n">
        <v>0</v>
      </c>
      <c r="J65" s="265" t="n">
        <v>0</v>
      </c>
      <c r="K65" s="265" t="n">
        <v>0</v>
      </c>
      <c r="L65" s="265" t="n">
        <v>0</v>
      </c>
      <c r="N65" s="265" t="n">
        <v>0</v>
      </c>
      <c r="O65" s="265" t="n">
        <v>0</v>
      </c>
      <c r="P65" s="265" t="n">
        <v>0</v>
      </c>
      <c r="Q65" s="265" t="n">
        <v>0</v>
      </c>
      <c r="S65" s="265" t="n">
        <v>0</v>
      </c>
      <c r="T65" s="265" t="n">
        <v>0</v>
      </c>
      <c r="U65" s="265" t="n">
        <v>0</v>
      </c>
      <c r="V65" s="265" t="n">
        <v>0</v>
      </c>
      <c r="X65" s="265" t="n">
        <v>0</v>
      </c>
      <c r="Y65" s="265" t="n">
        <v>0</v>
      </c>
      <c r="Z65" s="265" t="n">
        <v>0</v>
      </c>
      <c r="AA65" s="265" t="n">
        <v>0</v>
      </c>
      <c r="AC65" s="265" t="n">
        <v>0</v>
      </c>
      <c r="AD65" s="265" t="n">
        <v>0</v>
      </c>
    </row>
    <row r="66">
      <c r="A66" t="inlineStr">
        <is>
          <t>[vazio] Direito de uso: não aparece como linha própria nas demonstrações (zero) · derivada · unid. moeda</t>
        </is>
      </c>
      <c r="B66" t="n">
        <v>19</v>
      </c>
      <c r="C66" t="inlineStr">
        <is>
          <t>Right-of-use-assets</t>
        </is>
      </c>
      <c r="D66" s="265" t="n">
        <v>0</v>
      </c>
      <c r="E66" s="265" t="n">
        <v>0</v>
      </c>
      <c r="F66" s="265" t="n">
        <v>0</v>
      </c>
      <c r="G66" s="265" t="n">
        <v>0</v>
      </c>
      <c r="I66" s="265" t="n">
        <v>0</v>
      </c>
      <c r="J66" s="265" t="n">
        <v>0</v>
      </c>
      <c r="K66" s="265" t="n">
        <v>0</v>
      </c>
      <c r="L66" s="265" t="n">
        <v>0</v>
      </c>
      <c r="N66" s="265" t="n">
        <v>0</v>
      </c>
      <c r="O66" s="265" t="n">
        <v>0</v>
      </c>
      <c r="P66" s="265" t="n">
        <v>0</v>
      </c>
      <c r="Q66" s="265" t="n">
        <v>0</v>
      </c>
      <c r="S66" s="265" t="n">
        <v>0</v>
      </c>
      <c r="T66" s="265" t="n">
        <v>0</v>
      </c>
      <c r="U66" s="265" t="n">
        <v>0</v>
      </c>
      <c r="V66" s="265" t="n">
        <v>0</v>
      </c>
      <c r="X66" s="265" t="n">
        <v>0</v>
      </c>
      <c r="Y66" s="265" t="n">
        <v>0</v>
      </c>
      <c r="Z66" s="265" t="n">
        <v>0</v>
      </c>
      <c r="AA66" s="265" t="n">
        <v>0</v>
      </c>
      <c r="AC66" s="265" t="n">
        <v>0</v>
      </c>
      <c r="AD66" s="265" t="n">
        <v>0</v>
      </c>
    </row>
    <row r="67">
      <c r="A67" t="inlineStr">
        <is>
          <t>[vazio] Impostos a pagar: não aparece como linha própria nas demonstrações (zero) · derivada · unid. moeda</t>
        </is>
      </c>
      <c r="B67" t="n">
        <v>25</v>
      </c>
      <c r="C67" t="inlineStr">
        <is>
          <t>Taxes payable</t>
        </is>
      </c>
      <c r="D67" s="265" t="n">
        <v>0</v>
      </c>
      <c r="E67" s="265" t="n">
        <v>0</v>
      </c>
      <c r="F67" s="265" t="n">
        <v>0</v>
      </c>
      <c r="G67" s="265" t="n">
        <v>0</v>
      </c>
      <c r="I67" s="265" t="n">
        <v>0</v>
      </c>
      <c r="J67" s="265" t="n">
        <v>0</v>
      </c>
      <c r="K67" s="265" t="n">
        <v>0</v>
      </c>
      <c r="L67" s="265" t="n">
        <v>0</v>
      </c>
      <c r="N67" s="265" t="n">
        <v>0</v>
      </c>
      <c r="O67" s="265" t="n">
        <v>0</v>
      </c>
      <c r="P67" s="265" t="n">
        <v>0</v>
      </c>
      <c r="Q67" s="265" t="n">
        <v>0</v>
      </c>
      <c r="S67" s="265" t="n">
        <v>0</v>
      </c>
      <c r="T67" s="265" t="n">
        <v>0</v>
      </c>
      <c r="U67" s="265" t="n">
        <v>0</v>
      </c>
      <c r="V67" s="265" t="n">
        <v>0</v>
      </c>
      <c r="X67" s="265" t="n">
        <v>0</v>
      </c>
      <c r="Y67" s="265" t="n">
        <v>0</v>
      </c>
      <c r="Z67" s="265" t="n">
        <v>0</v>
      </c>
      <c r="AA67" s="265" t="n">
        <v>0</v>
      </c>
      <c r="AC67" s="265" t="n">
        <v>0</v>
      </c>
      <c r="AD67" s="265" t="n">
        <v>0</v>
      </c>
    </row>
    <row r="68">
      <c r="A68" t="inlineStr">
        <is>
          <t>[vazio] Revolving: não aparece como linha própria nas demonstrações (zero) · derivada · unid. moeda</t>
        </is>
      </c>
      <c r="B68" t="n">
        <v>28</v>
      </c>
      <c r="C68" t="inlineStr">
        <is>
          <t>Short term debt (Revolving credit facility)</t>
        </is>
      </c>
      <c r="D68" s="265" t="n">
        <v>0</v>
      </c>
      <c r="E68" s="265" t="n">
        <v>0</v>
      </c>
      <c r="F68" s="265" t="n">
        <v>0</v>
      </c>
      <c r="G68" s="265" t="n">
        <v>0</v>
      </c>
      <c r="I68" s="265" t="n">
        <v>0</v>
      </c>
      <c r="J68" s="265" t="n">
        <v>0</v>
      </c>
      <c r="K68" s="265" t="n">
        <v>0</v>
      </c>
      <c r="L68" s="265" t="n">
        <v>0</v>
      </c>
      <c r="N68" s="265" t="n">
        <v>0</v>
      </c>
      <c r="O68" s="265" t="n">
        <v>0</v>
      </c>
      <c r="P68" s="265" t="n">
        <v>0</v>
      </c>
      <c r="Q68" s="265" t="n">
        <v>0</v>
      </c>
      <c r="S68" s="265" t="n">
        <v>0</v>
      </c>
      <c r="T68" s="265" t="n">
        <v>0</v>
      </c>
      <c r="U68" s="265" t="n">
        <v>0</v>
      </c>
      <c r="V68" s="265" t="n">
        <v>0</v>
      </c>
      <c r="X68" s="265" t="n">
        <v>0</v>
      </c>
      <c r="Y68" s="265" t="n">
        <v>0</v>
      </c>
      <c r="Z68" s="265" t="n">
        <v>0</v>
      </c>
      <c r="AA68" s="265" t="n">
        <v>0</v>
      </c>
      <c r="AC68" s="265" t="n">
        <v>0</v>
      </c>
      <c r="AD68" s="265" t="n">
        <v>0</v>
      </c>
    </row>
    <row r="69">
      <c r="A69" t="inlineStr">
        <is>
          <t>[vazio] Arrendamento CP: não aparece como linha própria nas demonstrações (zero) · derivada · unid. moeda</t>
        </is>
      </c>
      <c r="B69" t="n">
        <v>29</v>
      </c>
      <c r="C69" t="inlineStr">
        <is>
          <t>Short term operating leases</t>
        </is>
      </c>
      <c r="D69" s="265" t="n">
        <v>0</v>
      </c>
      <c r="E69" s="265" t="n">
        <v>0</v>
      </c>
      <c r="F69" s="265" t="n">
        <v>0</v>
      </c>
      <c r="G69" s="265" t="n">
        <v>0</v>
      </c>
      <c r="I69" s="265" t="n">
        <v>0</v>
      </c>
      <c r="J69" s="265" t="n">
        <v>0</v>
      </c>
      <c r="K69" s="265" t="n">
        <v>0</v>
      </c>
      <c r="L69" s="265" t="n">
        <v>0</v>
      </c>
      <c r="N69" s="265" t="n">
        <v>0</v>
      </c>
      <c r="O69" s="265" t="n">
        <v>0</v>
      </c>
      <c r="P69" s="265" t="n">
        <v>0</v>
      </c>
      <c r="Q69" s="265" t="n">
        <v>0</v>
      </c>
      <c r="S69" s="265" t="n">
        <v>0</v>
      </c>
      <c r="T69" s="265" t="n">
        <v>0</v>
      </c>
      <c r="U69" s="265" t="n">
        <v>0</v>
      </c>
      <c r="V69" s="265" t="n">
        <v>0</v>
      </c>
      <c r="X69" s="265" t="n">
        <v>0</v>
      </c>
      <c r="Y69" s="265" t="n">
        <v>0</v>
      </c>
      <c r="Z69" s="265" t="n">
        <v>0</v>
      </c>
      <c r="AA69" s="265" t="n">
        <v>0</v>
      </c>
      <c r="AC69" s="265" t="n">
        <v>0</v>
      </c>
      <c r="AD69" s="265" t="n">
        <v>0</v>
      </c>
    </row>
    <row r="70">
      <c r="A70" t="inlineStr">
        <is>
          <t>[vazio] Arrendamento LP: não aparece como linha própria nas demonstrações (zero) · derivada · unid. moeda</t>
        </is>
      </c>
      <c r="B70" t="n">
        <v>31</v>
      </c>
      <c r="C70" t="inlineStr">
        <is>
          <t>Long term operating leases</t>
        </is>
      </c>
      <c r="D70" s="265" t="n">
        <v>0</v>
      </c>
      <c r="E70" s="265" t="n">
        <v>0</v>
      </c>
      <c r="F70" s="265" t="n">
        <v>0</v>
      </c>
      <c r="G70" s="265" t="n">
        <v>0</v>
      </c>
      <c r="I70" s="265" t="n">
        <v>0</v>
      </c>
      <c r="J70" s="265" t="n">
        <v>0</v>
      </c>
      <c r="K70" s="265" t="n">
        <v>0</v>
      </c>
      <c r="L70" s="265" t="n">
        <v>0</v>
      </c>
      <c r="N70" s="265" t="n">
        <v>0</v>
      </c>
      <c r="O70" s="265" t="n">
        <v>0</v>
      </c>
      <c r="P70" s="265" t="n">
        <v>0</v>
      </c>
      <c r="Q70" s="265" t="n">
        <v>0</v>
      </c>
      <c r="S70" s="265" t="n">
        <v>0</v>
      </c>
      <c r="T70" s="265" t="n">
        <v>0</v>
      </c>
      <c r="U70" s="265" t="n">
        <v>0</v>
      </c>
      <c r="V70" s="265" t="n">
        <v>0</v>
      </c>
      <c r="X70" s="265" t="n">
        <v>0</v>
      </c>
      <c r="Y70" s="265" t="n">
        <v>0</v>
      </c>
      <c r="Z70" s="265" t="n">
        <v>0</v>
      </c>
      <c r="AA70" s="265" t="n">
        <v>0</v>
      </c>
      <c r="AC70" s="265" t="n">
        <v>0</v>
      </c>
      <c r="AD70" s="265" t="n">
        <v>0</v>
      </c>
    </row>
    <row r="71">
      <c r="A71" t="inlineStr">
        <is>
          <t>[vazio] Dívida conversível: não aparece como linha própria nas demonstrações (zero) · derivada · unid. moeda</t>
        </is>
      </c>
      <c r="B71" t="n">
        <v>32</v>
      </c>
      <c r="C71" t="inlineStr">
        <is>
          <t>Convertible debt</t>
        </is>
      </c>
      <c r="D71" s="265" t="n">
        <v>0</v>
      </c>
      <c r="E71" s="265" t="n">
        <v>0</v>
      </c>
      <c r="F71" s="265" t="n">
        <v>0</v>
      </c>
      <c r="G71" s="265" t="n">
        <v>0</v>
      </c>
      <c r="I71" s="265" t="n">
        <v>0</v>
      </c>
      <c r="J71" s="265" t="n">
        <v>0</v>
      </c>
      <c r="K71" s="265" t="n">
        <v>0</v>
      </c>
      <c r="L71" s="265" t="n">
        <v>0</v>
      </c>
      <c r="N71" s="265" t="n">
        <v>0</v>
      </c>
      <c r="O71" s="265" t="n">
        <v>0</v>
      </c>
      <c r="P71" s="265" t="n">
        <v>0</v>
      </c>
      <c r="Q71" s="265" t="n">
        <v>0</v>
      </c>
      <c r="S71" s="265" t="n">
        <v>0</v>
      </c>
      <c r="T71" s="265" t="n">
        <v>0</v>
      </c>
      <c r="U71" s="265" t="n">
        <v>0</v>
      </c>
      <c r="V71" s="265" t="n">
        <v>0</v>
      </c>
      <c r="X71" s="265" t="n">
        <v>0</v>
      </c>
      <c r="Y71" s="265" t="n">
        <v>0</v>
      </c>
      <c r="Z71" s="265" t="n">
        <v>0</v>
      </c>
      <c r="AA71" s="265" t="n">
        <v>0</v>
      </c>
      <c r="AC71" s="265" t="n">
        <v>0</v>
      </c>
      <c r="AD71" s="265" t="n">
        <v>0</v>
      </c>
    </row>
    <row r="72">
      <c r="A72" t="inlineStr">
        <is>
          <t>BALANÇO - totais divulgados (memória)</t>
        </is>
      </c>
      <c r="C72" t="inlineStr">
        <is>
          <t>[linha bruta, sem código; lançada nas linhas abaixo]</t>
        </is>
      </c>
      <c r="D72" s="265" t="n"/>
      <c r="E72" s="265" t="n"/>
      <c r="F72" s="265" t="n"/>
      <c r="G72" s="265" t="n"/>
      <c r="I72" s="265" t="n"/>
      <c r="J72" s="265" t="n"/>
      <c r="K72" s="265" t="n"/>
      <c r="L72" s="265" t="n"/>
      <c r="N72" s="265" t="n"/>
      <c r="O72" s="265" t="n"/>
      <c r="P72" s="265" t="n"/>
      <c r="Q72" s="265" t="n"/>
      <c r="S72" s="265" t="n"/>
      <c r="T72" s="265" t="n"/>
      <c r="U72" s="265" t="n"/>
      <c r="V72" s="265" t="n"/>
      <c r="X72" s="265" t="n"/>
      <c r="Y72" s="265" t="n"/>
      <c r="Z72" s="265" t="n"/>
      <c r="AA72" s="265" t="n"/>
      <c r="AC72" s="265" t="n"/>
      <c r="AD72" s="265" t="n"/>
    </row>
    <row r="73">
      <c r="A73" t="inlineStr">
        <is>
          <t>Total do ativo [us-gaap:Assets] · memoria · unid. moeda</t>
        </is>
      </c>
      <c r="C73" t="inlineStr">
        <is>
          <t>[linha bruta, sem código; lançada nas linhas abaixo]</t>
        </is>
      </c>
      <c r="D73" s="265" t="n">
        <v>34800000</v>
      </c>
      <c r="E73" s="265" t="n">
        <v>34911000</v>
      </c>
      <c r="F73" s="265" t="n">
        <v>35410000</v>
      </c>
      <c r="G73" s="265" t="n">
        <v>37669000</v>
      </c>
      <c r="I73" s="265" t="n">
        <v>37163000</v>
      </c>
      <c r="J73" s="265" t="n">
        <v>36231000</v>
      </c>
      <c r="K73" s="265" t="n">
        <v>37612000</v>
      </c>
      <c r="L73" s="265" t="n">
        <v>38724000</v>
      </c>
      <c r="N73" s="265" t="n">
        <v>38936000</v>
      </c>
      <c r="O73" s="265" t="n">
        <v>39004000</v>
      </c>
      <c r="P73" s="265" t="n">
        <v>39674000</v>
      </c>
      <c r="Q73" s="265" t="n">
        <v>42448000</v>
      </c>
      <c r="S73" s="265" t="n">
        <v>42602000</v>
      </c>
      <c r="T73" s="265" t="n">
        <v>42333000</v>
      </c>
      <c r="U73" s="265" t="n">
        <v>47237000</v>
      </c>
      <c r="V73" s="265" t="n">
        <v>48081000</v>
      </c>
      <c r="X73" s="265" t="n">
        <v>48470000</v>
      </c>
      <c r="Y73" s="265" t="n">
        <v>51431000</v>
      </c>
      <c r="Z73" s="265" t="n">
        <v>53289000</v>
      </c>
      <c r="AA73" s="265" t="n">
        <v>54157000</v>
      </c>
      <c r="AC73" s="265" t="n">
        <v>52449000</v>
      </c>
      <c r="AD73" s="265" t="n">
        <v>57691000</v>
      </c>
    </row>
    <row r="74">
      <c r="A74" t="inlineStr">
        <is>
          <t>Total do passivo + PL [us-gaap:LiabilitiesAndStockholdersEquity] · memoria · unid. moeda</t>
        </is>
      </c>
      <c r="C74" t="inlineStr">
        <is>
          <t>[linha bruta, sem código; lançada nas linhas abaixo]</t>
        </is>
      </c>
      <c r="D74" s="265" t="n">
        <v>34800000</v>
      </c>
      <c r="E74" s="265" t="n">
        <v>34911000</v>
      </c>
      <c r="F74" s="265" t="n">
        <v>35410000</v>
      </c>
      <c r="G74" s="265" t="n">
        <v>37669000</v>
      </c>
      <c r="I74" s="265" t="n">
        <v>37163000</v>
      </c>
      <c r="J74" s="265" t="n">
        <v>36231000</v>
      </c>
      <c r="K74" s="265" t="n">
        <v>37612000</v>
      </c>
      <c r="L74" s="265" t="n">
        <v>38724000</v>
      </c>
      <c r="N74" s="265" t="n">
        <v>38936000</v>
      </c>
      <c r="O74" s="265" t="n">
        <v>39004000</v>
      </c>
      <c r="P74" s="265" t="n">
        <v>39674000</v>
      </c>
      <c r="Q74" s="265" t="n">
        <v>42448000</v>
      </c>
      <c r="S74" s="265" t="n">
        <v>42602000</v>
      </c>
      <c r="T74" s="265" t="n">
        <v>42333000</v>
      </c>
      <c r="U74" s="265" t="n">
        <v>47237000</v>
      </c>
      <c r="V74" s="265" t="n">
        <v>48081000</v>
      </c>
      <c r="X74" s="265" t="n">
        <v>48470000</v>
      </c>
      <c r="Y74" s="265" t="n">
        <v>51431000</v>
      </c>
      <c r="Z74" s="265" t="n">
        <v>53289000</v>
      </c>
      <c r="AA74" s="265" t="n">
        <v>54157000</v>
      </c>
      <c r="AC74" s="265" t="n">
        <v>52449000</v>
      </c>
      <c r="AD74" s="265" t="n">
        <v>57691000</v>
      </c>
    </row>
    <row r="75">
      <c r="A75" t="inlineStr">
        <is>
          <t>CHECKS (devem ser 0)</t>
        </is>
      </c>
      <c r="C75" t="inlineStr">
        <is>
          <t>[linha bruta, sem código; lançada nas linhas abaixo]</t>
        </is>
      </c>
      <c r="D75" s="265" t="n"/>
      <c r="E75" s="265" t="n"/>
      <c r="F75" s="265" t="n"/>
      <c r="G75" s="265" t="n"/>
      <c r="I75" s="265" t="n"/>
      <c r="J75" s="265" t="n"/>
      <c r="K75" s="265" t="n"/>
      <c r="L75" s="265" t="n"/>
      <c r="N75" s="265" t="n"/>
      <c r="O75" s="265" t="n"/>
      <c r="P75" s="265" t="n"/>
      <c r="Q75" s="265" t="n"/>
      <c r="S75" s="265" t="n"/>
      <c r="T75" s="265" t="n"/>
      <c r="U75" s="265" t="n"/>
      <c r="V75" s="265" t="n"/>
      <c r="X75" s="265" t="n"/>
      <c r="Y75" s="265" t="n"/>
      <c r="Z75" s="265" t="n"/>
      <c r="AA75" s="265" t="n"/>
      <c r="AC75" s="265" t="n"/>
      <c r="AD75" s="265" t="n"/>
    </row>
    <row r="76">
      <c r="A76" t="inlineStr">
        <is>
          <t>CHECK: contas de ativo - ativo total (USD, arredondado a 100 mil) · derivada · unid. moeda</t>
        </is>
      </c>
      <c r="C76" t="inlineStr">
        <is>
          <t>[linha bruta, sem código; lançada nas linhas abaixo]</t>
        </is>
      </c>
      <c r="D76" s="265">
        <f>ROUND(N(D30)+N(D31)+N(D32)+N(D33)+N(D34)+N(D35)+N(D36)+N(D37)+N(D38)+N(D39)+N(D40)+N(D41)+N(D42)-N(D73),-2)</f>
        <v>0</v>
      </c>
      <c r="E76" s="265">
        <f>ROUND(N(E30)+N(E31)+N(E32)+N(E33)+N(E34)+N(E35)+N(E36)+N(E37)+N(E38)+N(E39)+N(E40)+N(E41)+N(E42)-N(E73),-2)</f>
        <v>0</v>
      </c>
      <c r="F76" s="265">
        <f>ROUND(N(F30)+N(F31)+N(F32)+N(F33)+N(F34)+N(F35)+N(F36)+N(F37)+N(F38)+N(F39)+N(F40)+N(F41)+N(F42)-N(F73),-2)</f>
        <v>0</v>
      </c>
      <c r="G76" s="265">
        <f>ROUND(N(G30)+N(G31)+N(G32)+N(G33)+N(G34)+N(G35)+N(G36)+N(G37)+N(G38)+N(G39)+N(G40)+N(G41)+N(G42)-N(G73),-2)</f>
        <v>0</v>
      </c>
      <c r="I76" s="265">
        <f>ROUND(N(I30)+N(I31)+N(I32)+N(I33)+N(I34)+N(I35)+N(I36)+N(I37)+N(I38)+N(I39)+N(I40)+N(I41)+N(I42)-N(I73),-2)</f>
        <v>0</v>
      </c>
      <c r="J76" s="265">
        <f>ROUND(N(J30)+N(J31)+N(J32)+N(J33)+N(J34)+N(J35)+N(J36)+N(J37)+N(J38)+N(J39)+N(J40)+N(J41)+N(J42)-N(J73),-2)</f>
        <v>0</v>
      </c>
      <c r="K76" s="265">
        <f>ROUND(N(K30)+N(K31)+N(K32)+N(K33)+N(K34)+N(K35)+N(K36)+N(K37)+N(K38)+N(K39)+N(K40)+N(K41)+N(K42)-N(K73),-2)</f>
        <v>0</v>
      </c>
      <c r="L76" s="265">
        <f>ROUND(N(L30)+N(L31)+N(L32)+N(L33)+N(L34)+N(L35)+N(L36)+N(L37)+N(L38)+N(L39)+N(L40)+N(L41)+N(L42)-N(L73),-2)</f>
        <v>0</v>
      </c>
      <c r="N76" s="265">
        <f>ROUND(N(N30)+N(N31)+N(N32)+N(N33)+N(N34)+N(N35)+N(N36)+N(N37)+N(N38)+N(N39)+N(N40)+N(N41)+N(N42)-N(N73),-2)</f>
        <v>0</v>
      </c>
      <c r="O76" s="265">
        <f>ROUND(N(O30)+N(O31)+N(O32)+N(O33)+N(O34)+N(O35)+N(O36)+N(O37)+N(O38)+N(O39)+N(O40)+N(O41)+N(O42)-N(O73),-2)</f>
        <v>0</v>
      </c>
      <c r="P76" s="265">
        <f>ROUND(N(P30)+N(P31)+N(P32)+N(P33)+N(P34)+N(P35)+N(P36)+N(P37)+N(P38)+N(P39)+N(P40)+N(P41)+N(P42)-N(P73),-2)</f>
        <v>0</v>
      </c>
      <c r="Q76" s="265">
        <f>ROUND(N(Q30)+N(Q31)+N(Q32)+N(Q33)+N(Q34)+N(Q35)+N(Q36)+N(Q37)+N(Q38)+N(Q39)+N(Q40)+N(Q41)+N(Q42)-N(Q73),-2)</f>
        <v>0</v>
      </c>
      <c r="S76" s="265">
        <f>ROUND(N(S30)+N(S31)+N(S32)+N(S33)+N(S34)+N(S35)+N(S36)+N(S37)+N(S38)+N(S39)+N(S40)+N(S41)+N(S42)-N(S73),-2)</f>
        <v>0</v>
      </c>
      <c r="T76" s="265">
        <f>ROUND(N(T30)+N(T31)+N(T32)+N(T33)+N(T34)+N(T35)+N(T36)+N(T37)+N(T38)+N(T39)+N(T40)+N(T41)+N(T42)-N(T73),-2)</f>
        <v>0</v>
      </c>
      <c r="U76" s="265">
        <f>ROUND(N(U30)+N(U31)+N(U32)+N(U33)+N(U34)+N(U35)+N(U36)+N(U37)+N(U38)+N(U39)+N(U40)+N(U41)+N(U42)-N(U73),-2)</f>
        <v>0</v>
      </c>
      <c r="V76" s="265">
        <f>ROUND(N(V30)+N(V31)+N(V32)+N(V33)+N(V34)+N(V35)+N(V36)+N(V37)+N(V38)+N(V39)+N(V40)+N(V41)+N(V42)-N(V73),-2)</f>
        <v>0</v>
      </c>
      <c r="X76" s="265">
        <f>ROUND(N(X30)+N(X31)+N(X32)+N(X33)+N(X34)+N(X35)+N(X36)+N(X37)+N(X38)+N(X39)+N(X40)+N(X41)+N(X42)-N(X73),-2)</f>
        <v>0</v>
      </c>
      <c r="Y76" s="265">
        <f>ROUND(N(Y30)+N(Y31)+N(Y32)+N(Y33)+N(Y34)+N(Y35)+N(Y36)+N(Y37)+N(Y38)+N(Y39)+N(Y40)+N(Y41)+N(Y42)-N(Y73),-2)</f>
        <v>0</v>
      </c>
      <c r="Z76" s="265">
        <f>ROUND(N(Z30)+N(Z31)+N(Z32)+N(Z33)+N(Z34)+N(Z35)+N(Z36)+N(Z37)+N(Z38)+N(Z39)+N(Z40)+N(Z41)+N(Z42)-N(Z73),-2)</f>
        <v>0</v>
      </c>
      <c r="AA76" s="265">
        <f>ROUND(N(AA30)+N(AA31)+N(AA32)+N(AA33)+N(AA34)+N(AA35)+N(AA36)+N(AA37)+N(AA38)+N(AA39)+N(AA40)+N(AA41)+N(AA42)-N(AA73),-2)</f>
        <v>0</v>
      </c>
      <c r="AC76" s="265">
        <f>ROUND(N(AC30)+N(AC31)+N(AC32)+N(AC33)+N(AC34)+N(AC35)+N(AC36)+N(AC37)+N(AC38)+N(AC39)+N(AC40)+N(AC41)+N(AC42)-N(AC73),-2)</f>
        <v>0</v>
      </c>
      <c r="AD76" s="265">
        <f>ROUND(N(AD30)+N(AD31)+N(AD32)+N(AD33)+N(AD34)+N(AD35)+N(AD36)+N(AD37)+N(AD38)+N(AD39)+N(AD40)+N(AD41)+N(AD42)-N(AD73),-2)</f>
        <v>0</v>
      </c>
    </row>
    <row r="77">
      <c r="A77" t="inlineStr">
        <is>
          <t>CHECK: passivo + PL (contas) - passivo + PL total · derivada · unid. moeda</t>
        </is>
      </c>
      <c r="C77" t="inlineStr">
        <is>
          <t>[linha bruta, sem código; lançada nas linhas abaixo]</t>
        </is>
      </c>
      <c r="D77" s="265">
        <f>ROUND(N(D43)+N(D44)+N(D45)+N(D46)+N(D47)+N(D48)+N(D49)+N(D50)+N(D51)+N(D52)+N(D53)+N(D54)+N(D55)+N(D56)+N(D57)+N(D58)+N(D59)+N(D60)+N(D61)+N(D62)-N(D74),-2)</f>
        <v>0</v>
      </c>
      <c r="E77" s="265">
        <f>ROUND(N(E43)+N(E44)+N(E45)+N(E46)+N(E47)+N(E48)+N(E49)+N(E50)+N(E51)+N(E52)+N(E53)+N(E54)+N(E55)+N(E56)+N(E57)+N(E58)+N(E59)+N(E60)+N(E61)+N(E62)-N(E74),-2)</f>
        <v>0</v>
      </c>
      <c r="F77" s="265">
        <f>ROUND(N(F43)+N(F44)+N(F45)+N(F46)+N(F47)+N(F48)+N(F49)+N(F50)+N(F51)+N(F52)+N(F53)+N(F54)+N(F55)+N(F56)+N(F57)+N(F58)+N(F59)+N(F60)+N(F61)+N(F62)-N(F74),-2)</f>
        <v>0</v>
      </c>
      <c r="G77" s="265">
        <f>ROUND(N(G43)+N(G44)+N(G45)+N(G46)+N(G47)+N(G48)+N(G49)+N(G50)+N(G51)+N(G52)+N(G53)+N(G54)+N(G55)+N(G56)+N(G57)+N(G58)+N(G59)+N(G60)+N(G61)+N(G62)-N(G74),-2)</f>
        <v>0</v>
      </c>
      <c r="I77" s="265">
        <f>ROUND(N(I43)+N(I44)+N(I45)+N(I46)+N(I47)+N(I48)+N(I49)+N(I50)+N(I51)+N(I52)+N(I53)+N(I54)+N(I55)+N(I56)+N(I57)+N(I58)+N(I59)+N(I60)+N(I61)+N(I62)-N(I74),-2)</f>
        <v>0</v>
      </c>
      <c r="J77" s="265">
        <f>ROUND(N(J43)+N(J44)+N(J45)+N(J46)+N(J47)+N(J48)+N(J49)+N(J50)+N(J51)+N(J52)+N(J53)+N(J54)+N(J55)+N(J56)+N(J57)+N(J58)+N(J59)+N(J60)+N(J61)+N(J62)-N(J74),-2)</f>
        <v>0</v>
      </c>
      <c r="K77" s="265">
        <f>ROUND(N(K43)+N(K44)+N(K45)+N(K46)+N(K47)+N(K48)+N(K49)+N(K50)+N(K51)+N(K52)+N(K53)+N(K54)+N(K55)+N(K56)+N(K57)+N(K58)+N(K59)+N(K60)+N(K61)+N(K62)-N(K74),-2)</f>
        <v>0</v>
      </c>
      <c r="L77" s="265">
        <f>ROUND(N(L43)+N(L44)+N(L45)+N(L46)+N(L47)+N(L48)+N(L49)+N(L50)+N(L51)+N(L52)+N(L53)+N(L54)+N(L55)+N(L56)+N(L57)+N(L58)+N(L59)+N(L60)+N(L61)+N(L62)-N(L74),-2)</f>
        <v>0</v>
      </c>
      <c r="N77" s="265">
        <f>ROUND(N(N43)+N(N44)+N(N45)+N(N46)+N(N47)+N(N48)+N(N49)+N(N50)+N(N51)+N(N52)+N(N53)+N(N54)+N(N55)+N(N56)+N(N57)+N(N58)+N(N59)+N(N60)+N(N61)+N(N62)-N(N74),-2)</f>
        <v>0</v>
      </c>
      <c r="O77" s="265">
        <f>ROUND(N(O43)+N(O44)+N(O45)+N(O46)+N(O47)+N(O48)+N(O49)+N(O50)+N(O51)+N(O52)+N(O53)+N(O54)+N(O55)+N(O56)+N(O57)+N(O58)+N(O59)+N(O60)+N(O61)+N(O62)-N(O74),-2)</f>
        <v>0</v>
      </c>
      <c r="P77" s="265">
        <f>ROUND(N(P43)+N(P44)+N(P45)+N(P46)+N(P47)+N(P48)+N(P49)+N(P50)+N(P51)+N(P52)+N(P53)+N(P54)+N(P55)+N(P56)+N(P57)+N(P58)+N(P59)+N(P60)+N(P61)+N(P62)-N(P74),-2)</f>
        <v>0</v>
      </c>
      <c r="Q77" s="265">
        <f>ROUND(N(Q43)+N(Q44)+N(Q45)+N(Q46)+N(Q47)+N(Q48)+N(Q49)+N(Q50)+N(Q51)+N(Q52)+N(Q53)+N(Q54)+N(Q55)+N(Q56)+N(Q57)+N(Q58)+N(Q59)+N(Q60)+N(Q61)+N(Q62)-N(Q74),-2)</f>
        <v>0</v>
      </c>
      <c r="S77" s="265">
        <f>ROUND(N(S43)+N(S44)+N(S45)+N(S46)+N(S47)+N(S48)+N(S49)+N(S50)+N(S51)+N(S52)+N(S53)+N(S54)+N(S55)+N(S56)+N(S57)+N(S58)+N(S59)+N(S60)+N(S61)+N(S62)-N(S74),-2)</f>
        <v>0</v>
      </c>
      <c r="T77" s="265">
        <f>ROUND(N(T43)+N(T44)+N(T45)+N(T46)+N(T47)+N(T48)+N(T49)+N(T50)+N(T51)+N(T52)+N(T53)+N(T54)+N(T55)+N(T56)+N(T57)+N(T58)+N(T59)+N(T60)+N(T61)+N(T62)-N(T74),-2)</f>
        <v>0</v>
      </c>
      <c r="U77" s="265">
        <f>ROUND(N(U43)+N(U44)+N(U45)+N(U46)+N(U47)+N(U48)+N(U49)+N(U50)+N(U51)+N(U52)+N(U53)+N(U54)+N(U55)+N(U56)+N(U57)+N(U58)+N(U59)+N(U60)+N(U61)+N(U62)-N(U74),-2)</f>
        <v>0</v>
      </c>
      <c r="V77" s="265">
        <f>ROUND(N(V43)+N(V44)+N(V45)+N(V46)+N(V47)+N(V48)+N(V49)+N(V50)+N(V51)+N(V52)+N(V53)+N(V54)+N(V55)+N(V56)+N(V57)+N(V58)+N(V59)+N(V60)+N(V61)+N(V62)-N(V74),-2)</f>
        <v>0</v>
      </c>
      <c r="X77" s="265">
        <f>ROUND(N(X43)+N(X44)+N(X45)+N(X46)+N(X47)+N(X48)+N(X49)+N(X50)+N(X51)+N(X52)+N(X53)+N(X54)+N(X55)+N(X56)+N(X57)+N(X58)+N(X59)+N(X60)+N(X61)+N(X62)-N(X74),-2)</f>
        <v>0</v>
      </c>
      <c r="Y77" s="265">
        <f>ROUND(N(Y43)+N(Y44)+N(Y45)+N(Y46)+N(Y47)+N(Y48)+N(Y49)+N(Y50)+N(Y51)+N(Y52)+N(Y53)+N(Y54)+N(Y55)+N(Y56)+N(Y57)+N(Y58)+N(Y59)+N(Y60)+N(Y61)+N(Y62)-N(Y74),-2)</f>
        <v>0</v>
      </c>
      <c r="Z77" s="265">
        <f>ROUND(N(Z43)+N(Z44)+N(Z45)+N(Z46)+N(Z47)+N(Z48)+N(Z49)+N(Z50)+N(Z51)+N(Z52)+N(Z53)+N(Z54)+N(Z55)+N(Z56)+N(Z57)+N(Z58)+N(Z59)+N(Z60)+N(Z61)+N(Z62)-N(Z74),-2)</f>
        <v>0</v>
      </c>
      <c r="AA77" s="265">
        <f>ROUND(N(AA43)+N(AA44)+N(AA45)+N(AA46)+N(AA47)+N(AA48)+N(AA49)+N(AA50)+N(AA51)+N(AA52)+N(AA53)+N(AA54)+N(AA55)+N(AA56)+N(AA57)+N(AA58)+N(AA59)+N(AA60)+N(AA61)+N(AA62)-N(AA74),-2)</f>
        <v>0</v>
      </c>
      <c r="AC77" s="265">
        <f>ROUND(N(AC43)+N(AC44)+N(AC45)+N(AC46)+N(AC47)+N(AC48)+N(AC49)+N(AC50)+N(AC51)+N(AC52)+N(AC53)+N(AC54)+N(AC55)+N(AC56)+N(AC57)+N(AC58)+N(AC59)+N(AC60)+N(AC61)+N(AC62)-N(AC74),-2)</f>
        <v>0</v>
      </c>
      <c r="AD77" s="265">
        <f>ROUND(N(AD43)+N(AD44)+N(AD45)+N(AD46)+N(AD47)+N(AD48)+N(AD49)+N(AD50)+N(AD51)+N(AD52)+N(AD53)+N(AD54)+N(AD55)+N(AD56)+N(AD57)+N(AD58)+N(AD59)+N(AD60)+N(AD61)+N(AD62)-N(AD74),-2)</f>
        <v>0</v>
      </c>
    </row>
    <row r="78">
      <c r="A78" t="inlineStr">
        <is>
          <t>CHECK: receita - custo - despesas + não operacional - IR - minoritários + outros após IR - lucro (deve ser 0) · derivada</t>
        </is>
      </c>
      <c r="C78" t="inlineStr">
        <is>
          <t>[linha bruta, sem código; lançada nas linhas abaixo]</t>
        </is>
      </c>
      <c r="D78" s="265">
        <f>ROUND(N(D5)-N(D6)-N(D9)+N(D12)-N(D16)-N(D18)+N(D21)-N(D22),-2)</f>
        <v>0</v>
      </c>
      <c r="E78" s="265">
        <f>ROUND(N(E5)-N(E6)-N(E9)+N(E12)-N(E16)-N(E18)+N(E21)-N(E22),-2)</f>
        <v>0</v>
      </c>
      <c r="F78" s="265">
        <f>ROUND(N(F5)-N(F6)-N(F9)+N(F12)-N(F16)-N(F18)+N(F21)-N(F22),-2)</f>
        <v>0</v>
      </c>
      <c r="G78" s="265">
        <f>ROUND(N(G5)-N(G6)-N(G9)+N(G12)-N(G16)-N(G18)+N(G21)-N(G22),-2)</f>
        <v>0</v>
      </c>
      <c r="I78" s="265">
        <f>ROUND(N(I5)-N(I6)-N(I9)+N(I12)-N(I16)-N(I18)+N(I21)-N(I22),-2)</f>
        <v>0</v>
      </c>
      <c r="J78" s="265">
        <f>ROUND(N(J5)-N(J6)-N(J9)+N(J12)-N(J16)-N(J18)+N(J21)-N(J22),-2)</f>
        <v>0</v>
      </c>
      <c r="K78" s="265">
        <f>ROUND(N(K5)-N(K6)-N(K9)+N(K12)-N(K16)-N(K18)+N(K21)-N(K22),-2)</f>
        <v>0</v>
      </c>
      <c r="L78" s="265">
        <f>ROUND(N(L5)-N(L6)-N(L9)+N(L12)-N(L16)-N(L18)+N(L21)-N(L22),-2)</f>
        <v>0</v>
      </c>
      <c r="N78" s="265">
        <f>ROUND(N(N5)-N(N6)-N(N9)+N(N12)-N(N16)-N(N18)+N(N21)-N(N22),-2)</f>
        <v>0</v>
      </c>
      <c r="O78" s="265">
        <f>ROUND(N(O5)-N(O6)-N(O9)+N(O12)-N(O16)-N(O18)+N(O21)-N(O22),-2)</f>
        <v>0</v>
      </c>
      <c r="P78" s="265">
        <f>ROUND(N(P5)-N(P6)-N(P9)+N(P12)-N(P16)-N(P18)+N(P21)-N(P22),-2)</f>
        <v>0</v>
      </c>
      <c r="Q78" s="265">
        <f>ROUND(N(Q5)-N(Q6)-N(Q9)+N(Q12)-N(Q16)-N(Q18)+N(Q21)-N(Q22),-2)</f>
        <v>0</v>
      </c>
      <c r="S78" s="265">
        <f>ROUND(N(S5)-N(S6)-N(S9)+N(S12)-N(S16)-N(S18)+N(S21)-N(S22),-2)</f>
        <v>0</v>
      </c>
      <c r="T78" s="265">
        <f>ROUND(N(T5)-N(T6)-N(T9)+N(T12)-N(T16)-N(T18)+N(T21)-N(T22),-2)</f>
        <v>0</v>
      </c>
      <c r="U78" s="265">
        <f>ROUND(N(U5)-N(U6)-N(U9)+N(U12)-N(U16)-N(U18)+N(U21)-N(U22),-2)</f>
        <v>0</v>
      </c>
      <c r="V78" s="265">
        <f>ROUND(N(V5)-N(V6)-N(V9)+N(V12)-N(V16)-N(V18)+N(V21)-N(V22),-2)</f>
        <v>0</v>
      </c>
      <c r="X78" s="265">
        <f>ROUND(N(X5)-N(X6)-N(X9)+N(X12)-N(X16)-N(X18)+N(X21)-N(X22),-2)</f>
        <v>0</v>
      </c>
      <c r="Y78" s="265">
        <f>ROUND(N(Y5)-N(Y6)-N(Y9)+N(Y12)-N(Y16)-N(Y18)+N(Y21)-N(Y22),-2)</f>
        <v>0</v>
      </c>
      <c r="Z78" s="265">
        <f>ROUND(N(Z5)-N(Z6)-N(Z9)+N(Z12)-N(Z16)-N(Z18)+N(Z21)-N(Z22),-2)</f>
        <v>0</v>
      </c>
      <c r="AA78" s="265">
        <f>ROUND(N(AA5)-N(AA6)-N(AA9)+N(AA12)-N(AA16)-N(AA18)+N(AA21)-N(AA22),-2)</f>
        <v>0</v>
      </c>
      <c r="AC78" s="265">
        <f>ROUND(N(AC5)-N(AC6)-N(AC9)+N(AC12)-N(AC16)-N(AC18)+N(AC21)-N(AC22),-2)</f>
        <v>0</v>
      </c>
      <c r="AD78" s="265">
        <f>ROUND(N(AD5)-N(AD6)-N(AD9)+N(AD12)-N(AD16)-N(AD18)+N(AD21)-N(AD22),-2)</f>
        <v>0</v>
      </c>
    </row>
    <row r="79">
      <c r="D79" s="265" t="n"/>
      <c r="E79" s="265" t="n"/>
      <c r="F79" s="265" t="n"/>
      <c r="G79" s="265" t="n"/>
      <c r="I79" s="265" t="n"/>
      <c r="J79" s="265" t="n"/>
      <c r="K79" s="265" t="n"/>
      <c r="L79" s="265" t="n"/>
      <c r="N79" s="265" t="n"/>
      <c r="O79" s="265" t="n"/>
      <c r="P79" s="265" t="n"/>
      <c r="Q79" s="265" t="n"/>
      <c r="S79" s="265" t="n"/>
      <c r="T79" s="265" t="n"/>
      <c r="U79" s="265" t="n"/>
      <c r="V79" s="265" t="n"/>
      <c r="X79" s="265" t="n"/>
      <c r="Y79" s="265" t="n"/>
      <c r="Z79" s="265" t="n"/>
      <c r="AA79" s="265" t="n"/>
      <c r="AC79" s="265" t="n"/>
      <c r="AD79" s="265" t="n"/>
    </row>
    <row r="80">
      <c r="A80" t="inlineStr">
        <is>
          <t>DRIVERS DE RECEITA (codigos 45+): Payment Network x Value-Added Services and Solutions (desde 2020) e regiões (América do Norte x Internacional) - SEC XBRL (USD, fator 0,000001).</t>
        </is>
      </c>
      <c r="C80" t="inlineStr">
        <is>
          <t>[linha bruta, sem código; lançada nas linhas abaixo]</t>
        </is>
      </c>
      <c r="D80" s="265" t="n"/>
      <c r="E80" s="265" t="n"/>
      <c r="F80" s="265" t="n"/>
      <c r="G80" s="265" t="n"/>
      <c r="I80" s="265" t="n"/>
      <c r="J80" s="265" t="n"/>
      <c r="K80" s="265" t="n"/>
      <c r="L80" s="265" t="n"/>
      <c r="N80" s="265" t="n"/>
      <c r="O80" s="265" t="n"/>
      <c r="P80" s="265" t="n"/>
      <c r="Q80" s="265" t="n"/>
      <c r="S80" s="265" t="n"/>
      <c r="T80" s="265" t="n"/>
      <c r="U80" s="265" t="n"/>
      <c r="V80" s="265" t="n"/>
      <c r="X80" s="265" t="n"/>
      <c r="Y80" s="265" t="n"/>
      <c r="Z80" s="265" t="n"/>
      <c r="AA80" s="265" t="n"/>
      <c r="AC80" s="265" t="n"/>
      <c r="AD80" s="265" t="n"/>
    </row>
    <row r="81">
      <c r="A81" t="inlineStr">
        <is>
          <t>Payment Network - receita (USD) · fonte · unid. moeda</t>
        </is>
      </c>
      <c r="B81" t="n">
        <v>45</v>
      </c>
      <c r="C81" t="inlineStr">
        <is>
          <t>Payment Network - receita (USD)</t>
        </is>
      </c>
      <c r="D81" s="265" t="n"/>
      <c r="E81" s="265" t="n"/>
      <c r="F81" s="265" t="n"/>
      <c r="G81" s="265" t="n"/>
      <c r="I81" s="265" t="n">
        <v>3399000</v>
      </c>
      <c r="J81" s="265" t="n">
        <v>3609000</v>
      </c>
      <c r="K81" s="265" t="n">
        <v>3765000</v>
      </c>
      <c r="L81" s="265" t="n">
        <v>3585000</v>
      </c>
      <c r="N81" s="265" t="n">
        <v>3650000</v>
      </c>
      <c r="O81" s="265" t="n">
        <v>4073000</v>
      </c>
      <c r="P81" s="265" t="n">
        <v>4210000</v>
      </c>
      <c r="Q81" s="265" t="n">
        <v>3891000</v>
      </c>
      <c r="S81" s="265" t="n">
        <v>3920000</v>
      </c>
      <c r="T81" s="265" t="n">
        <v>4375000</v>
      </c>
      <c r="U81" s="265" t="n">
        <v>4629000</v>
      </c>
      <c r="V81" s="265" t="n">
        <v>4411000</v>
      </c>
      <c r="X81" s="265" t="n">
        <v>4432000</v>
      </c>
      <c r="Y81" s="265" t="n">
        <v>4945000</v>
      </c>
      <c r="Z81" s="265" t="n">
        <v>5179000</v>
      </c>
      <c r="AA81" s="265" t="n">
        <v>4920000</v>
      </c>
      <c r="AC81" s="265" t="n">
        <v>4948000</v>
      </c>
      <c r="AD81" s="265" t="n">
        <v>5451000</v>
      </c>
    </row>
    <row r="82">
      <c r="A82" t="inlineStr">
        <is>
          <t>Value-Added Services and Solutions - receita (USD) · fonte · unid. moeda</t>
        </is>
      </c>
      <c r="B82" t="n">
        <v>46</v>
      </c>
      <c r="C82" t="inlineStr">
        <is>
          <t>Value-Added Services and Solutions - receita (USD)</t>
        </is>
      </c>
      <c r="D82" s="265" t="n"/>
      <c r="E82" s="265" t="n"/>
      <c r="F82" s="265" t="n"/>
      <c r="G82" s="265" t="n"/>
      <c r="I82" s="265" t="n">
        <v>1768000</v>
      </c>
      <c r="J82" s="265" t="n">
        <v>1888000</v>
      </c>
      <c r="K82" s="265" t="n">
        <v>1991000</v>
      </c>
      <c r="L82" s="265" t="n">
        <v>2232000</v>
      </c>
      <c r="N82" s="265" t="n">
        <v>2098000</v>
      </c>
      <c r="O82" s="265" t="n">
        <v>2196000</v>
      </c>
      <c r="P82" s="265" t="n">
        <v>2323000</v>
      </c>
      <c r="Q82" s="265" t="n">
        <v>2657000</v>
      </c>
      <c r="S82" s="265" t="n">
        <v>2428000</v>
      </c>
      <c r="T82" s="265" t="n">
        <v>2586000</v>
      </c>
      <c r="U82" s="265" t="n">
        <v>2740000</v>
      </c>
      <c r="V82" s="265" t="n">
        <v>3078000</v>
      </c>
      <c r="X82" s="265" t="n">
        <v>2818000</v>
      </c>
      <c r="Y82" s="265" t="n">
        <v>3188000</v>
      </c>
      <c r="Z82" s="265" t="n">
        <v>3423000</v>
      </c>
      <c r="AA82" s="265" t="n">
        <v>3886000</v>
      </c>
      <c r="AC82" s="265" t="n">
        <v>3450000</v>
      </c>
      <c r="AD82" s="265" t="n">
        <v>3826000</v>
      </c>
    </row>
    <row r="83">
      <c r="A83" t="inlineStr">
        <is>
          <t>Receita América do Norte (USD) · fonte · unid. moeda</t>
        </is>
      </c>
      <c r="B83" t="n">
        <v>47</v>
      </c>
      <c r="C83" t="inlineStr">
        <is>
          <t>Receita América do Norte (USD)</t>
        </is>
      </c>
      <c r="D83" s="265" t="n">
        <v>1491000</v>
      </c>
      <c r="E83" s="265" t="n">
        <v>1605000</v>
      </c>
      <c r="F83" s="265" t="n">
        <v>1707000</v>
      </c>
      <c r="G83" s="265" t="n">
        <v>1791000</v>
      </c>
      <c r="I83" s="265" t="n">
        <v>1730000</v>
      </c>
      <c r="J83" s="265" t="n">
        <v>2008000</v>
      </c>
      <c r="K83" s="265" t="n">
        <v>2031000</v>
      </c>
      <c r="L83" s="265" t="n">
        <v>2040000</v>
      </c>
      <c r="N83" s="265" t="n">
        <v>2537000</v>
      </c>
      <c r="O83" s="265" t="n">
        <v>2814000</v>
      </c>
      <c r="P83" s="265" t="n">
        <v>2828000</v>
      </c>
      <c r="Q83" s="265" t="n">
        <v>180000</v>
      </c>
      <c r="S83" s="265" t="n">
        <v>2773000</v>
      </c>
      <c r="T83" s="265" t="n">
        <v>3164000</v>
      </c>
      <c r="U83" s="265" t="n">
        <v>3156000</v>
      </c>
      <c r="V83" s="265" t="n"/>
      <c r="X83" s="265" t="n">
        <v>3151000</v>
      </c>
      <c r="Y83" s="265" t="n">
        <v>3406000</v>
      </c>
      <c r="Z83" s="265" t="n">
        <v>3651000</v>
      </c>
      <c r="AA83" s="265" t="n"/>
      <c r="AC83" s="265" t="n">
        <v>3564000</v>
      </c>
      <c r="AD83" s="265" t="n">
        <v>3999000</v>
      </c>
    </row>
    <row r="84">
      <c r="A84" t="inlineStr">
        <is>
          <t>Receita International Markets (USD) · fonte · unid. moeda</t>
        </is>
      </c>
      <c r="B84" t="n">
        <v>48</v>
      </c>
      <c r="C84" t="inlineStr">
        <is>
          <t>Receita International Markets (USD)</t>
        </is>
      </c>
      <c r="D84" s="265" t="n">
        <v>2618000</v>
      </c>
      <c r="E84" s="265" t="n">
        <v>2879000</v>
      </c>
      <c r="F84" s="265" t="n">
        <v>3218000</v>
      </c>
      <c r="G84" s="265" t="n">
        <v>3353000</v>
      </c>
      <c r="I84" s="265" t="n">
        <v>3437000</v>
      </c>
      <c r="J84" s="265" t="n">
        <v>3489000</v>
      </c>
      <c r="K84" s="265" t="n">
        <v>3725000</v>
      </c>
      <c r="L84" s="265" t="n">
        <v>3938000</v>
      </c>
      <c r="N84" s="265" t="n">
        <v>3211000</v>
      </c>
      <c r="O84" s="265" t="n">
        <v>3455000</v>
      </c>
      <c r="P84" s="265" t="n">
        <v>3705000</v>
      </c>
      <c r="Q84" s="265" t="n">
        <v>4332000</v>
      </c>
      <c r="S84" s="265" t="n">
        <v>3575000</v>
      </c>
      <c r="T84" s="265" t="n">
        <v>3797000</v>
      </c>
      <c r="U84" s="265" t="n">
        <v>4213000</v>
      </c>
      <c r="V84" s="265" t="n">
        <v>4207000</v>
      </c>
      <c r="X84" s="265" t="n">
        <v>4099000</v>
      </c>
      <c r="Y84" s="265" t="n">
        <v>4727000</v>
      </c>
      <c r="Z84" s="265" t="n">
        <v>4951000</v>
      </c>
      <c r="AA84" s="265" t="n">
        <v>4969000</v>
      </c>
      <c r="AC84" s="265" t="n">
        <v>4834000</v>
      </c>
      <c r="AD84" s="265" t="n">
        <v>5278000</v>
      </c>
    </row>
    <row r="85">
      <c r="A85" t="inlineStr">
        <is>
          <t>Domestic assessments (USD; até 2022) · fonte · unid. moeda</t>
        </is>
      </c>
      <c r="B85" t="n">
        <v>49</v>
      </c>
      <c r="C85" t="inlineStr">
        <is>
          <t>Domestic assessments (USD; até 2022)</t>
        </is>
      </c>
      <c r="D85" s="265" t="n">
        <v>1798000</v>
      </c>
      <c r="E85" s="265" t="n">
        <v>2056000</v>
      </c>
      <c r="F85" s="265" t="n">
        <v>2139000</v>
      </c>
      <c r="G85" s="265" t="n">
        <v>2165000</v>
      </c>
      <c r="I85" s="265" t="n">
        <v>2134000</v>
      </c>
      <c r="J85" s="265" t="n">
        <v>2283000</v>
      </c>
      <c r="K85" s="265" t="n">
        <v>2252000</v>
      </c>
      <c r="L85" s="265" t="n"/>
      <c r="N85" s="265" t="n"/>
      <c r="O85" s="265" t="n"/>
      <c r="P85" s="265" t="n"/>
      <c r="Q85" s="265" t="n"/>
      <c r="S85" s="265" t="n"/>
      <c r="T85" s="265" t="n"/>
      <c r="U85" s="265" t="n"/>
      <c r="V85" s="265" t="n"/>
      <c r="X85" s="265" t="n"/>
      <c r="Y85" s="265" t="n"/>
      <c r="Z85" s="265" t="n"/>
      <c r="AA85" s="265" t="n"/>
      <c r="AC85" s="265" t="n"/>
      <c r="AD85" s="265" t="n"/>
    </row>
    <row r="86">
      <c r="A86" t="inlineStr">
        <is>
          <t>Cross-border volume fees (USD; até 2022) · fonte · unid. moeda</t>
        </is>
      </c>
      <c r="B86" t="n">
        <v>50</v>
      </c>
      <c r="C86" t="inlineStr">
        <is>
          <t>Cross-border volume fees (USD; até 2022)</t>
        </is>
      </c>
      <c r="D86" s="265" t="n">
        <v>932000</v>
      </c>
      <c r="E86" s="265" t="n">
        <v>1076000</v>
      </c>
      <c r="F86" s="265" t="n">
        <v>1276000</v>
      </c>
      <c r="G86" s="265" t="n">
        <v>1380000</v>
      </c>
      <c r="I86" s="265" t="n">
        <v>1395000</v>
      </c>
      <c r="J86" s="265" t="n">
        <v>1615000</v>
      </c>
      <c r="K86" s="265" t="n">
        <v>1803000</v>
      </c>
      <c r="L86" s="265" t="n"/>
      <c r="N86" s="265" t="n"/>
      <c r="O86" s="265" t="n"/>
      <c r="P86" s="265" t="n"/>
      <c r="Q86" s="265" t="n"/>
      <c r="S86" s="265" t="n"/>
      <c r="T86" s="265" t="n"/>
      <c r="U86" s="265" t="n"/>
      <c r="V86" s="265" t="n"/>
      <c r="X86" s="265" t="n"/>
      <c r="Y86" s="265" t="n"/>
      <c r="Z86" s="265" t="n"/>
      <c r="AA86" s="265" t="n"/>
      <c r="AC86" s="265" t="n"/>
      <c r="AD86" s="265" t="n"/>
    </row>
    <row r="87">
      <c r="A87" t="inlineStr">
        <is>
          <t>Transaction processing (USD; até 2022) · fonte · unid. moeda</t>
        </is>
      </c>
      <c r="B87" t="n">
        <v>51</v>
      </c>
      <c r="C87" t="inlineStr">
        <is>
          <t>Transaction processing (USD; até 2022)</t>
        </is>
      </c>
      <c r="D87" s="265" t="n">
        <v>2351000</v>
      </c>
      <c r="E87" s="265" t="n">
        <v>2612000</v>
      </c>
      <c r="F87" s="265" t="n">
        <v>2849000</v>
      </c>
      <c r="G87" s="265" t="n">
        <v>2987000</v>
      </c>
      <c r="I87" s="265" t="n">
        <v>2912000</v>
      </c>
      <c r="J87" s="265" t="n">
        <v>3061000</v>
      </c>
      <c r="K87" s="265" t="n">
        <v>3288000</v>
      </c>
      <c r="L87" s="265" t="n"/>
      <c r="N87" s="265" t="n"/>
      <c r="O87" s="265" t="n"/>
      <c r="P87" s="265" t="n"/>
      <c r="Q87" s="265" t="n"/>
      <c r="S87" s="265" t="n"/>
      <c r="T87" s="265" t="n"/>
      <c r="U87" s="265" t="n"/>
      <c r="V87" s="265" t="n"/>
      <c r="X87" s="265" t="n"/>
      <c r="Y87" s="265" t="n"/>
      <c r="Z87" s="265" t="n"/>
      <c r="AA87" s="265" t="n"/>
      <c r="AC87" s="265" t="n"/>
      <c r="AD87" s="265" t="n"/>
    </row>
    <row r="88">
      <c r="A88" t="inlineStr">
        <is>
          <t>Notas: valores dimensionais das instâncias XBRL. Até 2022 a Mastercard também abria a receita por tipo de tarifa (domestic assessments, cross-border, processamento, outras), mantida como memória.</t>
        </is>
      </c>
      <c r="C88" t="inlineStr">
        <is>
          <t>[linha bruta, sem código; lançada nas linhas abaixo]</t>
        </is>
      </c>
      <c r="D88" s="265" t="n"/>
      <c r="E88" s="265" t="n"/>
      <c r="F88" s="265" t="n"/>
      <c r="G88" s="265" t="n"/>
      <c r="I88" s="265" t="n"/>
      <c r="J88" s="265" t="n"/>
      <c r="K88" s="265" t="n"/>
      <c r="L88" s="265" t="n"/>
      <c r="N88" s="265" t="n"/>
      <c r="O88" s="265" t="n"/>
      <c r="P88" s="265" t="n"/>
      <c r="Q88" s="265" t="n"/>
      <c r="S88" s="265" t="n"/>
      <c r="T88" s="265" t="n"/>
      <c r="U88" s="265" t="n"/>
      <c r="V88" s="265" t="n"/>
      <c r="X88" s="265" t="n"/>
      <c r="Y88" s="265" t="n"/>
      <c r="Z88" s="265" t="n"/>
      <c r="AA88" s="265" t="n"/>
      <c r="AC88" s="265" t="n"/>
      <c r="AD88" s="265" t="n"/>
    </row>
    <row r="90">
      <c r="A90" t="inlineStr">
        <is>
          <t>Linhas de origem: 4 a 88. A Inputs (2) varre as linhas 4 a 150; as linhas 89 a 150 estão livres. Linhas "(lançamento)" aplicam código e sinal sobre a linha bruta indicada (a máscara tem uma só coluna de código).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59"/>
  <sheetViews>
    <sheetView showGridLines="0" tabSelected="1" zoomScaleNormal="100" workbookViewId="0">
      <pane xSplit="3" ySplit="3" topLeftCell="D4" activePane="bottomRight" state="frozen"/>
      <selection activeCell="C3" sqref="C3"/>
      <selection pane="topRight" activeCell="C3" sqref="C3"/>
      <selection pane="bottomLeft" activeCell="C3" sqref="C3"/>
      <selection pane="bottomRight" activeCell="C3" sqref="C3"/>
    </sheetView>
  </sheetViews>
  <sheetFormatPr baseColWidth="8" defaultColWidth="10.42578125" defaultRowHeight="12.75"/>
  <cols>
    <col width="14.7109375" customWidth="1" style="3" min="1" max="1"/>
    <col width="10.140625" customWidth="1" style="3" min="2" max="2"/>
    <col width="50" customWidth="1" style="4" min="3" max="3"/>
    <col width="12.42578125" customWidth="1" style="3" min="4" max="33"/>
    <col width="10.42578125" customWidth="1" style="4" min="34" max="54"/>
    <col width="11" customWidth="1" style="4" min="55" max="55"/>
    <col width="10.42578125" customWidth="1" style="4" min="56" max="58"/>
    <col width="10.42578125" customWidth="1" style="4" min="59" max="16384"/>
  </cols>
  <sheetData>
    <row r="1" ht="14.25" customFormat="1" customHeight="1" s="3">
      <c r="A1" s="5" t="str">
        <f>IF(Control!B3="","EMPRESA",Control!B3)</f>
        <v>Mastercard Incorporated</v>
      </c>
      <c r="B1" s="5" t="inlineStr">
        <is>
          <t>Código</t>
        </is>
      </c>
      <c r="C1" s="1" t="inlineStr">
        <is>
          <t>Conta padronizada</t>
        </is>
      </c>
      <c r="D1" s="1" t="n">
        <v>2021</v>
      </c>
      <c r="E1" s="1" t="n">
        <v>2021</v>
      </c>
      <c r="F1" s="1" t="n">
        <v>2021</v>
      </c>
      <c r="G1" s="1" t="n">
        <v>2021</v>
      </c>
      <c r="H1" s="1" t="n">
        <v>2021</v>
      </c>
      <c r="I1" s="1" t="n">
        <v>2022</v>
      </c>
      <c r="J1" s="1" t="n">
        <v>2022</v>
      </c>
      <c r="K1" s="1" t="n">
        <v>2022</v>
      </c>
      <c r="L1" s="1" t="n">
        <v>2022</v>
      </c>
      <c r="M1" s="1" t="n">
        <v>2022</v>
      </c>
      <c r="N1" s="1" t="n">
        <v>2023</v>
      </c>
      <c r="O1" s="1" t="n">
        <v>2023</v>
      </c>
      <c r="P1" s="1" t="n">
        <v>2023</v>
      </c>
      <c r="Q1" s="1" t="n">
        <v>2023</v>
      </c>
      <c r="R1" s="1" t="n">
        <v>2023</v>
      </c>
      <c r="S1" s="1" t="n">
        <v>2024</v>
      </c>
      <c r="T1" s="1" t="n">
        <v>2024</v>
      </c>
      <c r="U1" s="1" t="n">
        <v>2024</v>
      </c>
      <c r="V1" s="1" t="n">
        <v>2024</v>
      </c>
      <c r="W1" s="1" t="n">
        <v>2024</v>
      </c>
      <c r="X1" s="1" t="n">
        <v>2025</v>
      </c>
      <c r="Y1" s="1" t="n">
        <v>2025</v>
      </c>
      <c r="Z1" s="1" t="n">
        <v>2025</v>
      </c>
      <c r="AA1" s="1" t="n">
        <v>2025</v>
      </c>
      <c r="AB1" s="1" t="n">
        <v>2025</v>
      </c>
      <c r="AC1" s="1" t="n">
        <v>2026</v>
      </c>
      <c r="AD1" s="1" t="n">
        <v>2026</v>
      </c>
      <c r="AE1" s="1" t="n">
        <v>2026</v>
      </c>
      <c r="AF1" s="1" t="n">
        <v>2026</v>
      </c>
      <c r="AG1" s="1" t="n">
        <v>2026</v>
      </c>
    </row>
    <row r="2" ht="14.25" customHeight="1">
      <c r="A2" s="1" t="inlineStr">
        <is>
          <t>US$ milhões</t>
        </is>
      </c>
      <c r="B2" s="1" t="n"/>
      <c r="C2" s="1" t="inlineStr">
        <is>
          <t>Período</t>
        </is>
      </c>
      <c r="D2" s="6" t="inlineStr">
        <is>
          <t>1Q21</t>
        </is>
      </c>
      <c r="E2" s="6" t="inlineStr">
        <is>
          <t>2Q21</t>
        </is>
      </c>
      <c r="F2" s="6" t="inlineStr">
        <is>
          <t>3Q21</t>
        </is>
      </c>
      <c r="G2" s="6" t="inlineStr">
        <is>
          <t>4Q21</t>
        </is>
      </c>
      <c r="H2" s="7" t="inlineStr">
        <is>
          <t>2021</t>
        </is>
      </c>
      <c r="I2" s="6" t="inlineStr">
        <is>
          <t>1Q22</t>
        </is>
      </c>
      <c r="J2" s="6" t="inlineStr">
        <is>
          <t>2Q22</t>
        </is>
      </c>
      <c r="K2" s="6" t="inlineStr">
        <is>
          <t>3Q22</t>
        </is>
      </c>
      <c r="L2" s="6" t="inlineStr">
        <is>
          <t>4Q22</t>
        </is>
      </c>
      <c r="M2" s="7" t="inlineStr">
        <is>
          <t>2022</t>
        </is>
      </c>
      <c r="N2" s="6" t="inlineStr">
        <is>
          <t>1Q23</t>
        </is>
      </c>
      <c r="O2" s="6" t="inlineStr">
        <is>
          <t>2Q23</t>
        </is>
      </c>
      <c r="P2" s="6" t="inlineStr">
        <is>
          <t>3Q23</t>
        </is>
      </c>
      <c r="Q2" s="6" t="inlineStr">
        <is>
          <t>4Q23</t>
        </is>
      </c>
      <c r="R2" s="7" t="inlineStr">
        <is>
          <t>2023</t>
        </is>
      </c>
      <c r="S2" s="6" t="inlineStr">
        <is>
          <t>1Q24</t>
        </is>
      </c>
      <c r="T2" s="6" t="inlineStr">
        <is>
          <t>2Q24</t>
        </is>
      </c>
      <c r="U2" s="6" t="inlineStr">
        <is>
          <t>3Q24</t>
        </is>
      </c>
      <c r="V2" s="6" t="inlineStr">
        <is>
          <t>4Q24</t>
        </is>
      </c>
      <c r="W2" s="7" t="inlineStr">
        <is>
          <t>2024</t>
        </is>
      </c>
      <c r="X2" s="6" t="inlineStr">
        <is>
          <t>1Q25</t>
        </is>
      </c>
      <c r="Y2" s="6" t="inlineStr">
        <is>
          <t>2Q25</t>
        </is>
      </c>
      <c r="Z2" s="6" t="inlineStr">
        <is>
          <t>3Q25</t>
        </is>
      </c>
      <c r="AA2" s="6" t="inlineStr">
        <is>
          <t>4Q25</t>
        </is>
      </c>
      <c r="AB2" s="7" t="inlineStr">
        <is>
          <t>2025</t>
        </is>
      </c>
      <c r="AC2" s="6" t="inlineStr">
        <is>
          <t>1Q26</t>
        </is>
      </c>
      <c r="AD2" s="6" t="inlineStr">
        <is>
          <t>2Q26</t>
        </is>
      </c>
      <c r="AE2" s="6" t="inlineStr">
        <is>
          <t>3Q26</t>
        </is>
      </c>
      <c r="AF2" s="6" t="inlineStr">
        <is>
          <t>4Q26</t>
        </is>
      </c>
      <c r="AG2" s="7" t="inlineStr">
        <is>
          <t>2026</t>
        </is>
      </c>
    </row>
    <row r="3" ht="15" customHeight="1">
      <c r="A3" s="8" t="inlineStr">
        <is>
          <t>Actual flag</t>
        </is>
      </c>
      <c r="B3" s="8" t="n"/>
      <c r="C3" s="8" t="inlineStr">
        <is>
          <t>0 = sem dados / 1 = realizado</t>
        </is>
      </c>
      <c r="D3" s="8" t="n">
        <v>1</v>
      </c>
      <c r="E3" s="8" t="n">
        <v>1</v>
      </c>
      <c r="F3" s="8" t="n">
        <v>1</v>
      </c>
      <c r="G3" s="8" t="n">
        <v>1</v>
      </c>
      <c r="H3" s="8" t="n">
        <v>1</v>
      </c>
      <c r="I3" s="8" t="n">
        <v>1</v>
      </c>
      <c r="J3" s="8" t="n">
        <v>1</v>
      </c>
      <c r="K3" s="8" t="n">
        <v>1</v>
      </c>
      <c r="L3" s="8" t="n">
        <v>1</v>
      </c>
      <c r="M3" s="8" t="n">
        <v>1</v>
      </c>
      <c r="N3" s="8" t="n">
        <v>1</v>
      </c>
      <c r="O3" s="8" t="n">
        <v>1</v>
      </c>
      <c r="P3" s="8" t="n">
        <v>1</v>
      </c>
      <c r="Q3" s="8" t="n">
        <v>1</v>
      </c>
      <c r="R3" s="8" t="n">
        <v>1</v>
      </c>
      <c r="S3" s="8" t="n">
        <v>1</v>
      </c>
      <c r="T3" s="8" t="n">
        <v>1</v>
      </c>
      <c r="U3" s="8" t="n">
        <v>1</v>
      </c>
      <c r="V3" s="8" t="n">
        <v>1</v>
      </c>
      <c r="W3" s="8" t="n">
        <v>1</v>
      </c>
      <c r="X3" s="8" t="n">
        <v>1</v>
      </c>
      <c r="Y3" s="8" t="n">
        <v>1</v>
      </c>
      <c r="Z3" s="8" t="n">
        <v>1</v>
      </c>
      <c r="AA3" s="8" t="n">
        <v>1</v>
      </c>
      <c r="AB3" s="8" t="n">
        <v>1</v>
      </c>
      <c r="AC3" s="8" t="n">
        <v>1</v>
      </c>
      <c r="AD3" s="8" t="n">
        <v>1</v>
      </c>
      <c r="AE3" s="8" t="n">
        <v>0</v>
      </c>
      <c r="AF3" s="8" t="n">
        <v>0</v>
      </c>
      <c r="AG3" s="8" t="n">
        <v>0</v>
      </c>
    </row>
    <row r="4">
      <c r="B4" s="9" t="n">
        <v>1</v>
      </c>
      <c r="C4" s="10" t="inlineStr">
        <is>
          <t>Net Revenues</t>
        </is>
      </c>
      <c r="D4" s="11">
        <f>IF(D$3=0,"",SUMIFS(INDEX(Inputs!$D$4:$AG$150,0,MATCH(D$2,Inputs!$D$2:$AG$2,0)),Inputs!$B$4:$B$150,$B4)/1000)</f>
        <v>4155</v>
      </c>
      <c r="E4" s="11">
        <f>IF(E$3=0,"",SUMIFS(INDEX(Inputs!$D$4:$AG$150,0,MATCH(E$2,Inputs!$D$2:$AG$2,0)),Inputs!$B$4:$B$150,$B4)/1000)</f>
        <v>4528</v>
      </c>
      <c r="F4" s="11">
        <f>IF(F$3=0,"",SUMIFS(INDEX(Inputs!$D$4:$AG$150,0,MATCH(F$2,Inputs!$D$2:$AG$2,0)),Inputs!$B$4:$B$150,$B4)/1000)</f>
        <v>4985</v>
      </c>
      <c r="G4" s="11">
        <f>IF(G$3=0,"",SUMIFS(INDEX(Inputs!$D$4:$AG$150,0,MATCH(G$2,Inputs!$D$2:$AG$2,0)),Inputs!$B$4:$B$150,$B4)/1000)</f>
        <v>5216</v>
      </c>
      <c r="H4" s="12">
        <f>IF(COUNT(D4:G4)=4,SUM(D4:G4),"")</f>
        <v>18884</v>
      </c>
      <c r="I4" s="11">
        <f>IF(I$3=0,"",SUMIFS(INDEX(Inputs!$D$4:$AG$150,0,MATCH(I$2,Inputs!$D$2:$AG$2,0)),Inputs!$B$4:$B$150,$B4)/1000)</f>
        <v>5167</v>
      </c>
      <c r="J4" s="11">
        <f>IF(J$3=0,"",SUMIFS(INDEX(Inputs!$D$4:$AG$150,0,MATCH(J$2,Inputs!$D$2:$AG$2,0)),Inputs!$B$4:$B$150,$B4)/1000)</f>
        <v>5497</v>
      </c>
      <c r="K4" s="11">
        <f>IF(K$3=0,"",SUMIFS(INDEX(Inputs!$D$4:$AG$150,0,MATCH(K$2,Inputs!$D$2:$AG$2,0)),Inputs!$B$4:$B$150,$B4)/1000)</f>
        <v>5756</v>
      </c>
      <c r="L4" s="11">
        <f>IF(L$3=0,"",SUMIFS(INDEX(Inputs!$D$4:$AG$150,0,MATCH(L$2,Inputs!$D$2:$AG$2,0)),Inputs!$B$4:$B$150,$B4)/1000)</f>
        <v>5817</v>
      </c>
      <c r="M4" s="12">
        <f>IF(COUNT(I4:L4)=4,SUM(I4:L4),"")</f>
        <v>22237</v>
      </c>
      <c r="N4" s="11">
        <f>IF(N$3=0,"",SUMIFS(INDEX(Inputs!$D$4:$AG$150,0,MATCH(N$2,Inputs!$D$2:$AG$2,0)),Inputs!$B$4:$B$150,$B4)/1000)</f>
        <v>5748</v>
      </c>
      <c r="O4" s="11">
        <f>IF(O$3=0,"",SUMIFS(INDEX(Inputs!$D$4:$AG$150,0,MATCH(O$2,Inputs!$D$2:$AG$2,0)),Inputs!$B$4:$B$150,$B4)/1000)</f>
        <v>6269</v>
      </c>
      <c r="P4" s="11">
        <f>IF(P$3=0,"",SUMIFS(INDEX(Inputs!$D$4:$AG$150,0,MATCH(P$2,Inputs!$D$2:$AG$2,0)),Inputs!$B$4:$B$150,$B4)/1000)</f>
        <v>6533</v>
      </c>
      <c r="Q4" s="11">
        <f>IF(Q$3=0,"",SUMIFS(INDEX(Inputs!$D$4:$AG$150,0,MATCH(Q$2,Inputs!$D$2:$AG$2,0)),Inputs!$B$4:$B$150,$B4)/1000)</f>
        <v>6548</v>
      </c>
      <c r="R4" s="12">
        <f>IF(COUNT(N4:Q4)=4,SUM(N4:Q4),"")</f>
        <v>25098</v>
      </c>
      <c r="S4" s="11">
        <f>IF(S$3=0,"",SUMIFS(INDEX(Inputs!$D$4:$AG$150,0,MATCH(S$2,Inputs!$D$2:$AG$2,0)),Inputs!$B$4:$B$150,$B4)/1000)</f>
        <v>6348</v>
      </c>
      <c r="T4" s="11">
        <f>IF(T$3=0,"",SUMIFS(INDEX(Inputs!$D$4:$AG$150,0,MATCH(T$2,Inputs!$D$2:$AG$2,0)),Inputs!$B$4:$B$150,$B4)/1000)</f>
        <v>6961</v>
      </c>
      <c r="U4" s="11">
        <f>IF(U$3=0,"",SUMIFS(INDEX(Inputs!$D$4:$AG$150,0,MATCH(U$2,Inputs!$D$2:$AG$2,0)),Inputs!$B$4:$B$150,$B4)/1000)</f>
        <v>7369</v>
      </c>
      <c r="V4" s="11">
        <f>IF(V$3=0,"",SUMIFS(INDEX(Inputs!$D$4:$AG$150,0,MATCH(V$2,Inputs!$D$2:$AG$2,0)),Inputs!$B$4:$B$150,$B4)/1000)</f>
        <v>7489</v>
      </c>
      <c r="W4" s="12">
        <f>IF(COUNT(S4:V4)=4,SUM(S4:V4),"")</f>
        <v>28167</v>
      </c>
      <c r="X4" s="11">
        <f>IF(X$3=0,"",SUMIFS(INDEX(Inputs!$D$4:$AG$150,0,MATCH(X$2,Inputs!$D$2:$AG$2,0)),Inputs!$B$4:$B$150,$B4)/1000)</f>
        <v>7250</v>
      </c>
      <c r="Y4" s="11">
        <f>IF(Y$3=0,"",SUMIFS(INDEX(Inputs!$D$4:$AG$150,0,MATCH(Y$2,Inputs!$D$2:$AG$2,0)),Inputs!$B$4:$B$150,$B4)/1000)</f>
        <v>8133</v>
      </c>
      <c r="Z4" s="11">
        <f>IF(Z$3=0,"",SUMIFS(INDEX(Inputs!$D$4:$AG$150,0,MATCH(Z$2,Inputs!$D$2:$AG$2,0)),Inputs!$B$4:$B$150,$B4)/1000)</f>
        <v>8602</v>
      </c>
      <c r="AA4" s="11">
        <f>IF(AA$3=0,"",SUMIFS(INDEX(Inputs!$D$4:$AG$150,0,MATCH(AA$2,Inputs!$D$2:$AG$2,0)),Inputs!$B$4:$B$150,$B4)/1000)</f>
        <v>8806</v>
      </c>
      <c r="AB4" s="12">
        <f>IF(COUNT(X4:AA4)=4,SUM(X4:AA4),"")</f>
        <v>32791</v>
      </c>
      <c r="AC4" s="11">
        <f>IF(AC$3=0,"",SUMIFS(INDEX(Inputs!$D$4:$AG$150,0,MATCH(AC$2,Inputs!$D$2:$AG$2,0)),Inputs!$B$4:$B$150,$B4)/1000)</f>
        <v>8398</v>
      </c>
      <c r="AD4" s="11">
        <f>IF(AD$3=0,"",SUMIFS(INDEX(Inputs!$D$4:$AG$150,0,MATCH(AD$2,Inputs!$D$2:$AG$2,0)),Inputs!$B$4:$B$150,$B4)/1000)</f>
        <v>9277</v>
      </c>
      <c r="AE4" s="11" t="str">
        <f>IF(AE$3=0,"",SUMIFS(INDEX(Inputs!$D$4:$AG$150,0,MATCH(AE$2,Inputs!$D$2:$AG$2,0)),Inputs!$B$4:$B$150,$B4)/1000)</f>
        <v/>
      </c>
      <c r="AF4" s="11" t="str">
        <f>IF(AF$3=0,"",SUMIFS(INDEX(Inputs!$D$4:$AG$150,0,MATCH(AF$2,Inputs!$D$2:$AG$2,0)),Inputs!$B$4:$B$150,$B4)/1000)</f>
        <v/>
      </c>
      <c r="AG4" s="12" t="str">
        <f>IF(COUNT(AC4:AF4)=4,SUM(AC4:AF4),"")</f>
        <v/>
      </c>
    </row>
    <row r="5">
      <c r="B5" s="9" t="n">
        <v>2</v>
      </c>
      <c r="C5" s="13" t="inlineStr">
        <is>
          <t>COGS (cash)</t>
        </is>
      </c>
      <c r="D5" s="11">
        <f>IF(D$3=0,"",SUMIFS(INDEX(Inputs!$D$4:$AG$150,0,MATCH(D$2,Inputs!$D$2:$AG$2,0)),Inputs!$B$4:$B$150,$B5)/1000)</f>
        <v>0</v>
      </c>
      <c r="E5" s="11">
        <f>IF(E$3=0,"",SUMIFS(INDEX(Inputs!$D$4:$AG$150,0,MATCH(E$2,Inputs!$D$2:$AG$2,0)),Inputs!$B$4:$B$150,$B5)/1000)</f>
        <v>0</v>
      </c>
      <c r="F5" s="11">
        <f>IF(F$3=0,"",SUMIFS(INDEX(Inputs!$D$4:$AG$150,0,MATCH(F$2,Inputs!$D$2:$AG$2,0)),Inputs!$B$4:$B$150,$B5)/1000)</f>
        <v>0</v>
      </c>
      <c r="G5" s="11">
        <f>IF(G$3=0,"",SUMIFS(INDEX(Inputs!$D$4:$AG$150,0,MATCH(G$2,Inputs!$D$2:$AG$2,0)),Inputs!$B$4:$B$150,$B5)/1000)</f>
        <v>0</v>
      </c>
      <c r="H5" s="12">
        <f>IF(COUNT(D5:G5)=4,SUM(D5:G5),"")</f>
        <v>0</v>
      </c>
      <c r="I5" s="11">
        <f>IF(I$3=0,"",SUMIFS(INDEX(Inputs!$D$4:$AG$150,0,MATCH(I$2,Inputs!$D$2:$AG$2,0)),Inputs!$B$4:$B$150,$B5)/1000)</f>
        <v>0</v>
      </c>
      <c r="J5" s="11">
        <f>IF(J$3=0,"",SUMIFS(INDEX(Inputs!$D$4:$AG$150,0,MATCH(J$2,Inputs!$D$2:$AG$2,0)),Inputs!$B$4:$B$150,$B5)/1000)</f>
        <v>0</v>
      </c>
      <c r="K5" s="11">
        <f>IF(K$3=0,"",SUMIFS(INDEX(Inputs!$D$4:$AG$150,0,MATCH(K$2,Inputs!$D$2:$AG$2,0)),Inputs!$B$4:$B$150,$B5)/1000)</f>
        <v>0</v>
      </c>
      <c r="L5" s="11">
        <f>IF(L$3=0,"",SUMIFS(INDEX(Inputs!$D$4:$AG$150,0,MATCH(L$2,Inputs!$D$2:$AG$2,0)),Inputs!$B$4:$B$150,$B5)/1000)</f>
        <v>0</v>
      </c>
      <c r="M5" s="12">
        <f>IF(COUNT(I5:L5)=4,SUM(I5:L5),"")</f>
        <v>0</v>
      </c>
      <c r="N5" s="11">
        <f>IF(N$3=0,"",SUMIFS(INDEX(Inputs!$D$4:$AG$150,0,MATCH(N$2,Inputs!$D$2:$AG$2,0)),Inputs!$B$4:$B$150,$B5)/1000)</f>
        <v>0</v>
      </c>
      <c r="O5" s="11">
        <f>IF(O$3=0,"",SUMIFS(INDEX(Inputs!$D$4:$AG$150,0,MATCH(O$2,Inputs!$D$2:$AG$2,0)),Inputs!$B$4:$B$150,$B5)/1000)</f>
        <v>0</v>
      </c>
      <c r="P5" s="11">
        <f>IF(P$3=0,"",SUMIFS(INDEX(Inputs!$D$4:$AG$150,0,MATCH(P$2,Inputs!$D$2:$AG$2,0)),Inputs!$B$4:$B$150,$B5)/1000)</f>
        <v>0</v>
      </c>
      <c r="Q5" s="11">
        <f>IF(Q$3=0,"",SUMIFS(INDEX(Inputs!$D$4:$AG$150,0,MATCH(Q$2,Inputs!$D$2:$AG$2,0)),Inputs!$B$4:$B$150,$B5)/1000)</f>
        <v>0</v>
      </c>
      <c r="R5" s="12">
        <f>IF(COUNT(N5:Q5)=4,SUM(N5:Q5),"")</f>
        <v>0</v>
      </c>
      <c r="S5" s="11">
        <f>IF(S$3=0,"",SUMIFS(INDEX(Inputs!$D$4:$AG$150,0,MATCH(S$2,Inputs!$D$2:$AG$2,0)),Inputs!$B$4:$B$150,$B5)/1000)</f>
        <v>0</v>
      </c>
      <c r="T5" s="11">
        <f>IF(T$3=0,"",SUMIFS(INDEX(Inputs!$D$4:$AG$150,0,MATCH(T$2,Inputs!$D$2:$AG$2,0)),Inputs!$B$4:$B$150,$B5)/1000)</f>
        <v>0</v>
      </c>
      <c r="U5" s="11">
        <f>IF(U$3=0,"",SUMIFS(INDEX(Inputs!$D$4:$AG$150,0,MATCH(U$2,Inputs!$D$2:$AG$2,0)),Inputs!$B$4:$B$150,$B5)/1000)</f>
        <v>0</v>
      </c>
      <c r="V5" s="11">
        <f>IF(V$3=0,"",SUMIFS(INDEX(Inputs!$D$4:$AG$150,0,MATCH(V$2,Inputs!$D$2:$AG$2,0)),Inputs!$B$4:$B$150,$B5)/1000)</f>
        <v>0</v>
      </c>
      <c r="W5" s="12">
        <f>IF(COUNT(S5:V5)=4,SUM(S5:V5),"")</f>
        <v>0</v>
      </c>
      <c r="X5" s="11">
        <f>IF(X$3=0,"",SUMIFS(INDEX(Inputs!$D$4:$AG$150,0,MATCH(X$2,Inputs!$D$2:$AG$2,0)),Inputs!$B$4:$B$150,$B5)/1000)</f>
        <v>0</v>
      </c>
      <c r="Y5" s="11">
        <f>IF(Y$3=0,"",SUMIFS(INDEX(Inputs!$D$4:$AG$150,0,MATCH(Y$2,Inputs!$D$2:$AG$2,0)),Inputs!$B$4:$B$150,$B5)/1000)</f>
        <v>0</v>
      </c>
      <c r="Z5" s="11">
        <f>IF(Z$3=0,"",SUMIFS(INDEX(Inputs!$D$4:$AG$150,0,MATCH(Z$2,Inputs!$D$2:$AG$2,0)),Inputs!$B$4:$B$150,$B5)/1000)</f>
        <v>0</v>
      </c>
      <c r="AA5" s="11">
        <f>IF(AA$3=0,"",SUMIFS(INDEX(Inputs!$D$4:$AG$150,0,MATCH(AA$2,Inputs!$D$2:$AG$2,0)),Inputs!$B$4:$B$150,$B5)/1000)</f>
        <v>0</v>
      </c>
      <c r="AB5" s="12">
        <f>IF(COUNT(X5:AA5)=4,SUM(X5:AA5),"")</f>
        <v>0</v>
      </c>
      <c r="AC5" s="11">
        <f>IF(AC$3=0,"",SUMIFS(INDEX(Inputs!$D$4:$AG$150,0,MATCH(AC$2,Inputs!$D$2:$AG$2,0)),Inputs!$B$4:$B$150,$B5)/1000)</f>
        <v>0</v>
      </c>
      <c r="AD5" s="11">
        <f>IF(AD$3=0,"",SUMIFS(INDEX(Inputs!$D$4:$AG$150,0,MATCH(AD$2,Inputs!$D$2:$AG$2,0)),Inputs!$B$4:$B$150,$B5)/1000)</f>
        <v>0</v>
      </c>
      <c r="AE5" s="11" t="str">
        <f>IF(AE$3=0,"",SUMIFS(INDEX(Inputs!$D$4:$AG$150,0,MATCH(AE$2,Inputs!$D$2:$AG$2,0)),Inputs!$B$4:$B$150,$B5)/1000)</f>
        <v/>
      </c>
      <c r="AF5" s="11" t="str">
        <f>IF(AF$3=0,"",SUMIFS(INDEX(Inputs!$D$4:$AG$150,0,MATCH(AF$2,Inputs!$D$2:$AG$2,0)),Inputs!$B$4:$B$150,$B5)/1000)</f>
        <v/>
      </c>
      <c r="AG5" s="12" t="str">
        <f>IF(COUNT(AC5:AF5)=4,SUM(AC5:AF5),"")</f>
        <v/>
      </c>
    </row>
    <row r="6">
      <c r="B6" s="9" t="n">
        <v>3</v>
      </c>
      <c r="C6" s="13" t="inlineStr">
        <is>
          <t>SG&amp;A and Other (cash)</t>
        </is>
      </c>
      <c r="D6" s="11">
        <f>IF(D$3=0,"",SUMIFS(INDEX(Inputs!$D$4:$AG$150,0,MATCH(D$2,Inputs!$D$2:$AG$2,0)),Inputs!$B$4:$B$150,$B6)/1000)</f>
        <v>-1795</v>
      </c>
      <c r="E6" s="11">
        <f>IF(E$3=0,"",SUMIFS(INDEX(Inputs!$D$4:$AG$150,0,MATCH(E$2,Inputs!$D$2:$AG$2,0)),Inputs!$B$4:$B$150,$B6)/1000)</f>
        <v>-2001</v>
      </c>
      <c r="F6" s="11">
        <f>IF(F$3=0,"",SUMIFS(INDEX(Inputs!$D$4:$AG$150,0,MATCH(F$2,Inputs!$D$2:$AG$2,0)),Inputs!$B$4:$B$150,$B6)/1000)</f>
        <v>-2080</v>
      </c>
      <c r="G6" s="11">
        <f>IF(G$3=0,"",SUMIFS(INDEX(Inputs!$D$4:$AG$150,0,MATCH(G$2,Inputs!$D$2:$AG$2,0)),Inputs!$B$4:$B$150,$B6)/1000)</f>
        <v>-2200</v>
      </c>
      <c r="H6" s="12">
        <f>IF(COUNT(D6:G6)=4,SUM(D6:G6),"")</f>
        <v>-8076</v>
      </c>
      <c r="I6" s="11">
        <f>IF(I$3=0,"",SUMIFS(INDEX(Inputs!$D$4:$AG$150,0,MATCH(I$2,Inputs!$D$2:$AG$2,0)),Inputs!$B$4:$B$150,$B6)/1000)</f>
        <v>-2025</v>
      </c>
      <c r="J6" s="11">
        <f>IF(J$3=0,"",SUMIFS(INDEX(Inputs!$D$4:$AG$150,0,MATCH(J$2,Inputs!$D$2:$AG$2,0)),Inputs!$B$4:$B$150,$B6)/1000)</f>
        <v>-2290</v>
      </c>
      <c r="K6" s="11">
        <f>IF(K$3=0,"",SUMIFS(INDEX(Inputs!$D$4:$AG$150,0,MATCH(K$2,Inputs!$D$2:$AG$2,0)),Inputs!$B$4:$B$150,$B6)/1000)</f>
        <v>-2459</v>
      </c>
      <c r="L6" s="11">
        <f>IF(L$3=0,"",SUMIFS(INDEX(Inputs!$D$4:$AG$150,0,MATCH(L$2,Inputs!$D$2:$AG$2,0)),Inputs!$B$4:$B$150,$B6)/1000)</f>
        <v>-2449</v>
      </c>
      <c r="M6" s="12">
        <f>IF(COUNT(I6:L6)=4,SUM(I6:L6),"")</f>
        <v>-9223</v>
      </c>
      <c r="N6" s="11">
        <f>IF(N$3=0,"",SUMIFS(INDEX(Inputs!$D$4:$AG$150,0,MATCH(N$2,Inputs!$D$2:$AG$2,0)),Inputs!$B$4:$B$150,$B6)/1000)</f>
        <v>-2421</v>
      </c>
      <c r="O6" s="11">
        <f>IF(O$3=0,"",SUMIFS(INDEX(Inputs!$D$4:$AG$150,0,MATCH(O$2,Inputs!$D$2:$AG$2,0)),Inputs!$B$4:$B$150,$B6)/1000)</f>
        <v>-2421</v>
      </c>
      <c r="P6" s="11">
        <f>IF(P$3=0,"",SUMIFS(INDEX(Inputs!$D$4:$AG$150,0,MATCH(P$2,Inputs!$D$2:$AG$2,0)),Inputs!$B$4:$B$150,$B6)/1000)</f>
        <v>-2478</v>
      </c>
      <c r="Q6" s="11">
        <f>IF(Q$3=0,"",SUMIFS(INDEX(Inputs!$D$4:$AG$150,0,MATCH(Q$2,Inputs!$D$2:$AG$2,0)),Inputs!$B$4:$B$150,$B6)/1000)</f>
        <v>-2971</v>
      </c>
      <c r="R6" s="12">
        <f>IF(COUNT(N6:Q6)=4,SUM(N6:Q6),"")</f>
        <v>-10291</v>
      </c>
      <c r="S6" s="11">
        <f>IF(S$3=0,"",SUMIFS(INDEX(Inputs!$D$4:$AG$150,0,MATCH(S$2,Inputs!$D$2:$AG$2,0)),Inputs!$B$4:$B$150,$B6)/1000)</f>
        <v>-2528</v>
      </c>
      <c r="T6" s="11">
        <f>IF(T$3=0,"",SUMIFS(INDEX(Inputs!$D$4:$AG$150,0,MATCH(T$2,Inputs!$D$2:$AG$2,0)),Inputs!$B$4:$B$150,$B6)/1000)</f>
        <v>-2700</v>
      </c>
      <c r="U6" s="11">
        <f>IF(U$3=0,"",SUMIFS(INDEX(Inputs!$D$4:$AG$150,0,MATCH(U$2,Inputs!$D$2:$AG$2,0)),Inputs!$B$4:$B$150,$B6)/1000)</f>
        <v>-3140</v>
      </c>
      <c r="V6" s="11">
        <f>IF(V$3=0,"",SUMIFS(INDEX(Inputs!$D$4:$AG$150,0,MATCH(V$2,Inputs!$D$2:$AG$2,0)),Inputs!$B$4:$B$150,$B6)/1000)</f>
        <v>-3320</v>
      </c>
      <c r="W6" s="12">
        <f>IF(COUNT(S6:V6)=4,SUM(S6:V6),"")</f>
        <v>-11688</v>
      </c>
      <c r="X6" s="11">
        <f>IF(X$3=0,"",SUMIFS(INDEX(Inputs!$D$4:$AG$150,0,MATCH(X$2,Inputs!$D$2:$AG$2,0)),Inputs!$B$4:$B$150,$B6)/1000)</f>
        <v>-2826</v>
      </c>
      <c r="Y6" s="11">
        <f>IF(Y$3=0,"",SUMIFS(INDEX(Inputs!$D$4:$AG$150,0,MATCH(Y$2,Inputs!$D$2:$AG$2,0)),Inputs!$B$4:$B$150,$B6)/1000)</f>
        <v>-3075</v>
      </c>
      <c r="Z6" s="11">
        <f>IF(Z$3=0,"",SUMIFS(INDEX(Inputs!$D$4:$AG$150,0,MATCH(Z$2,Inputs!$D$2:$AG$2,0)),Inputs!$B$4:$B$150,$B6)/1000)</f>
        <v>-3251</v>
      </c>
      <c r="AA6" s="11">
        <f>IF(AA$3=0,"",SUMIFS(INDEX(Inputs!$D$4:$AG$150,0,MATCH(AA$2,Inputs!$D$2:$AG$2,0)),Inputs!$B$4:$B$150,$B6)/1000)</f>
        <v>-3599</v>
      </c>
      <c r="AB6" s="12">
        <f>IF(COUNT(X6:AA6)=4,SUM(X6:AA6),"")</f>
        <v>-12751</v>
      </c>
      <c r="AC6" s="11">
        <f>IF(AC$3=0,"",SUMIFS(INDEX(Inputs!$D$4:$AG$150,0,MATCH(AC$2,Inputs!$D$2:$AG$2,0)),Inputs!$B$4:$B$150,$B6)/1000)</f>
        <v>-3192</v>
      </c>
      <c r="AD6" s="11">
        <f>IF(AD$3=0,"",SUMIFS(INDEX(Inputs!$D$4:$AG$150,0,MATCH(AD$2,Inputs!$D$2:$AG$2,0)),Inputs!$B$4:$B$150,$B6)/1000)</f>
        <v>-3381</v>
      </c>
      <c r="AE6" s="11" t="str">
        <f>IF(AE$3=0,"",SUMIFS(INDEX(Inputs!$D$4:$AG$150,0,MATCH(AE$2,Inputs!$D$2:$AG$2,0)),Inputs!$B$4:$B$150,$B6)/1000)</f>
        <v/>
      </c>
      <c r="AF6" s="11" t="str">
        <f>IF(AF$3=0,"",SUMIFS(INDEX(Inputs!$D$4:$AG$150,0,MATCH(AF$2,Inputs!$D$2:$AG$2,0)),Inputs!$B$4:$B$150,$B6)/1000)</f>
        <v/>
      </c>
      <c r="AG6" s="12" t="str">
        <f>IF(COUNT(AC6:AF6)=4,SUM(AC6:AF6),"")</f>
        <v/>
      </c>
    </row>
    <row r="7">
      <c r="B7" s="9" t="n">
        <v>4</v>
      </c>
      <c r="C7" s="13" t="inlineStr">
        <is>
          <t>D&amp;A</t>
        </is>
      </c>
      <c r="D7" s="11">
        <f>IF(D$3=0,"",SUMIFS(INDEX(Inputs!$D$4:$AG$150,0,MATCH(D$2,Inputs!$D$2:$AG$2,0)),Inputs!$B$4:$B$150,$B7)/1000)</f>
        <v>-163</v>
      </c>
      <c r="E7" s="11">
        <f>IF(E$3=0,"",SUMIFS(INDEX(Inputs!$D$4:$AG$150,0,MATCH(E$2,Inputs!$D$2:$AG$2,0)),Inputs!$B$4:$B$150,$B7)/1000)</f>
        <v>-186</v>
      </c>
      <c r="F7" s="11">
        <f>IF(F$3=0,"",SUMIFS(INDEX(Inputs!$D$4:$AG$150,0,MATCH(F$2,Inputs!$D$2:$AG$2,0)),Inputs!$B$4:$B$150,$B7)/1000)</f>
        <v>-188</v>
      </c>
      <c r="G7" s="11">
        <f>IF(G$3=0,"",SUMIFS(INDEX(Inputs!$D$4:$AG$150,0,MATCH(G$2,Inputs!$D$2:$AG$2,0)),Inputs!$B$4:$B$150,$B7)/1000)</f>
        <v>-189</v>
      </c>
      <c r="H7" s="12">
        <f>IF(COUNT(D7:G7)=4,SUM(D7:G7),"")</f>
        <v>-726</v>
      </c>
      <c r="I7" s="11">
        <f>IF(I$3=0,"",SUMIFS(INDEX(Inputs!$D$4:$AG$150,0,MATCH(I$2,Inputs!$D$2:$AG$2,0)),Inputs!$B$4:$B$150,$B7)/1000)</f>
        <v>-192</v>
      </c>
      <c r="J7" s="11">
        <f>IF(J$3=0,"",SUMIFS(INDEX(Inputs!$D$4:$AG$150,0,MATCH(J$2,Inputs!$D$2:$AG$2,0)),Inputs!$B$4:$B$150,$B7)/1000)</f>
        <v>-189</v>
      </c>
      <c r="K7" s="11">
        <f>IF(K$3=0,"",SUMIFS(INDEX(Inputs!$D$4:$AG$150,0,MATCH(K$2,Inputs!$D$2:$AG$2,0)),Inputs!$B$4:$B$150,$B7)/1000)</f>
        <v>-185</v>
      </c>
      <c r="L7" s="11">
        <f>IF(L$3=0,"",SUMIFS(INDEX(Inputs!$D$4:$AG$150,0,MATCH(L$2,Inputs!$D$2:$AG$2,0)),Inputs!$B$4:$B$150,$B7)/1000)</f>
        <v>-184</v>
      </c>
      <c r="M7" s="12">
        <f>IF(COUNT(I7:L7)=4,SUM(I7:L7),"")</f>
        <v>-750</v>
      </c>
      <c r="N7" s="11">
        <f>IF(N$3=0,"",SUMIFS(INDEX(Inputs!$D$4:$AG$150,0,MATCH(N$2,Inputs!$D$2:$AG$2,0)),Inputs!$B$4:$B$150,$B7)/1000)</f>
        <v>-191</v>
      </c>
      <c r="O7" s="11">
        <f>IF(O$3=0,"",SUMIFS(INDEX(Inputs!$D$4:$AG$150,0,MATCH(O$2,Inputs!$D$2:$AG$2,0)),Inputs!$B$4:$B$150,$B7)/1000)</f>
        <v>-192</v>
      </c>
      <c r="P7" s="11">
        <f>IF(P$3=0,"",SUMIFS(INDEX(Inputs!$D$4:$AG$150,0,MATCH(P$2,Inputs!$D$2:$AG$2,0)),Inputs!$B$4:$B$150,$B7)/1000)</f>
        <v>-211</v>
      </c>
      <c r="Q7" s="11">
        <f>IF(Q$3=0,"",SUMIFS(INDEX(Inputs!$D$4:$AG$150,0,MATCH(Q$2,Inputs!$D$2:$AG$2,0)),Inputs!$B$4:$B$150,$B7)/1000)</f>
        <v>-205</v>
      </c>
      <c r="R7" s="12">
        <f>IF(COUNT(N7:Q7)=4,SUM(N7:Q7),"")</f>
        <v>-799</v>
      </c>
      <c r="S7" s="11">
        <f>IF(S$3=0,"",SUMIFS(INDEX(Inputs!$D$4:$AG$150,0,MATCH(S$2,Inputs!$D$2:$AG$2,0)),Inputs!$B$4:$B$150,$B7)/1000)</f>
        <v>-216</v>
      </c>
      <c r="T7" s="11">
        <f>IF(T$3=0,"",SUMIFS(INDEX(Inputs!$D$4:$AG$150,0,MATCH(T$2,Inputs!$D$2:$AG$2,0)),Inputs!$B$4:$B$150,$B7)/1000)</f>
        <v>-225</v>
      </c>
      <c r="U7" s="11">
        <f>IF(U$3=0,"",SUMIFS(INDEX(Inputs!$D$4:$AG$150,0,MATCH(U$2,Inputs!$D$2:$AG$2,0)),Inputs!$B$4:$B$150,$B7)/1000)</f>
        <v>-225</v>
      </c>
      <c r="V7" s="11">
        <f>IF(V$3=0,"",SUMIFS(INDEX(Inputs!$D$4:$AG$150,0,MATCH(V$2,Inputs!$D$2:$AG$2,0)),Inputs!$B$4:$B$150,$B7)/1000)</f>
        <v>-231</v>
      </c>
      <c r="W7" s="12">
        <f>IF(COUNT(S7:V7)=4,SUM(S7:V7),"")</f>
        <v>-897</v>
      </c>
      <c r="X7" s="11">
        <f>IF(X$3=0,"",SUMIFS(INDEX(Inputs!$D$4:$AG$150,0,MATCH(X$2,Inputs!$D$2:$AG$2,0)),Inputs!$B$4:$B$150,$B7)/1000)</f>
        <v>-275</v>
      </c>
      <c r="Y7" s="11">
        <f>IF(Y$3=0,"",SUMIFS(INDEX(Inputs!$D$4:$AG$150,0,MATCH(Y$2,Inputs!$D$2:$AG$2,0)),Inputs!$B$4:$B$150,$B7)/1000)</f>
        <v>-281</v>
      </c>
      <c r="Z7" s="11">
        <f>IF(Z$3=0,"",SUMIFS(INDEX(Inputs!$D$4:$AG$150,0,MATCH(Z$2,Inputs!$D$2:$AG$2,0)),Inputs!$B$4:$B$150,$B7)/1000)</f>
        <v>-290</v>
      </c>
      <c r="AA7" s="11">
        <f>IF(AA$3=0,"",SUMIFS(INDEX(Inputs!$D$4:$AG$150,0,MATCH(AA$2,Inputs!$D$2:$AG$2,0)),Inputs!$B$4:$B$150,$B7)/1000)</f>
        <v>-297</v>
      </c>
      <c r="AB7" s="12">
        <f>IF(COUNT(X7:AA7)=4,SUM(X7:AA7),"")</f>
        <v>-1143</v>
      </c>
      <c r="AC7" s="11">
        <f>IF(AC$3=0,"",SUMIFS(INDEX(Inputs!$D$4:$AG$150,0,MATCH(AC$2,Inputs!$D$2:$AG$2,0)),Inputs!$B$4:$B$150,$B7)/1000)</f>
        <v>-299</v>
      </c>
      <c r="AD7" s="11">
        <f>IF(AD$3=0,"",SUMIFS(INDEX(Inputs!$D$4:$AG$150,0,MATCH(AD$2,Inputs!$D$2:$AG$2,0)),Inputs!$B$4:$B$150,$B7)/1000)</f>
        <v>-309</v>
      </c>
      <c r="AE7" s="11" t="str">
        <f>IF(AE$3=0,"",SUMIFS(INDEX(Inputs!$D$4:$AG$150,0,MATCH(AE$2,Inputs!$D$2:$AG$2,0)),Inputs!$B$4:$B$150,$B7)/1000)</f>
        <v/>
      </c>
      <c r="AF7" s="11" t="str">
        <f>IF(AF$3=0,"",SUMIFS(INDEX(Inputs!$D$4:$AG$150,0,MATCH(AF$2,Inputs!$D$2:$AG$2,0)),Inputs!$B$4:$B$150,$B7)/1000)</f>
        <v/>
      </c>
      <c r="AG7" s="12" t="str">
        <f>IF(COUNT(AC7:AF7)=4,SUM(AC7:AF7),"")</f>
        <v/>
      </c>
    </row>
    <row r="8">
      <c r="B8" s="9" t="n">
        <v>5</v>
      </c>
      <c r="C8" s="14" t="inlineStr">
        <is>
          <t>Interest Expense</t>
        </is>
      </c>
      <c r="D8" s="11">
        <f>IF(D$3=0,"",SUMIFS(INDEX(Inputs!$D$4:$AG$150,0,MATCH(D$2,Inputs!$D$2:$AG$2,0)),Inputs!$B$4:$B$150,$B8)/1000)</f>
        <v>-107</v>
      </c>
      <c r="E8" s="11">
        <f>IF(E$3=0,"",SUMIFS(INDEX(Inputs!$D$4:$AG$150,0,MATCH(E$2,Inputs!$D$2:$AG$2,0)),Inputs!$B$4:$B$150,$B8)/1000)</f>
        <v>-106</v>
      </c>
      <c r="F8" s="11">
        <f>IF(F$3=0,"",SUMIFS(INDEX(Inputs!$D$4:$AG$150,0,MATCH(F$2,Inputs!$D$2:$AG$2,0)),Inputs!$B$4:$B$150,$B8)/1000)</f>
        <v>-110</v>
      </c>
      <c r="G8" s="11">
        <f>IF(G$3=0,"",SUMIFS(INDEX(Inputs!$D$4:$AG$150,0,MATCH(G$2,Inputs!$D$2:$AG$2,0)),Inputs!$B$4:$B$150,$B8)/1000)</f>
        <v>-108</v>
      </c>
      <c r="H8" s="12">
        <f>IF(COUNT(D8:G8)=4,SUM(D8:G8),"")</f>
        <v>-431</v>
      </c>
      <c r="I8" s="11">
        <f>IF(I$3=0,"",SUMIFS(INDEX(Inputs!$D$4:$AG$150,0,MATCH(I$2,Inputs!$D$2:$AG$2,0)),Inputs!$B$4:$B$150,$B8)/1000)</f>
        <v>-110</v>
      </c>
      <c r="J8" s="11">
        <f>IF(J$3=0,"",SUMIFS(INDEX(Inputs!$D$4:$AG$150,0,MATCH(J$2,Inputs!$D$2:$AG$2,0)),Inputs!$B$4:$B$150,$B8)/1000)</f>
        <v>-114</v>
      </c>
      <c r="K8" s="11">
        <f>IF(K$3=0,"",SUMIFS(INDEX(Inputs!$D$4:$AG$150,0,MATCH(K$2,Inputs!$D$2:$AG$2,0)),Inputs!$B$4:$B$150,$B8)/1000)</f>
        <v>-120</v>
      </c>
      <c r="L8" s="11">
        <f>IF(L$3=0,"",SUMIFS(INDEX(Inputs!$D$4:$AG$150,0,MATCH(L$2,Inputs!$D$2:$AG$2,0)),Inputs!$B$4:$B$150,$B8)/1000)</f>
        <v>-127</v>
      </c>
      <c r="M8" s="12">
        <f>IF(COUNT(I8:L8)=4,SUM(I8:L8),"")</f>
        <v>-471</v>
      </c>
      <c r="N8" s="11">
        <f>IF(N$3=0,"",SUMIFS(INDEX(Inputs!$D$4:$AG$150,0,MATCH(N$2,Inputs!$D$2:$AG$2,0)),Inputs!$B$4:$B$150,$B8)/1000)</f>
        <v>-132</v>
      </c>
      <c r="O8" s="11">
        <f>IF(O$3=0,"",SUMIFS(INDEX(Inputs!$D$4:$AG$150,0,MATCH(O$2,Inputs!$D$2:$AG$2,0)),Inputs!$B$4:$B$150,$B8)/1000)</f>
        <v>-144</v>
      </c>
      <c r="P8" s="11">
        <f>IF(P$3=0,"",SUMIFS(INDEX(Inputs!$D$4:$AG$150,0,MATCH(P$2,Inputs!$D$2:$AG$2,0)),Inputs!$B$4:$B$150,$B8)/1000)</f>
        <v>-151</v>
      </c>
      <c r="Q8" s="11">
        <f>IF(Q$3=0,"",SUMIFS(INDEX(Inputs!$D$4:$AG$150,0,MATCH(Q$2,Inputs!$D$2:$AG$2,0)),Inputs!$B$4:$B$150,$B8)/1000)</f>
        <v>-148</v>
      </c>
      <c r="R8" s="12">
        <f>IF(COUNT(N8:Q8)=4,SUM(N8:Q8),"")</f>
        <v>-575</v>
      </c>
      <c r="S8" s="11">
        <f>IF(S$3=0,"",SUMIFS(INDEX(Inputs!$D$4:$AG$150,0,MATCH(S$2,Inputs!$D$2:$AG$2,0)),Inputs!$B$4:$B$150,$B8)/1000)</f>
        <v>-150</v>
      </c>
      <c r="T8" s="11">
        <f>IF(T$3=0,"",SUMIFS(INDEX(Inputs!$D$4:$AG$150,0,MATCH(T$2,Inputs!$D$2:$AG$2,0)),Inputs!$B$4:$B$150,$B8)/1000)</f>
        <v>-153</v>
      </c>
      <c r="U8" s="11">
        <f>IF(U$3=0,"",SUMIFS(INDEX(Inputs!$D$4:$AG$150,0,MATCH(U$2,Inputs!$D$2:$AG$2,0)),Inputs!$B$4:$B$150,$B8)/1000)</f>
        <v>-159</v>
      </c>
      <c r="V8" s="11">
        <f>IF(V$3=0,"",SUMIFS(INDEX(Inputs!$D$4:$AG$150,0,MATCH(V$2,Inputs!$D$2:$AG$2,0)),Inputs!$B$4:$B$150,$B8)/1000)</f>
        <v>-184</v>
      </c>
      <c r="W8" s="12">
        <f>IF(COUNT(S8:V8)=4,SUM(S8:V8),"")</f>
        <v>-646</v>
      </c>
      <c r="X8" s="11">
        <f>IF(X$3=0,"",SUMIFS(INDEX(Inputs!$D$4:$AG$150,0,MATCH(X$2,Inputs!$D$2:$AG$2,0)),Inputs!$B$4:$B$150,$B8)/1000)</f>
        <v>-182</v>
      </c>
      <c r="Y8" s="11">
        <f>IF(Y$3=0,"",SUMIFS(INDEX(Inputs!$D$4:$AG$150,0,MATCH(Y$2,Inputs!$D$2:$AG$2,0)),Inputs!$B$4:$B$150,$B8)/1000)</f>
        <v>-195</v>
      </c>
      <c r="Z8" s="11">
        <f>IF(Z$3=0,"",SUMIFS(INDEX(Inputs!$D$4:$AG$150,0,MATCH(Z$2,Inputs!$D$2:$AG$2,0)),Inputs!$B$4:$B$150,$B8)/1000)</f>
        <v>-186</v>
      </c>
      <c r="AA8" s="11">
        <f>IF(AA$3=0,"",SUMIFS(INDEX(Inputs!$D$4:$AG$150,0,MATCH(AA$2,Inputs!$D$2:$AG$2,0)),Inputs!$B$4:$B$150,$B8)/1000)</f>
        <v>-159</v>
      </c>
      <c r="AB8" s="12">
        <f>IF(COUNT(X8:AA8)=4,SUM(X8:AA8),"")</f>
        <v>-722</v>
      </c>
      <c r="AC8" s="11">
        <f>IF(AC$3=0,"",SUMIFS(INDEX(Inputs!$D$4:$AG$150,0,MATCH(AC$2,Inputs!$D$2:$AG$2,0)),Inputs!$B$4:$B$150,$B8)/1000)</f>
        <v>-185</v>
      </c>
      <c r="AD8" s="11">
        <f>IF(AD$3=0,"",SUMIFS(INDEX(Inputs!$D$4:$AG$150,0,MATCH(AD$2,Inputs!$D$2:$AG$2,0)),Inputs!$B$4:$B$150,$B8)/1000)</f>
        <v>-218</v>
      </c>
      <c r="AE8" s="11" t="str">
        <f>IF(AE$3=0,"",SUMIFS(INDEX(Inputs!$D$4:$AG$150,0,MATCH(AE$2,Inputs!$D$2:$AG$2,0)),Inputs!$B$4:$B$150,$B8)/1000)</f>
        <v/>
      </c>
      <c r="AF8" s="11" t="str">
        <f>IF(AF$3=0,"",SUMIFS(INDEX(Inputs!$D$4:$AG$150,0,MATCH(AF$2,Inputs!$D$2:$AG$2,0)),Inputs!$B$4:$B$150,$B8)/1000)</f>
        <v/>
      </c>
      <c r="AG8" s="12" t="str">
        <f>IF(COUNT(AC8:AF8)=4,SUM(AC8:AF8),"")</f>
        <v/>
      </c>
    </row>
    <row r="9">
      <c r="B9" s="9" t="n">
        <v>6</v>
      </c>
      <c r="C9" s="14" t="inlineStr">
        <is>
          <t>Nonoperating Income / (Loss)</t>
        </is>
      </c>
      <c r="D9" s="11">
        <f>IF(D$3=0,"",SUMIFS(INDEX(Inputs!$D$4:$AG$150,0,MATCH(D$2,Inputs!$D$2:$AG$2,0)),Inputs!$B$4:$B$150,$B9)/1000)</f>
        <v>100</v>
      </c>
      <c r="E9" s="11">
        <f>IF(E$3=0,"",SUMIFS(INDEX(Inputs!$D$4:$AG$150,0,MATCH(E$2,Inputs!$D$2:$AG$2,0)),Inputs!$B$4:$B$150,$B9)/1000)</f>
        <v>243</v>
      </c>
      <c r="F9" s="11">
        <f>IF(F$3=0,"",SUMIFS(INDEX(Inputs!$D$4:$AG$150,0,MATCH(F$2,Inputs!$D$2:$AG$2,0)),Inputs!$B$4:$B$150,$B9)/1000)</f>
        <v>209</v>
      </c>
      <c r="G9" s="11">
        <f>IF(G$3=0,"",SUMIFS(INDEX(Inputs!$D$4:$AG$150,0,MATCH(G$2,Inputs!$D$2:$AG$2,0)),Inputs!$B$4:$B$150,$B9)/1000)</f>
        <v>104</v>
      </c>
      <c r="H9" s="12">
        <f>IF(COUNT(D9:G9)=4,SUM(D9:G9),"")</f>
        <v>656</v>
      </c>
      <c r="I9" s="11">
        <f>IF(I$3=0,"",SUMIFS(INDEX(Inputs!$D$4:$AG$150,0,MATCH(I$2,Inputs!$D$2:$AG$2,0)),Inputs!$B$4:$B$150,$B9)/1000)</f>
        <v>-67</v>
      </c>
      <c r="J9" s="11">
        <f>IF(J$3=0,"",SUMIFS(INDEX(Inputs!$D$4:$AG$150,0,MATCH(J$2,Inputs!$D$2:$AG$2,0)),Inputs!$B$4:$B$150,$B9)/1000)</f>
        <v>-106</v>
      </c>
      <c r="K9" s="11">
        <f>IF(K$3=0,"",SUMIFS(INDEX(Inputs!$D$4:$AG$150,0,MATCH(K$2,Inputs!$D$2:$AG$2,0)),Inputs!$B$4:$B$150,$B9)/1000)</f>
        <v>80</v>
      </c>
      <c r="L9" s="11">
        <f>IF(L$3=0,"",SUMIFS(INDEX(Inputs!$D$4:$AG$150,0,MATCH(L$2,Inputs!$D$2:$AG$2,0)),Inputs!$B$4:$B$150,$B9)/1000)</f>
        <v>32</v>
      </c>
      <c r="M9" s="12">
        <f>IF(COUNT(I9:L9)=4,SUM(I9:L9),"")</f>
        <v>-61</v>
      </c>
      <c r="N9" s="11">
        <f>IF(N$3=0,"",SUMIFS(INDEX(Inputs!$D$4:$AG$150,0,MATCH(N$2,Inputs!$D$2:$AG$2,0)),Inputs!$B$4:$B$150,$B9)/1000)</f>
        <v>-151</v>
      </c>
      <c r="O9" s="11">
        <f>IF(O$3=0,"",SUMIFS(INDEX(Inputs!$D$4:$AG$150,0,MATCH(O$2,Inputs!$D$2:$AG$2,0)),Inputs!$B$4:$B$150,$B9)/1000)</f>
        <v>192</v>
      </c>
      <c r="P9" s="11">
        <f>IF(P$3=0,"",SUMIFS(INDEX(Inputs!$D$4:$AG$150,0,MATCH(P$2,Inputs!$D$2:$AG$2,0)),Inputs!$B$4:$B$150,$B9)/1000)</f>
        <v>68</v>
      </c>
      <c r="Q9" s="11">
        <f>IF(Q$3=0,"",SUMIFS(INDEX(Inputs!$D$4:$AG$150,0,MATCH(Q$2,Inputs!$D$2:$AG$2,0)),Inputs!$B$4:$B$150,$B9)/1000)</f>
        <v>97</v>
      </c>
      <c r="R9" s="12">
        <f>IF(COUNT(N9:Q9)=4,SUM(N9:Q9),"")</f>
        <v>206</v>
      </c>
      <c r="S9" s="11">
        <f>IF(S$3=0,"",SUMIFS(INDEX(Inputs!$D$4:$AG$150,0,MATCH(S$2,Inputs!$D$2:$AG$2,0)),Inputs!$B$4:$B$150,$B9)/1000)</f>
        <v>104</v>
      </c>
      <c r="T9" s="11">
        <f>IF(T$3=0,"",SUMIFS(INDEX(Inputs!$D$4:$AG$150,0,MATCH(T$2,Inputs!$D$2:$AG$2,0)),Inputs!$B$4:$B$150,$B9)/1000)</f>
        <v>56</v>
      </c>
      <c r="U9" s="11">
        <f>IF(U$3=0,"",SUMIFS(INDEX(Inputs!$D$4:$AG$150,0,MATCH(U$2,Inputs!$D$2:$AG$2,0)),Inputs!$B$4:$B$150,$B9)/1000)</f>
        <v>21</v>
      </c>
      <c r="V9" s="11">
        <f>IF(V$3=0,"",SUMIFS(INDEX(Inputs!$D$4:$AG$150,0,MATCH(V$2,Inputs!$D$2:$AG$2,0)),Inputs!$B$4:$B$150,$B9)/1000)</f>
        <v>137</v>
      </c>
      <c r="W9" s="12">
        <f>IF(COUNT(S9:V9)=4,SUM(S9:V9),"")</f>
        <v>318</v>
      </c>
      <c r="X9" s="11">
        <f>IF(X$3=0,"",SUMIFS(INDEX(Inputs!$D$4:$AG$150,0,MATCH(X$2,Inputs!$D$2:$AG$2,0)),Inputs!$B$4:$B$150,$B9)/1000)</f>
        <v>64</v>
      </c>
      <c r="Y9" s="11">
        <f>IF(Y$3=0,"",SUMIFS(INDEX(Inputs!$D$4:$AG$150,0,MATCH(Y$2,Inputs!$D$2:$AG$2,0)),Inputs!$B$4:$B$150,$B9)/1000)</f>
        <v>90</v>
      </c>
      <c r="Z9" s="11">
        <f>IF(Z$3=0,"",SUMIFS(INDEX(Inputs!$D$4:$AG$150,0,MATCH(Z$2,Inputs!$D$2:$AG$2,0)),Inputs!$B$4:$B$150,$B9)/1000)</f>
        <v>124</v>
      </c>
      <c r="AA9" s="11">
        <f>IF(AA$3=0,"",SUMIFS(INDEX(Inputs!$D$4:$AG$150,0,MATCH(AA$2,Inputs!$D$2:$AG$2,0)),Inputs!$B$4:$B$150,$B9)/1000)</f>
        <v>125</v>
      </c>
      <c r="AB9" s="12">
        <f>IF(COUNT(X9:AA9)=4,SUM(X9:AA9),"")</f>
        <v>403</v>
      </c>
      <c r="AC9" s="11">
        <f>IF(AC$3=0,"",SUMIFS(INDEX(Inputs!$D$4:$AG$150,0,MATCH(AC$2,Inputs!$D$2:$AG$2,0)),Inputs!$B$4:$B$150,$B9)/1000)</f>
        <v>90</v>
      </c>
      <c r="AD9" s="11">
        <f>IF(AD$3=0,"",SUMIFS(INDEX(Inputs!$D$4:$AG$150,0,MATCH(AD$2,Inputs!$D$2:$AG$2,0)),Inputs!$B$4:$B$150,$B9)/1000)</f>
        <v>117</v>
      </c>
      <c r="AE9" s="11" t="str">
        <f>IF(AE$3=0,"",SUMIFS(INDEX(Inputs!$D$4:$AG$150,0,MATCH(AE$2,Inputs!$D$2:$AG$2,0)),Inputs!$B$4:$B$150,$B9)/1000)</f>
        <v/>
      </c>
      <c r="AF9" s="11" t="str">
        <f>IF(AF$3=0,"",SUMIFS(INDEX(Inputs!$D$4:$AG$150,0,MATCH(AF$2,Inputs!$D$2:$AG$2,0)),Inputs!$B$4:$B$150,$B9)/1000)</f>
        <v/>
      </c>
      <c r="AG9" s="12" t="str">
        <f>IF(COUNT(AC9:AF9)=4,SUM(AC9:AF9),"")</f>
        <v/>
      </c>
    </row>
    <row r="10">
      <c r="B10" s="9" t="n">
        <v>7</v>
      </c>
      <c r="C10" s="14" t="inlineStr">
        <is>
          <t>Taxes</t>
        </is>
      </c>
      <c r="D10" s="11">
        <f>IF(D$3=0,"",SUMIFS(INDEX(Inputs!$D$4:$AG$150,0,MATCH(D$2,Inputs!$D$2:$AG$2,0)),Inputs!$B$4:$B$150,$B10)/1000)</f>
        <v>-362</v>
      </c>
      <c r="E10" s="11">
        <f>IF(E$3=0,"",SUMIFS(INDEX(Inputs!$D$4:$AG$150,0,MATCH(E$2,Inputs!$D$2:$AG$2,0)),Inputs!$B$4:$B$150,$B10)/1000)</f>
        <v>-412</v>
      </c>
      <c r="F10" s="11">
        <f>IF(F$3=0,"",SUMIFS(INDEX(Inputs!$D$4:$AG$150,0,MATCH(F$2,Inputs!$D$2:$AG$2,0)),Inputs!$B$4:$B$150,$B10)/1000)</f>
        <v>-402</v>
      </c>
      <c r="G10" s="11">
        <f>IF(G$3=0,"",SUMIFS(INDEX(Inputs!$D$4:$AG$150,0,MATCH(G$2,Inputs!$D$2:$AG$2,0)),Inputs!$B$4:$B$150,$B10)/1000)</f>
        <v>-444</v>
      </c>
      <c r="H10" s="12">
        <f>IF(COUNT(D10:G10)=4,SUM(D10:G10),"")</f>
        <v>-1620</v>
      </c>
      <c r="I10" s="11">
        <f>IF(I$3=0,"",SUMIFS(INDEX(Inputs!$D$4:$AG$150,0,MATCH(I$2,Inputs!$D$2:$AG$2,0)),Inputs!$B$4:$B$150,$B10)/1000)</f>
        <v>-142</v>
      </c>
      <c r="J10" s="11">
        <f>IF(J$3=0,"",SUMIFS(INDEX(Inputs!$D$4:$AG$150,0,MATCH(J$2,Inputs!$D$2:$AG$2,0)),Inputs!$B$4:$B$150,$B10)/1000)</f>
        <v>-523</v>
      </c>
      <c r="K10" s="11">
        <f>IF(K$3=0,"",SUMIFS(INDEX(Inputs!$D$4:$AG$150,0,MATCH(K$2,Inputs!$D$2:$AG$2,0)),Inputs!$B$4:$B$150,$B10)/1000)</f>
        <v>-573</v>
      </c>
      <c r="L10" s="11">
        <f>IF(L$3=0,"",SUMIFS(INDEX(Inputs!$D$4:$AG$150,0,MATCH(L$2,Inputs!$D$2:$AG$2,0)),Inputs!$B$4:$B$150,$B10)/1000)</f>
        <v>-564</v>
      </c>
      <c r="M10" s="12">
        <f>IF(COUNT(I10:L10)=4,SUM(I10:L10),"")</f>
        <v>-1802</v>
      </c>
      <c r="N10" s="11">
        <f>IF(N$3=0,"",SUMIFS(INDEX(Inputs!$D$4:$AG$150,0,MATCH(N$2,Inputs!$D$2:$AG$2,0)),Inputs!$B$4:$B$150,$B10)/1000)</f>
        <v>-492</v>
      </c>
      <c r="O10" s="11">
        <f>IF(O$3=0,"",SUMIFS(INDEX(Inputs!$D$4:$AG$150,0,MATCH(O$2,Inputs!$D$2:$AG$2,0)),Inputs!$B$4:$B$150,$B10)/1000)</f>
        <v>-859</v>
      </c>
      <c r="P10" s="11">
        <f>IF(P$3=0,"",SUMIFS(INDEX(Inputs!$D$4:$AG$150,0,MATCH(P$2,Inputs!$D$2:$AG$2,0)),Inputs!$B$4:$B$150,$B10)/1000)</f>
        <v>-563</v>
      </c>
      <c r="Q10" s="11">
        <f>IF(Q$3=0,"",SUMIFS(INDEX(Inputs!$D$4:$AG$150,0,MATCH(Q$2,Inputs!$D$2:$AG$2,0)),Inputs!$B$4:$B$150,$B10)/1000)</f>
        <v>-530</v>
      </c>
      <c r="R10" s="12">
        <f>IF(COUNT(N10:Q10)=4,SUM(N10:Q10),"")</f>
        <v>-2444</v>
      </c>
      <c r="S10" s="11">
        <f>IF(S$3=0,"",SUMIFS(INDEX(Inputs!$D$4:$AG$150,0,MATCH(S$2,Inputs!$D$2:$AG$2,0)),Inputs!$B$4:$B$150,$B10)/1000)</f>
        <v>-547</v>
      </c>
      <c r="T10" s="11">
        <f>IF(T$3=0,"",SUMIFS(INDEX(Inputs!$D$4:$AG$150,0,MATCH(T$2,Inputs!$D$2:$AG$2,0)),Inputs!$B$4:$B$150,$B10)/1000)</f>
        <v>-681</v>
      </c>
      <c r="U10" s="11">
        <f>IF(U$3=0,"",SUMIFS(INDEX(Inputs!$D$4:$AG$150,0,MATCH(U$2,Inputs!$D$2:$AG$2,0)),Inputs!$B$4:$B$150,$B10)/1000)</f>
        <v>-603</v>
      </c>
      <c r="V10" s="11">
        <f>IF(V$3=0,"",SUMIFS(INDEX(Inputs!$D$4:$AG$150,0,MATCH(V$2,Inputs!$D$2:$AG$2,0)),Inputs!$B$4:$B$150,$B10)/1000)</f>
        <v>-549</v>
      </c>
      <c r="W10" s="12">
        <f>IF(COUNT(S10:V10)=4,SUM(S10:V10),"")</f>
        <v>-2380</v>
      </c>
      <c r="X10" s="11">
        <f>IF(X$3=0,"",SUMIFS(INDEX(Inputs!$D$4:$AG$150,0,MATCH(X$2,Inputs!$D$2:$AG$2,0)),Inputs!$B$4:$B$150,$B10)/1000)</f>
        <v>-751</v>
      </c>
      <c r="Y10" s="11">
        <f>IF(Y$3=0,"",SUMIFS(INDEX(Inputs!$D$4:$AG$150,0,MATCH(Y$2,Inputs!$D$2:$AG$2,0)),Inputs!$B$4:$B$150,$B10)/1000)</f>
        <v>-971</v>
      </c>
      <c r="Z10" s="11">
        <f>IF(Z$3=0,"",SUMIFS(INDEX(Inputs!$D$4:$AG$150,0,MATCH(Z$2,Inputs!$D$2:$AG$2,0)),Inputs!$B$4:$B$150,$B10)/1000)</f>
        <v>-1072</v>
      </c>
      <c r="AA10" s="11">
        <f>IF(AA$3=0,"",SUMIFS(INDEX(Inputs!$D$4:$AG$150,0,MATCH(AA$2,Inputs!$D$2:$AG$2,0)),Inputs!$B$4:$B$150,$B10)/1000)</f>
        <v>-816</v>
      </c>
      <c r="AB10" s="12">
        <f>IF(COUNT(X10:AA10)=4,SUM(X10:AA10),"")</f>
        <v>-3610</v>
      </c>
      <c r="AC10" s="11">
        <f>IF(AC$3=0,"",SUMIFS(INDEX(Inputs!$D$4:$AG$150,0,MATCH(AC$2,Inputs!$D$2:$AG$2,0)),Inputs!$B$4:$B$150,$B10)/1000)</f>
        <v>-930</v>
      </c>
      <c r="AD10" s="11">
        <f>IF(AD$3=0,"",SUMIFS(INDEX(Inputs!$D$4:$AG$150,0,MATCH(AD$2,Inputs!$D$2:$AG$2,0)),Inputs!$B$4:$B$150,$B10)/1000)</f>
        <v>-1098</v>
      </c>
      <c r="AE10" s="11" t="str">
        <f>IF(AE$3=0,"",SUMIFS(INDEX(Inputs!$D$4:$AG$150,0,MATCH(AE$2,Inputs!$D$2:$AG$2,0)),Inputs!$B$4:$B$150,$B10)/1000)</f>
        <v/>
      </c>
      <c r="AF10" s="11" t="str">
        <f>IF(AF$3=0,"",SUMIFS(INDEX(Inputs!$D$4:$AG$150,0,MATCH(AF$2,Inputs!$D$2:$AG$2,0)),Inputs!$B$4:$B$150,$B10)/1000)</f>
        <v/>
      </c>
      <c r="AG10" s="12" t="str">
        <f>IF(COUNT(AC10:AF10)=4,SUM(AC10:AF10),"")</f>
        <v/>
      </c>
    </row>
    <row r="11">
      <c r="B11" s="9" t="n">
        <v>8</v>
      </c>
      <c r="C11" s="14" t="inlineStr">
        <is>
          <t>Equity in Income of Affiliates, after tax (enter as +)</t>
        </is>
      </c>
      <c r="D11" s="11">
        <f>IF(D$3=0,"",SUMIFS(INDEX(Inputs!$D$4:$AG$150,0,MATCH(D$2,Inputs!$D$2:$AG$2,0)),Inputs!$B$4:$B$150,$B11)/1000)</f>
        <v>-1</v>
      </c>
      <c r="E11" s="11">
        <f>IF(E$3=0,"",SUMIFS(INDEX(Inputs!$D$4:$AG$150,0,MATCH(E$2,Inputs!$D$2:$AG$2,0)),Inputs!$B$4:$B$150,$B11)/1000)</f>
        <v>0</v>
      </c>
      <c r="F11" s="11">
        <f>IF(F$3=0,"",SUMIFS(INDEX(Inputs!$D$4:$AG$150,0,MATCH(F$2,Inputs!$D$2:$AG$2,0)),Inputs!$B$4:$B$150,$B11)/1000)</f>
        <v>11</v>
      </c>
      <c r="G11" s="11">
        <f>IF(G$3=0,"",SUMIFS(INDEX(Inputs!$D$4:$AG$150,0,MATCH(G$2,Inputs!$D$2:$AG$2,0)),Inputs!$B$4:$B$150,$B11)/1000)</f>
        <v>-1</v>
      </c>
      <c r="H11" s="12">
        <f>IF(COUNT(D11:G11)=4,SUM(D11:G11),"")</f>
        <v>9</v>
      </c>
      <c r="I11" s="11">
        <f>IF(I$3=0,"",SUMIFS(INDEX(Inputs!$D$4:$AG$150,0,MATCH(I$2,Inputs!$D$2:$AG$2,0)),Inputs!$B$4:$B$150,$B11)/1000)</f>
        <v>3</v>
      </c>
      <c r="J11" s="11">
        <f>IF(J$3=0,"",SUMIFS(INDEX(Inputs!$D$4:$AG$150,0,MATCH(J$2,Inputs!$D$2:$AG$2,0)),Inputs!$B$4:$B$150,$B11)/1000)</f>
        <v>3</v>
      </c>
      <c r="K11" s="11">
        <f>IF(K$3=0,"",SUMIFS(INDEX(Inputs!$D$4:$AG$150,0,MATCH(K$2,Inputs!$D$2:$AG$2,0)),Inputs!$B$4:$B$150,$B11)/1000)</f>
        <v>3</v>
      </c>
      <c r="L11" s="11">
        <f>IF(L$3=0,"",SUMIFS(INDEX(Inputs!$D$4:$AG$150,0,MATCH(L$2,Inputs!$D$2:$AG$2,0)),Inputs!$B$4:$B$150,$B11)/1000)</f>
        <v>4</v>
      </c>
      <c r="M11" s="12">
        <f>IF(COUNT(I11:L11)=4,SUM(I11:L11),"")</f>
        <v>13</v>
      </c>
      <c r="N11" s="11">
        <f>IF(N$3=0,"",SUMIFS(INDEX(Inputs!$D$4:$AG$150,0,MATCH(N$2,Inputs!$D$2:$AG$2,0)),Inputs!$B$4:$B$150,$B11)/1000)</f>
        <v>2</v>
      </c>
      <c r="O11" s="11">
        <f>IF(O$3=0,"",SUMIFS(INDEX(Inputs!$D$4:$AG$150,0,MATCH(O$2,Inputs!$D$2:$AG$2,0)),Inputs!$B$4:$B$150,$B11)/1000)</f>
        <v>3</v>
      </c>
      <c r="P11" s="11">
        <f>IF(P$3=0,"",SUMIFS(INDEX(Inputs!$D$4:$AG$150,0,MATCH(P$2,Inputs!$D$2:$AG$2,0)),Inputs!$B$4:$B$150,$B11)/1000)</f>
        <v>4</v>
      </c>
      <c r="Q11" s="11">
        <f>IF(Q$3=0,"",SUMIFS(INDEX(Inputs!$D$4:$AG$150,0,MATCH(Q$2,Inputs!$D$2:$AG$2,0)),Inputs!$B$4:$B$150,$B11)/1000)</f>
        <v>3</v>
      </c>
      <c r="R11" s="12">
        <f>IF(COUNT(N11:Q11)=4,SUM(N11:Q11),"")</f>
        <v>12</v>
      </c>
      <c r="S11" s="11">
        <f>IF(S$3=0,"",SUMIFS(INDEX(Inputs!$D$4:$AG$150,0,MATCH(S$2,Inputs!$D$2:$AG$2,0)),Inputs!$B$4:$B$150,$B11)/1000)</f>
        <v>3</v>
      </c>
      <c r="T11" s="11">
        <f>IF(T$3=0,"",SUMIFS(INDEX(Inputs!$D$4:$AG$150,0,MATCH(T$2,Inputs!$D$2:$AG$2,0)),Inputs!$B$4:$B$150,$B11)/1000)</f>
        <v>4</v>
      </c>
      <c r="U11" s="11">
        <f>IF(U$3=0,"",SUMIFS(INDEX(Inputs!$D$4:$AG$150,0,MATCH(U$2,Inputs!$D$2:$AG$2,0)),Inputs!$B$4:$B$150,$B11)/1000)</f>
        <v>4</v>
      </c>
      <c r="V11" s="11">
        <f>IF(V$3=0,"",SUMIFS(INDEX(Inputs!$D$4:$AG$150,0,MATCH(V$2,Inputs!$D$2:$AG$2,0)),Inputs!$B$4:$B$150,$B11)/1000)</f>
        <v>5</v>
      </c>
      <c r="W11" s="12">
        <f>IF(COUNT(S11:V11)=4,SUM(S11:V11),"")</f>
        <v>16</v>
      </c>
      <c r="X11" s="11">
        <f>IF(X$3=0,"",SUMIFS(INDEX(Inputs!$D$4:$AG$150,0,MATCH(X$2,Inputs!$D$2:$AG$2,0)),Inputs!$B$4:$B$150,$B11)/1000)</f>
        <v>5</v>
      </c>
      <c r="Y11" s="11">
        <f>IF(Y$3=0,"",SUMIFS(INDEX(Inputs!$D$4:$AG$150,0,MATCH(Y$2,Inputs!$D$2:$AG$2,0)),Inputs!$B$4:$B$150,$B11)/1000)</f>
        <v>4</v>
      </c>
      <c r="Z11" s="11">
        <f>IF(Z$3=0,"",SUMIFS(INDEX(Inputs!$D$4:$AG$150,0,MATCH(Z$2,Inputs!$D$2:$AG$2,0)),Inputs!$B$4:$B$150,$B11)/1000)</f>
        <v>6</v>
      </c>
      <c r="AA11" s="11">
        <f>IF(AA$3=0,"",SUMIFS(INDEX(Inputs!$D$4:$AG$150,0,MATCH(AA$2,Inputs!$D$2:$AG$2,0)),Inputs!$B$4:$B$150,$B11)/1000)</f>
        <v>6</v>
      </c>
      <c r="AB11" s="12">
        <f>IF(COUNT(X11:AA11)=4,SUM(X11:AA11),"")</f>
        <v>21</v>
      </c>
      <c r="AC11" s="11">
        <f>IF(AC$3=0,"",SUMIFS(INDEX(Inputs!$D$4:$AG$150,0,MATCH(AC$2,Inputs!$D$2:$AG$2,0)),Inputs!$B$4:$B$150,$B11)/1000)</f>
        <v>6</v>
      </c>
      <c r="AD11" s="11">
        <f>IF(AD$3=0,"",SUMIFS(INDEX(Inputs!$D$4:$AG$150,0,MATCH(AD$2,Inputs!$D$2:$AG$2,0)),Inputs!$B$4:$B$150,$B11)/1000)</f>
        <v>8</v>
      </c>
      <c r="AE11" s="11" t="str">
        <f>IF(AE$3=0,"",SUMIFS(INDEX(Inputs!$D$4:$AG$150,0,MATCH(AE$2,Inputs!$D$2:$AG$2,0)),Inputs!$B$4:$B$150,$B11)/1000)</f>
        <v/>
      </c>
      <c r="AF11" s="11" t="str">
        <f>IF(AF$3=0,"",SUMIFS(INDEX(Inputs!$D$4:$AG$150,0,MATCH(AF$2,Inputs!$D$2:$AG$2,0)),Inputs!$B$4:$B$150,$B11)/1000)</f>
        <v/>
      </c>
      <c r="AG11" s="12" t="str">
        <f>IF(COUNT(AC11:AF11)=4,SUM(AC11:AF11),"")</f>
        <v/>
      </c>
    </row>
    <row r="12">
      <c r="B12" s="9" t="n">
        <v>9</v>
      </c>
      <c r="C12" s="14" t="inlineStr">
        <is>
          <t>Minority Interest Expense, after tax (enter as - )</t>
        </is>
      </c>
      <c r="D12" s="11">
        <f>IF(D$3=0,"",SUMIFS(INDEX(Inputs!$D$4:$AG$150,0,MATCH(D$2,Inputs!$D$2:$AG$2,0)),Inputs!$B$4:$B$150,$B12)/1000)</f>
        <v>1</v>
      </c>
      <c r="E12" s="11">
        <f>IF(E$3=0,"",SUMIFS(INDEX(Inputs!$D$4:$AG$150,0,MATCH(E$2,Inputs!$D$2:$AG$2,0)),Inputs!$B$4:$B$150,$B12)/1000)</f>
        <v>0</v>
      </c>
      <c r="F12" s="11">
        <f>IF(F$3=0,"",SUMIFS(INDEX(Inputs!$D$4:$AG$150,0,MATCH(F$2,Inputs!$D$2:$AG$2,0)),Inputs!$B$4:$B$150,$B12)/1000)</f>
        <v>-11</v>
      </c>
      <c r="G12" s="11">
        <f>IF(G$3=0,"",SUMIFS(INDEX(Inputs!$D$4:$AG$150,0,MATCH(G$2,Inputs!$D$2:$AG$2,0)),Inputs!$B$4:$B$150,$B12)/1000)</f>
        <v>1</v>
      </c>
      <c r="H12" s="12">
        <f>IF(COUNT(D12:G12)=4,SUM(D12:G12),"")</f>
        <v>-9</v>
      </c>
      <c r="I12" s="11">
        <f>IF(I$3=0,"",SUMIFS(INDEX(Inputs!$D$4:$AG$150,0,MATCH(I$2,Inputs!$D$2:$AG$2,0)),Inputs!$B$4:$B$150,$B12)/1000)</f>
        <v>-3</v>
      </c>
      <c r="J12" s="11">
        <f>IF(J$3=0,"",SUMIFS(INDEX(Inputs!$D$4:$AG$150,0,MATCH(J$2,Inputs!$D$2:$AG$2,0)),Inputs!$B$4:$B$150,$B12)/1000)</f>
        <v>-3</v>
      </c>
      <c r="K12" s="11">
        <f>IF(K$3=0,"",SUMIFS(INDEX(Inputs!$D$4:$AG$150,0,MATCH(K$2,Inputs!$D$2:$AG$2,0)),Inputs!$B$4:$B$150,$B12)/1000)</f>
        <v>-3</v>
      </c>
      <c r="L12" s="11">
        <f>IF(L$3=0,"",SUMIFS(INDEX(Inputs!$D$4:$AG$150,0,MATCH(L$2,Inputs!$D$2:$AG$2,0)),Inputs!$B$4:$B$150,$B12)/1000)</f>
        <v>-4</v>
      </c>
      <c r="M12" s="12">
        <f>IF(COUNT(I12:L12)=4,SUM(I12:L12),"")</f>
        <v>-13</v>
      </c>
      <c r="N12" s="11">
        <f>IF(N$3=0,"",SUMIFS(INDEX(Inputs!$D$4:$AG$150,0,MATCH(N$2,Inputs!$D$2:$AG$2,0)),Inputs!$B$4:$B$150,$B12)/1000)</f>
        <v>-2</v>
      </c>
      <c r="O12" s="11">
        <f>IF(O$3=0,"",SUMIFS(INDEX(Inputs!$D$4:$AG$150,0,MATCH(O$2,Inputs!$D$2:$AG$2,0)),Inputs!$B$4:$B$150,$B12)/1000)</f>
        <v>-3</v>
      </c>
      <c r="P12" s="11">
        <f>IF(P$3=0,"",SUMIFS(INDEX(Inputs!$D$4:$AG$150,0,MATCH(P$2,Inputs!$D$2:$AG$2,0)),Inputs!$B$4:$B$150,$B12)/1000)</f>
        <v>-4</v>
      </c>
      <c r="Q12" s="11">
        <f>IF(Q$3=0,"",SUMIFS(INDEX(Inputs!$D$4:$AG$150,0,MATCH(Q$2,Inputs!$D$2:$AG$2,0)),Inputs!$B$4:$B$150,$B12)/1000)</f>
        <v>-3</v>
      </c>
      <c r="R12" s="12">
        <f>IF(COUNT(N12:Q12)=4,SUM(N12:Q12),"")</f>
        <v>-12</v>
      </c>
      <c r="S12" s="11">
        <f>IF(S$3=0,"",SUMIFS(INDEX(Inputs!$D$4:$AG$150,0,MATCH(S$2,Inputs!$D$2:$AG$2,0)),Inputs!$B$4:$B$150,$B12)/1000)</f>
        <v>-3</v>
      </c>
      <c r="T12" s="11">
        <f>IF(T$3=0,"",SUMIFS(INDEX(Inputs!$D$4:$AG$150,0,MATCH(T$2,Inputs!$D$2:$AG$2,0)),Inputs!$B$4:$B$150,$B12)/1000)</f>
        <v>-4</v>
      </c>
      <c r="U12" s="11">
        <f>IF(U$3=0,"",SUMIFS(INDEX(Inputs!$D$4:$AG$150,0,MATCH(U$2,Inputs!$D$2:$AG$2,0)),Inputs!$B$4:$B$150,$B12)/1000)</f>
        <v>-4</v>
      </c>
      <c r="V12" s="11">
        <f>IF(V$3=0,"",SUMIFS(INDEX(Inputs!$D$4:$AG$150,0,MATCH(V$2,Inputs!$D$2:$AG$2,0)),Inputs!$B$4:$B$150,$B12)/1000)</f>
        <v>-5</v>
      </c>
      <c r="W12" s="12">
        <f>IF(COUNT(S12:V12)=4,SUM(S12:V12),"")</f>
        <v>-16</v>
      </c>
      <c r="X12" s="11">
        <f>IF(X$3=0,"",SUMIFS(INDEX(Inputs!$D$4:$AG$150,0,MATCH(X$2,Inputs!$D$2:$AG$2,0)),Inputs!$B$4:$B$150,$B12)/1000)</f>
        <v>-5</v>
      </c>
      <c r="Y12" s="11">
        <f>IF(Y$3=0,"",SUMIFS(INDEX(Inputs!$D$4:$AG$150,0,MATCH(Y$2,Inputs!$D$2:$AG$2,0)),Inputs!$B$4:$B$150,$B12)/1000)</f>
        <v>-4</v>
      </c>
      <c r="Z12" s="11">
        <f>IF(Z$3=0,"",SUMIFS(INDEX(Inputs!$D$4:$AG$150,0,MATCH(Z$2,Inputs!$D$2:$AG$2,0)),Inputs!$B$4:$B$150,$B12)/1000)</f>
        <v>-6</v>
      </c>
      <c r="AA12" s="11">
        <f>IF(AA$3=0,"",SUMIFS(INDEX(Inputs!$D$4:$AG$150,0,MATCH(AA$2,Inputs!$D$2:$AG$2,0)),Inputs!$B$4:$B$150,$B12)/1000)</f>
        <v>-6</v>
      </c>
      <c r="AB12" s="12">
        <f>IF(COUNT(X12:AA12)=4,SUM(X12:AA12),"")</f>
        <v>-21</v>
      </c>
      <c r="AC12" s="11">
        <f>IF(AC$3=0,"",SUMIFS(INDEX(Inputs!$D$4:$AG$150,0,MATCH(AC$2,Inputs!$D$2:$AG$2,0)),Inputs!$B$4:$B$150,$B12)/1000)</f>
        <v>-6</v>
      </c>
      <c r="AD12" s="11">
        <f>IF(AD$3=0,"",SUMIFS(INDEX(Inputs!$D$4:$AG$150,0,MATCH(AD$2,Inputs!$D$2:$AG$2,0)),Inputs!$B$4:$B$150,$B12)/1000)</f>
        <v>-8</v>
      </c>
      <c r="AE12" s="11" t="str">
        <f>IF(AE$3=0,"",SUMIFS(INDEX(Inputs!$D$4:$AG$150,0,MATCH(AE$2,Inputs!$D$2:$AG$2,0)),Inputs!$B$4:$B$150,$B12)/1000)</f>
        <v/>
      </c>
      <c r="AF12" s="11" t="str">
        <f>IF(AF$3=0,"",SUMIFS(INDEX(Inputs!$D$4:$AG$150,0,MATCH(AF$2,Inputs!$D$2:$AG$2,0)),Inputs!$B$4:$B$150,$B12)/1000)</f>
        <v/>
      </c>
      <c r="AG12" s="12" t="str">
        <f>IF(COUNT(AC12:AF12)=4,SUM(AC12:AF12),"")</f>
        <v/>
      </c>
    </row>
    <row r="13">
      <c r="B13" s="9" t="n">
        <v>10</v>
      </c>
      <c r="C13" s="13" t="inlineStr">
        <is>
          <t>Common Dividends</t>
        </is>
      </c>
      <c r="D13" s="11">
        <f>IF(D$3=0,"",SUMIFS(INDEX(Inputs!$D$4:$AG$150,0,MATCH(D$2,Inputs!$D$2:$AG$2,0)),Inputs!$B$4:$B$150,$B13)/1000)</f>
        <v>-439</v>
      </c>
      <c r="E13" s="11">
        <f>IF(E$3=0,"",SUMIFS(INDEX(Inputs!$D$4:$AG$150,0,MATCH(E$2,Inputs!$D$2:$AG$2,0)),Inputs!$B$4:$B$150,$B13)/1000)</f>
        <v>-434</v>
      </c>
      <c r="F13" s="11">
        <f>IF(F$3=0,"",SUMIFS(INDEX(Inputs!$D$4:$AG$150,0,MATCH(F$2,Inputs!$D$2:$AG$2,0)),Inputs!$B$4:$B$150,$B13)/1000)</f>
        <v>-434</v>
      </c>
      <c r="G13" s="11">
        <f>IF(G$3=0,"",SUMIFS(INDEX(Inputs!$D$4:$AG$150,0,MATCH(G$2,Inputs!$D$2:$AG$2,0)),Inputs!$B$4:$B$150,$B13)/1000)</f>
        <v>-434</v>
      </c>
      <c r="H13" s="12">
        <f>IF(COUNT(D13:G13)=4,SUM(D13:G13),"")</f>
        <v>-1741</v>
      </c>
      <c r="I13" s="11">
        <f>IF(I$3=0,"",SUMIFS(INDEX(Inputs!$D$4:$AG$150,0,MATCH(I$2,Inputs!$D$2:$AG$2,0)),Inputs!$B$4:$B$150,$B13)/1000)</f>
        <v>-479</v>
      </c>
      <c r="J13" s="11">
        <f>IF(J$3=0,"",SUMIFS(INDEX(Inputs!$D$4:$AG$150,0,MATCH(J$2,Inputs!$D$2:$AG$2,0)),Inputs!$B$4:$B$150,$B13)/1000)</f>
        <v>-477</v>
      </c>
      <c r="K13" s="11">
        <f>IF(K$3=0,"",SUMIFS(INDEX(Inputs!$D$4:$AG$150,0,MATCH(K$2,Inputs!$D$2:$AG$2,0)),Inputs!$B$4:$B$150,$B13)/1000)</f>
        <v>-474</v>
      </c>
      <c r="L13" s="11">
        <f>IF(L$3=0,"",SUMIFS(INDEX(Inputs!$D$4:$AG$150,0,MATCH(L$2,Inputs!$D$2:$AG$2,0)),Inputs!$B$4:$B$150,$B13)/1000)</f>
        <v>-473</v>
      </c>
      <c r="M13" s="12">
        <f>IF(COUNT(I13:L13)=4,SUM(I13:L13),"")</f>
        <v>-1903</v>
      </c>
      <c r="N13" s="11">
        <f>IF(N$3=0,"",SUMIFS(INDEX(Inputs!$D$4:$AG$150,0,MATCH(N$2,Inputs!$D$2:$AG$2,0)),Inputs!$B$4:$B$150,$B13)/1000)</f>
        <v>-545</v>
      </c>
      <c r="O13" s="11">
        <f>IF(O$3=0,"",SUMIFS(INDEX(Inputs!$D$4:$AG$150,0,MATCH(O$2,Inputs!$D$2:$AG$2,0)),Inputs!$B$4:$B$150,$B13)/1000)</f>
        <v>-541</v>
      </c>
      <c r="P13" s="11">
        <f>IF(P$3=0,"",SUMIFS(INDEX(Inputs!$D$4:$AG$150,0,MATCH(P$2,Inputs!$D$2:$AG$2,0)),Inputs!$B$4:$B$150,$B13)/1000)</f>
        <v>-538</v>
      </c>
      <c r="Q13" s="11">
        <f>IF(Q$3=0,"",SUMIFS(INDEX(Inputs!$D$4:$AG$150,0,MATCH(Q$2,Inputs!$D$2:$AG$2,0)),Inputs!$B$4:$B$150,$B13)/1000)</f>
        <v>-534</v>
      </c>
      <c r="R13" s="12">
        <f>IF(COUNT(N13:Q13)=4,SUM(N13:Q13),"")</f>
        <v>-2158</v>
      </c>
      <c r="S13" s="11">
        <f>IF(S$3=0,"",SUMIFS(INDEX(Inputs!$D$4:$AG$150,0,MATCH(S$2,Inputs!$D$2:$AG$2,0)),Inputs!$B$4:$B$150,$B13)/1000)</f>
        <v>-616</v>
      </c>
      <c r="T13" s="11">
        <f>IF(T$3=0,"",SUMIFS(INDEX(Inputs!$D$4:$AG$150,0,MATCH(T$2,Inputs!$D$2:$AG$2,0)),Inputs!$B$4:$B$150,$B13)/1000)</f>
        <v>-615</v>
      </c>
      <c r="U13" s="11">
        <f>IF(U$3=0,"",SUMIFS(INDEX(Inputs!$D$4:$AG$150,0,MATCH(U$2,Inputs!$D$2:$AG$2,0)),Inputs!$B$4:$B$150,$B13)/1000)</f>
        <v>-611</v>
      </c>
      <c r="V13" s="11">
        <f>IF(V$3=0,"",SUMIFS(INDEX(Inputs!$D$4:$AG$150,0,MATCH(V$2,Inputs!$D$2:$AG$2,0)),Inputs!$B$4:$B$150,$B13)/1000)</f>
        <v>-606</v>
      </c>
      <c r="W13" s="12">
        <f>IF(COUNT(S13:V13)=4,SUM(S13:V13),"")</f>
        <v>-2448</v>
      </c>
      <c r="X13" s="11">
        <f>IF(X$3=0,"",SUMIFS(INDEX(Inputs!$D$4:$AG$150,0,MATCH(X$2,Inputs!$D$2:$AG$2,0)),Inputs!$B$4:$B$150,$B13)/1000)</f>
        <v>-694</v>
      </c>
      <c r="Y13" s="11">
        <f>IF(Y$3=0,"",SUMIFS(INDEX(Inputs!$D$4:$AG$150,0,MATCH(Y$2,Inputs!$D$2:$AG$2,0)),Inputs!$B$4:$B$150,$B13)/1000)</f>
        <v>-691</v>
      </c>
      <c r="Z13" s="11">
        <f>IF(Z$3=0,"",SUMIFS(INDEX(Inputs!$D$4:$AG$150,0,MATCH(Z$2,Inputs!$D$2:$AG$2,0)),Inputs!$B$4:$B$150,$B13)/1000)</f>
        <v>-687</v>
      </c>
      <c r="AA13" s="11">
        <f>IF(AA$3=0,"",SUMIFS(INDEX(Inputs!$D$4:$AG$150,0,MATCH(AA$2,Inputs!$D$2:$AG$2,0)),Inputs!$B$4:$B$150,$B13)/1000)</f>
        <v>-684</v>
      </c>
      <c r="AB13" s="12">
        <f>IF(COUNT(X13:AA13)=4,SUM(X13:AA13),"")</f>
        <v>-2756</v>
      </c>
      <c r="AC13" s="11">
        <f>IF(AC$3=0,"",SUMIFS(INDEX(Inputs!$D$4:$AG$150,0,MATCH(AC$2,Inputs!$D$2:$AG$2,0)),Inputs!$B$4:$B$150,$B13)/1000)</f>
        <v>-777</v>
      </c>
      <c r="AD13" s="11">
        <f>IF(AD$3=0,"",SUMIFS(INDEX(Inputs!$D$4:$AG$150,0,MATCH(AD$2,Inputs!$D$2:$AG$2,0)),Inputs!$B$4:$B$150,$B13)/1000)</f>
        <v>-771</v>
      </c>
      <c r="AE13" s="11" t="str">
        <f>IF(AE$3=0,"",SUMIFS(INDEX(Inputs!$D$4:$AG$150,0,MATCH(AE$2,Inputs!$D$2:$AG$2,0)),Inputs!$B$4:$B$150,$B13)/1000)</f>
        <v/>
      </c>
      <c r="AF13" s="11" t="str">
        <f>IF(AF$3=0,"",SUMIFS(INDEX(Inputs!$D$4:$AG$150,0,MATCH(AF$2,Inputs!$D$2:$AG$2,0)),Inputs!$B$4:$B$150,$B13)/1000)</f>
        <v/>
      </c>
      <c r="AG13" s="12" t="str">
        <f>IF(COUNT(AC13:AF13)=4,SUM(AC13:AF13),"")</f>
        <v/>
      </c>
    </row>
    <row r="14">
      <c r="D14" s="12" t="n"/>
    </row>
    <row r="15">
      <c r="B15" s="9" t="n">
        <v>11</v>
      </c>
      <c r="C15" s="13" t="inlineStr">
        <is>
          <t>Cash and equivalents (inc. investment securities)</t>
        </is>
      </c>
      <c r="D15" s="11">
        <f>IF(D$3=0,"",SUMIFS(INDEX(Inputs!$D$4:$AG$150,0,MATCH(D$2,Inputs!$D$2:$AG$2,0)),Inputs!$B$4:$B$150,$B15)/1000)</f>
        <v>7735</v>
      </c>
      <c r="E15" s="11">
        <f>IF(E$3=0,"",SUMIFS(INDEX(Inputs!$D$4:$AG$150,0,MATCH(E$2,Inputs!$D$2:$AG$2,0)),Inputs!$B$4:$B$150,$B15)/1000)</f>
        <v>6760</v>
      </c>
      <c r="F15" s="11">
        <f>IF(F$3=0,"",SUMIFS(INDEX(Inputs!$D$4:$AG$150,0,MATCH(F$2,Inputs!$D$2:$AG$2,0)),Inputs!$B$4:$B$150,$B15)/1000)</f>
        <v>6916</v>
      </c>
      <c r="G15" s="11">
        <f>IF(G$3=0,"",SUMIFS(INDEX(Inputs!$D$4:$AG$150,0,MATCH(G$2,Inputs!$D$2:$AG$2,0)),Inputs!$B$4:$B$150,$B15)/1000)</f>
        <v>7894</v>
      </c>
      <c r="H15" s="12">
        <f>IF(G15="","",G15)</f>
        <v>7894</v>
      </c>
      <c r="I15" s="11">
        <f>IF(I$3=0,"",SUMIFS(INDEX(Inputs!$D$4:$AG$150,0,MATCH(I$2,Inputs!$D$2:$AG$2,0)),Inputs!$B$4:$B$150,$B15)/1000)</f>
        <v>7328</v>
      </c>
      <c r="J15" s="11">
        <f>IF(J$3=0,"",SUMIFS(INDEX(Inputs!$D$4:$AG$150,0,MATCH(J$2,Inputs!$D$2:$AG$2,0)),Inputs!$B$4:$B$150,$B15)/1000)</f>
        <v>6359</v>
      </c>
      <c r="K15" s="11">
        <f>IF(K$3=0,"",SUMIFS(INDEX(Inputs!$D$4:$AG$150,0,MATCH(K$2,Inputs!$D$2:$AG$2,0)),Inputs!$B$4:$B$150,$B15)/1000)</f>
        <v>8045</v>
      </c>
      <c r="L15" s="11">
        <f>IF(L$3=0,"",SUMIFS(INDEX(Inputs!$D$4:$AG$150,0,MATCH(L$2,Inputs!$D$2:$AG$2,0)),Inputs!$B$4:$B$150,$B15)/1000)</f>
        <v>7408</v>
      </c>
      <c r="M15" s="12">
        <f>IF(L15="","",L15)</f>
        <v>7408</v>
      </c>
      <c r="N15" s="11">
        <f>IF(N$3=0,"",SUMIFS(INDEX(Inputs!$D$4:$AG$150,0,MATCH(N$2,Inputs!$D$2:$AG$2,0)),Inputs!$B$4:$B$150,$B15)/1000)</f>
        <v>6968</v>
      </c>
      <c r="O15" s="11">
        <f>IF(O$3=0,"",SUMIFS(INDEX(Inputs!$D$4:$AG$150,0,MATCH(O$2,Inputs!$D$2:$AG$2,0)),Inputs!$B$4:$B$150,$B15)/1000)</f>
        <v>6514</v>
      </c>
      <c r="P15" s="11">
        <f>IF(P$3=0,"",SUMIFS(INDEX(Inputs!$D$4:$AG$150,0,MATCH(P$2,Inputs!$D$2:$AG$2,0)),Inputs!$B$4:$B$150,$B15)/1000)</f>
        <v>7492</v>
      </c>
      <c r="Q15" s="11">
        <f>IF(Q$3=0,"",SUMIFS(INDEX(Inputs!$D$4:$AG$150,0,MATCH(Q$2,Inputs!$D$2:$AG$2,0)),Inputs!$B$4:$B$150,$B15)/1000)</f>
        <v>9180</v>
      </c>
      <c r="R15" s="12">
        <f>IF(Q15="","",Q15)</f>
        <v>9180</v>
      </c>
      <c r="S15" s="11">
        <f>IF(S$3=0,"",SUMIFS(INDEX(Inputs!$D$4:$AG$150,0,MATCH(S$2,Inputs!$D$2:$AG$2,0)),Inputs!$B$4:$B$150,$B15)/1000)</f>
        <v>7657</v>
      </c>
      <c r="T15" s="11">
        <f>IF(T$3=0,"",SUMIFS(INDEX(Inputs!$D$4:$AG$150,0,MATCH(T$2,Inputs!$D$2:$AG$2,0)),Inputs!$B$4:$B$150,$B15)/1000)</f>
        <v>7358</v>
      </c>
      <c r="U15" s="11">
        <f>IF(U$3=0,"",SUMIFS(INDEX(Inputs!$D$4:$AG$150,0,MATCH(U$2,Inputs!$D$2:$AG$2,0)),Inputs!$B$4:$B$150,$B15)/1000)</f>
        <v>11401</v>
      </c>
      <c r="V15" s="11">
        <f>IF(V$3=0,"",SUMIFS(INDEX(Inputs!$D$4:$AG$150,0,MATCH(V$2,Inputs!$D$2:$AG$2,0)),Inputs!$B$4:$B$150,$B15)/1000)</f>
        <v>8772</v>
      </c>
      <c r="W15" s="12">
        <f>IF(V15="","",V15)</f>
        <v>8772</v>
      </c>
      <c r="X15" s="11">
        <f>IF(X$3=0,"",SUMIFS(INDEX(Inputs!$D$4:$AG$150,0,MATCH(X$2,Inputs!$D$2:$AG$2,0)),Inputs!$B$4:$B$150,$B15)/1000)</f>
        <v>7894</v>
      </c>
      <c r="Y15" s="11">
        <f>IF(Y$3=0,"",SUMIFS(INDEX(Inputs!$D$4:$AG$150,0,MATCH(Y$2,Inputs!$D$2:$AG$2,0)),Inputs!$B$4:$B$150,$B15)/1000)</f>
        <v>9367</v>
      </c>
      <c r="Z15" s="11">
        <f>IF(Z$3=0,"",SUMIFS(INDEX(Inputs!$D$4:$AG$150,0,MATCH(Z$2,Inputs!$D$2:$AG$2,0)),Inputs!$B$4:$B$150,$B15)/1000)</f>
        <v>10648</v>
      </c>
      <c r="AA15" s="11">
        <f>IF(AA$3=0,"",SUMIFS(INDEX(Inputs!$D$4:$AG$150,0,MATCH(AA$2,Inputs!$D$2:$AG$2,0)),Inputs!$B$4:$B$150,$B15)/1000)</f>
        <v>10898</v>
      </c>
      <c r="AB15" s="12">
        <f>IF(AA15="","",AA15)</f>
        <v>10898</v>
      </c>
      <c r="AC15" s="11">
        <f>IF(AC$3=0,"",SUMIFS(INDEX(Inputs!$D$4:$AG$150,0,MATCH(AC$2,Inputs!$D$2:$AG$2,0)),Inputs!$B$4:$B$150,$B15)/1000)</f>
        <v>8219</v>
      </c>
      <c r="AD15" s="11">
        <f>IF(AD$3=0,"",SUMIFS(INDEX(Inputs!$D$4:$AG$150,0,MATCH(AD$2,Inputs!$D$2:$AG$2,0)),Inputs!$B$4:$B$150,$B15)/1000)</f>
        <v>11609</v>
      </c>
      <c r="AE15" s="11" t="str">
        <f>IF(AE$3=0,"",SUMIFS(INDEX(Inputs!$D$4:$AG$150,0,MATCH(AE$2,Inputs!$D$2:$AG$2,0)),Inputs!$B$4:$B$150,$B15)/1000)</f>
        <v/>
      </c>
      <c r="AF15" s="11" t="str">
        <f>IF(AF$3=0,"",SUMIFS(INDEX(Inputs!$D$4:$AG$150,0,MATCH(AF$2,Inputs!$D$2:$AG$2,0)),Inputs!$B$4:$B$150,$B15)/1000)</f>
        <v/>
      </c>
      <c r="AG15" s="12" t="str">
        <f>IF(AF15="","",AF15)</f>
        <v/>
      </c>
    </row>
    <row r="16">
      <c r="B16" s="9" t="n">
        <v>12</v>
      </c>
      <c r="C16" s="14" t="inlineStr">
        <is>
          <t>Accounts receivable</t>
        </is>
      </c>
      <c r="D16" s="11">
        <f>IF(D$3=0,"",SUMIFS(INDEX(Inputs!$D$4:$AG$150,0,MATCH(D$2,Inputs!$D$2:$AG$2,0)),Inputs!$B$4:$B$150,$B16)/1000)</f>
        <v>2648</v>
      </c>
      <c r="E16" s="11">
        <f>IF(E$3=0,"",SUMIFS(INDEX(Inputs!$D$4:$AG$150,0,MATCH(E$2,Inputs!$D$2:$AG$2,0)),Inputs!$B$4:$B$150,$B16)/1000)</f>
        <v>2773</v>
      </c>
      <c r="F16" s="11">
        <f>IF(F$3=0,"",SUMIFS(INDEX(Inputs!$D$4:$AG$150,0,MATCH(F$2,Inputs!$D$2:$AG$2,0)),Inputs!$B$4:$B$150,$B16)/1000)</f>
        <v>2820</v>
      </c>
      <c r="G16" s="11">
        <f>IF(G$3=0,"",SUMIFS(INDEX(Inputs!$D$4:$AG$150,0,MATCH(G$2,Inputs!$D$2:$AG$2,0)),Inputs!$B$4:$B$150,$B16)/1000)</f>
        <v>3006</v>
      </c>
      <c r="H16" s="12">
        <f>IF(G16="","",G16)</f>
        <v>3006</v>
      </c>
      <c r="I16" s="11">
        <f>IF(I$3=0,"",SUMIFS(INDEX(Inputs!$D$4:$AG$150,0,MATCH(I$2,Inputs!$D$2:$AG$2,0)),Inputs!$B$4:$B$150,$B16)/1000)</f>
        <v>2889</v>
      </c>
      <c r="J16" s="11">
        <f>IF(J$3=0,"",SUMIFS(INDEX(Inputs!$D$4:$AG$150,0,MATCH(J$2,Inputs!$D$2:$AG$2,0)),Inputs!$B$4:$B$150,$B16)/1000)</f>
        <v>3175</v>
      </c>
      <c r="K16" s="11">
        <f>IF(K$3=0,"",SUMIFS(INDEX(Inputs!$D$4:$AG$150,0,MATCH(K$2,Inputs!$D$2:$AG$2,0)),Inputs!$B$4:$B$150,$B16)/1000)</f>
        <v>3167</v>
      </c>
      <c r="L16" s="11">
        <f>IF(L$3=0,"",SUMIFS(INDEX(Inputs!$D$4:$AG$150,0,MATCH(L$2,Inputs!$D$2:$AG$2,0)),Inputs!$B$4:$B$150,$B16)/1000)</f>
        <v>3425</v>
      </c>
      <c r="M16" s="12">
        <f>IF(L16="","",L16)</f>
        <v>3425</v>
      </c>
      <c r="N16" s="11">
        <f>IF(N$3=0,"",SUMIFS(INDEX(Inputs!$D$4:$AG$150,0,MATCH(N$2,Inputs!$D$2:$AG$2,0)),Inputs!$B$4:$B$150,$B16)/1000)</f>
        <v>3511</v>
      </c>
      <c r="O16" s="11">
        <f>IF(O$3=0,"",SUMIFS(INDEX(Inputs!$D$4:$AG$150,0,MATCH(O$2,Inputs!$D$2:$AG$2,0)),Inputs!$B$4:$B$150,$B16)/1000)</f>
        <v>3763</v>
      </c>
      <c r="P16" s="11">
        <f>IF(P$3=0,"",SUMIFS(INDEX(Inputs!$D$4:$AG$150,0,MATCH(P$2,Inputs!$D$2:$AG$2,0)),Inputs!$B$4:$B$150,$B16)/1000)</f>
        <v>3925</v>
      </c>
      <c r="Q16" s="11">
        <f>IF(Q$3=0,"",SUMIFS(INDEX(Inputs!$D$4:$AG$150,0,MATCH(Q$2,Inputs!$D$2:$AG$2,0)),Inputs!$B$4:$B$150,$B16)/1000)</f>
        <v>4060</v>
      </c>
      <c r="R16" s="12">
        <f>IF(Q16="","",Q16)</f>
        <v>4060</v>
      </c>
      <c r="S16" s="11">
        <f>IF(S$3=0,"",SUMIFS(INDEX(Inputs!$D$4:$AG$150,0,MATCH(S$2,Inputs!$D$2:$AG$2,0)),Inputs!$B$4:$B$150,$B16)/1000)</f>
        <v>4231</v>
      </c>
      <c r="T16" s="11">
        <f>IF(T$3=0,"",SUMIFS(INDEX(Inputs!$D$4:$AG$150,0,MATCH(T$2,Inputs!$D$2:$AG$2,0)),Inputs!$B$4:$B$150,$B16)/1000)</f>
        <v>4195</v>
      </c>
      <c r="U16" s="11">
        <f>IF(U$3=0,"",SUMIFS(INDEX(Inputs!$D$4:$AG$150,0,MATCH(U$2,Inputs!$D$2:$AG$2,0)),Inputs!$B$4:$B$150,$B16)/1000)</f>
        <v>4014</v>
      </c>
      <c r="V16" s="11">
        <f>IF(V$3=0,"",SUMIFS(INDEX(Inputs!$D$4:$AG$150,0,MATCH(V$2,Inputs!$D$2:$AG$2,0)),Inputs!$B$4:$B$150,$B16)/1000)</f>
        <v>3773</v>
      </c>
      <c r="W16" s="12">
        <f>IF(V16="","",V16)</f>
        <v>3773</v>
      </c>
      <c r="X16" s="11">
        <f>IF(X$3=0,"",SUMIFS(INDEX(Inputs!$D$4:$AG$150,0,MATCH(X$2,Inputs!$D$2:$AG$2,0)),Inputs!$B$4:$B$150,$B16)/1000)</f>
        <v>3965</v>
      </c>
      <c r="Y16" s="11">
        <f>IF(Y$3=0,"",SUMIFS(INDEX(Inputs!$D$4:$AG$150,0,MATCH(Y$2,Inputs!$D$2:$AG$2,0)),Inputs!$B$4:$B$150,$B16)/1000)</f>
        <v>4184</v>
      </c>
      <c r="Z16" s="11">
        <f>IF(Z$3=0,"",SUMIFS(INDEX(Inputs!$D$4:$AG$150,0,MATCH(Z$2,Inputs!$D$2:$AG$2,0)),Inputs!$B$4:$B$150,$B16)/1000)</f>
        <v>4247</v>
      </c>
      <c r="AA16" s="11">
        <f>IF(AA$3=0,"",SUMIFS(INDEX(Inputs!$D$4:$AG$150,0,MATCH(AA$2,Inputs!$D$2:$AG$2,0)),Inputs!$B$4:$B$150,$B16)/1000)</f>
        <v>4609</v>
      </c>
      <c r="AB16" s="12">
        <f>IF(AA16="","",AA16)</f>
        <v>4609</v>
      </c>
      <c r="AC16" s="11">
        <f>IF(AC$3=0,"",SUMIFS(INDEX(Inputs!$D$4:$AG$150,0,MATCH(AC$2,Inputs!$D$2:$AG$2,0)),Inputs!$B$4:$B$150,$B16)/1000)</f>
        <v>4720</v>
      </c>
      <c r="AD16" s="11">
        <f>IF(AD$3=0,"",SUMIFS(INDEX(Inputs!$D$4:$AG$150,0,MATCH(AD$2,Inputs!$D$2:$AG$2,0)),Inputs!$B$4:$B$150,$B16)/1000)</f>
        <v>5047</v>
      </c>
      <c r="AE16" s="11" t="str">
        <f>IF(AE$3=0,"",SUMIFS(INDEX(Inputs!$D$4:$AG$150,0,MATCH(AE$2,Inputs!$D$2:$AG$2,0)),Inputs!$B$4:$B$150,$B16)/1000)</f>
        <v/>
      </c>
      <c r="AF16" s="11" t="str">
        <f>IF(AF$3=0,"",SUMIFS(INDEX(Inputs!$D$4:$AG$150,0,MATCH(AF$2,Inputs!$D$2:$AG$2,0)),Inputs!$B$4:$B$150,$B16)/1000)</f>
        <v/>
      </c>
      <c r="AG16" s="12" t="str">
        <f>IF(AF16="","",AF16)</f>
        <v/>
      </c>
    </row>
    <row r="17">
      <c r="B17" s="9" t="n">
        <v>13</v>
      </c>
      <c r="C17" s="14" t="inlineStr">
        <is>
          <t>Inventories</t>
        </is>
      </c>
      <c r="D17" s="11">
        <f>IF(D$3=0,"",SUMIFS(INDEX(Inputs!$D$4:$AG$150,0,MATCH(D$2,Inputs!$D$2:$AG$2,0)),Inputs!$B$4:$B$150,$B17)/1000)</f>
        <v>0</v>
      </c>
      <c r="E17" s="11">
        <f>IF(E$3=0,"",SUMIFS(INDEX(Inputs!$D$4:$AG$150,0,MATCH(E$2,Inputs!$D$2:$AG$2,0)),Inputs!$B$4:$B$150,$B17)/1000)</f>
        <v>0</v>
      </c>
      <c r="F17" s="11">
        <f>IF(F$3=0,"",SUMIFS(INDEX(Inputs!$D$4:$AG$150,0,MATCH(F$2,Inputs!$D$2:$AG$2,0)),Inputs!$B$4:$B$150,$B17)/1000)</f>
        <v>0</v>
      </c>
      <c r="G17" s="11">
        <f>IF(G$3=0,"",SUMIFS(INDEX(Inputs!$D$4:$AG$150,0,MATCH(G$2,Inputs!$D$2:$AG$2,0)),Inputs!$B$4:$B$150,$B17)/1000)</f>
        <v>0</v>
      </c>
      <c r="H17" s="12">
        <f>IF(G17="","",G17)</f>
        <v>0</v>
      </c>
      <c r="I17" s="11">
        <f>IF(I$3=0,"",SUMIFS(INDEX(Inputs!$D$4:$AG$150,0,MATCH(I$2,Inputs!$D$2:$AG$2,0)),Inputs!$B$4:$B$150,$B17)/1000)</f>
        <v>0</v>
      </c>
      <c r="J17" s="11">
        <f>IF(J$3=0,"",SUMIFS(INDEX(Inputs!$D$4:$AG$150,0,MATCH(J$2,Inputs!$D$2:$AG$2,0)),Inputs!$B$4:$B$150,$B17)/1000)</f>
        <v>0</v>
      </c>
      <c r="K17" s="11">
        <f>IF(K$3=0,"",SUMIFS(INDEX(Inputs!$D$4:$AG$150,0,MATCH(K$2,Inputs!$D$2:$AG$2,0)),Inputs!$B$4:$B$150,$B17)/1000)</f>
        <v>0</v>
      </c>
      <c r="L17" s="11">
        <f>IF(L$3=0,"",SUMIFS(INDEX(Inputs!$D$4:$AG$150,0,MATCH(L$2,Inputs!$D$2:$AG$2,0)),Inputs!$B$4:$B$150,$B17)/1000)</f>
        <v>0</v>
      </c>
      <c r="M17" s="12">
        <f>IF(L17="","",L17)</f>
        <v>0</v>
      </c>
      <c r="N17" s="11">
        <f>IF(N$3=0,"",SUMIFS(INDEX(Inputs!$D$4:$AG$150,0,MATCH(N$2,Inputs!$D$2:$AG$2,0)),Inputs!$B$4:$B$150,$B17)/1000)</f>
        <v>0</v>
      </c>
      <c r="O17" s="11">
        <f>IF(O$3=0,"",SUMIFS(INDEX(Inputs!$D$4:$AG$150,0,MATCH(O$2,Inputs!$D$2:$AG$2,0)),Inputs!$B$4:$B$150,$B17)/1000)</f>
        <v>0</v>
      </c>
      <c r="P17" s="11">
        <f>IF(P$3=0,"",SUMIFS(INDEX(Inputs!$D$4:$AG$150,0,MATCH(P$2,Inputs!$D$2:$AG$2,0)),Inputs!$B$4:$B$150,$B17)/1000)</f>
        <v>0</v>
      </c>
      <c r="Q17" s="11">
        <f>IF(Q$3=0,"",SUMIFS(INDEX(Inputs!$D$4:$AG$150,0,MATCH(Q$2,Inputs!$D$2:$AG$2,0)),Inputs!$B$4:$B$150,$B17)/1000)</f>
        <v>0</v>
      </c>
      <c r="R17" s="12">
        <f>IF(Q17="","",Q17)</f>
        <v>0</v>
      </c>
      <c r="S17" s="11">
        <f>IF(S$3=0,"",SUMIFS(INDEX(Inputs!$D$4:$AG$150,0,MATCH(S$2,Inputs!$D$2:$AG$2,0)),Inputs!$B$4:$B$150,$B17)/1000)</f>
        <v>0</v>
      </c>
      <c r="T17" s="11">
        <f>IF(T$3=0,"",SUMIFS(INDEX(Inputs!$D$4:$AG$150,0,MATCH(T$2,Inputs!$D$2:$AG$2,0)),Inputs!$B$4:$B$150,$B17)/1000)</f>
        <v>0</v>
      </c>
      <c r="U17" s="11">
        <f>IF(U$3=0,"",SUMIFS(INDEX(Inputs!$D$4:$AG$150,0,MATCH(U$2,Inputs!$D$2:$AG$2,0)),Inputs!$B$4:$B$150,$B17)/1000)</f>
        <v>0</v>
      </c>
      <c r="V17" s="11">
        <f>IF(V$3=0,"",SUMIFS(INDEX(Inputs!$D$4:$AG$150,0,MATCH(V$2,Inputs!$D$2:$AG$2,0)),Inputs!$B$4:$B$150,$B17)/1000)</f>
        <v>0</v>
      </c>
      <c r="W17" s="12">
        <f>IF(V17="","",V17)</f>
        <v>0</v>
      </c>
      <c r="X17" s="11">
        <f>IF(X$3=0,"",SUMIFS(INDEX(Inputs!$D$4:$AG$150,0,MATCH(X$2,Inputs!$D$2:$AG$2,0)),Inputs!$B$4:$B$150,$B17)/1000)</f>
        <v>0</v>
      </c>
      <c r="Y17" s="11">
        <f>IF(Y$3=0,"",SUMIFS(INDEX(Inputs!$D$4:$AG$150,0,MATCH(Y$2,Inputs!$D$2:$AG$2,0)),Inputs!$B$4:$B$150,$B17)/1000)</f>
        <v>0</v>
      </c>
      <c r="Z17" s="11">
        <f>IF(Z$3=0,"",SUMIFS(INDEX(Inputs!$D$4:$AG$150,0,MATCH(Z$2,Inputs!$D$2:$AG$2,0)),Inputs!$B$4:$B$150,$B17)/1000)</f>
        <v>0</v>
      </c>
      <c r="AA17" s="11">
        <f>IF(AA$3=0,"",SUMIFS(INDEX(Inputs!$D$4:$AG$150,0,MATCH(AA$2,Inputs!$D$2:$AG$2,0)),Inputs!$B$4:$B$150,$B17)/1000)</f>
        <v>0</v>
      </c>
      <c r="AB17" s="12">
        <f>IF(AA17="","",AA17)</f>
        <v>0</v>
      </c>
      <c r="AC17" s="11">
        <f>IF(AC$3=0,"",SUMIFS(INDEX(Inputs!$D$4:$AG$150,0,MATCH(AC$2,Inputs!$D$2:$AG$2,0)),Inputs!$B$4:$B$150,$B17)/1000)</f>
        <v>0</v>
      </c>
      <c r="AD17" s="11">
        <f>IF(AD$3=0,"",SUMIFS(INDEX(Inputs!$D$4:$AG$150,0,MATCH(AD$2,Inputs!$D$2:$AG$2,0)),Inputs!$B$4:$B$150,$B17)/1000)</f>
        <v>0</v>
      </c>
      <c r="AE17" s="11" t="str">
        <f>IF(AE$3=0,"",SUMIFS(INDEX(Inputs!$D$4:$AG$150,0,MATCH(AE$2,Inputs!$D$2:$AG$2,0)),Inputs!$B$4:$B$150,$B17)/1000)</f>
        <v/>
      </c>
      <c r="AF17" s="11" t="str">
        <f>IF(AF$3=0,"",SUMIFS(INDEX(Inputs!$D$4:$AG$150,0,MATCH(AF$2,Inputs!$D$2:$AG$2,0)),Inputs!$B$4:$B$150,$B17)/1000)</f>
        <v/>
      </c>
      <c r="AG17" s="12" t="str">
        <f>IF(AF17="","",AF17)</f>
        <v/>
      </c>
    </row>
    <row r="18">
      <c r="B18" s="9" t="n">
        <v>14</v>
      </c>
      <c r="C18" s="14" t="inlineStr">
        <is>
          <t>Deferred income taxes</t>
        </is>
      </c>
      <c r="D18" s="11">
        <f>IF(D$3=0,"",SUMIFS(INDEX(Inputs!$D$4:$AG$150,0,MATCH(D$2,Inputs!$D$2:$AG$2,0)),Inputs!$B$4:$B$150,$B18)/1000)</f>
        <v>459</v>
      </c>
      <c r="E18" s="11">
        <f>IF(E$3=0,"",SUMIFS(INDEX(Inputs!$D$4:$AG$150,0,MATCH(E$2,Inputs!$D$2:$AG$2,0)),Inputs!$B$4:$B$150,$B18)/1000)</f>
        <v>454</v>
      </c>
      <c r="F18" s="11">
        <f>IF(F$3=0,"",SUMIFS(INDEX(Inputs!$D$4:$AG$150,0,MATCH(F$2,Inputs!$D$2:$AG$2,0)),Inputs!$B$4:$B$150,$B18)/1000)</f>
        <v>471</v>
      </c>
      <c r="G18" s="11">
        <f>IF(G$3=0,"",SUMIFS(INDEX(Inputs!$D$4:$AG$150,0,MATCH(G$2,Inputs!$D$2:$AG$2,0)),Inputs!$B$4:$B$150,$B18)/1000)</f>
        <v>486</v>
      </c>
      <c r="H18" s="12">
        <f>IF(G18="","",G18)</f>
        <v>486</v>
      </c>
      <c r="I18" s="11">
        <f>IF(I$3=0,"",SUMIFS(INDEX(Inputs!$D$4:$AG$150,0,MATCH(I$2,Inputs!$D$2:$AG$2,0)),Inputs!$B$4:$B$150,$B18)/1000)</f>
        <v>795</v>
      </c>
      <c r="J18" s="11">
        <f>IF(J$3=0,"",SUMIFS(INDEX(Inputs!$D$4:$AG$150,0,MATCH(J$2,Inputs!$D$2:$AG$2,0)),Inputs!$B$4:$B$150,$B18)/1000)</f>
        <v>920</v>
      </c>
      <c r="K18" s="11">
        <f>IF(K$3=0,"",SUMIFS(INDEX(Inputs!$D$4:$AG$150,0,MATCH(K$2,Inputs!$D$2:$AG$2,0)),Inputs!$B$4:$B$150,$B18)/1000)</f>
        <v>1069</v>
      </c>
      <c r="L18" s="11">
        <f>IF(L$3=0,"",SUMIFS(INDEX(Inputs!$D$4:$AG$150,0,MATCH(L$2,Inputs!$D$2:$AG$2,0)),Inputs!$B$4:$B$150,$B18)/1000)</f>
        <v>1151</v>
      </c>
      <c r="M18" s="12">
        <f>IF(L18="","",L18)</f>
        <v>1151</v>
      </c>
      <c r="N18" s="11">
        <f>IF(N$3=0,"",SUMIFS(INDEX(Inputs!$D$4:$AG$150,0,MATCH(N$2,Inputs!$D$2:$AG$2,0)),Inputs!$B$4:$B$150,$B18)/1000)</f>
        <v>1267</v>
      </c>
      <c r="O18" s="11">
        <f>IF(O$3=0,"",SUMIFS(INDEX(Inputs!$D$4:$AG$150,0,MATCH(O$2,Inputs!$D$2:$AG$2,0)),Inputs!$B$4:$B$150,$B18)/1000)</f>
        <v>1121</v>
      </c>
      <c r="P18" s="11">
        <f>IF(P$3=0,"",SUMIFS(INDEX(Inputs!$D$4:$AG$150,0,MATCH(P$2,Inputs!$D$2:$AG$2,0)),Inputs!$B$4:$B$150,$B18)/1000)</f>
        <v>1370</v>
      </c>
      <c r="Q18" s="11">
        <f>IF(Q$3=0,"",SUMIFS(INDEX(Inputs!$D$4:$AG$150,0,MATCH(Q$2,Inputs!$D$2:$AG$2,0)),Inputs!$B$4:$B$150,$B18)/1000)</f>
        <v>1355</v>
      </c>
      <c r="R18" s="12">
        <f>IF(Q18="","",Q18)</f>
        <v>1355</v>
      </c>
      <c r="S18" s="11">
        <f>IF(S$3=0,"",SUMIFS(INDEX(Inputs!$D$4:$AG$150,0,MATCH(S$2,Inputs!$D$2:$AG$2,0)),Inputs!$B$4:$B$150,$B18)/1000)</f>
        <v>1329</v>
      </c>
      <c r="T18" s="11">
        <f>IF(T$3=0,"",SUMIFS(INDEX(Inputs!$D$4:$AG$150,0,MATCH(T$2,Inputs!$D$2:$AG$2,0)),Inputs!$B$4:$B$150,$B18)/1000)</f>
        <v>1423</v>
      </c>
      <c r="U18" s="11">
        <f>IF(U$3=0,"",SUMIFS(INDEX(Inputs!$D$4:$AG$150,0,MATCH(U$2,Inputs!$D$2:$AG$2,0)),Inputs!$B$4:$B$150,$B18)/1000)</f>
        <v>1612</v>
      </c>
      <c r="V18" s="11">
        <f>IF(V$3=0,"",SUMIFS(INDEX(Inputs!$D$4:$AG$150,0,MATCH(V$2,Inputs!$D$2:$AG$2,0)),Inputs!$B$4:$B$150,$B18)/1000)</f>
        <v>1614</v>
      </c>
      <c r="W18" s="12">
        <f>IF(V18="","",V18)</f>
        <v>1614</v>
      </c>
      <c r="X18" s="11">
        <f>IF(X$3=0,"",SUMIFS(INDEX(Inputs!$D$4:$AG$150,0,MATCH(X$2,Inputs!$D$2:$AG$2,0)),Inputs!$B$4:$B$150,$B18)/1000)</f>
        <v>1575</v>
      </c>
      <c r="Y18" s="11">
        <f>IF(Y$3=0,"",SUMIFS(INDEX(Inputs!$D$4:$AG$150,0,MATCH(Y$2,Inputs!$D$2:$AG$2,0)),Inputs!$B$4:$B$150,$B18)/1000)</f>
        <v>1570</v>
      </c>
      <c r="Z18" s="11">
        <f>IF(Z$3=0,"",SUMIFS(INDEX(Inputs!$D$4:$AG$150,0,MATCH(Z$2,Inputs!$D$2:$AG$2,0)),Inputs!$B$4:$B$150,$B18)/1000)</f>
        <v>1546</v>
      </c>
      <c r="AA18" s="11">
        <f>IF(AA$3=0,"",SUMIFS(INDEX(Inputs!$D$4:$AG$150,0,MATCH(AA$2,Inputs!$D$2:$AG$2,0)),Inputs!$B$4:$B$150,$B18)/1000)</f>
        <v>1567</v>
      </c>
      <c r="AB18" s="12">
        <f>IF(AA18="","",AA18)</f>
        <v>1567</v>
      </c>
      <c r="AC18" s="11">
        <f>IF(AC$3=0,"",SUMIFS(INDEX(Inputs!$D$4:$AG$150,0,MATCH(AC$2,Inputs!$D$2:$AG$2,0)),Inputs!$B$4:$B$150,$B18)/1000)</f>
        <v>1396</v>
      </c>
      <c r="AD18" s="11">
        <f>IF(AD$3=0,"",SUMIFS(INDEX(Inputs!$D$4:$AG$150,0,MATCH(AD$2,Inputs!$D$2:$AG$2,0)),Inputs!$B$4:$B$150,$B18)/1000)</f>
        <v>1441</v>
      </c>
      <c r="AE18" s="11" t="str">
        <f>IF(AE$3=0,"",SUMIFS(INDEX(Inputs!$D$4:$AG$150,0,MATCH(AE$2,Inputs!$D$2:$AG$2,0)),Inputs!$B$4:$B$150,$B18)/1000)</f>
        <v/>
      </c>
      <c r="AF18" s="11" t="str">
        <f>IF(AF$3=0,"",SUMIFS(INDEX(Inputs!$D$4:$AG$150,0,MATCH(AF$2,Inputs!$D$2:$AG$2,0)),Inputs!$B$4:$B$150,$B18)/1000)</f>
        <v/>
      </c>
      <c r="AG18" s="12" t="str">
        <f>IF(AF18="","",AF18)</f>
        <v/>
      </c>
    </row>
    <row r="19">
      <c r="B19" s="9" t="n">
        <v>15</v>
      </c>
      <c r="C19" s="14" t="inlineStr">
        <is>
          <t>Prepaid expenses</t>
        </is>
      </c>
      <c r="D19" s="11">
        <f>IF(D$3=0,"",SUMIFS(INDEX(Inputs!$D$4:$AG$150,0,MATCH(D$2,Inputs!$D$2:$AG$2,0)),Inputs!$B$4:$B$150,$B19)/1000)</f>
        <v>0</v>
      </c>
      <c r="E19" s="11">
        <f>IF(E$3=0,"",SUMIFS(INDEX(Inputs!$D$4:$AG$150,0,MATCH(E$2,Inputs!$D$2:$AG$2,0)),Inputs!$B$4:$B$150,$B19)/1000)</f>
        <v>0</v>
      </c>
      <c r="F19" s="11">
        <f>IF(F$3=0,"",SUMIFS(INDEX(Inputs!$D$4:$AG$150,0,MATCH(F$2,Inputs!$D$2:$AG$2,0)),Inputs!$B$4:$B$150,$B19)/1000)</f>
        <v>0</v>
      </c>
      <c r="G19" s="11">
        <f>IF(G$3=0,"",SUMIFS(INDEX(Inputs!$D$4:$AG$150,0,MATCH(G$2,Inputs!$D$2:$AG$2,0)),Inputs!$B$4:$B$150,$B19)/1000)</f>
        <v>0</v>
      </c>
      <c r="H19" s="12">
        <f>IF(G19="","",G19)</f>
        <v>0</v>
      </c>
      <c r="I19" s="11">
        <f>IF(I$3=0,"",SUMIFS(INDEX(Inputs!$D$4:$AG$150,0,MATCH(I$2,Inputs!$D$2:$AG$2,0)),Inputs!$B$4:$B$150,$B19)/1000)</f>
        <v>0</v>
      </c>
      <c r="J19" s="11">
        <f>IF(J$3=0,"",SUMIFS(INDEX(Inputs!$D$4:$AG$150,0,MATCH(J$2,Inputs!$D$2:$AG$2,0)),Inputs!$B$4:$B$150,$B19)/1000)</f>
        <v>0</v>
      </c>
      <c r="K19" s="11">
        <f>IF(K$3=0,"",SUMIFS(INDEX(Inputs!$D$4:$AG$150,0,MATCH(K$2,Inputs!$D$2:$AG$2,0)),Inputs!$B$4:$B$150,$B19)/1000)</f>
        <v>0</v>
      </c>
      <c r="L19" s="11">
        <f>IF(L$3=0,"",SUMIFS(INDEX(Inputs!$D$4:$AG$150,0,MATCH(L$2,Inputs!$D$2:$AG$2,0)),Inputs!$B$4:$B$150,$B19)/1000)</f>
        <v>0</v>
      </c>
      <c r="M19" s="12">
        <f>IF(L19="","",L19)</f>
        <v>0</v>
      </c>
      <c r="N19" s="11">
        <f>IF(N$3=0,"",SUMIFS(INDEX(Inputs!$D$4:$AG$150,0,MATCH(N$2,Inputs!$D$2:$AG$2,0)),Inputs!$B$4:$B$150,$B19)/1000)</f>
        <v>0</v>
      </c>
      <c r="O19" s="11">
        <f>IF(O$3=0,"",SUMIFS(INDEX(Inputs!$D$4:$AG$150,0,MATCH(O$2,Inputs!$D$2:$AG$2,0)),Inputs!$B$4:$B$150,$B19)/1000)</f>
        <v>0</v>
      </c>
      <c r="P19" s="11">
        <f>IF(P$3=0,"",SUMIFS(INDEX(Inputs!$D$4:$AG$150,0,MATCH(P$2,Inputs!$D$2:$AG$2,0)),Inputs!$B$4:$B$150,$B19)/1000)</f>
        <v>0</v>
      </c>
      <c r="Q19" s="11">
        <f>IF(Q$3=0,"",SUMIFS(INDEX(Inputs!$D$4:$AG$150,0,MATCH(Q$2,Inputs!$D$2:$AG$2,0)),Inputs!$B$4:$B$150,$B19)/1000)</f>
        <v>0</v>
      </c>
      <c r="R19" s="12">
        <f>IF(Q19="","",Q19)</f>
        <v>0</v>
      </c>
      <c r="S19" s="11">
        <f>IF(S$3=0,"",SUMIFS(INDEX(Inputs!$D$4:$AG$150,0,MATCH(S$2,Inputs!$D$2:$AG$2,0)),Inputs!$B$4:$B$150,$B19)/1000)</f>
        <v>0</v>
      </c>
      <c r="T19" s="11">
        <f>IF(T$3=0,"",SUMIFS(INDEX(Inputs!$D$4:$AG$150,0,MATCH(T$2,Inputs!$D$2:$AG$2,0)),Inputs!$B$4:$B$150,$B19)/1000)</f>
        <v>0</v>
      </c>
      <c r="U19" s="11">
        <f>IF(U$3=0,"",SUMIFS(INDEX(Inputs!$D$4:$AG$150,0,MATCH(U$2,Inputs!$D$2:$AG$2,0)),Inputs!$B$4:$B$150,$B19)/1000)</f>
        <v>0</v>
      </c>
      <c r="V19" s="11">
        <f>IF(V$3=0,"",SUMIFS(INDEX(Inputs!$D$4:$AG$150,0,MATCH(V$2,Inputs!$D$2:$AG$2,0)),Inputs!$B$4:$B$150,$B19)/1000)</f>
        <v>0</v>
      </c>
      <c r="W19" s="12">
        <f>IF(V19="","",V19)</f>
        <v>0</v>
      </c>
      <c r="X19" s="11">
        <f>IF(X$3=0,"",SUMIFS(INDEX(Inputs!$D$4:$AG$150,0,MATCH(X$2,Inputs!$D$2:$AG$2,0)),Inputs!$B$4:$B$150,$B19)/1000)</f>
        <v>0</v>
      </c>
      <c r="Y19" s="11">
        <f>IF(Y$3=0,"",SUMIFS(INDEX(Inputs!$D$4:$AG$150,0,MATCH(Y$2,Inputs!$D$2:$AG$2,0)),Inputs!$B$4:$B$150,$B19)/1000)</f>
        <v>0</v>
      </c>
      <c r="Z19" s="11">
        <f>IF(Z$3=0,"",SUMIFS(INDEX(Inputs!$D$4:$AG$150,0,MATCH(Z$2,Inputs!$D$2:$AG$2,0)),Inputs!$B$4:$B$150,$B19)/1000)</f>
        <v>0</v>
      </c>
      <c r="AA19" s="11">
        <f>IF(AA$3=0,"",SUMIFS(INDEX(Inputs!$D$4:$AG$150,0,MATCH(AA$2,Inputs!$D$2:$AG$2,0)),Inputs!$B$4:$B$150,$B19)/1000)</f>
        <v>0</v>
      </c>
      <c r="AB19" s="12">
        <f>IF(AA19="","",AA19)</f>
        <v>0</v>
      </c>
      <c r="AC19" s="11">
        <f>IF(AC$3=0,"",SUMIFS(INDEX(Inputs!$D$4:$AG$150,0,MATCH(AC$2,Inputs!$D$2:$AG$2,0)),Inputs!$B$4:$B$150,$B19)/1000)</f>
        <v>0</v>
      </c>
      <c r="AD19" s="11">
        <f>IF(AD$3=0,"",SUMIFS(INDEX(Inputs!$D$4:$AG$150,0,MATCH(AD$2,Inputs!$D$2:$AG$2,0)),Inputs!$B$4:$B$150,$B19)/1000)</f>
        <v>0</v>
      </c>
      <c r="AE19" s="11" t="str">
        <f>IF(AE$3=0,"",SUMIFS(INDEX(Inputs!$D$4:$AG$150,0,MATCH(AE$2,Inputs!$D$2:$AG$2,0)),Inputs!$B$4:$B$150,$B19)/1000)</f>
        <v/>
      </c>
      <c r="AF19" s="11" t="str">
        <f>IF(AF$3=0,"",SUMIFS(INDEX(Inputs!$D$4:$AG$150,0,MATCH(AF$2,Inputs!$D$2:$AG$2,0)),Inputs!$B$4:$B$150,$B19)/1000)</f>
        <v/>
      </c>
      <c r="AG19" s="12" t="str">
        <f>IF(AF19="","",AF19)</f>
        <v/>
      </c>
    </row>
    <row r="20">
      <c r="B20" s="9" t="n">
        <v>16</v>
      </c>
      <c r="C20" s="14" t="inlineStr">
        <is>
          <t>Other current assets</t>
        </is>
      </c>
      <c r="D20" s="11">
        <f>IF(D$3=0,"",SUMIFS(INDEX(Inputs!$D$4:$AG$150,0,MATCH(D$2,Inputs!$D$2:$AG$2,0)),Inputs!$B$4:$B$150,$B20)/1000)</f>
        <v>6022</v>
      </c>
      <c r="E20" s="11">
        <f>IF(E$3=0,"",SUMIFS(INDEX(Inputs!$D$4:$AG$150,0,MATCH(E$2,Inputs!$D$2:$AG$2,0)),Inputs!$B$4:$B$150,$B20)/1000)</f>
        <v>5546</v>
      </c>
      <c r="F20" s="11">
        <f>IF(F$3=0,"",SUMIFS(INDEX(Inputs!$D$4:$AG$150,0,MATCH(F$2,Inputs!$D$2:$AG$2,0)),Inputs!$B$4:$B$150,$B20)/1000)</f>
        <v>5646</v>
      </c>
      <c r="G20" s="11">
        <f>IF(G$3=0,"",SUMIFS(INDEX(Inputs!$D$4:$AG$150,0,MATCH(G$2,Inputs!$D$2:$AG$2,0)),Inputs!$B$4:$B$150,$B20)/1000)</f>
        <v>6049</v>
      </c>
      <c r="H20" s="12">
        <f>IF(G20="","",G20)</f>
        <v>6049</v>
      </c>
      <c r="I20" s="11">
        <f>IF(I$3=0,"",SUMIFS(INDEX(Inputs!$D$4:$AG$150,0,MATCH(I$2,Inputs!$D$2:$AG$2,0)),Inputs!$B$4:$B$150,$B20)/1000)</f>
        <v>5736</v>
      </c>
      <c r="J20" s="11">
        <f>IF(J$3=0,"",SUMIFS(INDEX(Inputs!$D$4:$AG$150,0,MATCH(J$2,Inputs!$D$2:$AG$2,0)),Inputs!$B$4:$B$150,$B20)/1000)</f>
        <v>5677</v>
      </c>
      <c r="K20" s="11">
        <f>IF(K$3=0,"",SUMIFS(INDEX(Inputs!$D$4:$AG$150,0,MATCH(K$2,Inputs!$D$2:$AG$2,0)),Inputs!$B$4:$B$150,$B20)/1000)</f>
        <v>5611</v>
      </c>
      <c r="L20" s="11">
        <f>IF(L$3=0,"",SUMIFS(INDEX(Inputs!$D$4:$AG$150,0,MATCH(L$2,Inputs!$D$2:$AG$2,0)),Inputs!$B$4:$B$150,$B20)/1000)</f>
        <v>5773</v>
      </c>
      <c r="M20" s="12">
        <f>IF(L20="","",L20)</f>
        <v>5773</v>
      </c>
      <c r="N20" s="11">
        <f>IF(N$3=0,"",SUMIFS(INDEX(Inputs!$D$4:$AG$150,0,MATCH(N$2,Inputs!$D$2:$AG$2,0)),Inputs!$B$4:$B$150,$B20)/1000)</f>
        <v>5941</v>
      </c>
      <c r="O20" s="11">
        <f>IF(O$3=0,"",SUMIFS(INDEX(Inputs!$D$4:$AG$150,0,MATCH(O$2,Inputs!$D$2:$AG$2,0)),Inputs!$B$4:$B$150,$B20)/1000)</f>
        <v>6253</v>
      </c>
      <c r="P20" s="11">
        <f>IF(P$3=0,"",SUMIFS(INDEX(Inputs!$D$4:$AG$150,0,MATCH(P$2,Inputs!$D$2:$AG$2,0)),Inputs!$B$4:$B$150,$B20)/1000)</f>
        <v>5566</v>
      </c>
      <c r="Q20" s="11">
        <f>IF(Q$3=0,"",SUMIFS(INDEX(Inputs!$D$4:$AG$150,0,MATCH(Q$2,Inputs!$D$2:$AG$2,0)),Inputs!$B$4:$B$150,$B20)/1000)</f>
        <v>5721</v>
      </c>
      <c r="R20" s="12">
        <f>IF(Q20="","",Q20)</f>
        <v>5721</v>
      </c>
      <c r="S20" s="11">
        <f>IF(S$3=0,"",SUMIFS(INDEX(Inputs!$D$4:$AG$150,0,MATCH(S$2,Inputs!$D$2:$AG$2,0)),Inputs!$B$4:$B$150,$B20)/1000)</f>
        <v>6536</v>
      </c>
      <c r="T20" s="11">
        <f>IF(T$3=0,"",SUMIFS(INDEX(Inputs!$D$4:$AG$150,0,MATCH(T$2,Inputs!$D$2:$AG$2,0)),Inputs!$B$4:$B$150,$B20)/1000)</f>
        <v>6227</v>
      </c>
      <c r="U20" s="11">
        <f>IF(U$3=0,"",SUMIFS(INDEX(Inputs!$D$4:$AG$150,0,MATCH(U$2,Inputs!$D$2:$AG$2,0)),Inputs!$B$4:$B$150,$B20)/1000)</f>
        <v>6885</v>
      </c>
      <c r="V20" s="11">
        <f>IF(V$3=0,"",SUMIFS(INDEX(Inputs!$D$4:$AG$150,0,MATCH(V$2,Inputs!$D$2:$AG$2,0)),Inputs!$B$4:$B$150,$B20)/1000)</f>
        <v>7179</v>
      </c>
      <c r="W20" s="12">
        <f>IF(V20="","",V20)</f>
        <v>7179</v>
      </c>
      <c r="X20" s="11">
        <f>IF(X$3=0,"",SUMIFS(INDEX(Inputs!$D$4:$AG$150,0,MATCH(X$2,Inputs!$D$2:$AG$2,0)),Inputs!$B$4:$B$150,$B20)/1000)</f>
        <v>7945</v>
      </c>
      <c r="Y20" s="11">
        <f>IF(Y$3=0,"",SUMIFS(INDEX(Inputs!$D$4:$AG$150,0,MATCH(Y$2,Inputs!$D$2:$AG$2,0)),Inputs!$B$4:$B$150,$B20)/1000)</f>
        <v>8589</v>
      </c>
      <c r="Z20" s="11">
        <f>IF(Z$3=0,"",SUMIFS(INDEX(Inputs!$D$4:$AG$150,0,MATCH(Z$2,Inputs!$D$2:$AG$2,0)),Inputs!$B$4:$B$150,$B20)/1000)</f>
        <v>8328</v>
      </c>
      <c r="AA20" s="11">
        <f>IF(AA$3=0,"",SUMIFS(INDEX(Inputs!$D$4:$AG$150,0,MATCH(AA$2,Inputs!$D$2:$AG$2,0)),Inputs!$B$4:$B$150,$B20)/1000)</f>
        <v>8051</v>
      </c>
      <c r="AB20" s="12">
        <f>IF(AA20="","",AA20)</f>
        <v>8051</v>
      </c>
      <c r="AC20" s="11">
        <f>IF(AC$3=0,"",SUMIFS(INDEX(Inputs!$D$4:$AG$150,0,MATCH(AC$2,Inputs!$D$2:$AG$2,0)),Inputs!$B$4:$B$150,$B20)/1000)</f>
        <v>9559</v>
      </c>
      <c r="AD20" s="11">
        <f>IF(AD$3=0,"",SUMIFS(INDEX(Inputs!$D$4:$AG$150,0,MATCH(AD$2,Inputs!$D$2:$AG$2,0)),Inputs!$B$4:$B$150,$B20)/1000)</f>
        <v>9866</v>
      </c>
      <c r="AE20" s="11" t="str">
        <f>IF(AE$3=0,"",SUMIFS(INDEX(Inputs!$D$4:$AG$150,0,MATCH(AE$2,Inputs!$D$2:$AG$2,0)),Inputs!$B$4:$B$150,$B20)/1000)</f>
        <v/>
      </c>
      <c r="AF20" s="11" t="str">
        <f>IF(AF$3=0,"",SUMIFS(INDEX(Inputs!$D$4:$AG$150,0,MATCH(AF$2,Inputs!$D$2:$AG$2,0)),Inputs!$B$4:$B$150,$B20)/1000)</f>
        <v/>
      </c>
      <c r="AG20" s="12" t="str">
        <f>IF(AF20="","",AF20)</f>
        <v/>
      </c>
    </row>
    <row r="21">
      <c r="B21" s="9" t="n">
        <v>17</v>
      </c>
      <c r="C21" s="14" t="inlineStr">
        <is>
          <t>Equity in affiliates</t>
        </is>
      </c>
      <c r="D21" s="11">
        <f>IF(D$3=0,"",SUMIFS(INDEX(Inputs!$D$4:$AG$150,0,MATCH(D$2,Inputs!$D$2:$AG$2,0)),Inputs!$B$4:$B$150,$B21)/1000)</f>
        <v>0</v>
      </c>
      <c r="E21" s="11">
        <f>IF(E$3=0,"",SUMIFS(INDEX(Inputs!$D$4:$AG$150,0,MATCH(E$2,Inputs!$D$2:$AG$2,0)),Inputs!$B$4:$B$150,$B21)/1000)</f>
        <v>0</v>
      </c>
      <c r="F21" s="11">
        <f>IF(F$3=0,"",SUMIFS(INDEX(Inputs!$D$4:$AG$150,0,MATCH(F$2,Inputs!$D$2:$AG$2,0)),Inputs!$B$4:$B$150,$B21)/1000)</f>
        <v>0</v>
      </c>
      <c r="G21" s="11">
        <f>IF(G$3=0,"",SUMIFS(INDEX(Inputs!$D$4:$AG$150,0,MATCH(G$2,Inputs!$D$2:$AG$2,0)),Inputs!$B$4:$B$150,$B21)/1000)</f>
        <v>0</v>
      </c>
      <c r="H21" s="12">
        <f>IF(G21="","",G21)</f>
        <v>0</v>
      </c>
      <c r="I21" s="11">
        <f>IF(I$3=0,"",SUMIFS(INDEX(Inputs!$D$4:$AG$150,0,MATCH(I$2,Inputs!$D$2:$AG$2,0)),Inputs!$B$4:$B$150,$B21)/1000)</f>
        <v>0</v>
      </c>
      <c r="J21" s="11">
        <f>IF(J$3=0,"",SUMIFS(INDEX(Inputs!$D$4:$AG$150,0,MATCH(J$2,Inputs!$D$2:$AG$2,0)),Inputs!$B$4:$B$150,$B21)/1000)</f>
        <v>0</v>
      </c>
      <c r="K21" s="11">
        <f>IF(K$3=0,"",SUMIFS(INDEX(Inputs!$D$4:$AG$150,0,MATCH(K$2,Inputs!$D$2:$AG$2,0)),Inputs!$B$4:$B$150,$B21)/1000)</f>
        <v>0</v>
      </c>
      <c r="L21" s="11">
        <f>IF(L$3=0,"",SUMIFS(INDEX(Inputs!$D$4:$AG$150,0,MATCH(L$2,Inputs!$D$2:$AG$2,0)),Inputs!$B$4:$B$150,$B21)/1000)</f>
        <v>0</v>
      </c>
      <c r="M21" s="12">
        <f>IF(L21="","",L21)</f>
        <v>0</v>
      </c>
      <c r="N21" s="11">
        <f>IF(N$3=0,"",SUMIFS(INDEX(Inputs!$D$4:$AG$150,0,MATCH(N$2,Inputs!$D$2:$AG$2,0)),Inputs!$B$4:$B$150,$B21)/1000)</f>
        <v>0</v>
      </c>
      <c r="O21" s="11">
        <f>IF(O$3=0,"",SUMIFS(INDEX(Inputs!$D$4:$AG$150,0,MATCH(O$2,Inputs!$D$2:$AG$2,0)),Inputs!$B$4:$B$150,$B21)/1000)</f>
        <v>0</v>
      </c>
      <c r="P21" s="11">
        <f>IF(P$3=0,"",SUMIFS(INDEX(Inputs!$D$4:$AG$150,0,MATCH(P$2,Inputs!$D$2:$AG$2,0)),Inputs!$B$4:$B$150,$B21)/1000)</f>
        <v>0</v>
      </c>
      <c r="Q21" s="11">
        <f>IF(Q$3=0,"",SUMIFS(INDEX(Inputs!$D$4:$AG$150,0,MATCH(Q$2,Inputs!$D$2:$AG$2,0)),Inputs!$B$4:$B$150,$B21)/1000)</f>
        <v>0</v>
      </c>
      <c r="R21" s="12">
        <f>IF(Q21="","",Q21)</f>
        <v>0</v>
      </c>
      <c r="S21" s="11">
        <f>IF(S$3=0,"",SUMIFS(INDEX(Inputs!$D$4:$AG$150,0,MATCH(S$2,Inputs!$D$2:$AG$2,0)),Inputs!$B$4:$B$150,$B21)/1000)</f>
        <v>0</v>
      </c>
      <c r="T21" s="11">
        <f>IF(T$3=0,"",SUMIFS(INDEX(Inputs!$D$4:$AG$150,0,MATCH(T$2,Inputs!$D$2:$AG$2,0)),Inputs!$B$4:$B$150,$B21)/1000)</f>
        <v>0</v>
      </c>
      <c r="U21" s="11">
        <f>IF(U$3=0,"",SUMIFS(INDEX(Inputs!$D$4:$AG$150,0,MATCH(U$2,Inputs!$D$2:$AG$2,0)),Inputs!$B$4:$B$150,$B21)/1000)</f>
        <v>0</v>
      </c>
      <c r="V21" s="11">
        <f>IF(V$3=0,"",SUMIFS(INDEX(Inputs!$D$4:$AG$150,0,MATCH(V$2,Inputs!$D$2:$AG$2,0)),Inputs!$B$4:$B$150,$B21)/1000)</f>
        <v>0</v>
      </c>
      <c r="W21" s="12">
        <f>IF(V21="","",V21)</f>
        <v>0</v>
      </c>
      <c r="X21" s="11">
        <f>IF(X$3=0,"",SUMIFS(INDEX(Inputs!$D$4:$AG$150,0,MATCH(X$2,Inputs!$D$2:$AG$2,0)),Inputs!$B$4:$B$150,$B21)/1000)</f>
        <v>0</v>
      </c>
      <c r="Y21" s="11">
        <f>IF(Y$3=0,"",SUMIFS(INDEX(Inputs!$D$4:$AG$150,0,MATCH(Y$2,Inputs!$D$2:$AG$2,0)),Inputs!$B$4:$B$150,$B21)/1000)</f>
        <v>0</v>
      </c>
      <c r="Z21" s="11">
        <f>IF(Z$3=0,"",SUMIFS(INDEX(Inputs!$D$4:$AG$150,0,MATCH(Z$2,Inputs!$D$2:$AG$2,0)),Inputs!$B$4:$B$150,$B21)/1000)</f>
        <v>0</v>
      </c>
      <c r="AA21" s="11">
        <f>IF(AA$3=0,"",SUMIFS(INDEX(Inputs!$D$4:$AG$150,0,MATCH(AA$2,Inputs!$D$2:$AG$2,0)),Inputs!$B$4:$B$150,$B21)/1000)</f>
        <v>0</v>
      </c>
      <c r="AB21" s="12">
        <f>IF(AA21="","",AA21)</f>
        <v>0</v>
      </c>
      <c r="AC21" s="11">
        <f>IF(AC$3=0,"",SUMIFS(INDEX(Inputs!$D$4:$AG$150,0,MATCH(AC$2,Inputs!$D$2:$AG$2,0)),Inputs!$B$4:$B$150,$B21)/1000)</f>
        <v>0</v>
      </c>
      <c r="AD21" s="11">
        <f>IF(AD$3=0,"",SUMIFS(INDEX(Inputs!$D$4:$AG$150,0,MATCH(AD$2,Inputs!$D$2:$AG$2,0)),Inputs!$B$4:$B$150,$B21)/1000)</f>
        <v>0</v>
      </c>
      <c r="AE21" s="11" t="str">
        <f>IF(AE$3=0,"",SUMIFS(INDEX(Inputs!$D$4:$AG$150,0,MATCH(AE$2,Inputs!$D$2:$AG$2,0)),Inputs!$B$4:$B$150,$B21)/1000)</f>
        <v/>
      </c>
      <c r="AF21" s="11" t="str">
        <f>IF(AF$3=0,"",SUMIFS(INDEX(Inputs!$D$4:$AG$150,0,MATCH(AF$2,Inputs!$D$2:$AG$2,0)),Inputs!$B$4:$B$150,$B21)/1000)</f>
        <v/>
      </c>
      <c r="AG21" s="12" t="str">
        <f>IF(AF21="","",AF21)</f>
        <v/>
      </c>
    </row>
    <row r="22">
      <c r="B22" s="9" t="n">
        <v>18</v>
      </c>
      <c r="C22" s="14" t="inlineStr">
        <is>
          <t>PP&amp;E</t>
        </is>
      </c>
      <c r="D22" s="11">
        <f>IF(D$3=0,"",SUMIFS(INDEX(Inputs!$D$4:$AG$150,0,MATCH(D$2,Inputs!$D$2:$AG$2,0)),Inputs!$B$4:$B$150,$B22)/1000)</f>
        <v>1850</v>
      </c>
      <c r="E22" s="11">
        <f>IF(E$3=0,"",SUMIFS(INDEX(Inputs!$D$4:$AG$150,0,MATCH(E$2,Inputs!$D$2:$AG$2,0)),Inputs!$B$4:$B$150,$B22)/1000)</f>
        <v>1839</v>
      </c>
      <c r="F22" s="11">
        <f>IF(F$3=0,"",SUMIFS(INDEX(Inputs!$D$4:$AG$150,0,MATCH(F$2,Inputs!$D$2:$AG$2,0)),Inputs!$B$4:$B$150,$B22)/1000)</f>
        <v>1860</v>
      </c>
      <c r="G22" s="11">
        <f>IF(G$3=0,"",SUMIFS(INDEX(Inputs!$D$4:$AG$150,0,MATCH(G$2,Inputs!$D$2:$AG$2,0)),Inputs!$B$4:$B$150,$B22)/1000)</f>
        <v>1907</v>
      </c>
      <c r="H22" s="12">
        <f>IF(G22="","",G22)</f>
        <v>1907</v>
      </c>
      <c r="I22" s="11">
        <f>IF(I$3=0,"",SUMIFS(INDEX(Inputs!$D$4:$AG$150,0,MATCH(I$2,Inputs!$D$2:$AG$2,0)),Inputs!$B$4:$B$150,$B22)/1000)</f>
        <v>1957</v>
      </c>
      <c r="J22" s="11">
        <f>IF(J$3=0,"",SUMIFS(INDEX(Inputs!$D$4:$AG$150,0,MATCH(J$2,Inputs!$D$2:$AG$2,0)),Inputs!$B$4:$B$150,$B22)/1000)</f>
        <v>1950</v>
      </c>
      <c r="K22" s="11">
        <f>IF(K$3=0,"",SUMIFS(INDEX(Inputs!$D$4:$AG$150,0,MATCH(K$2,Inputs!$D$2:$AG$2,0)),Inputs!$B$4:$B$150,$B22)/1000)</f>
        <v>1951</v>
      </c>
      <c r="L22" s="11">
        <f>IF(L$3=0,"",SUMIFS(INDEX(Inputs!$D$4:$AG$150,0,MATCH(L$2,Inputs!$D$2:$AG$2,0)),Inputs!$B$4:$B$150,$B22)/1000)</f>
        <v>2006</v>
      </c>
      <c r="M22" s="12">
        <f>IF(L22="","",L22)</f>
        <v>2006</v>
      </c>
      <c r="N22" s="11">
        <f>IF(N$3=0,"",SUMIFS(INDEX(Inputs!$D$4:$AG$150,0,MATCH(N$2,Inputs!$D$2:$AG$2,0)),Inputs!$B$4:$B$150,$B22)/1000)</f>
        <v>2006</v>
      </c>
      <c r="O22" s="11">
        <f>IF(O$3=0,"",SUMIFS(INDEX(Inputs!$D$4:$AG$150,0,MATCH(O$2,Inputs!$D$2:$AG$2,0)),Inputs!$B$4:$B$150,$B22)/1000)</f>
        <v>1986</v>
      </c>
      <c r="P22" s="11">
        <f>IF(P$3=0,"",SUMIFS(INDEX(Inputs!$D$4:$AG$150,0,MATCH(P$2,Inputs!$D$2:$AG$2,0)),Inputs!$B$4:$B$150,$B22)/1000)</f>
        <v>1972</v>
      </c>
      <c r="Q22" s="11">
        <f>IF(Q$3=0,"",SUMIFS(INDEX(Inputs!$D$4:$AG$150,0,MATCH(Q$2,Inputs!$D$2:$AG$2,0)),Inputs!$B$4:$B$150,$B22)/1000)</f>
        <v>2061</v>
      </c>
      <c r="R22" s="12">
        <f>IF(Q22="","",Q22)</f>
        <v>2061</v>
      </c>
      <c r="S22" s="11">
        <f>IF(S$3=0,"",SUMIFS(INDEX(Inputs!$D$4:$AG$150,0,MATCH(S$2,Inputs!$D$2:$AG$2,0)),Inputs!$B$4:$B$150,$B22)/1000)</f>
        <v>2077</v>
      </c>
      <c r="T22" s="11">
        <f>IF(T$3=0,"",SUMIFS(INDEX(Inputs!$D$4:$AG$150,0,MATCH(T$2,Inputs!$D$2:$AG$2,0)),Inputs!$B$4:$B$150,$B22)/1000)</f>
        <v>2148</v>
      </c>
      <c r="U22" s="11">
        <f>IF(U$3=0,"",SUMIFS(INDEX(Inputs!$D$4:$AG$150,0,MATCH(U$2,Inputs!$D$2:$AG$2,0)),Inputs!$B$4:$B$150,$B22)/1000)</f>
        <v>2176</v>
      </c>
      <c r="V22" s="11">
        <f>IF(V$3=0,"",SUMIFS(INDEX(Inputs!$D$4:$AG$150,0,MATCH(V$2,Inputs!$D$2:$AG$2,0)),Inputs!$B$4:$B$150,$B22)/1000)</f>
        <v>2138</v>
      </c>
      <c r="W22" s="12">
        <f>IF(V22="","",V22)</f>
        <v>2138</v>
      </c>
      <c r="X22" s="11">
        <f>IF(X$3=0,"",SUMIFS(INDEX(Inputs!$D$4:$AG$150,0,MATCH(X$2,Inputs!$D$2:$AG$2,0)),Inputs!$B$4:$B$150,$B22)/1000)</f>
        <v>2171</v>
      </c>
      <c r="Y22" s="11">
        <f>IF(Y$3=0,"",SUMIFS(INDEX(Inputs!$D$4:$AG$150,0,MATCH(Y$2,Inputs!$D$2:$AG$2,0)),Inputs!$B$4:$B$150,$B22)/1000)</f>
        <v>2225</v>
      </c>
      <c r="Z22" s="11">
        <f>IF(Z$3=0,"",SUMIFS(INDEX(Inputs!$D$4:$AG$150,0,MATCH(Z$2,Inputs!$D$2:$AG$2,0)),Inputs!$B$4:$B$150,$B22)/1000)</f>
        <v>2299</v>
      </c>
      <c r="AA22" s="11">
        <f>IF(AA$3=0,"",SUMIFS(INDEX(Inputs!$D$4:$AG$150,0,MATCH(AA$2,Inputs!$D$2:$AG$2,0)),Inputs!$B$4:$B$150,$B22)/1000)</f>
        <v>2303</v>
      </c>
      <c r="AB22" s="12">
        <f>IF(AA22="","",AA22)</f>
        <v>2303</v>
      </c>
      <c r="AC22" s="11">
        <f>IF(AC$3=0,"",SUMIFS(INDEX(Inputs!$D$4:$AG$150,0,MATCH(AC$2,Inputs!$D$2:$AG$2,0)),Inputs!$B$4:$B$150,$B22)/1000)</f>
        <v>2349</v>
      </c>
      <c r="AD22" s="11">
        <f>IF(AD$3=0,"",SUMIFS(INDEX(Inputs!$D$4:$AG$150,0,MATCH(AD$2,Inputs!$D$2:$AG$2,0)),Inputs!$B$4:$B$150,$B22)/1000)</f>
        <v>2541</v>
      </c>
      <c r="AE22" s="11" t="str">
        <f>IF(AE$3=0,"",SUMIFS(INDEX(Inputs!$D$4:$AG$150,0,MATCH(AE$2,Inputs!$D$2:$AG$2,0)),Inputs!$B$4:$B$150,$B22)/1000)</f>
        <v/>
      </c>
      <c r="AF22" s="11" t="str">
        <f>IF(AF$3=0,"",SUMIFS(INDEX(Inputs!$D$4:$AG$150,0,MATCH(AF$2,Inputs!$D$2:$AG$2,0)),Inputs!$B$4:$B$150,$B22)/1000)</f>
        <v/>
      </c>
      <c r="AG22" s="12" t="str">
        <f>IF(AF22="","",AF22)</f>
        <v/>
      </c>
    </row>
    <row r="23">
      <c r="B23" s="9" t="n">
        <v>19</v>
      </c>
      <c r="C23" s="14" t="inlineStr">
        <is>
          <t>Right-of-use-assets</t>
        </is>
      </c>
      <c r="D23" s="11">
        <f>IF(D$3=0,"",SUMIFS(INDEX(Inputs!$D$4:$AG$150,0,MATCH(D$2,Inputs!$D$2:$AG$2,0)),Inputs!$B$4:$B$150,$B23)/1000)</f>
        <v>0</v>
      </c>
      <c r="E23" s="11">
        <f>IF(E$3=0,"",SUMIFS(INDEX(Inputs!$D$4:$AG$150,0,MATCH(E$2,Inputs!$D$2:$AG$2,0)),Inputs!$B$4:$B$150,$B23)/1000)</f>
        <v>0</v>
      </c>
      <c r="F23" s="11">
        <f>IF(F$3=0,"",SUMIFS(INDEX(Inputs!$D$4:$AG$150,0,MATCH(F$2,Inputs!$D$2:$AG$2,0)),Inputs!$B$4:$B$150,$B23)/1000)</f>
        <v>0</v>
      </c>
      <c r="G23" s="11">
        <f>IF(G$3=0,"",SUMIFS(INDEX(Inputs!$D$4:$AG$150,0,MATCH(G$2,Inputs!$D$2:$AG$2,0)),Inputs!$B$4:$B$150,$B23)/1000)</f>
        <v>0</v>
      </c>
      <c r="H23" s="12">
        <f>IF(G23="","",G23)</f>
        <v>0</v>
      </c>
      <c r="I23" s="11">
        <f>IF(I$3=0,"",SUMIFS(INDEX(Inputs!$D$4:$AG$150,0,MATCH(I$2,Inputs!$D$2:$AG$2,0)),Inputs!$B$4:$B$150,$B23)/1000)</f>
        <v>0</v>
      </c>
      <c r="J23" s="11">
        <f>IF(J$3=0,"",SUMIFS(INDEX(Inputs!$D$4:$AG$150,0,MATCH(J$2,Inputs!$D$2:$AG$2,0)),Inputs!$B$4:$B$150,$B23)/1000)</f>
        <v>0</v>
      </c>
      <c r="K23" s="11">
        <f>IF(K$3=0,"",SUMIFS(INDEX(Inputs!$D$4:$AG$150,0,MATCH(K$2,Inputs!$D$2:$AG$2,0)),Inputs!$B$4:$B$150,$B23)/1000)</f>
        <v>0</v>
      </c>
      <c r="L23" s="11">
        <f>IF(L$3=0,"",SUMIFS(INDEX(Inputs!$D$4:$AG$150,0,MATCH(L$2,Inputs!$D$2:$AG$2,0)),Inputs!$B$4:$B$150,$B23)/1000)</f>
        <v>0</v>
      </c>
      <c r="M23" s="12">
        <f>IF(L23="","",L23)</f>
        <v>0</v>
      </c>
      <c r="N23" s="11">
        <f>IF(N$3=0,"",SUMIFS(INDEX(Inputs!$D$4:$AG$150,0,MATCH(N$2,Inputs!$D$2:$AG$2,0)),Inputs!$B$4:$B$150,$B23)/1000)</f>
        <v>0</v>
      </c>
      <c r="O23" s="11">
        <f>IF(O$3=0,"",SUMIFS(INDEX(Inputs!$D$4:$AG$150,0,MATCH(O$2,Inputs!$D$2:$AG$2,0)),Inputs!$B$4:$B$150,$B23)/1000)</f>
        <v>0</v>
      </c>
      <c r="P23" s="11">
        <f>IF(P$3=0,"",SUMIFS(INDEX(Inputs!$D$4:$AG$150,0,MATCH(P$2,Inputs!$D$2:$AG$2,0)),Inputs!$B$4:$B$150,$B23)/1000)</f>
        <v>0</v>
      </c>
      <c r="Q23" s="11">
        <f>IF(Q$3=0,"",SUMIFS(INDEX(Inputs!$D$4:$AG$150,0,MATCH(Q$2,Inputs!$D$2:$AG$2,0)),Inputs!$B$4:$B$150,$B23)/1000)</f>
        <v>0</v>
      </c>
      <c r="R23" s="12">
        <f>IF(Q23="","",Q23)</f>
        <v>0</v>
      </c>
      <c r="S23" s="11">
        <f>IF(S$3=0,"",SUMIFS(INDEX(Inputs!$D$4:$AG$150,0,MATCH(S$2,Inputs!$D$2:$AG$2,0)),Inputs!$B$4:$B$150,$B23)/1000)</f>
        <v>0</v>
      </c>
      <c r="T23" s="11">
        <f>IF(T$3=0,"",SUMIFS(INDEX(Inputs!$D$4:$AG$150,0,MATCH(T$2,Inputs!$D$2:$AG$2,0)),Inputs!$B$4:$B$150,$B23)/1000)</f>
        <v>0</v>
      </c>
      <c r="U23" s="11">
        <f>IF(U$3=0,"",SUMIFS(INDEX(Inputs!$D$4:$AG$150,0,MATCH(U$2,Inputs!$D$2:$AG$2,0)),Inputs!$B$4:$B$150,$B23)/1000)</f>
        <v>0</v>
      </c>
      <c r="V23" s="11">
        <f>IF(V$3=0,"",SUMIFS(INDEX(Inputs!$D$4:$AG$150,0,MATCH(V$2,Inputs!$D$2:$AG$2,0)),Inputs!$B$4:$B$150,$B23)/1000)</f>
        <v>0</v>
      </c>
      <c r="W23" s="12">
        <f>IF(V23="","",V23)</f>
        <v>0</v>
      </c>
      <c r="X23" s="11">
        <f>IF(X$3=0,"",SUMIFS(INDEX(Inputs!$D$4:$AG$150,0,MATCH(X$2,Inputs!$D$2:$AG$2,0)),Inputs!$B$4:$B$150,$B23)/1000)</f>
        <v>0</v>
      </c>
      <c r="Y23" s="11">
        <f>IF(Y$3=0,"",SUMIFS(INDEX(Inputs!$D$4:$AG$150,0,MATCH(Y$2,Inputs!$D$2:$AG$2,0)),Inputs!$B$4:$B$150,$B23)/1000)</f>
        <v>0</v>
      </c>
      <c r="Z23" s="11">
        <f>IF(Z$3=0,"",SUMIFS(INDEX(Inputs!$D$4:$AG$150,0,MATCH(Z$2,Inputs!$D$2:$AG$2,0)),Inputs!$B$4:$B$150,$B23)/1000)</f>
        <v>0</v>
      </c>
      <c r="AA23" s="11">
        <f>IF(AA$3=0,"",SUMIFS(INDEX(Inputs!$D$4:$AG$150,0,MATCH(AA$2,Inputs!$D$2:$AG$2,0)),Inputs!$B$4:$B$150,$B23)/1000)</f>
        <v>0</v>
      </c>
      <c r="AB23" s="12">
        <f>IF(AA23="","",AA23)</f>
        <v>0</v>
      </c>
      <c r="AC23" s="11">
        <f>IF(AC$3=0,"",SUMIFS(INDEX(Inputs!$D$4:$AG$150,0,MATCH(AC$2,Inputs!$D$2:$AG$2,0)),Inputs!$B$4:$B$150,$B23)/1000)</f>
        <v>0</v>
      </c>
      <c r="AD23" s="11">
        <f>IF(AD$3=0,"",SUMIFS(INDEX(Inputs!$D$4:$AG$150,0,MATCH(AD$2,Inputs!$D$2:$AG$2,0)),Inputs!$B$4:$B$150,$B23)/1000)</f>
        <v>0</v>
      </c>
      <c r="AE23" s="11" t="str">
        <f>IF(AE$3=0,"",SUMIFS(INDEX(Inputs!$D$4:$AG$150,0,MATCH(AE$2,Inputs!$D$2:$AG$2,0)),Inputs!$B$4:$B$150,$B23)/1000)</f>
        <v/>
      </c>
      <c r="AF23" s="11" t="str">
        <f>IF(AF$3=0,"",SUMIFS(INDEX(Inputs!$D$4:$AG$150,0,MATCH(AF$2,Inputs!$D$2:$AG$2,0)),Inputs!$B$4:$B$150,$B23)/1000)</f>
        <v/>
      </c>
      <c r="AG23" s="12" t="str">
        <f>IF(AF23="","",AF23)</f>
        <v/>
      </c>
    </row>
    <row r="24">
      <c r="B24" s="9" t="n">
        <v>20</v>
      </c>
      <c r="C24" s="14" t="inlineStr">
        <is>
          <t>Goodwill</t>
        </is>
      </c>
      <c r="D24" s="11">
        <f>IF(D$3=0,"",SUMIFS(INDEX(Inputs!$D$4:$AG$150,0,MATCH(D$2,Inputs!$D$2:$AG$2,0)),Inputs!$B$4:$B$150,$B24)/1000)</f>
        <v>7051</v>
      </c>
      <c r="E24" s="11">
        <f>IF(E$3=0,"",SUMIFS(INDEX(Inputs!$D$4:$AG$150,0,MATCH(E$2,Inputs!$D$2:$AG$2,0)),Inputs!$B$4:$B$150,$B24)/1000)</f>
        <v>7661</v>
      </c>
      <c r="F24" s="11">
        <f>IF(F$3=0,"",SUMIFS(INDEX(Inputs!$D$4:$AG$150,0,MATCH(F$2,Inputs!$D$2:$AG$2,0)),Inputs!$B$4:$B$150,$B24)/1000)</f>
        <v>7569</v>
      </c>
      <c r="G24" s="11">
        <f>IF(G$3=0,"",SUMIFS(INDEX(Inputs!$D$4:$AG$150,0,MATCH(G$2,Inputs!$D$2:$AG$2,0)),Inputs!$B$4:$B$150,$B24)/1000)</f>
        <v>7662</v>
      </c>
      <c r="H24" s="12">
        <f>IF(G24="","",G24)</f>
        <v>7662</v>
      </c>
      <c r="I24" s="11">
        <f>IF(I$3=0,"",SUMIFS(INDEX(Inputs!$D$4:$AG$150,0,MATCH(I$2,Inputs!$D$2:$AG$2,0)),Inputs!$B$4:$B$150,$B24)/1000)</f>
        <v>7625</v>
      </c>
      <c r="J24" s="11">
        <f>IF(J$3=0,"",SUMIFS(INDEX(Inputs!$D$4:$AG$150,0,MATCH(J$2,Inputs!$D$2:$AG$2,0)),Inputs!$B$4:$B$150,$B24)/1000)</f>
        <v>7519</v>
      </c>
      <c r="K24" s="11">
        <f>IF(K$3=0,"",SUMIFS(INDEX(Inputs!$D$4:$AG$150,0,MATCH(K$2,Inputs!$D$2:$AG$2,0)),Inputs!$B$4:$B$150,$B24)/1000)</f>
        <v>7176</v>
      </c>
      <c r="L24" s="11">
        <f>IF(L$3=0,"",SUMIFS(INDEX(Inputs!$D$4:$AG$150,0,MATCH(L$2,Inputs!$D$2:$AG$2,0)),Inputs!$B$4:$B$150,$B24)/1000)</f>
        <v>7522</v>
      </c>
      <c r="M24" s="12">
        <f>IF(L24="","",L24)</f>
        <v>7522</v>
      </c>
      <c r="N24" s="11">
        <f>IF(N$3=0,"",SUMIFS(INDEX(Inputs!$D$4:$AG$150,0,MATCH(N$2,Inputs!$D$2:$AG$2,0)),Inputs!$B$4:$B$150,$B24)/1000)</f>
        <v>7575</v>
      </c>
      <c r="O24" s="11">
        <f>IF(O$3=0,"",SUMIFS(INDEX(Inputs!$D$4:$AG$150,0,MATCH(O$2,Inputs!$D$2:$AG$2,0)),Inputs!$B$4:$B$150,$B24)/1000)</f>
        <v>7579</v>
      </c>
      <c r="P24" s="11">
        <f>IF(P$3=0,"",SUMIFS(INDEX(Inputs!$D$4:$AG$150,0,MATCH(P$2,Inputs!$D$2:$AG$2,0)),Inputs!$B$4:$B$150,$B24)/1000)</f>
        <v>7488</v>
      </c>
      <c r="Q24" s="11">
        <f>IF(Q$3=0,"",SUMIFS(INDEX(Inputs!$D$4:$AG$150,0,MATCH(Q$2,Inputs!$D$2:$AG$2,0)),Inputs!$B$4:$B$150,$B24)/1000)</f>
        <v>7660</v>
      </c>
      <c r="R24" s="12">
        <f>IF(Q24="","",Q24)</f>
        <v>7660</v>
      </c>
      <c r="S24" s="11">
        <f>IF(S$3=0,"",SUMIFS(INDEX(Inputs!$D$4:$AG$150,0,MATCH(S$2,Inputs!$D$2:$AG$2,0)),Inputs!$B$4:$B$150,$B24)/1000)</f>
        <v>7545</v>
      </c>
      <c r="T24" s="11">
        <f>IF(T$3=0,"",SUMIFS(INDEX(Inputs!$D$4:$AG$150,0,MATCH(T$2,Inputs!$D$2:$AG$2,0)),Inputs!$B$4:$B$150,$B24)/1000)</f>
        <v>7563</v>
      </c>
      <c r="U24" s="11">
        <f>IF(U$3=0,"",SUMIFS(INDEX(Inputs!$D$4:$AG$150,0,MATCH(U$2,Inputs!$D$2:$AG$2,0)),Inputs!$B$4:$B$150,$B24)/1000)</f>
        <v>7721</v>
      </c>
      <c r="V24" s="11">
        <f>IF(V$3=0,"",SUMIFS(INDEX(Inputs!$D$4:$AG$150,0,MATCH(V$2,Inputs!$D$2:$AG$2,0)),Inputs!$B$4:$B$150,$B24)/1000)</f>
        <v>9193</v>
      </c>
      <c r="W24" s="12">
        <f>IF(V24="","",V24)</f>
        <v>9193</v>
      </c>
      <c r="X24" s="11">
        <f>IF(X$3=0,"",SUMIFS(INDEX(Inputs!$D$4:$AG$150,0,MATCH(X$2,Inputs!$D$2:$AG$2,0)),Inputs!$B$4:$B$150,$B24)/1000)</f>
        <v>9352</v>
      </c>
      <c r="Y24" s="11">
        <f>IF(Y$3=0,"",SUMIFS(INDEX(Inputs!$D$4:$AG$150,0,MATCH(Y$2,Inputs!$D$2:$AG$2,0)),Inputs!$B$4:$B$150,$B24)/1000)</f>
        <v>9598</v>
      </c>
      <c r="Z24" s="11">
        <f>IF(Z$3=0,"",SUMIFS(INDEX(Inputs!$D$4:$AG$150,0,MATCH(Z$2,Inputs!$D$2:$AG$2,0)),Inputs!$B$4:$B$150,$B24)/1000)</f>
        <v>9574</v>
      </c>
      <c r="AA24" s="11">
        <f>IF(AA$3=0,"",SUMIFS(INDEX(Inputs!$D$4:$AG$150,0,MATCH(AA$2,Inputs!$D$2:$AG$2,0)),Inputs!$B$4:$B$150,$B24)/1000)</f>
        <v>9560</v>
      </c>
      <c r="AB24" s="12">
        <f>IF(AA24="","",AA24)</f>
        <v>9560</v>
      </c>
      <c r="AC24" s="11">
        <f>IF(AC$3=0,"",SUMIFS(INDEX(Inputs!$D$4:$AG$150,0,MATCH(AC$2,Inputs!$D$2:$AG$2,0)),Inputs!$B$4:$B$150,$B24)/1000)</f>
        <v>9525</v>
      </c>
      <c r="AD24" s="11">
        <f>IF(AD$3=0,"",SUMIFS(INDEX(Inputs!$D$4:$AG$150,0,MATCH(AD$2,Inputs!$D$2:$AG$2,0)),Inputs!$B$4:$B$150,$B24)/1000)</f>
        <v>9498</v>
      </c>
      <c r="AE24" s="11" t="str">
        <f>IF(AE$3=0,"",SUMIFS(INDEX(Inputs!$D$4:$AG$150,0,MATCH(AE$2,Inputs!$D$2:$AG$2,0)),Inputs!$B$4:$B$150,$B24)/1000)</f>
        <v/>
      </c>
      <c r="AF24" s="11" t="str">
        <f>IF(AF$3=0,"",SUMIFS(INDEX(Inputs!$D$4:$AG$150,0,MATCH(AF$2,Inputs!$D$2:$AG$2,0)),Inputs!$B$4:$B$150,$B24)/1000)</f>
        <v/>
      </c>
      <c r="AG24" s="12" t="str">
        <f>IF(AF24="","",AF24)</f>
        <v/>
      </c>
    </row>
    <row r="25">
      <c r="B25" s="9" t="n">
        <v>21</v>
      </c>
      <c r="C25" s="14" t="inlineStr">
        <is>
          <t>Intangibles</t>
        </is>
      </c>
      <c r="D25" s="11">
        <f>IF(D$3=0,"",SUMIFS(INDEX(Inputs!$D$4:$AG$150,0,MATCH(D$2,Inputs!$D$2:$AG$2,0)),Inputs!$B$4:$B$150,$B25)/1000)</f>
        <v>3321</v>
      </c>
      <c r="E25" s="11">
        <f>IF(E$3=0,"",SUMIFS(INDEX(Inputs!$D$4:$AG$150,0,MATCH(E$2,Inputs!$D$2:$AG$2,0)),Inputs!$B$4:$B$150,$B25)/1000)</f>
        <v>3613</v>
      </c>
      <c r="F25" s="11">
        <f>IF(F$3=0,"",SUMIFS(INDEX(Inputs!$D$4:$AG$150,0,MATCH(F$2,Inputs!$D$2:$AG$2,0)),Inputs!$B$4:$B$150,$B25)/1000)</f>
        <v>3561</v>
      </c>
      <c r="G25" s="11">
        <f>IF(G$3=0,"",SUMIFS(INDEX(Inputs!$D$4:$AG$150,0,MATCH(G$2,Inputs!$D$2:$AG$2,0)),Inputs!$B$4:$B$150,$B25)/1000)</f>
        <v>3671</v>
      </c>
      <c r="H25" s="12">
        <f>IF(G25="","",G25)</f>
        <v>3671</v>
      </c>
      <c r="I25" s="11">
        <f>IF(I$3=0,"",SUMIFS(INDEX(Inputs!$D$4:$AG$150,0,MATCH(I$2,Inputs!$D$2:$AG$2,0)),Inputs!$B$4:$B$150,$B25)/1000)</f>
        <v>3675</v>
      </c>
      <c r="J25" s="11">
        <f>IF(J$3=0,"",SUMIFS(INDEX(Inputs!$D$4:$AG$150,0,MATCH(J$2,Inputs!$D$2:$AG$2,0)),Inputs!$B$4:$B$150,$B25)/1000)</f>
        <v>3676</v>
      </c>
      <c r="K25" s="11">
        <f>IF(K$3=0,"",SUMIFS(INDEX(Inputs!$D$4:$AG$150,0,MATCH(K$2,Inputs!$D$2:$AG$2,0)),Inputs!$B$4:$B$150,$B25)/1000)</f>
        <v>3582</v>
      </c>
      <c r="L25" s="11">
        <f>IF(L$3=0,"",SUMIFS(INDEX(Inputs!$D$4:$AG$150,0,MATCH(L$2,Inputs!$D$2:$AG$2,0)),Inputs!$B$4:$B$150,$B25)/1000)</f>
        <v>3859</v>
      </c>
      <c r="M25" s="12">
        <f>IF(L25="","",L25)</f>
        <v>3859</v>
      </c>
      <c r="N25" s="11">
        <f>IF(N$3=0,"",SUMIFS(INDEX(Inputs!$D$4:$AG$150,0,MATCH(N$2,Inputs!$D$2:$AG$2,0)),Inputs!$B$4:$B$150,$B25)/1000)</f>
        <v>4027</v>
      </c>
      <c r="O25" s="11">
        <f>IF(O$3=0,"",SUMIFS(INDEX(Inputs!$D$4:$AG$150,0,MATCH(O$2,Inputs!$D$2:$AG$2,0)),Inputs!$B$4:$B$150,$B25)/1000)</f>
        <v>4049</v>
      </c>
      <c r="P25" s="11">
        <f>IF(P$3=0,"",SUMIFS(INDEX(Inputs!$D$4:$AG$150,0,MATCH(P$2,Inputs!$D$2:$AG$2,0)),Inputs!$B$4:$B$150,$B25)/1000)</f>
        <v>4022</v>
      </c>
      <c r="Q25" s="11">
        <f>IF(Q$3=0,"",SUMIFS(INDEX(Inputs!$D$4:$AG$150,0,MATCH(Q$2,Inputs!$D$2:$AG$2,0)),Inputs!$B$4:$B$150,$B25)/1000)</f>
        <v>4086</v>
      </c>
      <c r="R25" s="12">
        <f>IF(Q25="","",Q25)</f>
        <v>4086</v>
      </c>
      <c r="S25" s="11">
        <f>IF(S$3=0,"",SUMIFS(INDEX(Inputs!$D$4:$AG$150,0,MATCH(S$2,Inputs!$D$2:$AG$2,0)),Inputs!$B$4:$B$150,$B25)/1000)</f>
        <v>4123</v>
      </c>
      <c r="T25" s="11">
        <f>IF(T$3=0,"",SUMIFS(INDEX(Inputs!$D$4:$AG$150,0,MATCH(T$2,Inputs!$D$2:$AG$2,0)),Inputs!$B$4:$B$150,$B25)/1000)</f>
        <v>4149</v>
      </c>
      <c r="U25" s="11">
        <f>IF(U$3=0,"",SUMIFS(INDEX(Inputs!$D$4:$AG$150,0,MATCH(U$2,Inputs!$D$2:$AG$2,0)),Inputs!$B$4:$B$150,$B25)/1000)</f>
        <v>4235</v>
      </c>
      <c r="V25" s="11">
        <f>IF(V$3=0,"",SUMIFS(INDEX(Inputs!$D$4:$AG$150,0,MATCH(V$2,Inputs!$D$2:$AG$2,0)),Inputs!$B$4:$B$150,$B25)/1000)</f>
        <v>5453</v>
      </c>
      <c r="W25" s="12">
        <f>IF(V25="","",V25)</f>
        <v>5453</v>
      </c>
      <c r="X25" s="11">
        <f>IF(X$3=0,"",SUMIFS(INDEX(Inputs!$D$4:$AG$150,0,MATCH(X$2,Inputs!$D$2:$AG$2,0)),Inputs!$B$4:$B$150,$B25)/1000)</f>
        <v>5533</v>
      </c>
      <c r="Y25" s="11">
        <f>IF(Y$3=0,"",SUMIFS(INDEX(Inputs!$D$4:$AG$150,0,MATCH(Y$2,Inputs!$D$2:$AG$2,0)),Inputs!$B$4:$B$150,$B25)/1000)</f>
        <v>5629</v>
      </c>
      <c r="Z25" s="11">
        <f>IF(Z$3=0,"",SUMIFS(INDEX(Inputs!$D$4:$AG$150,0,MATCH(Z$2,Inputs!$D$2:$AG$2,0)),Inputs!$B$4:$B$150,$B25)/1000)</f>
        <v>5591</v>
      </c>
      <c r="AA25" s="11">
        <f>IF(AA$3=0,"",SUMIFS(INDEX(Inputs!$D$4:$AG$150,0,MATCH(AA$2,Inputs!$D$2:$AG$2,0)),Inputs!$B$4:$B$150,$B25)/1000)</f>
        <v>5554</v>
      </c>
      <c r="AB25" s="12">
        <f>IF(AA25="","",AA25)</f>
        <v>5554</v>
      </c>
      <c r="AC25" s="11">
        <f>IF(AC$3=0,"",SUMIFS(INDEX(Inputs!$D$4:$AG$150,0,MATCH(AC$2,Inputs!$D$2:$AG$2,0)),Inputs!$B$4:$B$150,$B25)/1000)</f>
        <v>5495</v>
      </c>
      <c r="AD25" s="11">
        <f>IF(AD$3=0,"",SUMIFS(INDEX(Inputs!$D$4:$AG$150,0,MATCH(AD$2,Inputs!$D$2:$AG$2,0)),Inputs!$B$4:$B$150,$B25)/1000)</f>
        <v>5466</v>
      </c>
      <c r="AE25" s="11" t="str">
        <f>IF(AE$3=0,"",SUMIFS(INDEX(Inputs!$D$4:$AG$150,0,MATCH(AE$2,Inputs!$D$2:$AG$2,0)),Inputs!$B$4:$B$150,$B25)/1000)</f>
        <v/>
      </c>
      <c r="AF25" s="11" t="str">
        <f>IF(AF$3=0,"",SUMIFS(INDEX(Inputs!$D$4:$AG$150,0,MATCH(AF$2,Inputs!$D$2:$AG$2,0)),Inputs!$B$4:$B$150,$B25)/1000)</f>
        <v/>
      </c>
      <c r="AG25" s="12" t="str">
        <f>IF(AF25="","",AF25)</f>
        <v/>
      </c>
    </row>
    <row r="26">
      <c r="B26" s="9" t="n">
        <v>22</v>
      </c>
      <c r="C26" s="14" t="inlineStr">
        <is>
          <t>Other non-current assets</t>
        </is>
      </c>
      <c r="D26" s="11">
        <f>IF(D$3=0,"",SUMIFS(INDEX(Inputs!$D$4:$AG$150,0,MATCH(D$2,Inputs!$D$2:$AG$2,0)),Inputs!$B$4:$B$150,$B26)/1000)</f>
        <v>5714</v>
      </c>
      <c r="E26" s="11">
        <f>IF(E$3=0,"",SUMIFS(INDEX(Inputs!$D$4:$AG$150,0,MATCH(E$2,Inputs!$D$2:$AG$2,0)),Inputs!$B$4:$B$150,$B26)/1000)</f>
        <v>6265</v>
      </c>
      <c r="F26" s="11">
        <f>IF(F$3=0,"",SUMIFS(INDEX(Inputs!$D$4:$AG$150,0,MATCH(F$2,Inputs!$D$2:$AG$2,0)),Inputs!$B$4:$B$150,$B26)/1000)</f>
        <v>6567</v>
      </c>
      <c r="G26" s="11">
        <f>IF(G$3=0,"",SUMIFS(INDEX(Inputs!$D$4:$AG$150,0,MATCH(G$2,Inputs!$D$2:$AG$2,0)),Inputs!$B$4:$B$150,$B26)/1000)</f>
        <v>6994</v>
      </c>
      <c r="H26" s="12">
        <f>IF(G26="","",G26)</f>
        <v>6994</v>
      </c>
      <c r="I26" s="11">
        <f>IF(I$3=0,"",SUMIFS(INDEX(Inputs!$D$4:$AG$150,0,MATCH(I$2,Inputs!$D$2:$AG$2,0)),Inputs!$B$4:$B$150,$B26)/1000)</f>
        <v>7158</v>
      </c>
      <c r="J26" s="11">
        <f>IF(J$3=0,"",SUMIFS(INDEX(Inputs!$D$4:$AG$150,0,MATCH(J$2,Inputs!$D$2:$AG$2,0)),Inputs!$B$4:$B$150,$B26)/1000)</f>
        <v>6955</v>
      </c>
      <c r="K26" s="11">
        <f>IF(K$3=0,"",SUMIFS(INDEX(Inputs!$D$4:$AG$150,0,MATCH(K$2,Inputs!$D$2:$AG$2,0)),Inputs!$B$4:$B$150,$B26)/1000)</f>
        <v>7011</v>
      </c>
      <c r="L26" s="11">
        <f>IF(L$3=0,"",SUMIFS(INDEX(Inputs!$D$4:$AG$150,0,MATCH(L$2,Inputs!$D$2:$AG$2,0)),Inputs!$B$4:$B$150,$B26)/1000)</f>
        <v>7580</v>
      </c>
      <c r="M26" s="12">
        <f>IF(L26="","",L26)</f>
        <v>7580</v>
      </c>
      <c r="N26" s="11">
        <f>IF(N$3=0,"",SUMIFS(INDEX(Inputs!$D$4:$AG$150,0,MATCH(N$2,Inputs!$D$2:$AG$2,0)),Inputs!$B$4:$B$150,$B26)/1000)</f>
        <v>7641</v>
      </c>
      <c r="O26" s="11">
        <f>IF(O$3=0,"",SUMIFS(INDEX(Inputs!$D$4:$AG$150,0,MATCH(O$2,Inputs!$D$2:$AG$2,0)),Inputs!$B$4:$B$150,$B26)/1000)</f>
        <v>7739</v>
      </c>
      <c r="P26" s="11">
        <f>IF(P$3=0,"",SUMIFS(INDEX(Inputs!$D$4:$AG$150,0,MATCH(P$2,Inputs!$D$2:$AG$2,0)),Inputs!$B$4:$B$150,$B26)/1000)</f>
        <v>7839</v>
      </c>
      <c r="Q26" s="11">
        <f>IF(Q$3=0,"",SUMIFS(INDEX(Inputs!$D$4:$AG$150,0,MATCH(Q$2,Inputs!$D$2:$AG$2,0)),Inputs!$B$4:$B$150,$B26)/1000)</f>
        <v>8325</v>
      </c>
      <c r="R26" s="12">
        <f>IF(Q26="","",Q26)</f>
        <v>8325</v>
      </c>
      <c r="S26" s="11">
        <f>IF(S$3=0,"",SUMIFS(INDEX(Inputs!$D$4:$AG$150,0,MATCH(S$2,Inputs!$D$2:$AG$2,0)),Inputs!$B$4:$B$150,$B26)/1000)</f>
        <v>9104</v>
      </c>
      <c r="T26" s="11">
        <f>IF(T$3=0,"",SUMIFS(INDEX(Inputs!$D$4:$AG$150,0,MATCH(T$2,Inputs!$D$2:$AG$2,0)),Inputs!$B$4:$B$150,$B26)/1000)</f>
        <v>9270</v>
      </c>
      <c r="U26" s="11">
        <f>IF(U$3=0,"",SUMIFS(INDEX(Inputs!$D$4:$AG$150,0,MATCH(U$2,Inputs!$D$2:$AG$2,0)),Inputs!$B$4:$B$150,$B26)/1000)</f>
        <v>9193</v>
      </c>
      <c r="V26" s="11">
        <f>IF(V$3=0,"",SUMIFS(INDEX(Inputs!$D$4:$AG$150,0,MATCH(V$2,Inputs!$D$2:$AG$2,0)),Inputs!$B$4:$B$150,$B26)/1000)</f>
        <v>9959</v>
      </c>
      <c r="W26" s="12">
        <f>IF(V26="","",V26)</f>
        <v>9959</v>
      </c>
      <c r="X26" s="11">
        <f>IF(X$3=0,"",SUMIFS(INDEX(Inputs!$D$4:$AG$150,0,MATCH(X$2,Inputs!$D$2:$AG$2,0)),Inputs!$B$4:$B$150,$B26)/1000)</f>
        <v>10035</v>
      </c>
      <c r="Y26" s="11">
        <f>IF(Y$3=0,"",SUMIFS(INDEX(Inputs!$D$4:$AG$150,0,MATCH(Y$2,Inputs!$D$2:$AG$2,0)),Inputs!$B$4:$B$150,$B26)/1000)</f>
        <v>10269</v>
      </c>
      <c r="Z26" s="11">
        <f>IF(Z$3=0,"",SUMIFS(INDEX(Inputs!$D$4:$AG$150,0,MATCH(Z$2,Inputs!$D$2:$AG$2,0)),Inputs!$B$4:$B$150,$B26)/1000)</f>
        <v>11056</v>
      </c>
      <c r="AA26" s="11">
        <f>IF(AA$3=0,"",SUMIFS(INDEX(Inputs!$D$4:$AG$150,0,MATCH(AA$2,Inputs!$D$2:$AG$2,0)),Inputs!$B$4:$B$150,$B26)/1000)</f>
        <v>11615</v>
      </c>
      <c r="AB26" s="12">
        <f>IF(AA26="","",AA26)</f>
        <v>11615</v>
      </c>
      <c r="AC26" s="11">
        <f>IF(AC$3=0,"",SUMIFS(INDEX(Inputs!$D$4:$AG$150,0,MATCH(AC$2,Inputs!$D$2:$AG$2,0)),Inputs!$B$4:$B$150,$B26)/1000)</f>
        <v>11186</v>
      </c>
      <c r="AD26" s="11">
        <f>IF(AD$3=0,"",SUMIFS(INDEX(Inputs!$D$4:$AG$150,0,MATCH(AD$2,Inputs!$D$2:$AG$2,0)),Inputs!$B$4:$B$150,$B26)/1000)</f>
        <v>12223</v>
      </c>
      <c r="AE26" s="11" t="str">
        <f>IF(AE$3=0,"",SUMIFS(INDEX(Inputs!$D$4:$AG$150,0,MATCH(AE$2,Inputs!$D$2:$AG$2,0)),Inputs!$B$4:$B$150,$B26)/1000)</f>
        <v/>
      </c>
      <c r="AF26" s="11" t="str">
        <f>IF(AF$3=0,"",SUMIFS(INDEX(Inputs!$D$4:$AG$150,0,MATCH(AF$2,Inputs!$D$2:$AG$2,0)),Inputs!$B$4:$B$150,$B26)/1000)</f>
        <v/>
      </c>
      <c r="AG26" s="12" t="str">
        <f>IF(AF26="","",AF26)</f>
        <v/>
      </c>
    </row>
    <row r="27">
      <c r="C27" s="3" t="n"/>
    </row>
    <row r="28">
      <c r="B28" s="9" t="n">
        <v>23</v>
      </c>
      <c r="C28" s="14" t="inlineStr">
        <is>
          <t>Accounts payable</t>
        </is>
      </c>
      <c r="D28" s="11">
        <f>IF(D$3=0,"",SUMIFS(INDEX(Inputs!$D$4:$AG$150,0,MATCH(D$2,Inputs!$D$2:$AG$2,0)),Inputs!$B$4:$B$150,$B28)/1000)</f>
        <v>476</v>
      </c>
      <c r="E28" s="11">
        <f>IF(E$3=0,"",SUMIFS(INDEX(Inputs!$D$4:$AG$150,0,MATCH(E$2,Inputs!$D$2:$AG$2,0)),Inputs!$B$4:$B$150,$B28)/1000)</f>
        <v>547</v>
      </c>
      <c r="F28" s="11">
        <f>IF(F$3=0,"",SUMIFS(INDEX(Inputs!$D$4:$AG$150,0,MATCH(F$2,Inputs!$D$2:$AG$2,0)),Inputs!$B$4:$B$150,$B28)/1000)</f>
        <v>557</v>
      </c>
      <c r="G28" s="11">
        <f>IF(G$3=0,"",SUMIFS(INDEX(Inputs!$D$4:$AG$150,0,MATCH(G$2,Inputs!$D$2:$AG$2,0)),Inputs!$B$4:$B$150,$B28)/1000)</f>
        <v>738</v>
      </c>
      <c r="H28" s="12">
        <f>IF(G28="","",G28)</f>
        <v>738</v>
      </c>
      <c r="I28" s="11">
        <f>IF(I$3=0,"",SUMIFS(INDEX(Inputs!$D$4:$AG$150,0,MATCH(I$2,Inputs!$D$2:$AG$2,0)),Inputs!$B$4:$B$150,$B28)/1000)</f>
        <v>666</v>
      </c>
      <c r="J28" s="11">
        <f>IF(J$3=0,"",SUMIFS(INDEX(Inputs!$D$4:$AG$150,0,MATCH(J$2,Inputs!$D$2:$AG$2,0)),Inputs!$B$4:$B$150,$B28)/1000)</f>
        <v>633</v>
      </c>
      <c r="K28" s="11">
        <f>IF(K$3=0,"",SUMIFS(INDEX(Inputs!$D$4:$AG$150,0,MATCH(K$2,Inputs!$D$2:$AG$2,0)),Inputs!$B$4:$B$150,$B28)/1000)</f>
        <v>615</v>
      </c>
      <c r="L28" s="11">
        <f>IF(L$3=0,"",SUMIFS(INDEX(Inputs!$D$4:$AG$150,0,MATCH(L$2,Inputs!$D$2:$AG$2,0)),Inputs!$B$4:$B$150,$B28)/1000)</f>
        <v>926</v>
      </c>
      <c r="M28" s="12">
        <f>IF(L28="","",L28)</f>
        <v>926</v>
      </c>
      <c r="N28" s="11">
        <f>IF(N$3=0,"",SUMIFS(INDEX(Inputs!$D$4:$AG$150,0,MATCH(N$2,Inputs!$D$2:$AG$2,0)),Inputs!$B$4:$B$150,$B28)/1000)</f>
        <v>735</v>
      </c>
      <c r="O28" s="11">
        <f>IF(O$3=0,"",SUMIFS(INDEX(Inputs!$D$4:$AG$150,0,MATCH(O$2,Inputs!$D$2:$AG$2,0)),Inputs!$B$4:$B$150,$B28)/1000)</f>
        <v>643</v>
      </c>
      <c r="P28" s="11">
        <f>IF(P$3=0,"",SUMIFS(INDEX(Inputs!$D$4:$AG$150,0,MATCH(P$2,Inputs!$D$2:$AG$2,0)),Inputs!$B$4:$B$150,$B28)/1000)</f>
        <v>589</v>
      </c>
      <c r="Q28" s="11">
        <f>IF(Q$3=0,"",SUMIFS(INDEX(Inputs!$D$4:$AG$150,0,MATCH(Q$2,Inputs!$D$2:$AG$2,0)),Inputs!$B$4:$B$150,$B28)/1000)</f>
        <v>834</v>
      </c>
      <c r="R28" s="12">
        <f>IF(Q28="","",Q28)</f>
        <v>834</v>
      </c>
      <c r="S28" s="11">
        <f>IF(S$3=0,"",SUMIFS(INDEX(Inputs!$D$4:$AG$150,0,MATCH(S$2,Inputs!$D$2:$AG$2,0)),Inputs!$B$4:$B$150,$B28)/1000)</f>
        <v>790</v>
      </c>
      <c r="T28" s="11">
        <f>IF(T$3=0,"",SUMIFS(INDEX(Inputs!$D$4:$AG$150,0,MATCH(T$2,Inputs!$D$2:$AG$2,0)),Inputs!$B$4:$B$150,$B28)/1000)</f>
        <v>835</v>
      </c>
      <c r="U28" s="11">
        <f>IF(U$3=0,"",SUMIFS(INDEX(Inputs!$D$4:$AG$150,0,MATCH(U$2,Inputs!$D$2:$AG$2,0)),Inputs!$B$4:$B$150,$B28)/1000)</f>
        <v>911</v>
      </c>
      <c r="V28" s="11">
        <f>IF(V$3=0,"",SUMIFS(INDEX(Inputs!$D$4:$AG$150,0,MATCH(V$2,Inputs!$D$2:$AG$2,0)),Inputs!$B$4:$B$150,$B28)/1000)</f>
        <v>929</v>
      </c>
      <c r="W28" s="12">
        <f>IF(V28="","",V28)</f>
        <v>929</v>
      </c>
      <c r="X28" s="11">
        <f>IF(X$3=0,"",SUMIFS(INDEX(Inputs!$D$4:$AG$150,0,MATCH(X$2,Inputs!$D$2:$AG$2,0)),Inputs!$B$4:$B$150,$B28)/1000)</f>
        <v>993</v>
      </c>
      <c r="Y28" s="11">
        <f>IF(Y$3=0,"",SUMIFS(INDEX(Inputs!$D$4:$AG$150,0,MATCH(Y$2,Inputs!$D$2:$AG$2,0)),Inputs!$B$4:$B$150,$B28)/1000)</f>
        <v>818</v>
      </c>
      <c r="Z28" s="11">
        <f>IF(Z$3=0,"",SUMIFS(INDEX(Inputs!$D$4:$AG$150,0,MATCH(Z$2,Inputs!$D$2:$AG$2,0)),Inputs!$B$4:$B$150,$B28)/1000)</f>
        <v>935</v>
      </c>
      <c r="AA28" s="11">
        <f>IF(AA$3=0,"",SUMIFS(INDEX(Inputs!$D$4:$AG$150,0,MATCH(AA$2,Inputs!$D$2:$AG$2,0)),Inputs!$B$4:$B$150,$B28)/1000)</f>
        <v>999</v>
      </c>
      <c r="AB28" s="12">
        <f>IF(AA28="","",AA28)</f>
        <v>999</v>
      </c>
      <c r="AC28" s="11">
        <f>IF(AC$3=0,"",SUMIFS(INDEX(Inputs!$D$4:$AG$150,0,MATCH(AC$2,Inputs!$D$2:$AG$2,0)),Inputs!$B$4:$B$150,$B28)/1000)</f>
        <v>1030</v>
      </c>
      <c r="AD28" s="11">
        <f>IF(AD$3=0,"",SUMIFS(INDEX(Inputs!$D$4:$AG$150,0,MATCH(AD$2,Inputs!$D$2:$AG$2,0)),Inputs!$B$4:$B$150,$B28)/1000)</f>
        <v>1130</v>
      </c>
      <c r="AE28" s="11" t="str">
        <f>IF(AE$3=0,"",SUMIFS(INDEX(Inputs!$D$4:$AG$150,0,MATCH(AE$2,Inputs!$D$2:$AG$2,0)),Inputs!$B$4:$B$150,$B28)/1000)</f>
        <v/>
      </c>
      <c r="AF28" s="11" t="str">
        <f>IF(AF$3=0,"",SUMIFS(INDEX(Inputs!$D$4:$AG$150,0,MATCH(AF$2,Inputs!$D$2:$AG$2,0)),Inputs!$B$4:$B$150,$B28)/1000)</f>
        <v/>
      </c>
      <c r="AG28" s="12" t="str">
        <f>IF(AF28="","",AF28)</f>
        <v/>
      </c>
    </row>
    <row r="29">
      <c r="B29" s="9" t="n">
        <v>24</v>
      </c>
      <c r="C29" s="14" t="inlineStr">
        <is>
          <t>Accrued expenses</t>
        </is>
      </c>
      <c r="D29" s="11">
        <f>IF(D$3=0,"",SUMIFS(INDEX(Inputs!$D$4:$AG$150,0,MATCH(D$2,Inputs!$D$2:$AG$2,0)),Inputs!$B$4:$B$150,$B29)/1000)</f>
        <v>5200</v>
      </c>
      <c r="E29" s="11">
        <f>IF(E$3=0,"",SUMIFS(INDEX(Inputs!$D$4:$AG$150,0,MATCH(E$2,Inputs!$D$2:$AG$2,0)),Inputs!$B$4:$B$150,$B29)/1000)</f>
        <v>5564</v>
      </c>
      <c r="F29" s="11">
        <f>IF(F$3=0,"",SUMIFS(INDEX(Inputs!$D$4:$AG$150,0,MATCH(F$2,Inputs!$D$2:$AG$2,0)),Inputs!$B$4:$B$150,$B29)/1000)</f>
        <v>5964</v>
      </c>
      <c r="G29" s="11">
        <f>IF(G$3=0,"",SUMIFS(INDEX(Inputs!$D$4:$AG$150,0,MATCH(G$2,Inputs!$D$2:$AG$2,0)),Inputs!$B$4:$B$150,$B29)/1000)</f>
        <v>6642</v>
      </c>
      <c r="H29" s="12">
        <f>IF(G29="","",G29)</f>
        <v>6642</v>
      </c>
      <c r="I29" s="11">
        <f>IF(I$3=0,"",SUMIFS(INDEX(Inputs!$D$4:$AG$150,0,MATCH(I$2,Inputs!$D$2:$AG$2,0)),Inputs!$B$4:$B$150,$B29)/1000)</f>
        <v>5954</v>
      </c>
      <c r="J29" s="11">
        <f>IF(J$3=0,"",SUMIFS(INDEX(Inputs!$D$4:$AG$150,0,MATCH(J$2,Inputs!$D$2:$AG$2,0)),Inputs!$B$4:$B$150,$B29)/1000)</f>
        <v>6111</v>
      </c>
      <c r="K29" s="11">
        <f>IF(K$3=0,"",SUMIFS(INDEX(Inputs!$D$4:$AG$150,0,MATCH(K$2,Inputs!$D$2:$AG$2,0)),Inputs!$B$4:$B$150,$B29)/1000)</f>
        <v>6888</v>
      </c>
      <c r="L29" s="11">
        <f>IF(L$3=0,"",SUMIFS(INDEX(Inputs!$D$4:$AG$150,0,MATCH(L$2,Inputs!$D$2:$AG$2,0)),Inputs!$B$4:$B$150,$B29)/1000)</f>
        <v>7801</v>
      </c>
      <c r="M29" s="12">
        <f>IF(L29="","",L29)</f>
        <v>7801</v>
      </c>
      <c r="N29" s="11">
        <f>IF(N$3=0,"",SUMIFS(INDEX(Inputs!$D$4:$AG$150,0,MATCH(N$2,Inputs!$D$2:$AG$2,0)),Inputs!$B$4:$B$150,$B29)/1000)</f>
        <v>7310</v>
      </c>
      <c r="O29" s="11">
        <f>IF(O$3=0,"",SUMIFS(INDEX(Inputs!$D$4:$AG$150,0,MATCH(O$2,Inputs!$D$2:$AG$2,0)),Inputs!$B$4:$B$150,$B29)/1000)</f>
        <v>7117</v>
      </c>
      <c r="P29" s="11">
        <f>IF(P$3=0,"",SUMIFS(INDEX(Inputs!$D$4:$AG$150,0,MATCH(P$2,Inputs!$D$2:$AG$2,0)),Inputs!$B$4:$B$150,$B29)/1000)</f>
        <v>7775</v>
      </c>
      <c r="Q29" s="11">
        <f>IF(Q$3=0,"",SUMIFS(INDEX(Inputs!$D$4:$AG$150,0,MATCH(Q$2,Inputs!$D$2:$AG$2,0)),Inputs!$B$4:$B$150,$B29)/1000)</f>
        <v>8517</v>
      </c>
      <c r="R29" s="12">
        <f>IF(Q29="","",Q29)</f>
        <v>8517</v>
      </c>
      <c r="S29" s="11">
        <f>IF(S$3=0,"",SUMIFS(INDEX(Inputs!$D$4:$AG$150,0,MATCH(S$2,Inputs!$D$2:$AG$2,0)),Inputs!$B$4:$B$150,$B29)/1000)</f>
        <v>8062</v>
      </c>
      <c r="T29" s="11">
        <f>IF(T$3=0,"",SUMIFS(INDEX(Inputs!$D$4:$AG$150,0,MATCH(T$2,Inputs!$D$2:$AG$2,0)),Inputs!$B$4:$B$150,$B29)/1000)</f>
        <v>8007</v>
      </c>
      <c r="U29" s="11">
        <f>IF(U$3=0,"",SUMIFS(INDEX(Inputs!$D$4:$AG$150,0,MATCH(U$2,Inputs!$D$2:$AG$2,0)),Inputs!$B$4:$B$150,$B29)/1000)</f>
        <v>9105</v>
      </c>
      <c r="V29" s="11">
        <f>IF(V$3=0,"",SUMIFS(INDEX(Inputs!$D$4:$AG$150,0,MATCH(V$2,Inputs!$D$2:$AG$2,0)),Inputs!$B$4:$B$150,$B29)/1000)</f>
        <v>10393</v>
      </c>
      <c r="W29" s="12">
        <f>IF(V29="","",V29)</f>
        <v>10393</v>
      </c>
      <c r="X29" s="11">
        <f>IF(X$3=0,"",SUMIFS(INDEX(Inputs!$D$4:$AG$150,0,MATCH(X$2,Inputs!$D$2:$AG$2,0)),Inputs!$B$4:$B$150,$B29)/1000)</f>
        <v>9263</v>
      </c>
      <c r="Y29" s="11">
        <f>IF(Y$3=0,"",SUMIFS(INDEX(Inputs!$D$4:$AG$150,0,MATCH(Y$2,Inputs!$D$2:$AG$2,0)),Inputs!$B$4:$B$150,$B29)/1000)</f>
        <v>10116</v>
      </c>
      <c r="Z29" s="11">
        <f>IF(Z$3=0,"",SUMIFS(INDEX(Inputs!$D$4:$AG$150,0,MATCH(Z$2,Inputs!$D$2:$AG$2,0)),Inputs!$B$4:$B$150,$B29)/1000)</f>
        <v>11979</v>
      </c>
      <c r="AA29" s="11">
        <f>IF(AA$3=0,"",SUMIFS(INDEX(Inputs!$D$4:$AG$150,0,MATCH(AA$2,Inputs!$D$2:$AG$2,0)),Inputs!$B$4:$B$150,$B29)/1000)</f>
        <v>13272</v>
      </c>
      <c r="AB29" s="12">
        <f>IF(AA29="","",AA29)</f>
        <v>13272</v>
      </c>
      <c r="AC29" s="11">
        <f>IF(AC$3=0,"",SUMIFS(INDEX(Inputs!$D$4:$AG$150,0,MATCH(AC$2,Inputs!$D$2:$AG$2,0)),Inputs!$B$4:$B$150,$B29)/1000)</f>
        <v>12327</v>
      </c>
      <c r="AD29" s="11">
        <f>IF(AD$3=0,"",SUMIFS(INDEX(Inputs!$D$4:$AG$150,0,MATCH(AD$2,Inputs!$D$2:$AG$2,0)),Inputs!$B$4:$B$150,$B29)/1000)</f>
        <v>13027</v>
      </c>
      <c r="AE29" s="11" t="str">
        <f>IF(AE$3=0,"",SUMIFS(INDEX(Inputs!$D$4:$AG$150,0,MATCH(AE$2,Inputs!$D$2:$AG$2,0)),Inputs!$B$4:$B$150,$B29)/1000)</f>
        <v/>
      </c>
      <c r="AF29" s="11" t="str">
        <f>IF(AF$3=0,"",SUMIFS(INDEX(Inputs!$D$4:$AG$150,0,MATCH(AF$2,Inputs!$D$2:$AG$2,0)),Inputs!$B$4:$B$150,$B29)/1000)</f>
        <v/>
      </c>
      <c r="AG29" s="12" t="str">
        <f>IF(AF29="","",AF29)</f>
        <v/>
      </c>
    </row>
    <row r="30">
      <c r="B30" s="9" t="n">
        <v>25</v>
      </c>
      <c r="C30" s="14" t="inlineStr">
        <is>
          <t>Taxes payable</t>
        </is>
      </c>
      <c r="D30" s="11">
        <f>IF(D$3=0,"",SUMIFS(INDEX(Inputs!$D$4:$AG$150,0,MATCH(D$2,Inputs!$D$2:$AG$2,0)),Inputs!$B$4:$B$150,$B30)/1000)</f>
        <v>0</v>
      </c>
      <c r="E30" s="11">
        <f>IF(E$3=0,"",SUMIFS(INDEX(Inputs!$D$4:$AG$150,0,MATCH(E$2,Inputs!$D$2:$AG$2,0)),Inputs!$B$4:$B$150,$B30)/1000)</f>
        <v>0</v>
      </c>
      <c r="F30" s="11">
        <f>IF(F$3=0,"",SUMIFS(INDEX(Inputs!$D$4:$AG$150,0,MATCH(F$2,Inputs!$D$2:$AG$2,0)),Inputs!$B$4:$B$150,$B30)/1000)</f>
        <v>0</v>
      </c>
      <c r="G30" s="11">
        <f>IF(G$3=0,"",SUMIFS(INDEX(Inputs!$D$4:$AG$150,0,MATCH(G$2,Inputs!$D$2:$AG$2,0)),Inputs!$B$4:$B$150,$B30)/1000)</f>
        <v>0</v>
      </c>
      <c r="H30" s="12">
        <f>IF(G30="","",G30)</f>
        <v>0</v>
      </c>
      <c r="I30" s="11">
        <f>IF(I$3=0,"",SUMIFS(INDEX(Inputs!$D$4:$AG$150,0,MATCH(I$2,Inputs!$D$2:$AG$2,0)),Inputs!$B$4:$B$150,$B30)/1000)</f>
        <v>0</v>
      </c>
      <c r="J30" s="11">
        <f>IF(J$3=0,"",SUMIFS(INDEX(Inputs!$D$4:$AG$150,0,MATCH(J$2,Inputs!$D$2:$AG$2,0)),Inputs!$B$4:$B$150,$B30)/1000)</f>
        <v>0</v>
      </c>
      <c r="K30" s="11">
        <f>IF(K$3=0,"",SUMIFS(INDEX(Inputs!$D$4:$AG$150,0,MATCH(K$2,Inputs!$D$2:$AG$2,0)),Inputs!$B$4:$B$150,$B30)/1000)</f>
        <v>0</v>
      </c>
      <c r="L30" s="11">
        <f>IF(L$3=0,"",SUMIFS(INDEX(Inputs!$D$4:$AG$150,0,MATCH(L$2,Inputs!$D$2:$AG$2,0)),Inputs!$B$4:$B$150,$B30)/1000)</f>
        <v>0</v>
      </c>
      <c r="M30" s="12">
        <f>IF(L30="","",L30)</f>
        <v>0</v>
      </c>
      <c r="N30" s="11">
        <f>IF(N$3=0,"",SUMIFS(INDEX(Inputs!$D$4:$AG$150,0,MATCH(N$2,Inputs!$D$2:$AG$2,0)),Inputs!$B$4:$B$150,$B30)/1000)</f>
        <v>0</v>
      </c>
      <c r="O30" s="11">
        <f>IF(O$3=0,"",SUMIFS(INDEX(Inputs!$D$4:$AG$150,0,MATCH(O$2,Inputs!$D$2:$AG$2,0)),Inputs!$B$4:$B$150,$B30)/1000)</f>
        <v>0</v>
      </c>
      <c r="P30" s="11">
        <f>IF(P$3=0,"",SUMIFS(INDEX(Inputs!$D$4:$AG$150,0,MATCH(P$2,Inputs!$D$2:$AG$2,0)),Inputs!$B$4:$B$150,$B30)/1000)</f>
        <v>0</v>
      </c>
      <c r="Q30" s="11">
        <f>IF(Q$3=0,"",SUMIFS(INDEX(Inputs!$D$4:$AG$150,0,MATCH(Q$2,Inputs!$D$2:$AG$2,0)),Inputs!$B$4:$B$150,$B30)/1000)</f>
        <v>0</v>
      </c>
      <c r="R30" s="12">
        <f>IF(Q30="","",Q30)</f>
        <v>0</v>
      </c>
      <c r="S30" s="11">
        <f>IF(S$3=0,"",SUMIFS(INDEX(Inputs!$D$4:$AG$150,0,MATCH(S$2,Inputs!$D$2:$AG$2,0)),Inputs!$B$4:$B$150,$B30)/1000)</f>
        <v>0</v>
      </c>
      <c r="T30" s="11">
        <f>IF(T$3=0,"",SUMIFS(INDEX(Inputs!$D$4:$AG$150,0,MATCH(T$2,Inputs!$D$2:$AG$2,0)),Inputs!$B$4:$B$150,$B30)/1000)</f>
        <v>0</v>
      </c>
      <c r="U30" s="11">
        <f>IF(U$3=0,"",SUMIFS(INDEX(Inputs!$D$4:$AG$150,0,MATCH(U$2,Inputs!$D$2:$AG$2,0)),Inputs!$B$4:$B$150,$B30)/1000)</f>
        <v>0</v>
      </c>
      <c r="V30" s="11">
        <f>IF(V$3=0,"",SUMIFS(INDEX(Inputs!$D$4:$AG$150,0,MATCH(V$2,Inputs!$D$2:$AG$2,0)),Inputs!$B$4:$B$150,$B30)/1000)</f>
        <v>0</v>
      </c>
      <c r="W30" s="12">
        <f>IF(V30="","",V30)</f>
        <v>0</v>
      </c>
      <c r="X30" s="11">
        <f>IF(X$3=0,"",SUMIFS(INDEX(Inputs!$D$4:$AG$150,0,MATCH(X$2,Inputs!$D$2:$AG$2,0)),Inputs!$B$4:$B$150,$B30)/1000)</f>
        <v>0</v>
      </c>
      <c r="Y30" s="11">
        <f>IF(Y$3=0,"",SUMIFS(INDEX(Inputs!$D$4:$AG$150,0,MATCH(Y$2,Inputs!$D$2:$AG$2,0)),Inputs!$B$4:$B$150,$B30)/1000)</f>
        <v>0</v>
      </c>
      <c r="Z30" s="11">
        <f>IF(Z$3=0,"",SUMIFS(INDEX(Inputs!$D$4:$AG$150,0,MATCH(Z$2,Inputs!$D$2:$AG$2,0)),Inputs!$B$4:$B$150,$B30)/1000)</f>
        <v>0</v>
      </c>
      <c r="AA30" s="11">
        <f>IF(AA$3=0,"",SUMIFS(INDEX(Inputs!$D$4:$AG$150,0,MATCH(AA$2,Inputs!$D$2:$AG$2,0)),Inputs!$B$4:$B$150,$B30)/1000)</f>
        <v>0</v>
      </c>
      <c r="AB30" s="12">
        <f>IF(AA30="","",AA30)</f>
        <v>0</v>
      </c>
      <c r="AC30" s="11">
        <f>IF(AC$3=0,"",SUMIFS(INDEX(Inputs!$D$4:$AG$150,0,MATCH(AC$2,Inputs!$D$2:$AG$2,0)),Inputs!$B$4:$B$150,$B30)/1000)</f>
        <v>0</v>
      </c>
      <c r="AD30" s="11">
        <f>IF(AD$3=0,"",SUMIFS(INDEX(Inputs!$D$4:$AG$150,0,MATCH(AD$2,Inputs!$D$2:$AG$2,0)),Inputs!$B$4:$B$150,$B30)/1000)</f>
        <v>0</v>
      </c>
      <c r="AE30" s="11" t="str">
        <f>IF(AE$3=0,"",SUMIFS(INDEX(Inputs!$D$4:$AG$150,0,MATCH(AE$2,Inputs!$D$2:$AG$2,0)),Inputs!$B$4:$B$150,$B30)/1000)</f>
        <v/>
      </c>
      <c r="AF30" s="11" t="str">
        <f>IF(AF$3=0,"",SUMIFS(INDEX(Inputs!$D$4:$AG$150,0,MATCH(AF$2,Inputs!$D$2:$AG$2,0)),Inputs!$B$4:$B$150,$B30)/1000)</f>
        <v/>
      </c>
      <c r="AG30" s="12" t="str">
        <f>IF(AF30="","",AF30)</f>
        <v/>
      </c>
    </row>
    <row r="31">
      <c r="B31" s="9" t="n">
        <v>26</v>
      </c>
      <c r="C31" s="14" t="inlineStr">
        <is>
          <t>Other current liabilities (non-debt)</t>
        </is>
      </c>
      <c r="D31" s="11">
        <f>IF(D$3=0,"",SUMIFS(INDEX(Inputs!$D$4:$AG$150,0,MATCH(D$2,Inputs!$D$2:$AG$2,0)),Inputs!$B$4:$B$150,$B31)/1000)</f>
        <v>5150</v>
      </c>
      <c r="E31" s="11">
        <f>IF(E$3=0,"",SUMIFS(INDEX(Inputs!$D$4:$AG$150,0,MATCH(E$2,Inputs!$D$2:$AG$2,0)),Inputs!$B$4:$B$150,$B31)/1000)</f>
        <v>4537</v>
      </c>
      <c r="F31" s="11">
        <f>IF(F$3=0,"",SUMIFS(INDEX(Inputs!$D$4:$AG$150,0,MATCH(F$2,Inputs!$D$2:$AG$2,0)),Inputs!$B$4:$B$150,$B31)/1000)</f>
        <v>4390</v>
      </c>
      <c r="G31" s="11">
        <f>IF(G$3=0,"",SUMIFS(INDEX(Inputs!$D$4:$AG$150,0,MATCH(G$2,Inputs!$D$2:$AG$2,0)),Inputs!$B$4:$B$150,$B31)/1000)</f>
        <v>4990</v>
      </c>
      <c r="H31" s="12">
        <f>IF(G31="","",G31)</f>
        <v>4990</v>
      </c>
      <c r="I31" s="11">
        <f>IF(I$3=0,"",SUMIFS(INDEX(Inputs!$D$4:$AG$150,0,MATCH(I$2,Inputs!$D$2:$AG$2,0)),Inputs!$B$4:$B$150,$B31)/1000)</f>
        <v>4530</v>
      </c>
      <c r="J31" s="11">
        <f>IF(J$3=0,"",SUMIFS(INDEX(Inputs!$D$4:$AG$150,0,MATCH(J$2,Inputs!$D$2:$AG$2,0)),Inputs!$B$4:$B$150,$B31)/1000)</f>
        <v>4606</v>
      </c>
      <c r="K31" s="11">
        <f>IF(K$3=0,"",SUMIFS(INDEX(Inputs!$D$4:$AG$150,0,MATCH(K$2,Inputs!$D$2:$AG$2,0)),Inputs!$B$4:$B$150,$B31)/1000)</f>
        <v>5016</v>
      </c>
      <c r="L31" s="11">
        <f>IF(L$3=0,"",SUMIFS(INDEX(Inputs!$D$4:$AG$150,0,MATCH(L$2,Inputs!$D$2:$AG$2,0)),Inputs!$B$4:$B$150,$B31)/1000)</f>
        <v>5170</v>
      </c>
      <c r="M31" s="12">
        <f>IF(L31="","",L31)</f>
        <v>5170</v>
      </c>
      <c r="N31" s="11">
        <f>IF(N$3=0,"",SUMIFS(INDEX(Inputs!$D$4:$AG$150,0,MATCH(N$2,Inputs!$D$2:$AG$2,0)),Inputs!$B$4:$B$150,$B31)/1000)</f>
        <v>5330</v>
      </c>
      <c r="O31" s="11">
        <f>IF(O$3=0,"",SUMIFS(INDEX(Inputs!$D$4:$AG$150,0,MATCH(O$2,Inputs!$D$2:$AG$2,0)),Inputs!$B$4:$B$150,$B31)/1000)</f>
        <v>5540</v>
      </c>
      <c r="P31" s="11">
        <f>IF(P$3=0,"",SUMIFS(INDEX(Inputs!$D$4:$AG$150,0,MATCH(P$2,Inputs!$D$2:$AG$2,0)),Inputs!$B$4:$B$150,$B31)/1000)</f>
        <v>4818</v>
      </c>
      <c r="Q31" s="11">
        <f>IF(Q$3=0,"",SUMIFS(INDEX(Inputs!$D$4:$AG$150,0,MATCH(Q$2,Inputs!$D$2:$AG$2,0)),Inputs!$B$4:$B$150,$B31)/1000)</f>
        <v>5576</v>
      </c>
      <c r="R31" s="12">
        <f>IF(Q31="","",Q31)</f>
        <v>5576</v>
      </c>
      <c r="S31" s="11">
        <f>IF(S$3=0,"",SUMIFS(INDEX(Inputs!$D$4:$AG$150,0,MATCH(S$2,Inputs!$D$2:$AG$2,0)),Inputs!$B$4:$B$150,$B31)/1000)</f>
        <v>5967</v>
      </c>
      <c r="T31" s="11">
        <f>IF(T$3=0,"",SUMIFS(INDEX(Inputs!$D$4:$AG$150,0,MATCH(T$2,Inputs!$D$2:$AG$2,0)),Inputs!$B$4:$B$150,$B31)/1000)</f>
        <v>5666</v>
      </c>
      <c r="U31" s="11">
        <f>IF(U$3=0,"",SUMIFS(INDEX(Inputs!$D$4:$AG$150,0,MATCH(U$2,Inputs!$D$2:$AG$2,0)),Inputs!$B$4:$B$150,$B31)/1000)</f>
        <v>6528</v>
      </c>
      <c r="V31" s="11">
        <f>IF(V$3=0,"",SUMIFS(INDEX(Inputs!$D$4:$AG$150,0,MATCH(V$2,Inputs!$D$2:$AG$2,0)),Inputs!$B$4:$B$150,$B31)/1000)</f>
        <v>7148</v>
      </c>
      <c r="W31" s="12">
        <f>IF(V31="","",V31)</f>
        <v>7148</v>
      </c>
      <c r="X31" s="11">
        <f>IF(X$3=0,"",SUMIFS(INDEX(Inputs!$D$4:$AG$150,0,MATCH(X$2,Inputs!$D$2:$AG$2,0)),Inputs!$B$4:$B$150,$B31)/1000)</f>
        <v>7572</v>
      </c>
      <c r="Y31" s="11">
        <f>IF(Y$3=0,"",SUMIFS(INDEX(Inputs!$D$4:$AG$150,0,MATCH(Y$2,Inputs!$D$2:$AG$2,0)),Inputs!$B$4:$B$150,$B31)/1000)</f>
        <v>8095</v>
      </c>
      <c r="Z31" s="11">
        <f>IF(Z$3=0,"",SUMIFS(INDEX(Inputs!$D$4:$AG$150,0,MATCH(Z$2,Inputs!$D$2:$AG$2,0)),Inputs!$B$4:$B$150,$B31)/1000)</f>
        <v>7779</v>
      </c>
      <c r="AA31" s="11">
        <f>IF(AA$3=0,"",SUMIFS(INDEX(Inputs!$D$4:$AG$150,0,MATCH(AA$2,Inputs!$D$2:$AG$2,0)),Inputs!$B$4:$B$150,$B31)/1000)</f>
        <v>7742</v>
      </c>
      <c r="AB31" s="12">
        <f>IF(AA31="","",AA31)</f>
        <v>7742</v>
      </c>
      <c r="AC31" s="11">
        <f>IF(AC$3=0,"",SUMIFS(INDEX(Inputs!$D$4:$AG$150,0,MATCH(AC$2,Inputs!$D$2:$AG$2,0)),Inputs!$B$4:$B$150,$B31)/1000)</f>
        <v>7829</v>
      </c>
      <c r="AD31" s="11">
        <f>IF(AD$3=0,"",SUMIFS(INDEX(Inputs!$D$4:$AG$150,0,MATCH(AD$2,Inputs!$D$2:$AG$2,0)),Inputs!$B$4:$B$150,$B31)/1000)</f>
        <v>8388</v>
      </c>
      <c r="AE31" s="11" t="str">
        <f>IF(AE$3=0,"",SUMIFS(INDEX(Inputs!$D$4:$AG$150,0,MATCH(AE$2,Inputs!$D$2:$AG$2,0)),Inputs!$B$4:$B$150,$B31)/1000)</f>
        <v/>
      </c>
      <c r="AF31" s="11" t="str">
        <f>IF(AF$3=0,"",SUMIFS(INDEX(Inputs!$D$4:$AG$150,0,MATCH(AF$2,Inputs!$D$2:$AG$2,0)),Inputs!$B$4:$B$150,$B31)/1000)</f>
        <v/>
      </c>
      <c r="AG31" s="12" t="str">
        <f>IF(AF31="","",AF31)</f>
        <v/>
      </c>
    </row>
    <row r="32">
      <c r="B32" s="9" t="n">
        <v>27</v>
      </c>
      <c r="C32" s="14" t="inlineStr">
        <is>
          <t>Current portion of long-term debt</t>
        </is>
      </c>
      <c r="D32" s="11">
        <f>IF(D$3=0,"",SUMIFS(INDEX(Inputs!$D$4:$AG$150,0,MATCH(D$2,Inputs!$D$2:$AG$2,0)),Inputs!$B$4:$B$150,$B32)/1000)</f>
        <v>649</v>
      </c>
      <c r="E32" s="11">
        <f>IF(E$3=0,"",SUMIFS(INDEX(Inputs!$D$4:$AG$150,0,MATCH(E$2,Inputs!$D$2:$AG$2,0)),Inputs!$B$4:$B$150,$B32)/1000)</f>
        <v>649</v>
      </c>
      <c r="F32" s="11">
        <f>IF(F$3=0,"",SUMIFS(INDEX(Inputs!$D$4:$AG$150,0,MATCH(F$2,Inputs!$D$2:$AG$2,0)),Inputs!$B$4:$B$150,$B32)/1000)</f>
        <v>650</v>
      </c>
      <c r="G32" s="11">
        <f>IF(G$3=0,"",SUMIFS(INDEX(Inputs!$D$4:$AG$150,0,MATCH(G$2,Inputs!$D$2:$AG$2,0)),Inputs!$B$4:$B$150,$B32)/1000)</f>
        <v>792</v>
      </c>
      <c r="H32" s="12">
        <f>IF(G32="","",G32)</f>
        <v>792</v>
      </c>
      <c r="I32" s="11">
        <f>IF(I$3=0,"",SUMIFS(INDEX(Inputs!$D$4:$AG$150,0,MATCH(I$2,Inputs!$D$2:$AG$2,0)),Inputs!$B$4:$B$150,$B32)/1000)</f>
        <v>778</v>
      </c>
      <c r="J32" s="11">
        <f>IF(J$3=0,"",SUMIFS(INDEX(Inputs!$D$4:$AG$150,0,MATCH(J$2,Inputs!$D$2:$AG$2,0)),Inputs!$B$4:$B$150,$B32)/1000)</f>
        <v>735</v>
      </c>
      <c r="K32" s="11">
        <f>IF(K$3=0,"",SUMIFS(INDEX(Inputs!$D$4:$AG$150,0,MATCH(K$2,Inputs!$D$2:$AG$2,0)),Inputs!$B$4:$B$150,$B32)/1000)</f>
        <v>957</v>
      </c>
      <c r="L32" s="11">
        <f>IF(L$3=0,"",SUMIFS(INDEX(Inputs!$D$4:$AG$150,0,MATCH(L$2,Inputs!$D$2:$AG$2,0)),Inputs!$B$4:$B$150,$B32)/1000)</f>
        <v>274</v>
      </c>
      <c r="M32" s="12">
        <f>IF(L32="","",L32)</f>
        <v>274</v>
      </c>
      <c r="N32" s="11">
        <f>IF(N$3=0,"",SUMIFS(INDEX(Inputs!$D$4:$AG$150,0,MATCH(N$2,Inputs!$D$2:$AG$2,0)),Inputs!$B$4:$B$150,$B32)/1000)</f>
        <v>276</v>
      </c>
      <c r="O32" s="11">
        <f>IF(O$3=0,"",SUMIFS(INDEX(Inputs!$D$4:$AG$150,0,MATCH(O$2,Inputs!$D$2:$AG$2,0)),Inputs!$B$4:$B$150,$B32)/1000)</f>
        <v>1336</v>
      </c>
      <c r="P32" s="11">
        <f>IF(P$3=0,"",SUMIFS(INDEX(Inputs!$D$4:$AG$150,0,MATCH(P$2,Inputs!$D$2:$AG$2,0)),Inputs!$B$4:$B$150,$B32)/1000)</f>
        <v>1337</v>
      </c>
      <c r="Q32" s="11">
        <f>IF(Q$3=0,"",SUMIFS(INDEX(Inputs!$D$4:$AG$150,0,MATCH(Q$2,Inputs!$D$2:$AG$2,0)),Inputs!$B$4:$B$150,$B32)/1000)</f>
        <v>1337</v>
      </c>
      <c r="R32" s="12">
        <f>IF(Q32="","",Q32)</f>
        <v>1337</v>
      </c>
      <c r="S32" s="11">
        <f>IF(S$3=0,"",SUMIFS(INDEX(Inputs!$D$4:$AG$150,0,MATCH(S$2,Inputs!$D$2:$AG$2,0)),Inputs!$B$4:$B$150,$B32)/1000)</f>
        <v>2086</v>
      </c>
      <c r="T32" s="11">
        <f>IF(T$3=0,"",SUMIFS(INDEX(Inputs!$D$4:$AG$150,0,MATCH(T$2,Inputs!$D$2:$AG$2,0)),Inputs!$B$4:$B$150,$B32)/1000)</f>
        <v>1086</v>
      </c>
      <c r="U32" s="11">
        <f>IF(U$3=0,"",SUMIFS(INDEX(Inputs!$D$4:$AG$150,0,MATCH(U$2,Inputs!$D$2:$AG$2,0)),Inputs!$B$4:$B$150,$B32)/1000)</f>
        <v>750</v>
      </c>
      <c r="V32" s="11">
        <f>IF(V$3=0,"",SUMIFS(INDEX(Inputs!$D$4:$AG$150,0,MATCH(V$2,Inputs!$D$2:$AG$2,0)),Inputs!$B$4:$B$150,$B32)/1000)</f>
        <v>750</v>
      </c>
      <c r="W32" s="12">
        <f>IF(V32="","",V32)</f>
        <v>750</v>
      </c>
      <c r="X32" s="11">
        <f>IF(X$3=0,"",SUMIFS(INDEX(Inputs!$D$4:$AG$150,0,MATCH(X$2,Inputs!$D$2:$AG$2,0)),Inputs!$B$4:$B$150,$B32)/1000)</f>
        <v>0</v>
      </c>
      <c r="Y32" s="11">
        <f>IF(Y$3=0,"",SUMIFS(INDEX(Inputs!$D$4:$AG$150,0,MATCH(Y$2,Inputs!$D$2:$AG$2,0)),Inputs!$B$4:$B$150,$B32)/1000)</f>
        <v>0</v>
      </c>
      <c r="Z32" s="11">
        <f>IF(Z$3=0,"",SUMIFS(INDEX(Inputs!$D$4:$AG$150,0,MATCH(Z$2,Inputs!$D$2:$AG$2,0)),Inputs!$B$4:$B$150,$B32)/1000)</f>
        <v>0</v>
      </c>
      <c r="AA32" s="11">
        <f>IF(AA$3=0,"",SUMIFS(INDEX(Inputs!$D$4:$AG$150,0,MATCH(AA$2,Inputs!$D$2:$AG$2,0)),Inputs!$B$4:$B$150,$B32)/1000)</f>
        <v>749</v>
      </c>
      <c r="AB32" s="12">
        <f>IF(AA32="","",AA32)</f>
        <v>749</v>
      </c>
      <c r="AC32" s="11">
        <f>IF(AC$3=0,"",SUMIFS(INDEX(Inputs!$D$4:$AG$150,0,MATCH(AC$2,Inputs!$D$2:$AG$2,0)),Inputs!$B$4:$B$150,$B32)/1000)</f>
        <v>1748</v>
      </c>
      <c r="AD32" s="11">
        <f>IF(AD$3=0,"",SUMIFS(INDEX(Inputs!$D$4:$AG$150,0,MATCH(AD$2,Inputs!$D$2:$AG$2,0)),Inputs!$B$4:$B$150,$B32)/1000)</f>
        <v>2459</v>
      </c>
      <c r="AE32" s="11" t="str">
        <f>IF(AE$3=0,"",SUMIFS(INDEX(Inputs!$D$4:$AG$150,0,MATCH(AE$2,Inputs!$D$2:$AG$2,0)),Inputs!$B$4:$B$150,$B32)/1000)</f>
        <v/>
      </c>
      <c r="AF32" s="11" t="str">
        <f>IF(AF$3=0,"",SUMIFS(INDEX(Inputs!$D$4:$AG$150,0,MATCH(AF$2,Inputs!$D$2:$AG$2,0)),Inputs!$B$4:$B$150,$B32)/1000)</f>
        <v/>
      </c>
      <c r="AG32" s="12" t="str">
        <f>IF(AF32="","",AF32)</f>
        <v/>
      </c>
    </row>
    <row r="33">
      <c r="B33" s="9" t="n">
        <v>28</v>
      </c>
      <c r="C33" s="14" t="inlineStr">
        <is>
          <t>Short term debt (Revolving credit facility)</t>
        </is>
      </c>
      <c r="D33" s="11">
        <f>IF(D$3=0,"",SUMIFS(INDEX(Inputs!$D$4:$AG$150,0,MATCH(D$2,Inputs!$D$2:$AG$2,0)),Inputs!$B$4:$B$150,$B33)/1000)</f>
        <v>0</v>
      </c>
      <c r="E33" s="11">
        <f>IF(E$3=0,"",SUMIFS(INDEX(Inputs!$D$4:$AG$150,0,MATCH(E$2,Inputs!$D$2:$AG$2,0)),Inputs!$B$4:$B$150,$B33)/1000)</f>
        <v>0</v>
      </c>
      <c r="F33" s="11">
        <f>IF(F$3=0,"",SUMIFS(INDEX(Inputs!$D$4:$AG$150,0,MATCH(F$2,Inputs!$D$2:$AG$2,0)),Inputs!$B$4:$B$150,$B33)/1000)</f>
        <v>0</v>
      </c>
      <c r="G33" s="11">
        <f>IF(G$3=0,"",SUMIFS(INDEX(Inputs!$D$4:$AG$150,0,MATCH(G$2,Inputs!$D$2:$AG$2,0)),Inputs!$B$4:$B$150,$B33)/1000)</f>
        <v>0</v>
      </c>
      <c r="H33" s="12">
        <f>IF(G33="","",G33)</f>
        <v>0</v>
      </c>
      <c r="I33" s="11">
        <f>IF(I$3=0,"",SUMIFS(INDEX(Inputs!$D$4:$AG$150,0,MATCH(I$2,Inputs!$D$2:$AG$2,0)),Inputs!$B$4:$B$150,$B33)/1000)</f>
        <v>0</v>
      </c>
      <c r="J33" s="11">
        <f>IF(J$3=0,"",SUMIFS(INDEX(Inputs!$D$4:$AG$150,0,MATCH(J$2,Inputs!$D$2:$AG$2,0)),Inputs!$B$4:$B$150,$B33)/1000)</f>
        <v>0</v>
      </c>
      <c r="K33" s="11">
        <f>IF(K$3=0,"",SUMIFS(INDEX(Inputs!$D$4:$AG$150,0,MATCH(K$2,Inputs!$D$2:$AG$2,0)),Inputs!$B$4:$B$150,$B33)/1000)</f>
        <v>0</v>
      </c>
      <c r="L33" s="11">
        <f>IF(L$3=0,"",SUMIFS(INDEX(Inputs!$D$4:$AG$150,0,MATCH(L$2,Inputs!$D$2:$AG$2,0)),Inputs!$B$4:$B$150,$B33)/1000)</f>
        <v>0</v>
      </c>
      <c r="M33" s="12">
        <f>IF(L33="","",L33)</f>
        <v>0</v>
      </c>
      <c r="N33" s="11">
        <f>IF(N$3=0,"",SUMIFS(INDEX(Inputs!$D$4:$AG$150,0,MATCH(N$2,Inputs!$D$2:$AG$2,0)),Inputs!$B$4:$B$150,$B33)/1000)</f>
        <v>0</v>
      </c>
      <c r="O33" s="11">
        <f>IF(O$3=0,"",SUMIFS(INDEX(Inputs!$D$4:$AG$150,0,MATCH(O$2,Inputs!$D$2:$AG$2,0)),Inputs!$B$4:$B$150,$B33)/1000)</f>
        <v>0</v>
      </c>
      <c r="P33" s="11">
        <f>IF(P$3=0,"",SUMIFS(INDEX(Inputs!$D$4:$AG$150,0,MATCH(P$2,Inputs!$D$2:$AG$2,0)),Inputs!$B$4:$B$150,$B33)/1000)</f>
        <v>0</v>
      </c>
      <c r="Q33" s="11">
        <f>IF(Q$3=0,"",SUMIFS(INDEX(Inputs!$D$4:$AG$150,0,MATCH(Q$2,Inputs!$D$2:$AG$2,0)),Inputs!$B$4:$B$150,$B33)/1000)</f>
        <v>0</v>
      </c>
      <c r="R33" s="12">
        <f>IF(Q33="","",Q33)</f>
        <v>0</v>
      </c>
      <c r="S33" s="11">
        <f>IF(S$3=0,"",SUMIFS(INDEX(Inputs!$D$4:$AG$150,0,MATCH(S$2,Inputs!$D$2:$AG$2,0)),Inputs!$B$4:$B$150,$B33)/1000)</f>
        <v>0</v>
      </c>
      <c r="T33" s="11">
        <f>IF(T$3=0,"",SUMIFS(INDEX(Inputs!$D$4:$AG$150,0,MATCH(T$2,Inputs!$D$2:$AG$2,0)),Inputs!$B$4:$B$150,$B33)/1000)</f>
        <v>0</v>
      </c>
      <c r="U33" s="11">
        <f>IF(U$3=0,"",SUMIFS(INDEX(Inputs!$D$4:$AG$150,0,MATCH(U$2,Inputs!$D$2:$AG$2,0)),Inputs!$B$4:$B$150,$B33)/1000)</f>
        <v>0</v>
      </c>
      <c r="V33" s="11">
        <f>IF(V$3=0,"",SUMIFS(INDEX(Inputs!$D$4:$AG$150,0,MATCH(V$2,Inputs!$D$2:$AG$2,0)),Inputs!$B$4:$B$150,$B33)/1000)</f>
        <v>0</v>
      </c>
      <c r="W33" s="12">
        <f>IF(V33="","",V33)</f>
        <v>0</v>
      </c>
      <c r="X33" s="11">
        <f>IF(X$3=0,"",SUMIFS(INDEX(Inputs!$D$4:$AG$150,0,MATCH(X$2,Inputs!$D$2:$AG$2,0)),Inputs!$B$4:$B$150,$B33)/1000)</f>
        <v>0</v>
      </c>
      <c r="Y33" s="11">
        <f>IF(Y$3=0,"",SUMIFS(INDEX(Inputs!$D$4:$AG$150,0,MATCH(Y$2,Inputs!$D$2:$AG$2,0)),Inputs!$B$4:$B$150,$B33)/1000)</f>
        <v>0</v>
      </c>
      <c r="Z33" s="11">
        <f>IF(Z$3=0,"",SUMIFS(INDEX(Inputs!$D$4:$AG$150,0,MATCH(Z$2,Inputs!$D$2:$AG$2,0)),Inputs!$B$4:$B$150,$B33)/1000)</f>
        <v>0</v>
      </c>
      <c r="AA33" s="11">
        <f>IF(AA$3=0,"",SUMIFS(INDEX(Inputs!$D$4:$AG$150,0,MATCH(AA$2,Inputs!$D$2:$AG$2,0)),Inputs!$B$4:$B$150,$B33)/1000)</f>
        <v>0</v>
      </c>
      <c r="AB33" s="12">
        <f>IF(AA33="","",AA33)</f>
        <v>0</v>
      </c>
      <c r="AC33" s="11">
        <f>IF(AC$3=0,"",SUMIFS(INDEX(Inputs!$D$4:$AG$150,0,MATCH(AC$2,Inputs!$D$2:$AG$2,0)),Inputs!$B$4:$B$150,$B33)/1000)</f>
        <v>0</v>
      </c>
      <c r="AD33" s="11">
        <f>IF(AD$3=0,"",SUMIFS(INDEX(Inputs!$D$4:$AG$150,0,MATCH(AD$2,Inputs!$D$2:$AG$2,0)),Inputs!$B$4:$B$150,$B33)/1000)</f>
        <v>0</v>
      </c>
      <c r="AE33" s="11" t="str">
        <f>IF(AE$3=0,"",SUMIFS(INDEX(Inputs!$D$4:$AG$150,0,MATCH(AE$2,Inputs!$D$2:$AG$2,0)),Inputs!$B$4:$B$150,$B33)/1000)</f>
        <v/>
      </c>
      <c r="AF33" s="11" t="str">
        <f>IF(AF$3=0,"",SUMIFS(INDEX(Inputs!$D$4:$AG$150,0,MATCH(AF$2,Inputs!$D$2:$AG$2,0)),Inputs!$B$4:$B$150,$B33)/1000)</f>
        <v/>
      </c>
      <c r="AG33" s="12" t="str">
        <f>IF(AF33="","",AF33)</f>
        <v/>
      </c>
    </row>
    <row r="34">
      <c r="B34" s="9" t="n">
        <v>29</v>
      </c>
      <c r="C34" s="14" t="inlineStr">
        <is>
          <t>Short term operating leases</t>
        </is>
      </c>
      <c r="D34" s="11">
        <f>IF(D$3=0,"",SUMIFS(INDEX(Inputs!$D$4:$AG$150,0,MATCH(D$2,Inputs!$D$2:$AG$2,0)),Inputs!$B$4:$B$150,$B34)/1000)</f>
        <v>0</v>
      </c>
      <c r="E34" s="11">
        <f>IF(E$3=0,"",SUMIFS(INDEX(Inputs!$D$4:$AG$150,0,MATCH(E$2,Inputs!$D$2:$AG$2,0)),Inputs!$B$4:$B$150,$B34)/1000)</f>
        <v>0</v>
      </c>
      <c r="F34" s="11">
        <f>IF(F$3=0,"",SUMIFS(INDEX(Inputs!$D$4:$AG$150,0,MATCH(F$2,Inputs!$D$2:$AG$2,0)),Inputs!$B$4:$B$150,$B34)/1000)</f>
        <v>0</v>
      </c>
      <c r="G34" s="11">
        <f>IF(G$3=0,"",SUMIFS(INDEX(Inputs!$D$4:$AG$150,0,MATCH(G$2,Inputs!$D$2:$AG$2,0)),Inputs!$B$4:$B$150,$B34)/1000)</f>
        <v>0</v>
      </c>
      <c r="H34" s="12">
        <f>IF(G34="","",G34)</f>
        <v>0</v>
      </c>
      <c r="I34" s="11">
        <f>IF(I$3=0,"",SUMIFS(INDEX(Inputs!$D$4:$AG$150,0,MATCH(I$2,Inputs!$D$2:$AG$2,0)),Inputs!$B$4:$B$150,$B34)/1000)</f>
        <v>0</v>
      </c>
      <c r="J34" s="11">
        <f>IF(J$3=0,"",SUMIFS(INDEX(Inputs!$D$4:$AG$150,0,MATCH(J$2,Inputs!$D$2:$AG$2,0)),Inputs!$B$4:$B$150,$B34)/1000)</f>
        <v>0</v>
      </c>
      <c r="K34" s="11">
        <f>IF(K$3=0,"",SUMIFS(INDEX(Inputs!$D$4:$AG$150,0,MATCH(K$2,Inputs!$D$2:$AG$2,0)),Inputs!$B$4:$B$150,$B34)/1000)</f>
        <v>0</v>
      </c>
      <c r="L34" s="11">
        <f>IF(L$3=0,"",SUMIFS(INDEX(Inputs!$D$4:$AG$150,0,MATCH(L$2,Inputs!$D$2:$AG$2,0)),Inputs!$B$4:$B$150,$B34)/1000)</f>
        <v>0</v>
      </c>
      <c r="M34" s="12">
        <f>IF(L34="","",L34)</f>
        <v>0</v>
      </c>
      <c r="N34" s="11">
        <f>IF(N$3=0,"",SUMIFS(INDEX(Inputs!$D$4:$AG$150,0,MATCH(N$2,Inputs!$D$2:$AG$2,0)),Inputs!$B$4:$B$150,$B34)/1000)</f>
        <v>0</v>
      </c>
      <c r="O34" s="11">
        <f>IF(O$3=0,"",SUMIFS(INDEX(Inputs!$D$4:$AG$150,0,MATCH(O$2,Inputs!$D$2:$AG$2,0)),Inputs!$B$4:$B$150,$B34)/1000)</f>
        <v>0</v>
      </c>
      <c r="P34" s="11">
        <f>IF(P$3=0,"",SUMIFS(INDEX(Inputs!$D$4:$AG$150,0,MATCH(P$2,Inputs!$D$2:$AG$2,0)),Inputs!$B$4:$B$150,$B34)/1000)</f>
        <v>0</v>
      </c>
      <c r="Q34" s="11">
        <f>IF(Q$3=0,"",SUMIFS(INDEX(Inputs!$D$4:$AG$150,0,MATCH(Q$2,Inputs!$D$2:$AG$2,0)),Inputs!$B$4:$B$150,$B34)/1000)</f>
        <v>0</v>
      </c>
      <c r="R34" s="12">
        <f>IF(Q34="","",Q34)</f>
        <v>0</v>
      </c>
      <c r="S34" s="11">
        <f>IF(S$3=0,"",SUMIFS(INDEX(Inputs!$D$4:$AG$150,0,MATCH(S$2,Inputs!$D$2:$AG$2,0)),Inputs!$B$4:$B$150,$B34)/1000)</f>
        <v>0</v>
      </c>
      <c r="T34" s="11">
        <f>IF(T$3=0,"",SUMIFS(INDEX(Inputs!$D$4:$AG$150,0,MATCH(T$2,Inputs!$D$2:$AG$2,0)),Inputs!$B$4:$B$150,$B34)/1000)</f>
        <v>0</v>
      </c>
      <c r="U34" s="11">
        <f>IF(U$3=0,"",SUMIFS(INDEX(Inputs!$D$4:$AG$150,0,MATCH(U$2,Inputs!$D$2:$AG$2,0)),Inputs!$B$4:$B$150,$B34)/1000)</f>
        <v>0</v>
      </c>
      <c r="V34" s="11">
        <f>IF(V$3=0,"",SUMIFS(INDEX(Inputs!$D$4:$AG$150,0,MATCH(V$2,Inputs!$D$2:$AG$2,0)),Inputs!$B$4:$B$150,$B34)/1000)</f>
        <v>0</v>
      </c>
      <c r="W34" s="12">
        <f>IF(V34="","",V34)</f>
        <v>0</v>
      </c>
      <c r="X34" s="11">
        <f>IF(X$3=0,"",SUMIFS(INDEX(Inputs!$D$4:$AG$150,0,MATCH(X$2,Inputs!$D$2:$AG$2,0)),Inputs!$B$4:$B$150,$B34)/1000)</f>
        <v>0</v>
      </c>
      <c r="Y34" s="11">
        <f>IF(Y$3=0,"",SUMIFS(INDEX(Inputs!$D$4:$AG$150,0,MATCH(Y$2,Inputs!$D$2:$AG$2,0)),Inputs!$B$4:$B$150,$B34)/1000)</f>
        <v>0</v>
      </c>
      <c r="Z34" s="11">
        <f>IF(Z$3=0,"",SUMIFS(INDEX(Inputs!$D$4:$AG$150,0,MATCH(Z$2,Inputs!$D$2:$AG$2,0)),Inputs!$B$4:$B$150,$B34)/1000)</f>
        <v>0</v>
      </c>
      <c r="AA34" s="11">
        <f>IF(AA$3=0,"",SUMIFS(INDEX(Inputs!$D$4:$AG$150,0,MATCH(AA$2,Inputs!$D$2:$AG$2,0)),Inputs!$B$4:$B$150,$B34)/1000)</f>
        <v>0</v>
      </c>
      <c r="AB34" s="12">
        <f>IF(AA34="","",AA34)</f>
        <v>0</v>
      </c>
      <c r="AC34" s="11">
        <f>IF(AC$3=0,"",SUMIFS(INDEX(Inputs!$D$4:$AG$150,0,MATCH(AC$2,Inputs!$D$2:$AG$2,0)),Inputs!$B$4:$B$150,$B34)/1000)</f>
        <v>0</v>
      </c>
      <c r="AD34" s="11">
        <f>IF(AD$3=0,"",SUMIFS(INDEX(Inputs!$D$4:$AG$150,0,MATCH(AD$2,Inputs!$D$2:$AG$2,0)),Inputs!$B$4:$B$150,$B34)/1000)</f>
        <v>0</v>
      </c>
      <c r="AE34" s="11" t="str">
        <f>IF(AE$3=0,"",SUMIFS(INDEX(Inputs!$D$4:$AG$150,0,MATCH(AE$2,Inputs!$D$2:$AG$2,0)),Inputs!$B$4:$B$150,$B34)/1000)</f>
        <v/>
      </c>
      <c r="AF34" s="11" t="str">
        <f>IF(AF$3=0,"",SUMIFS(INDEX(Inputs!$D$4:$AG$150,0,MATCH(AF$2,Inputs!$D$2:$AG$2,0)),Inputs!$B$4:$B$150,$B34)/1000)</f>
        <v/>
      </c>
      <c r="AG34" s="12" t="str">
        <f>IF(AF34="","",AF34)</f>
        <v/>
      </c>
    </row>
    <row r="35">
      <c r="B35" s="9" t="n">
        <v>30</v>
      </c>
      <c r="C35" s="14" t="inlineStr">
        <is>
          <t>Long term debt</t>
        </is>
      </c>
      <c r="D35" s="11">
        <f>IF(D$3=0,"",SUMIFS(INDEX(Inputs!$D$4:$AG$150,0,MATCH(D$2,Inputs!$D$2:$AG$2,0)),Inputs!$B$4:$B$150,$B35)/1000)</f>
        <v>13221</v>
      </c>
      <c r="E35" s="11">
        <f>IF(E$3=0,"",SUMIFS(INDEX(Inputs!$D$4:$AG$150,0,MATCH(E$2,Inputs!$D$2:$AG$2,0)),Inputs!$B$4:$B$150,$B35)/1000)</f>
        <v>13250</v>
      </c>
      <c r="F35" s="11">
        <f>IF(F$3=0,"",SUMIFS(INDEX(Inputs!$D$4:$AG$150,0,MATCH(F$2,Inputs!$D$2:$AG$2,0)),Inputs!$B$4:$B$150,$B35)/1000)</f>
        <v>13211</v>
      </c>
      <c r="G35" s="11">
        <f>IF(G$3=0,"",SUMIFS(INDEX(Inputs!$D$4:$AG$150,0,MATCH(G$2,Inputs!$D$2:$AG$2,0)),Inputs!$B$4:$B$150,$B35)/1000)</f>
        <v>13109</v>
      </c>
      <c r="H35" s="12">
        <f>IF(G35="","",G35)</f>
        <v>13109</v>
      </c>
      <c r="I35" s="11">
        <f>IF(I$3=0,"",SUMIFS(INDEX(Inputs!$D$4:$AG$150,0,MATCH(I$2,Inputs!$D$2:$AG$2,0)),Inputs!$B$4:$B$150,$B35)/1000)</f>
        <v>13868</v>
      </c>
      <c r="J35" s="11">
        <f>IF(J$3=0,"",SUMIFS(INDEX(Inputs!$D$4:$AG$150,0,MATCH(J$2,Inputs!$D$2:$AG$2,0)),Inputs!$B$4:$B$150,$B35)/1000)</f>
        <v>13746</v>
      </c>
      <c r="K35" s="11">
        <f>IF(K$3=0,"",SUMIFS(INDEX(Inputs!$D$4:$AG$150,0,MATCH(K$2,Inputs!$D$2:$AG$2,0)),Inputs!$B$4:$B$150,$B35)/1000)</f>
        <v>13577</v>
      </c>
      <c r="L35" s="11">
        <f>IF(L$3=0,"",SUMIFS(INDEX(Inputs!$D$4:$AG$150,0,MATCH(L$2,Inputs!$D$2:$AG$2,0)),Inputs!$B$4:$B$150,$B35)/1000)</f>
        <v>13749</v>
      </c>
      <c r="M35" s="12">
        <f>IF(L35="","",L35)</f>
        <v>13749</v>
      </c>
      <c r="N35" s="11">
        <f>IF(N$3=0,"",SUMIFS(INDEX(Inputs!$D$4:$AG$150,0,MATCH(N$2,Inputs!$D$2:$AG$2,0)),Inputs!$B$4:$B$150,$B35)/1000)</f>
        <v>15292</v>
      </c>
      <c r="O35" s="11">
        <f>IF(O$3=0,"",SUMIFS(INDEX(Inputs!$D$4:$AG$150,0,MATCH(O$2,Inputs!$D$2:$AG$2,0)),Inputs!$B$4:$B$150,$B35)/1000)</f>
        <v>14284</v>
      </c>
      <c r="P35" s="11">
        <f>IF(P$3=0,"",SUMIFS(INDEX(Inputs!$D$4:$AG$150,0,MATCH(P$2,Inputs!$D$2:$AG$2,0)),Inputs!$B$4:$B$150,$B35)/1000)</f>
        <v>14229</v>
      </c>
      <c r="Q35" s="11">
        <f>IF(Q$3=0,"",SUMIFS(INDEX(Inputs!$D$4:$AG$150,0,MATCH(Q$2,Inputs!$D$2:$AG$2,0)),Inputs!$B$4:$B$150,$B35)/1000)</f>
        <v>14344</v>
      </c>
      <c r="R35" s="12">
        <f>IF(Q35="","",Q35)</f>
        <v>14344</v>
      </c>
      <c r="S35" s="11">
        <f>IF(S$3=0,"",SUMIFS(INDEX(Inputs!$D$4:$AG$150,0,MATCH(S$2,Inputs!$D$2:$AG$2,0)),Inputs!$B$4:$B$150,$B35)/1000)</f>
        <v>13543</v>
      </c>
      <c r="T35" s="11">
        <f>IF(T$3=0,"",SUMIFS(INDEX(Inputs!$D$4:$AG$150,0,MATCH(T$2,Inputs!$D$2:$AG$2,0)),Inputs!$B$4:$B$150,$B35)/1000)</f>
        <v>14519</v>
      </c>
      <c r="U35" s="11">
        <f>IF(U$3=0,"",SUMIFS(INDEX(Inputs!$D$4:$AG$150,0,MATCH(U$2,Inputs!$D$2:$AG$2,0)),Inputs!$B$4:$B$150,$B35)/1000)</f>
        <v>17608</v>
      </c>
      <c r="V35" s="11">
        <f>IF(V$3=0,"",SUMIFS(INDEX(Inputs!$D$4:$AG$150,0,MATCH(V$2,Inputs!$D$2:$AG$2,0)),Inputs!$B$4:$B$150,$B35)/1000)</f>
        <v>17476</v>
      </c>
      <c r="W35" s="12">
        <f>IF(V35="","",V35)</f>
        <v>17476</v>
      </c>
      <c r="X35" s="11">
        <f>IF(X$3=0,"",SUMIFS(INDEX(Inputs!$D$4:$AG$150,0,MATCH(X$2,Inputs!$D$2:$AG$2,0)),Inputs!$B$4:$B$150,$B35)/1000)</f>
        <v>18802</v>
      </c>
      <c r="Y35" s="11">
        <f>IF(Y$3=0,"",SUMIFS(INDEX(Inputs!$D$4:$AG$150,0,MATCH(Y$2,Inputs!$D$2:$AG$2,0)),Inputs!$B$4:$B$150,$B35)/1000)</f>
        <v>18970</v>
      </c>
      <c r="Z35" s="11">
        <f>IF(Z$3=0,"",SUMIFS(INDEX(Inputs!$D$4:$AG$150,0,MATCH(Z$2,Inputs!$D$2:$AG$2,0)),Inputs!$B$4:$B$150,$B35)/1000)</f>
        <v>18983</v>
      </c>
      <c r="AA35" s="11">
        <f>IF(AA$3=0,"",SUMIFS(INDEX(Inputs!$D$4:$AG$150,0,MATCH(AA$2,Inputs!$D$2:$AG$2,0)),Inputs!$B$4:$B$150,$B35)/1000)</f>
        <v>18251</v>
      </c>
      <c r="AB35" s="12">
        <f>IF(AA35="","",AA35)</f>
        <v>18251</v>
      </c>
      <c r="AC35" s="11">
        <f>IF(AC$3=0,"",SUMIFS(INDEX(Inputs!$D$4:$AG$150,0,MATCH(AC$2,Inputs!$D$2:$AG$2,0)),Inputs!$B$4:$B$150,$B35)/1000)</f>
        <v>17212</v>
      </c>
      <c r="AD35" s="11">
        <f>IF(AD$3=0,"",SUMIFS(INDEX(Inputs!$D$4:$AG$150,0,MATCH(AD$2,Inputs!$D$2:$AG$2,0)),Inputs!$B$4:$B$150,$B35)/1000)</f>
        <v>22184</v>
      </c>
      <c r="AE35" s="11" t="str">
        <f>IF(AE$3=0,"",SUMIFS(INDEX(Inputs!$D$4:$AG$150,0,MATCH(AE$2,Inputs!$D$2:$AG$2,0)),Inputs!$B$4:$B$150,$B35)/1000)</f>
        <v/>
      </c>
      <c r="AF35" s="11" t="str">
        <f>IF(AF$3=0,"",SUMIFS(INDEX(Inputs!$D$4:$AG$150,0,MATCH(AF$2,Inputs!$D$2:$AG$2,0)),Inputs!$B$4:$B$150,$B35)/1000)</f>
        <v/>
      </c>
      <c r="AG35" s="12" t="str">
        <f>IF(AF35="","",AF35)</f>
        <v/>
      </c>
    </row>
    <row r="36">
      <c r="B36" s="9" t="n">
        <v>31</v>
      </c>
      <c r="C36" s="14" t="inlineStr">
        <is>
          <t>Long term operating leases</t>
        </is>
      </c>
      <c r="D36" s="11">
        <f>IF(D$3=0,"",SUMIFS(INDEX(Inputs!$D$4:$AG$150,0,MATCH(D$2,Inputs!$D$2:$AG$2,0)),Inputs!$B$4:$B$150,$B36)/1000)</f>
        <v>0</v>
      </c>
      <c r="E36" s="11">
        <f>IF(E$3=0,"",SUMIFS(INDEX(Inputs!$D$4:$AG$150,0,MATCH(E$2,Inputs!$D$2:$AG$2,0)),Inputs!$B$4:$B$150,$B36)/1000)</f>
        <v>0</v>
      </c>
      <c r="F36" s="11">
        <f>IF(F$3=0,"",SUMIFS(INDEX(Inputs!$D$4:$AG$150,0,MATCH(F$2,Inputs!$D$2:$AG$2,0)),Inputs!$B$4:$B$150,$B36)/1000)</f>
        <v>0</v>
      </c>
      <c r="G36" s="11">
        <f>IF(G$3=0,"",SUMIFS(INDEX(Inputs!$D$4:$AG$150,0,MATCH(G$2,Inputs!$D$2:$AG$2,0)),Inputs!$B$4:$B$150,$B36)/1000)</f>
        <v>0</v>
      </c>
      <c r="H36" s="12">
        <f>IF(G36="","",G36)</f>
        <v>0</v>
      </c>
      <c r="I36" s="11">
        <f>IF(I$3=0,"",SUMIFS(INDEX(Inputs!$D$4:$AG$150,0,MATCH(I$2,Inputs!$D$2:$AG$2,0)),Inputs!$B$4:$B$150,$B36)/1000)</f>
        <v>0</v>
      </c>
      <c r="J36" s="11">
        <f>IF(J$3=0,"",SUMIFS(INDEX(Inputs!$D$4:$AG$150,0,MATCH(J$2,Inputs!$D$2:$AG$2,0)),Inputs!$B$4:$B$150,$B36)/1000)</f>
        <v>0</v>
      </c>
      <c r="K36" s="11">
        <f>IF(K$3=0,"",SUMIFS(INDEX(Inputs!$D$4:$AG$150,0,MATCH(K$2,Inputs!$D$2:$AG$2,0)),Inputs!$B$4:$B$150,$B36)/1000)</f>
        <v>0</v>
      </c>
      <c r="L36" s="11">
        <f>IF(L$3=0,"",SUMIFS(INDEX(Inputs!$D$4:$AG$150,0,MATCH(L$2,Inputs!$D$2:$AG$2,0)),Inputs!$B$4:$B$150,$B36)/1000)</f>
        <v>0</v>
      </c>
      <c r="M36" s="12">
        <f>IF(L36="","",L36)</f>
        <v>0</v>
      </c>
      <c r="N36" s="11">
        <f>IF(N$3=0,"",SUMIFS(INDEX(Inputs!$D$4:$AG$150,0,MATCH(N$2,Inputs!$D$2:$AG$2,0)),Inputs!$B$4:$B$150,$B36)/1000)</f>
        <v>0</v>
      </c>
      <c r="O36" s="11">
        <f>IF(O$3=0,"",SUMIFS(INDEX(Inputs!$D$4:$AG$150,0,MATCH(O$2,Inputs!$D$2:$AG$2,0)),Inputs!$B$4:$B$150,$B36)/1000)</f>
        <v>0</v>
      </c>
      <c r="P36" s="11">
        <f>IF(P$3=0,"",SUMIFS(INDEX(Inputs!$D$4:$AG$150,0,MATCH(P$2,Inputs!$D$2:$AG$2,0)),Inputs!$B$4:$B$150,$B36)/1000)</f>
        <v>0</v>
      </c>
      <c r="Q36" s="11">
        <f>IF(Q$3=0,"",SUMIFS(INDEX(Inputs!$D$4:$AG$150,0,MATCH(Q$2,Inputs!$D$2:$AG$2,0)),Inputs!$B$4:$B$150,$B36)/1000)</f>
        <v>0</v>
      </c>
      <c r="R36" s="12">
        <f>IF(Q36="","",Q36)</f>
        <v>0</v>
      </c>
      <c r="S36" s="11">
        <f>IF(S$3=0,"",SUMIFS(INDEX(Inputs!$D$4:$AG$150,0,MATCH(S$2,Inputs!$D$2:$AG$2,0)),Inputs!$B$4:$B$150,$B36)/1000)</f>
        <v>0</v>
      </c>
      <c r="T36" s="11">
        <f>IF(T$3=0,"",SUMIFS(INDEX(Inputs!$D$4:$AG$150,0,MATCH(T$2,Inputs!$D$2:$AG$2,0)),Inputs!$B$4:$B$150,$B36)/1000)</f>
        <v>0</v>
      </c>
      <c r="U36" s="11">
        <f>IF(U$3=0,"",SUMIFS(INDEX(Inputs!$D$4:$AG$150,0,MATCH(U$2,Inputs!$D$2:$AG$2,0)),Inputs!$B$4:$B$150,$B36)/1000)</f>
        <v>0</v>
      </c>
      <c r="V36" s="11">
        <f>IF(V$3=0,"",SUMIFS(INDEX(Inputs!$D$4:$AG$150,0,MATCH(V$2,Inputs!$D$2:$AG$2,0)),Inputs!$B$4:$B$150,$B36)/1000)</f>
        <v>0</v>
      </c>
      <c r="W36" s="12">
        <f>IF(V36="","",V36)</f>
        <v>0</v>
      </c>
      <c r="X36" s="11">
        <f>IF(X$3=0,"",SUMIFS(INDEX(Inputs!$D$4:$AG$150,0,MATCH(X$2,Inputs!$D$2:$AG$2,0)),Inputs!$B$4:$B$150,$B36)/1000)</f>
        <v>0</v>
      </c>
      <c r="Y36" s="11">
        <f>IF(Y$3=0,"",SUMIFS(INDEX(Inputs!$D$4:$AG$150,0,MATCH(Y$2,Inputs!$D$2:$AG$2,0)),Inputs!$B$4:$B$150,$B36)/1000)</f>
        <v>0</v>
      </c>
      <c r="Z36" s="11">
        <f>IF(Z$3=0,"",SUMIFS(INDEX(Inputs!$D$4:$AG$150,0,MATCH(Z$2,Inputs!$D$2:$AG$2,0)),Inputs!$B$4:$B$150,$B36)/1000)</f>
        <v>0</v>
      </c>
      <c r="AA36" s="11">
        <f>IF(AA$3=0,"",SUMIFS(INDEX(Inputs!$D$4:$AG$150,0,MATCH(AA$2,Inputs!$D$2:$AG$2,0)),Inputs!$B$4:$B$150,$B36)/1000)</f>
        <v>0</v>
      </c>
      <c r="AB36" s="12">
        <f>IF(AA36="","",AA36)</f>
        <v>0</v>
      </c>
      <c r="AC36" s="11">
        <f>IF(AC$3=0,"",SUMIFS(INDEX(Inputs!$D$4:$AG$150,0,MATCH(AC$2,Inputs!$D$2:$AG$2,0)),Inputs!$B$4:$B$150,$B36)/1000)</f>
        <v>0</v>
      </c>
      <c r="AD36" s="11">
        <f>IF(AD$3=0,"",SUMIFS(INDEX(Inputs!$D$4:$AG$150,0,MATCH(AD$2,Inputs!$D$2:$AG$2,0)),Inputs!$B$4:$B$150,$B36)/1000)</f>
        <v>0</v>
      </c>
      <c r="AE36" s="11" t="str">
        <f>IF(AE$3=0,"",SUMIFS(INDEX(Inputs!$D$4:$AG$150,0,MATCH(AE$2,Inputs!$D$2:$AG$2,0)),Inputs!$B$4:$B$150,$B36)/1000)</f>
        <v/>
      </c>
      <c r="AF36" s="11" t="str">
        <f>IF(AF$3=0,"",SUMIFS(INDEX(Inputs!$D$4:$AG$150,0,MATCH(AF$2,Inputs!$D$2:$AG$2,0)),Inputs!$B$4:$B$150,$B36)/1000)</f>
        <v/>
      </c>
      <c r="AG36" s="12" t="str">
        <f>IF(AF36="","",AF36)</f>
        <v/>
      </c>
    </row>
    <row r="37">
      <c r="B37" s="9" t="n">
        <v>32</v>
      </c>
      <c r="C37" s="14" t="inlineStr">
        <is>
          <t>Convertible debt</t>
        </is>
      </c>
      <c r="D37" s="11">
        <f>IF(D$3=0,"",SUMIFS(INDEX(Inputs!$D$4:$AG$150,0,MATCH(D$2,Inputs!$D$2:$AG$2,0)),Inputs!$B$4:$B$150,$B37)/1000)</f>
        <v>0</v>
      </c>
      <c r="E37" s="11">
        <f>IF(E$3=0,"",SUMIFS(INDEX(Inputs!$D$4:$AG$150,0,MATCH(E$2,Inputs!$D$2:$AG$2,0)),Inputs!$B$4:$B$150,$B37)/1000)</f>
        <v>0</v>
      </c>
      <c r="F37" s="11">
        <f>IF(F$3=0,"",SUMIFS(INDEX(Inputs!$D$4:$AG$150,0,MATCH(F$2,Inputs!$D$2:$AG$2,0)),Inputs!$B$4:$B$150,$B37)/1000)</f>
        <v>0</v>
      </c>
      <c r="G37" s="11">
        <f>IF(G$3=0,"",SUMIFS(INDEX(Inputs!$D$4:$AG$150,0,MATCH(G$2,Inputs!$D$2:$AG$2,0)),Inputs!$B$4:$B$150,$B37)/1000)</f>
        <v>0</v>
      </c>
      <c r="H37" s="12">
        <f>IF(G37="","",G37)</f>
        <v>0</v>
      </c>
      <c r="I37" s="11">
        <f>IF(I$3=0,"",SUMIFS(INDEX(Inputs!$D$4:$AG$150,0,MATCH(I$2,Inputs!$D$2:$AG$2,0)),Inputs!$B$4:$B$150,$B37)/1000)</f>
        <v>0</v>
      </c>
      <c r="J37" s="11">
        <f>IF(J$3=0,"",SUMIFS(INDEX(Inputs!$D$4:$AG$150,0,MATCH(J$2,Inputs!$D$2:$AG$2,0)),Inputs!$B$4:$B$150,$B37)/1000)</f>
        <v>0</v>
      </c>
      <c r="K37" s="11">
        <f>IF(K$3=0,"",SUMIFS(INDEX(Inputs!$D$4:$AG$150,0,MATCH(K$2,Inputs!$D$2:$AG$2,0)),Inputs!$B$4:$B$150,$B37)/1000)</f>
        <v>0</v>
      </c>
      <c r="L37" s="11">
        <f>IF(L$3=0,"",SUMIFS(INDEX(Inputs!$D$4:$AG$150,0,MATCH(L$2,Inputs!$D$2:$AG$2,0)),Inputs!$B$4:$B$150,$B37)/1000)</f>
        <v>0</v>
      </c>
      <c r="M37" s="12">
        <f>IF(L37="","",L37)</f>
        <v>0</v>
      </c>
      <c r="N37" s="11">
        <f>IF(N$3=0,"",SUMIFS(INDEX(Inputs!$D$4:$AG$150,0,MATCH(N$2,Inputs!$D$2:$AG$2,0)),Inputs!$B$4:$B$150,$B37)/1000)</f>
        <v>0</v>
      </c>
      <c r="O37" s="11">
        <f>IF(O$3=0,"",SUMIFS(INDEX(Inputs!$D$4:$AG$150,0,MATCH(O$2,Inputs!$D$2:$AG$2,0)),Inputs!$B$4:$B$150,$B37)/1000)</f>
        <v>0</v>
      </c>
      <c r="P37" s="11">
        <f>IF(P$3=0,"",SUMIFS(INDEX(Inputs!$D$4:$AG$150,0,MATCH(P$2,Inputs!$D$2:$AG$2,0)),Inputs!$B$4:$B$150,$B37)/1000)</f>
        <v>0</v>
      </c>
      <c r="Q37" s="11">
        <f>IF(Q$3=0,"",SUMIFS(INDEX(Inputs!$D$4:$AG$150,0,MATCH(Q$2,Inputs!$D$2:$AG$2,0)),Inputs!$B$4:$B$150,$B37)/1000)</f>
        <v>0</v>
      </c>
      <c r="R37" s="12">
        <f>IF(Q37="","",Q37)</f>
        <v>0</v>
      </c>
      <c r="S37" s="11">
        <f>IF(S$3=0,"",SUMIFS(INDEX(Inputs!$D$4:$AG$150,0,MATCH(S$2,Inputs!$D$2:$AG$2,0)),Inputs!$B$4:$B$150,$B37)/1000)</f>
        <v>0</v>
      </c>
      <c r="T37" s="11">
        <f>IF(T$3=0,"",SUMIFS(INDEX(Inputs!$D$4:$AG$150,0,MATCH(T$2,Inputs!$D$2:$AG$2,0)),Inputs!$B$4:$B$150,$B37)/1000)</f>
        <v>0</v>
      </c>
      <c r="U37" s="11">
        <f>IF(U$3=0,"",SUMIFS(INDEX(Inputs!$D$4:$AG$150,0,MATCH(U$2,Inputs!$D$2:$AG$2,0)),Inputs!$B$4:$B$150,$B37)/1000)</f>
        <v>0</v>
      </c>
      <c r="V37" s="11">
        <f>IF(V$3=0,"",SUMIFS(INDEX(Inputs!$D$4:$AG$150,0,MATCH(V$2,Inputs!$D$2:$AG$2,0)),Inputs!$B$4:$B$150,$B37)/1000)</f>
        <v>0</v>
      </c>
      <c r="W37" s="12">
        <f>IF(V37="","",V37)</f>
        <v>0</v>
      </c>
      <c r="X37" s="11">
        <f>IF(X$3=0,"",SUMIFS(INDEX(Inputs!$D$4:$AG$150,0,MATCH(X$2,Inputs!$D$2:$AG$2,0)),Inputs!$B$4:$B$150,$B37)/1000)</f>
        <v>0</v>
      </c>
      <c r="Y37" s="11">
        <f>IF(Y$3=0,"",SUMIFS(INDEX(Inputs!$D$4:$AG$150,0,MATCH(Y$2,Inputs!$D$2:$AG$2,0)),Inputs!$B$4:$B$150,$B37)/1000)</f>
        <v>0</v>
      </c>
      <c r="Z37" s="11">
        <f>IF(Z$3=0,"",SUMIFS(INDEX(Inputs!$D$4:$AG$150,0,MATCH(Z$2,Inputs!$D$2:$AG$2,0)),Inputs!$B$4:$B$150,$B37)/1000)</f>
        <v>0</v>
      </c>
      <c r="AA37" s="11">
        <f>IF(AA$3=0,"",SUMIFS(INDEX(Inputs!$D$4:$AG$150,0,MATCH(AA$2,Inputs!$D$2:$AG$2,0)),Inputs!$B$4:$B$150,$B37)/1000)</f>
        <v>0</v>
      </c>
      <c r="AB37" s="12">
        <f>IF(AA37="","",AA37)</f>
        <v>0</v>
      </c>
      <c r="AC37" s="11">
        <f>IF(AC$3=0,"",SUMIFS(INDEX(Inputs!$D$4:$AG$150,0,MATCH(AC$2,Inputs!$D$2:$AG$2,0)),Inputs!$B$4:$B$150,$B37)/1000)</f>
        <v>0</v>
      </c>
      <c r="AD37" s="11">
        <f>IF(AD$3=0,"",SUMIFS(INDEX(Inputs!$D$4:$AG$150,0,MATCH(AD$2,Inputs!$D$2:$AG$2,0)),Inputs!$B$4:$B$150,$B37)/1000)</f>
        <v>0</v>
      </c>
      <c r="AE37" s="11" t="str">
        <f>IF(AE$3=0,"",SUMIFS(INDEX(Inputs!$D$4:$AG$150,0,MATCH(AE$2,Inputs!$D$2:$AG$2,0)),Inputs!$B$4:$B$150,$B37)/1000)</f>
        <v/>
      </c>
      <c r="AF37" s="11" t="str">
        <f>IF(AF$3=0,"",SUMIFS(INDEX(Inputs!$D$4:$AG$150,0,MATCH(AF$2,Inputs!$D$2:$AG$2,0)),Inputs!$B$4:$B$150,$B37)/1000)</f>
        <v/>
      </c>
      <c r="AG37" s="12" t="str">
        <f>IF(AF37="","",AF37)</f>
        <v/>
      </c>
    </row>
    <row r="38">
      <c r="B38" s="9" t="n">
        <v>33</v>
      </c>
      <c r="C38" s="14" t="inlineStr">
        <is>
          <t>Deferred income taxes</t>
        </is>
      </c>
      <c r="D38" s="11">
        <f>IF(D$3=0,"",SUMIFS(INDEX(Inputs!$D$4:$AG$150,0,MATCH(D$2,Inputs!$D$2:$AG$2,0)),Inputs!$B$4:$B$150,$B38)/1000)</f>
        <v>391</v>
      </c>
      <c r="E38" s="11">
        <f>IF(E$3=0,"",SUMIFS(INDEX(Inputs!$D$4:$AG$150,0,MATCH(E$2,Inputs!$D$2:$AG$2,0)),Inputs!$B$4:$B$150,$B38)/1000)</f>
        <v>394</v>
      </c>
      <c r="F38" s="11">
        <f>IF(F$3=0,"",SUMIFS(INDEX(Inputs!$D$4:$AG$150,0,MATCH(F$2,Inputs!$D$2:$AG$2,0)),Inputs!$B$4:$B$150,$B38)/1000)</f>
        <v>374</v>
      </c>
      <c r="G38" s="11">
        <f>IF(G$3=0,"",SUMIFS(INDEX(Inputs!$D$4:$AG$150,0,MATCH(G$2,Inputs!$D$2:$AG$2,0)),Inputs!$B$4:$B$150,$B38)/1000)</f>
        <v>395</v>
      </c>
      <c r="H38" s="12">
        <f>IF(G38="","",G38)</f>
        <v>395</v>
      </c>
      <c r="I38" s="11">
        <f>IF(I$3=0,"",SUMIFS(INDEX(Inputs!$D$4:$AG$150,0,MATCH(I$2,Inputs!$D$2:$AG$2,0)),Inputs!$B$4:$B$150,$B38)/1000)</f>
        <v>386</v>
      </c>
      <c r="J38" s="11">
        <f>IF(J$3=0,"",SUMIFS(INDEX(Inputs!$D$4:$AG$150,0,MATCH(J$2,Inputs!$D$2:$AG$2,0)),Inputs!$B$4:$B$150,$B38)/1000)</f>
        <v>371</v>
      </c>
      <c r="K38" s="11">
        <f>IF(K$3=0,"",SUMIFS(INDEX(Inputs!$D$4:$AG$150,0,MATCH(K$2,Inputs!$D$2:$AG$2,0)),Inputs!$B$4:$B$150,$B38)/1000)</f>
        <v>346</v>
      </c>
      <c r="L38" s="11">
        <f>IF(L$3=0,"",SUMIFS(INDEX(Inputs!$D$4:$AG$150,0,MATCH(L$2,Inputs!$D$2:$AG$2,0)),Inputs!$B$4:$B$150,$B38)/1000)</f>
        <v>393</v>
      </c>
      <c r="M38" s="12">
        <f>IF(L38="","",L38)</f>
        <v>393</v>
      </c>
      <c r="N38" s="11">
        <f>IF(N$3=0,"",SUMIFS(INDEX(Inputs!$D$4:$AG$150,0,MATCH(N$2,Inputs!$D$2:$AG$2,0)),Inputs!$B$4:$B$150,$B38)/1000)</f>
        <v>389</v>
      </c>
      <c r="O38" s="11">
        <f>IF(O$3=0,"",SUMIFS(INDEX(Inputs!$D$4:$AG$150,0,MATCH(O$2,Inputs!$D$2:$AG$2,0)),Inputs!$B$4:$B$150,$B38)/1000)</f>
        <v>395</v>
      </c>
      <c r="P38" s="11">
        <f>IF(P$3=0,"",SUMIFS(INDEX(Inputs!$D$4:$AG$150,0,MATCH(P$2,Inputs!$D$2:$AG$2,0)),Inputs!$B$4:$B$150,$B38)/1000)</f>
        <v>385</v>
      </c>
      <c r="Q38" s="11">
        <f>IF(Q$3=0,"",SUMIFS(INDEX(Inputs!$D$4:$AG$150,0,MATCH(Q$2,Inputs!$D$2:$AG$2,0)),Inputs!$B$4:$B$150,$B38)/1000)</f>
        <v>369</v>
      </c>
      <c r="R38" s="12">
        <f>IF(Q38="","",Q38)</f>
        <v>369</v>
      </c>
      <c r="S38" s="11">
        <f>IF(S$3=0,"",SUMIFS(INDEX(Inputs!$D$4:$AG$150,0,MATCH(S$2,Inputs!$D$2:$AG$2,0)),Inputs!$B$4:$B$150,$B38)/1000)</f>
        <v>345</v>
      </c>
      <c r="T38" s="11">
        <f>IF(T$3=0,"",SUMIFS(INDEX(Inputs!$D$4:$AG$150,0,MATCH(T$2,Inputs!$D$2:$AG$2,0)),Inputs!$B$4:$B$150,$B38)/1000)</f>
        <v>337</v>
      </c>
      <c r="U38" s="11">
        <f>IF(U$3=0,"",SUMIFS(INDEX(Inputs!$D$4:$AG$150,0,MATCH(U$2,Inputs!$D$2:$AG$2,0)),Inputs!$B$4:$B$150,$B38)/1000)</f>
        <v>349</v>
      </c>
      <c r="V38" s="11">
        <f>IF(V$3=0,"",SUMIFS(INDEX(Inputs!$D$4:$AG$150,0,MATCH(V$2,Inputs!$D$2:$AG$2,0)),Inputs!$B$4:$B$150,$B38)/1000)</f>
        <v>317</v>
      </c>
      <c r="W38" s="12">
        <f>IF(V38="","",V38)</f>
        <v>317</v>
      </c>
      <c r="X38" s="11">
        <f>IF(X$3=0,"",SUMIFS(INDEX(Inputs!$D$4:$AG$150,0,MATCH(X$2,Inputs!$D$2:$AG$2,0)),Inputs!$B$4:$B$150,$B38)/1000)</f>
        <v>315</v>
      </c>
      <c r="Y38" s="11">
        <f>IF(Y$3=0,"",SUMIFS(INDEX(Inputs!$D$4:$AG$150,0,MATCH(Y$2,Inputs!$D$2:$AG$2,0)),Inputs!$B$4:$B$150,$B38)/1000)</f>
        <v>361</v>
      </c>
      <c r="Z38" s="11">
        <f>IF(Z$3=0,"",SUMIFS(INDEX(Inputs!$D$4:$AG$150,0,MATCH(Z$2,Inputs!$D$2:$AG$2,0)),Inputs!$B$4:$B$150,$B38)/1000)</f>
        <v>326</v>
      </c>
      <c r="AA38" s="11">
        <f>IF(AA$3=0,"",SUMIFS(INDEX(Inputs!$D$4:$AG$150,0,MATCH(AA$2,Inputs!$D$2:$AG$2,0)),Inputs!$B$4:$B$150,$B38)/1000)</f>
        <v>307</v>
      </c>
      <c r="AB38" s="12">
        <f>IF(AA38="","",AA38)</f>
        <v>307</v>
      </c>
      <c r="AC38" s="11">
        <f>IF(AC$3=0,"",SUMIFS(INDEX(Inputs!$D$4:$AG$150,0,MATCH(AC$2,Inputs!$D$2:$AG$2,0)),Inputs!$B$4:$B$150,$B38)/1000)</f>
        <v>331</v>
      </c>
      <c r="AD38" s="11">
        <f>IF(AD$3=0,"",SUMIFS(INDEX(Inputs!$D$4:$AG$150,0,MATCH(AD$2,Inputs!$D$2:$AG$2,0)),Inputs!$B$4:$B$150,$B38)/1000)</f>
        <v>315</v>
      </c>
      <c r="AE38" s="11" t="str">
        <f>IF(AE$3=0,"",SUMIFS(INDEX(Inputs!$D$4:$AG$150,0,MATCH(AE$2,Inputs!$D$2:$AG$2,0)),Inputs!$B$4:$B$150,$B38)/1000)</f>
        <v/>
      </c>
      <c r="AF38" s="11" t="str">
        <f>IF(AF$3=0,"",SUMIFS(INDEX(Inputs!$D$4:$AG$150,0,MATCH(AF$2,Inputs!$D$2:$AG$2,0)),Inputs!$B$4:$B$150,$B38)/1000)</f>
        <v/>
      </c>
      <c r="AG38" s="12" t="str">
        <f>IF(AF38="","",AF38)</f>
        <v/>
      </c>
    </row>
    <row r="39">
      <c r="B39" s="9" t="n">
        <v>34</v>
      </c>
      <c r="C39" s="14" t="inlineStr">
        <is>
          <t>Other non-current liabilities</t>
        </is>
      </c>
      <c r="D39" s="11">
        <f>IF(D$3=0,"",SUMIFS(INDEX(Inputs!$D$4:$AG$150,0,MATCH(D$2,Inputs!$D$2:$AG$2,0)),Inputs!$B$4:$B$150,$B39)/1000)</f>
        <v>3260</v>
      </c>
      <c r="E39" s="11">
        <f>IF(E$3=0,"",SUMIFS(INDEX(Inputs!$D$4:$AG$150,0,MATCH(E$2,Inputs!$D$2:$AG$2,0)),Inputs!$B$4:$B$150,$B39)/1000)</f>
        <v>3401</v>
      </c>
      <c r="F39" s="11">
        <f>IF(F$3=0,"",SUMIFS(INDEX(Inputs!$D$4:$AG$150,0,MATCH(F$2,Inputs!$D$2:$AG$2,0)),Inputs!$B$4:$B$150,$B39)/1000)</f>
        <v>3462</v>
      </c>
      <c r="G39" s="11">
        <f>IF(G$3=0,"",SUMIFS(INDEX(Inputs!$D$4:$AG$150,0,MATCH(G$2,Inputs!$D$2:$AG$2,0)),Inputs!$B$4:$B$150,$B39)/1000)</f>
        <v>3591</v>
      </c>
      <c r="H39" s="12">
        <f>IF(G39="","",G39)</f>
        <v>3591</v>
      </c>
      <c r="I39" s="11">
        <f>IF(I$3=0,"",SUMIFS(INDEX(Inputs!$D$4:$AG$150,0,MATCH(I$2,Inputs!$D$2:$AG$2,0)),Inputs!$B$4:$B$150,$B39)/1000)</f>
        <v>3851</v>
      </c>
      <c r="J39" s="11">
        <f>IF(J$3=0,"",SUMIFS(INDEX(Inputs!$D$4:$AG$150,0,MATCH(J$2,Inputs!$D$2:$AG$2,0)),Inputs!$B$4:$B$150,$B39)/1000)</f>
        <v>3767</v>
      </c>
      <c r="K39" s="11">
        <f>IF(K$3=0,"",SUMIFS(INDEX(Inputs!$D$4:$AG$150,0,MATCH(K$2,Inputs!$D$2:$AG$2,0)),Inputs!$B$4:$B$150,$B39)/1000)</f>
        <v>3770</v>
      </c>
      <c r="L39" s="11">
        <f>IF(L$3=0,"",SUMIFS(INDEX(Inputs!$D$4:$AG$150,0,MATCH(L$2,Inputs!$D$2:$AG$2,0)),Inputs!$B$4:$B$150,$B39)/1000)</f>
        <v>4034</v>
      </c>
      <c r="M39" s="12">
        <f>IF(L39="","",L39)</f>
        <v>4034</v>
      </c>
      <c r="N39" s="11">
        <f>IF(N$3=0,"",SUMIFS(INDEX(Inputs!$D$4:$AG$150,0,MATCH(N$2,Inputs!$D$2:$AG$2,0)),Inputs!$B$4:$B$150,$B39)/1000)</f>
        <v>4197</v>
      </c>
      <c r="O39" s="11">
        <f>IF(O$3=0,"",SUMIFS(INDEX(Inputs!$D$4:$AG$150,0,MATCH(O$2,Inputs!$D$2:$AG$2,0)),Inputs!$B$4:$B$150,$B39)/1000)</f>
        <v>4110</v>
      </c>
      <c r="P39" s="11">
        <f>IF(P$3=0,"",SUMIFS(INDEX(Inputs!$D$4:$AG$150,0,MATCH(P$2,Inputs!$D$2:$AG$2,0)),Inputs!$B$4:$B$150,$B39)/1000)</f>
        <v>4160</v>
      </c>
      <c r="Q39" s="11">
        <f>IF(Q$3=0,"",SUMIFS(INDEX(Inputs!$D$4:$AG$150,0,MATCH(Q$2,Inputs!$D$2:$AG$2,0)),Inputs!$B$4:$B$150,$B39)/1000)</f>
        <v>4474</v>
      </c>
      <c r="R39" s="12">
        <f>IF(Q39="","",Q39)</f>
        <v>4474</v>
      </c>
      <c r="S39" s="11">
        <f>IF(S$3=0,"",SUMIFS(INDEX(Inputs!$D$4:$AG$150,0,MATCH(S$2,Inputs!$D$2:$AG$2,0)),Inputs!$B$4:$B$150,$B39)/1000)</f>
        <v>4501</v>
      </c>
      <c r="T39" s="11">
        <f>IF(T$3=0,"",SUMIFS(INDEX(Inputs!$D$4:$AG$150,0,MATCH(T$2,Inputs!$D$2:$AG$2,0)),Inputs!$B$4:$B$150,$B39)/1000)</f>
        <v>4401</v>
      </c>
      <c r="U39" s="11">
        <f>IF(U$3=0,"",SUMIFS(INDEX(Inputs!$D$4:$AG$150,0,MATCH(U$2,Inputs!$D$2:$AG$2,0)),Inputs!$B$4:$B$150,$B39)/1000)</f>
        <v>4488</v>
      </c>
      <c r="V39" s="11">
        <f>IF(V$3=0,"",SUMIFS(INDEX(Inputs!$D$4:$AG$150,0,MATCH(V$2,Inputs!$D$2:$AG$2,0)),Inputs!$B$4:$B$150,$B39)/1000)</f>
        <v>4553</v>
      </c>
      <c r="W39" s="12">
        <f>IF(V39="","",V39)</f>
        <v>4553</v>
      </c>
      <c r="X39" s="11">
        <f>IF(X$3=0,"",SUMIFS(INDEX(Inputs!$D$4:$AG$150,0,MATCH(X$2,Inputs!$D$2:$AG$2,0)),Inputs!$B$4:$B$150,$B39)/1000)</f>
        <v>4829</v>
      </c>
      <c r="Y39" s="11">
        <f>IF(Y$3=0,"",SUMIFS(INDEX(Inputs!$D$4:$AG$150,0,MATCH(Y$2,Inputs!$D$2:$AG$2,0)),Inputs!$B$4:$B$150,$B39)/1000)</f>
        <v>5197</v>
      </c>
      <c r="Z39" s="11">
        <f>IF(Z$3=0,"",SUMIFS(INDEX(Inputs!$D$4:$AG$150,0,MATCH(Z$2,Inputs!$D$2:$AG$2,0)),Inputs!$B$4:$B$150,$B39)/1000)</f>
        <v>5368</v>
      </c>
      <c r="AA39" s="11">
        <f>IF(AA$3=0,"",SUMIFS(INDEX(Inputs!$D$4:$AG$150,0,MATCH(AA$2,Inputs!$D$2:$AG$2,0)),Inputs!$B$4:$B$150,$B39)/1000)</f>
        <v>5091</v>
      </c>
      <c r="AB39" s="12">
        <f>IF(AA39="","",AA39)</f>
        <v>5091</v>
      </c>
      <c r="AC39" s="11">
        <f>IF(AC$3=0,"",SUMIFS(INDEX(Inputs!$D$4:$AG$150,0,MATCH(AC$2,Inputs!$D$2:$AG$2,0)),Inputs!$B$4:$B$150,$B39)/1000)</f>
        <v>5250</v>
      </c>
      <c r="AD39" s="11">
        <f>IF(AD$3=0,"",SUMIFS(INDEX(Inputs!$D$4:$AG$150,0,MATCH(AD$2,Inputs!$D$2:$AG$2,0)),Inputs!$B$4:$B$150,$B39)/1000)</f>
        <v>4582</v>
      </c>
      <c r="AE39" s="11" t="str">
        <f>IF(AE$3=0,"",SUMIFS(INDEX(Inputs!$D$4:$AG$150,0,MATCH(AE$2,Inputs!$D$2:$AG$2,0)),Inputs!$B$4:$B$150,$B39)/1000)</f>
        <v/>
      </c>
      <c r="AF39" s="11" t="str">
        <f>IF(AF$3=0,"",SUMIFS(INDEX(Inputs!$D$4:$AG$150,0,MATCH(AF$2,Inputs!$D$2:$AG$2,0)),Inputs!$B$4:$B$150,$B39)/1000)</f>
        <v/>
      </c>
      <c r="AG39" s="12" t="str">
        <f>IF(AF39="","",AF39)</f>
        <v/>
      </c>
    </row>
    <row r="40">
      <c r="C40" s="3" t="n"/>
    </row>
    <row r="41">
      <c r="B41" s="9" t="n">
        <v>35</v>
      </c>
      <c r="C41" s="14" t="inlineStr">
        <is>
          <t>Minority interest</t>
        </is>
      </c>
      <c r="D41" s="11">
        <f>IF(D$3=0,"",SUMIFS(INDEX(Inputs!$D$4:$AG$150,0,MATCH(D$2,Inputs!$D$2:$AG$2,0)),Inputs!$B$4:$B$150,$B41)/1000)</f>
        <v>98</v>
      </c>
      <c r="E41" s="11">
        <f>IF(E$3=0,"",SUMIFS(INDEX(Inputs!$D$4:$AG$150,0,MATCH(E$2,Inputs!$D$2:$AG$2,0)),Inputs!$B$4:$B$150,$B41)/1000)</f>
        <v>98</v>
      </c>
      <c r="F41" s="11">
        <f>IF(F$3=0,"",SUMIFS(INDEX(Inputs!$D$4:$AG$150,0,MATCH(F$2,Inputs!$D$2:$AG$2,0)),Inputs!$B$4:$B$150,$B41)/1000)</f>
        <v>70</v>
      </c>
      <c r="G41" s="11">
        <f>IF(G$3=0,"",SUMIFS(INDEX(Inputs!$D$4:$AG$150,0,MATCH(G$2,Inputs!$D$2:$AG$2,0)),Inputs!$B$4:$B$150,$B41)/1000)</f>
        <v>71</v>
      </c>
      <c r="H41" s="12">
        <f>IF(G41="","",G41)</f>
        <v>71</v>
      </c>
      <c r="I41" s="11">
        <f>IF(I$3=0,"",SUMIFS(INDEX(Inputs!$D$4:$AG$150,0,MATCH(I$2,Inputs!$D$2:$AG$2,0)),Inputs!$B$4:$B$150,$B41)/1000)</f>
        <v>68</v>
      </c>
      <c r="J41" s="11">
        <f>IF(J$3=0,"",SUMIFS(INDEX(Inputs!$D$4:$AG$150,0,MATCH(J$2,Inputs!$D$2:$AG$2,0)),Inputs!$B$4:$B$150,$B41)/1000)</f>
        <v>65</v>
      </c>
      <c r="K41" s="11">
        <f>IF(K$3=0,"",SUMIFS(INDEX(Inputs!$D$4:$AG$150,0,MATCH(K$2,Inputs!$D$2:$AG$2,0)),Inputs!$B$4:$B$150,$B41)/1000)</f>
        <v>62</v>
      </c>
      <c r="L41" s="11">
        <f>IF(L$3=0,"",SUMIFS(INDEX(Inputs!$D$4:$AG$150,0,MATCH(L$2,Inputs!$D$2:$AG$2,0)),Inputs!$B$4:$B$150,$B41)/1000)</f>
        <v>58</v>
      </c>
      <c r="M41" s="12">
        <f>IF(L41="","",L41)</f>
        <v>58</v>
      </c>
      <c r="N41" s="11">
        <f>IF(N$3=0,"",SUMIFS(INDEX(Inputs!$D$4:$AG$150,0,MATCH(N$2,Inputs!$D$2:$AG$2,0)),Inputs!$B$4:$B$150,$B41)/1000)</f>
        <v>56</v>
      </c>
      <c r="O41" s="11">
        <f>IF(O$3=0,"",SUMIFS(INDEX(Inputs!$D$4:$AG$150,0,MATCH(O$2,Inputs!$D$2:$AG$2,0)),Inputs!$B$4:$B$150,$B41)/1000)</f>
        <v>53</v>
      </c>
      <c r="P41" s="11">
        <f>IF(P$3=0,"",SUMIFS(INDEX(Inputs!$D$4:$AG$150,0,MATCH(P$2,Inputs!$D$2:$AG$2,0)),Inputs!$B$4:$B$150,$B41)/1000)</f>
        <v>49</v>
      </c>
      <c r="Q41" s="11">
        <f>IF(Q$3=0,"",SUMIFS(INDEX(Inputs!$D$4:$AG$150,0,MATCH(Q$2,Inputs!$D$2:$AG$2,0)),Inputs!$B$4:$B$150,$B41)/1000)</f>
        <v>46</v>
      </c>
      <c r="R41" s="12">
        <f>IF(Q41="","",Q41)</f>
        <v>46</v>
      </c>
      <c r="S41" s="11">
        <f>IF(S$3=0,"",SUMIFS(INDEX(Inputs!$D$4:$AG$150,0,MATCH(S$2,Inputs!$D$2:$AG$2,0)),Inputs!$B$4:$B$150,$B41)/1000)</f>
        <v>43</v>
      </c>
      <c r="T41" s="11">
        <f>IF(T$3=0,"",SUMIFS(INDEX(Inputs!$D$4:$AG$150,0,MATCH(T$2,Inputs!$D$2:$AG$2,0)),Inputs!$B$4:$B$150,$B41)/1000)</f>
        <v>39</v>
      </c>
      <c r="U41" s="11">
        <f>IF(U$3=0,"",SUMIFS(INDEX(Inputs!$D$4:$AG$150,0,MATCH(U$2,Inputs!$D$2:$AG$2,0)),Inputs!$B$4:$B$150,$B41)/1000)</f>
        <v>35</v>
      </c>
      <c r="V41" s="11">
        <f>IF(V$3=0,"",SUMIFS(INDEX(Inputs!$D$4:$AG$150,0,MATCH(V$2,Inputs!$D$2:$AG$2,0)),Inputs!$B$4:$B$150,$B41)/1000)</f>
        <v>30</v>
      </c>
      <c r="W41" s="12">
        <f>IF(V41="","",V41)</f>
        <v>30</v>
      </c>
      <c r="X41" s="11">
        <f>IF(X$3=0,"",SUMIFS(INDEX(Inputs!$D$4:$AG$150,0,MATCH(X$2,Inputs!$D$2:$AG$2,0)),Inputs!$B$4:$B$150,$B41)/1000)</f>
        <v>25</v>
      </c>
      <c r="Y41" s="11">
        <f>IF(Y$3=0,"",SUMIFS(INDEX(Inputs!$D$4:$AG$150,0,MATCH(Y$2,Inputs!$D$2:$AG$2,0)),Inputs!$B$4:$B$150,$B41)/1000)</f>
        <v>21</v>
      </c>
      <c r="Z41" s="11">
        <f>IF(Z$3=0,"",SUMIFS(INDEX(Inputs!$D$4:$AG$150,0,MATCH(Z$2,Inputs!$D$2:$AG$2,0)),Inputs!$B$4:$B$150,$B41)/1000)</f>
        <v>15</v>
      </c>
      <c r="AA41" s="11">
        <f>IF(AA$3=0,"",SUMIFS(INDEX(Inputs!$D$4:$AG$150,0,MATCH(AA$2,Inputs!$D$2:$AG$2,0)),Inputs!$B$4:$B$150,$B41)/1000)</f>
        <v>9</v>
      </c>
      <c r="AB41" s="12">
        <f>IF(AA41="","",AA41)</f>
        <v>9</v>
      </c>
      <c r="AC41" s="11">
        <f>IF(AC$3=0,"",SUMIFS(INDEX(Inputs!$D$4:$AG$150,0,MATCH(AC$2,Inputs!$D$2:$AG$2,0)),Inputs!$B$4:$B$150,$B41)/1000)</f>
        <v>3</v>
      </c>
      <c r="AD41" s="11">
        <f>IF(AD$3=0,"",SUMIFS(INDEX(Inputs!$D$4:$AG$150,0,MATCH(AD$2,Inputs!$D$2:$AG$2,0)),Inputs!$B$4:$B$150,$B41)/1000)</f>
        <v>-5</v>
      </c>
      <c r="AE41" s="11" t="str">
        <f>IF(AE$3=0,"",SUMIFS(INDEX(Inputs!$D$4:$AG$150,0,MATCH(AE$2,Inputs!$D$2:$AG$2,0)),Inputs!$B$4:$B$150,$B41)/1000)</f>
        <v/>
      </c>
      <c r="AF41" s="11" t="str">
        <f>IF(AF$3=0,"",SUMIFS(INDEX(Inputs!$D$4:$AG$150,0,MATCH(AF$2,Inputs!$D$2:$AG$2,0)),Inputs!$B$4:$B$150,$B41)/1000)</f>
        <v/>
      </c>
      <c r="AG41" s="12" t="str">
        <f>IF(AF41="","",AF41)</f>
        <v/>
      </c>
    </row>
    <row r="42">
      <c r="B42" s="9" t="n">
        <v>36</v>
      </c>
      <c r="C42" s="14" t="inlineStr">
        <is>
          <t>Convertible Preferred Stock</t>
        </is>
      </c>
      <c r="D42" s="11">
        <f>IF(D$3=0,"",SUMIFS(INDEX(Inputs!$D$4:$AG$150,0,MATCH(D$2,Inputs!$D$2:$AG$2,0)),Inputs!$B$4:$B$150,$B42)/1000)</f>
        <v>0</v>
      </c>
      <c r="E42" s="11">
        <f>IF(E$3=0,"",SUMIFS(INDEX(Inputs!$D$4:$AG$150,0,MATCH(E$2,Inputs!$D$2:$AG$2,0)),Inputs!$B$4:$B$150,$B42)/1000)</f>
        <v>0</v>
      </c>
      <c r="F42" s="11">
        <f>IF(F$3=0,"",SUMIFS(INDEX(Inputs!$D$4:$AG$150,0,MATCH(F$2,Inputs!$D$2:$AG$2,0)),Inputs!$B$4:$B$150,$B42)/1000)</f>
        <v>0</v>
      </c>
      <c r="G42" s="11">
        <f>IF(G$3=0,"",SUMIFS(INDEX(Inputs!$D$4:$AG$150,0,MATCH(G$2,Inputs!$D$2:$AG$2,0)),Inputs!$B$4:$B$150,$B42)/1000)</f>
        <v>0</v>
      </c>
      <c r="H42" s="12">
        <f>IF(G42="","",G42)</f>
        <v>0</v>
      </c>
      <c r="I42" s="11">
        <f>IF(I$3=0,"",SUMIFS(INDEX(Inputs!$D$4:$AG$150,0,MATCH(I$2,Inputs!$D$2:$AG$2,0)),Inputs!$B$4:$B$150,$B42)/1000)</f>
        <v>0</v>
      </c>
      <c r="J42" s="11">
        <f>IF(J$3=0,"",SUMIFS(INDEX(Inputs!$D$4:$AG$150,0,MATCH(J$2,Inputs!$D$2:$AG$2,0)),Inputs!$B$4:$B$150,$B42)/1000)</f>
        <v>0</v>
      </c>
      <c r="K42" s="11">
        <f>IF(K$3=0,"",SUMIFS(INDEX(Inputs!$D$4:$AG$150,0,MATCH(K$2,Inputs!$D$2:$AG$2,0)),Inputs!$B$4:$B$150,$B42)/1000)</f>
        <v>0</v>
      </c>
      <c r="L42" s="11">
        <f>IF(L$3=0,"",SUMIFS(INDEX(Inputs!$D$4:$AG$150,0,MATCH(L$2,Inputs!$D$2:$AG$2,0)),Inputs!$B$4:$B$150,$B42)/1000)</f>
        <v>0</v>
      </c>
      <c r="M42" s="12">
        <f>IF(L42="","",L42)</f>
        <v>0</v>
      </c>
      <c r="N42" s="11">
        <f>IF(N$3=0,"",SUMIFS(INDEX(Inputs!$D$4:$AG$150,0,MATCH(N$2,Inputs!$D$2:$AG$2,0)),Inputs!$B$4:$B$150,$B42)/1000)</f>
        <v>0</v>
      </c>
      <c r="O42" s="11">
        <f>IF(O$3=0,"",SUMIFS(INDEX(Inputs!$D$4:$AG$150,0,MATCH(O$2,Inputs!$D$2:$AG$2,0)),Inputs!$B$4:$B$150,$B42)/1000)</f>
        <v>0</v>
      </c>
      <c r="P42" s="11">
        <f>IF(P$3=0,"",SUMIFS(INDEX(Inputs!$D$4:$AG$150,0,MATCH(P$2,Inputs!$D$2:$AG$2,0)),Inputs!$B$4:$B$150,$B42)/1000)</f>
        <v>0</v>
      </c>
      <c r="Q42" s="11">
        <f>IF(Q$3=0,"",SUMIFS(INDEX(Inputs!$D$4:$AG$150,0,MATCH(Q$2,Inputs!$D$2:$AG$2,0)),Inputs!$B$4:$B$150,$B42)/1000)</f>
        <v>0</v>
      </c>
      <c r="R42" s="12">
        <f>IF(Q42="","",Q42)</f>
        <v>0</v>
      </c>
      <c r="S42" s="11">
        <f>IF(S$3=0,"",SUMIFS(INDEX(Inputs!$D$4:$AG$150,0,MATCH(S$2,Inputs!$D$2:$AG$2,0)),Inputs!$B$4:$B$150,$B42)/1000)</f>
        <v>0</v>
      </c>
      <c r="T42" s="11">
        <f>IF(T$3=0,"",SUMIFS(INDEX(Inputs!$D$4:$AG$150,0,MATCH(T$2,Inputs!$D$2:$AG$2,0)),Inputs!$B$4:$B$150,$B42)/1000)</f>
        <v>0</v>
      </c>
      <c r="U42" s="11">
        <f>IF(U$3=0,"",SUMIFS(INDEX(Inputs!$D$4:$AG$150,0,MATCH(U$2,Inputs!$D$2:$AG$2,0)),Inputs!$B$4:$B$150,$B42)/1000)</f>
        <v>0</v>
      </c>
      <c r="V42" s="11">
        <f>IF(V$3=0,"",SUMIFS(INDEX(Inputs!$D$4:$AG$150,0,MATCH(V$2,Inputs!$D$2:$AG$2,0)),Inputs!$B$4:$B$150,$B42)/1000)</f>
        <v>0</v>
      </c>
      <c r="W42" s="12">
        <f>IF(V42="","",V42)</f>
        <v>0</v>
      </c>
      <c r="X42" s="11">
        <f>IF(X$3=0,"",SUMIFS(INDEX(Inputs!$D$4:$AG$150,0,MATCH(X$2,Inputs!$D$2:$AG$2,0)),Inputs!$B$4:$B$150,$B42)/1000)</f>
        <v>0</v>
      </c>
      <c r="Y42" s="11">
        <f>IF(Y$3=0,"",SUMIFS(INDEX(Inputs!$D$4:$AG$150,0,MATCH(Y$2,Inputs!$D$2:$AG$2,0)),Inputs!$B$4:$B$150,$B42)/1000)</f>
        <v>0</v>
      </c>
      <c r="Z42" s="11">
        <f>IF(Z$3=0,"",SUMIFS(INDEX(Inputs!$D$4:$AG$150,0,MATCH(Z$2,Inputs!$D$2:$AG$2,0)),Inputs!$B$4:$B$150,$B42)/1000)</f>
        <v>0</v>
      </c>
      <c r="AA42" s="11">
        <f>IF(AA$3=0,"",SUMIFS(INDEX(Inputs!$D$4:$AG$150,0,MATCH(AA$2,Inputs!$D$2:$AG$2,0)),Inputs!$B$4:$B$150,$B42)/1000)</f>
        <v>0</v>
      </c>
      <c r="AB42" s="12">
        <f>IF(AA42="","",AA42)</f>
        <v>0</v>
      </c>
      <c r="AC42" s="11">
        <f>IF(AC$3=0,"",SUMIFS(INDEX(Inputs!$D$4:$AG$150,0,MATCH(AC$2,Inputs!$D$2:$AG$2,0)),Inputs!$B$4:$B$150,$B42)/1000)</f>
        <v>0</v>
      </c>
      <c r="AD42" s="11">
        <f>IF(AD$3=0,"",SUMIFS(INDEX(Inputs!$D$4:$AG$150,0,MATCH(AD$2,Inputs!$D$2:$AG$2,0)),Inputs!$B$4:$B$150,$B42)/1000)</f>
        <v>0</v>
      </c>
      <c r="AE42" s="11" t="str">
        <f>IF(AE$3=0,"",SUMIFS(INDEX(Inputs!$D$4:$AG$150,0,MATCH(AE$2,Inputs!$D$2:$AG$2,0)),Inputs!$B$4:$B$150,$B42)/1000)</f>
        <v/>
      </c>
      <c r="AF42" s="11" t="str">
        <f>IF(AF$3=0,"",SUMIFS(INDEX(Inputs!$D$4:$AG$150,0,MATCH(AF$2,Inputs!$D$2:$AG$2,0)),Inputs!$B$4:$B$150,$B42)/1000)</f>
        <v/>
      </c>
      <c r="AG42" s="12" t="str">
        <f>IF(AF42="","",AF42)</f>
        <v/>
      </c>
    </row>
    <row r="43">
      <c r="B43" s="9" t="n">
        <v>37</v>
      </c>
      <c r="C43" s="13" t="inlineStr">
        <is>
          <t>Common Stock and APIC</t>
        </is>
      </c>
      <c r="D43" s="11">
        <f>IF(D$3=0,"",SUMIFS(INDEX(Inputs!$D$4:$AG$150,0,MATCH(D$2,Inputs!$D$2:$AG$2,0)),Inputs!$B$4:$B$150,$B43)/1000)</f>
        <v>4949</v>
      </c>
      <c r="E43" s="11">
        <f>IF(E$3=0,"",SUMIFS(INDEX(Inputs!$D$4:$AG$150,0,MATCH(E$2,Inputs!$D$2:$AG$2,0)),Inputs!$B$4:$B$150,$B43)/1000)</f>
        <v>5053</v>
      </c>
      <c r="F43" s="11">
        <f>IF(F$3=0,"",SUMIFS(INDEX(Inputs!$D$4:$AG$150,0,MATCH(F$2,Inputs!$D$2:$AG$2,0)),Inputs!$B$4:$B$150,$B43)/1000)</f>
        <v>5026</v>
      </c>
      <c r="G43" s="11">
        <f>IF(G$3=0,"",SUMIFS(INDEX(Inputs!$D$4:$AG$150,0,MATCH(G$2,Inputs!$D$2:$AG$2,0)),Inputs!$B$4:$B$150,$B43)/1000)</f>
        <v>5061</v>
      </c>
      <c r="H43" s="12">
        <f>IF(G43="","",G43)</f>
        <v>5061</v>
      </c>
      <c r="I43" s="11">
        <f>IF(I$3=0,"",SUMIFS(INDEX(Inputs!$D$4:$AG$150,0,MATCH(I$2,Inputs!$D$2:$AG$2,0)),Inputs!$B$4:$B$150,$B43)/1000)</f>
        <v>5026</v>
      </c>
      <c r="J43" s="11">
        <f>IF(J$3=0,"",SUMIFS(INDEX(Inputs!$D$4:$AG$150,0,MATCH(J$2,Inputs!$D$2:$AG$2,0)),Inputs!$B$4:$B$150,$B43)/1000)</f>
        <v>5163</v>
      </c>
      <c r="K43" s="11">
        <f>IF(K$3=0,"",SUMIFS(INDEX(Inputs!$D$4:$AG$150,0,MATCH(K$2,Inputs!$D$2:$AG$2,0)),Inputs!$B$4:$B$150,$B43)/1000)</f>
        <v>5269</v>
      </c>
      <c r="L43" s="11">
        <f>IF(L$3=0,"",SUMIFS(INDEX(Inputs!$D$4:$AG$150,0,MATCH(L$2,Inputs!$D$2:$AG$2,0)),Inputs!$B$4:$B$150,$B43)/1000)</f>
        <v>5298</v>
      </c>
      <c r="M43" s="12">
        <f>IF(L43="","",L43)</f>
        <v>5298</v>
      </c>
      <c r="N43" s="11">
        <f>IF(N$3=0,"",SUMIFS(INDEX(Inputs!$D$4:$AG$150,0,MATCH(N$2,Inputs!$D$2:$AG$2,0)),Inputs!$B$4:$B$150,$B43)/1000)</f>
        <v>5376</v>
      </c>
      <c r="O43" s="11">
        <f>IF(O$3=0,"",SUMIFS(INDEX(Inputs!$D$4:$AG$150,0,MATCH(O$2,Inputs!$D$2:$AG$2,0)),Inputs!$B$4:$B$150,$B43)/1000)</f>
        <v>5622</v>
      </c>
      <c r="P43" s="11">
        <f>IF(P$3=0,"",SUMIFS(INDEX(Inputs!$D$4:$AG$150,0,MATCH(P$2,Inputs!$D$2:$AG$2,0)),Inputs!$B$4:$B$150,$B43)/1000)</f>
        <v>5791</v>
      </c>
      <c r="Q43" s="11">
        <f>IF(Q$3=0,"",SUMIFS(INDEX(Inputs!$D$4:$AG$150,0,MATCH(Q$2,Inputs!$D$2:$AG$2,0)),Inputs!$B$4:$B$150,$B43)/1000)</f>
        <v>5893</v>
      </c>
      <c r="R43" s="12">
        <f>IF(Q43="","",Q43)</f>
        <v>5893</v>
      </c>
      <c r="S43" s="11">
        <f>IF(S$3=0,"",SUMIFS(INDEX(Inputs!$D$4:$AG$150,0,MATCH(S$2,Inputs!$D$2:$AG$2,0)),Inputs!$B$4:$B$150,$B43)/1000)</f>
        <v>5920</v>
      </c>
      <c r="T43" s="11">
        <f>IF(T$3=0,"",SUMIFS(INDEX(Inputs!$D$4:$AG$150,0,MATCH(T$2,Inputs!$D$2:$AG$2,0)),Inputs!$B$4:$B$150,$B43)/1000)</f>
        <v>6089</v>
      </c>
      <c r="U43" s="11">
        <f>IF(U$3=0,"",SUMIFS(INDEX(Inputs!$D$4:$AG$150,0,MATCH(U$2,Inputs!$D$2:$AG$2,0)),Inputs!$B$4:$B$150,$B43)/1000)</f>
        <v>6290</v>
      </c>
      <c r="V43" s="11">
        <f>IF(V$3=0,"",SUMIFS(INDEX(Inputs!$D$4:$AG$150,0,MATCH(V$2,Inputs!$D$2:$AG$2,0)),Inputs!$B$4:$B$150,$B43)/1000)</f>
        <v>6442</v>
      </c>
      <c r="W43" s="12">
        <f>IF(V43="","",V43)</f>
        <v>6442</v>
      </c>
      <c r="X43" s="11">
        <f>IF(X$3=0,"",SUMIFS(INDEX(Inputs!$D$4:$AG$150,0,MATCH(X$2,Inputs!$D$2:$AG$2,0)),Inputs!$B$4:$B$150,$B43)/1000)</f>
        <v>6326</v>
      </c>
      <c r="Y43" s="11">
        <f>IF(Y$3=0,"",SUMIFS(INDEX(Inputs!$D$4:$AG$150,0,MATCH(Y$2,Inputs!$D$2:$AG$2,0)),Inputs!$B$4:$B$150,$B43)/1000)</f>
        <v>6562</v>
      </c>
      <c r="Z43" s="11">
        <f>IF(Z$3=0,"",SUMIFS(INDEX(Inputs!$D$4:$AG$150,0,MATCH(Z$2,Inputs!$D$2:$AG$2,0)),Inputs!$B$4:$B$150,$B43)/1000)</f>
        <v>6757</v>
      </c>
      <c r="AA43" s="11">
        <f>IF(AA$3=0,"",SUMIFS(INDEX(Inputs!$D$4:$AG$150,0,MATCH(AA$2,Inputs!$D$2:$AG$2,0)),Inputs!$B$4:$B$150,$B43)/1000)</f>
        <v>6907</v>
      </c>
      <c r="AB43" s="12">
        <f>IF(AA43="","",AA43)</f>
        <v>6907</v>
      </c>
      <c r="AC43" s="11">
        <f>IF(AC$3=0,"",SUMIFS(INDEX(Inputs!$D$4:$AG$150,0,MATCH(AC$2,Inputs!$D$2:$AG$2,0)),Inputs!$B$4:$B$150,$B43)/1000)</f>
        <v>6843</v>
      </c>
      <c r="AD43" s="11">
        <f>IF(AD$3=0,"",SUMIFS(INDEX(Inputs!$D$4:$AG$150,0,MATCH(AD$2,Inputs!$D$2:$AG$2,0)),Inputs!$B$4:$B$150,$B43)/1000)</f>
        <v>7070</v>
      </c>
      <c r="AE43" s="11" t="str">
        <f>IF(AE$3=0,"",SUMIFS(INDEX(Inputs!$D$4:$AG$150,0,MATCH(AE$2,Inputs!$D$2:$AG$2,0)),Inputs!$B$4:$B$150,$B43)/1000)</f>
        <v/>
      </c>
      <c r="AF43" s="11" t="str">
        <f>IF(AF$3=0,"",SUMIFS(INDEX(Inputs!$D$4:$AG$150,0,MATCH(AF$2,Inputs!$D$2:$AG$2,0)),Inputs!$B$4:$B$150,$B43)/1000)</f>
        <v/>
      </c>
      <c r="AG43" s="12" t="str">
        <f>IF(AF43="","",AF43)</f>
        <v/>
      </c>
    </row>
    <row r="44">
      <c r="B44" s="9" t="n">
        <v>38</v>
      </c>
      <c r="C44" s="14" t="inlineStr">
        <is>
          <t>Treasury stock (contra account)</t>
        </is>
      </c>
      <c r="D44" s="11">
        <f>IF(D$3=0,"",SUMIFS(INDEX(Inputs!$D$4:$AG$150,0,MATCH(D$2,Inputs!$D$2:$AG$2,0)),Inputs!$B$4:$B$150,$B44)/1000)</f>
        <v>-38024</v>
      </c>
      <c r="E44" s="11">
        <f>IF(E$3=0,"",SUMIFS(INDEX(Inputs!$D$4:$AG$150,0,MATCH(E$2,Inputs!$D$2:$AG$2,0)),Inputs!$B$4:$B$150,$B44)/1000)</f>
        <v>-39729</v>
      </c>
      <c r="F44" s="11">
        <f>IF(F$3=0,"",SUMIFS(INDEX(Inputs!$D$4:$AG$150,0,MATCH(F$2,Inputs!$D$2:$AG$2,0)),Inputs!$B$4:$B$150,$B44)/1000)</f>
        <v>-41282</v>
      </c>
      <c r="G44" s="11">
        <f>IF(G$3=0,"",SUMIFS(INDEX(Inputs!$D$4:$AG$150,0,MATCH(G$2,Inputs!$D$2:$AG$2,0)),Inputs!$B$4:$B$150,$B44)/1000)</f>
        <v>-42588</v>
      </c>
      <c r="H44" s="12">
        <f>IF(G44="","",G44)</f>
        <v>-42588</v>
      </c>
      <c r="I44" s="11">
        <f>IF(I$3=0,"",SUMIFS(INDEX(Inputs!$D$4:$AG$150,0,MATCH(I$2,Inputs!$D$2:$AG$2,0)),Inputs!$B$4:$B$150,$B44)/1000)</f>
        <v>-44994</v>
      </c>
      <c r="J44" s="11">
        <f>IF(J$3=0,"",SUMIFS(INDEX(Inputs!$D$4:$AG$150,0,MATCH(J$2,Inputs!$D$2:$AG$2,0)),Inputs!$B$4:$B$150,$B44)/1000)</f>
        <v>-47359</v>
      </c>
      <c r="K44" s="11">
        <f>IF(K$3=0,"",SUMIFS(INDEX(Inputs!$D$4:$AG$150,0,MATCH(K$2,Inputs!$D$2:$AG$2,0)),Inputs!$B$4:$B$150,$B44)/1000)</f>
        <v>-48916</v>
      </c>
      <c r="L44" s="11">
        <f>IF(L$3=0,"",SUMIFS(INDEX(Inputs!$D$4:$AG$150,0,MATCH(L$2,Inputs!$D$2:$AG$2,0)),Inputs!$B$4:$B$150,$B44)/1000)</f>
        <v>-51354</v>
      </c>
      <c r="M44" s="12">
        <f>IF(L44="","",L44)</f>
        <v>-51354</v>
      </c>
      <c r="N44" s="11">
        <f>IF(N$3=0,"",SUMIFS(INDEX(Inputs!$D$4:$AG$150,0,MATCH(N$2,Inputs!$D$2:$AG$2,0)),Inputs!$B$4:$B$150,$B44)/1000)</f>
        <v>-54241</v>
      </c>
      <c r="O44" s="11">
        <f>IF(O$3=0,"",SUMIFS(INDEX(Inputs!$D$4:$AG$150,0,MATCH(O$2,Inputs!$D$2:$AG$2,0)),Inputs!$B$4:$B$150,$B44)/1000)</f>
        <v>-56659</v>
      </c>
      <c r="P44" s="11">
        <f>IF(P$3=0,"",SUMIFS(INDEX(Inputs!$D$4:$AG$150,0,MATCH(P$2,Inputs!$D$2:$AG$2,0)),Inputs!$B$4:$B$150,$B44)/1000)</f>
        <v>-58573</v>
      </c>
      <c r="Q44" s="11">
        <f>IF(Q$3=0,"",SUMIFS(INDEX(Inputs!$D$4:$AG$150,0,MATCH(Q$2,Inputs!$D$2:$AG$2,0)),Inputs!$B$4:$B$150,$B44)/1000)</f>
        <v>-60429</v>
      </c>
      <c r="R44" s="12">
        <f>IF(Q44="","",Q44)</f>
        <v>-60429</v>
      </c>
      <c r="S44" s="11">
        <f>IF(S$3=0,"",SUMIFS(INDEX(Inputs!$D$4:$AG$150,0,MATCH(S$2,Inputs!$D$2:$AG$2,0)),Inputs!$B$4:$B$150,$B44)/1000)</f>
        <v>-62434</v>
      </c>
      <c r="T44" s="11">
        <f>IF(T$3=0,"",SUMIFS(INDEX(Inputs!$D$4:$AG$150,0,MATCH(T$2,Inputs!$D$2:$AG$2,0)),Inputs!$B$4:$B$150,$B44)/1000)</f>
        <v>-65067</v>
      </c>
      <c r="U44" s="11">
        <f>IF(U$3=0,"",SUMIFS(INDEX(Inputs!$D$4:$AG$150,0,MATCH(U$2,Inputs!$D$2:$AG$2,0)),Inputs!$B$4:$B$150,$B44)/1000)</f>
        <v>-68035</v>
      </c>
      <c r="V44" s="11">
        <f>IF(V$3=0,"",SUMIFS(INDEX(Inputs!$D$4:$AG$150,0,MATCH(V$2,Inputs!$D$2:$AG$2,0)),Inputs!$B$4:$B$150,$B44)/1000)</f>
        <v>-71431</v>
      </c>
      <c r="W44" s="12">
        <f>IF(V44="","",V44)</f>
        <v>-71431</v>
      </c>
      <c r="X44" s="11">
        <f>IF(X$3=0,"",SUMIFS(INDEX(Inputs!$D$4:$AG$150,0,MATCH(X$2,Inputs!$D$2:$AG$2,0)),Inputs!$B$4:$B$150,$B44)/1000)</f>
        <v>-73995</v>
      </c>
      <c r="Y44" s="11">
        <f>IF(Y$3=0,"",SUMIFS(INDEX(Inputs!$D$4:$AG$150,0,MATCH(Y$2,Inputs!$D$2:$AG$2,0)),Inputs!$B$4:$B$150,$B44)/1000)</f>
        <v>-76299</v>
      </c>
      <c r="Z44" s="11">
        <f>IF(Z$3=0,"",SUMIFS(INDEX(Inputs!$D$4:$AG$150,0,MATCH(Z$2,Inputs!$D$2:$AG$2,0)),Inputs!$B$4:$B$150,$B44)/1000)</f>
        <v>-79670</v>
      </c>
      <c r="AA44" s="11">
        <f>IF(AA$3=0,"",SUMIFS(INDEX(Inputs!$D$4:$AG$150,0,MATCH(AA$2,Inputs!$D$2:$AG$2,0)),Inputs!$B$4:$B$150,$B44)/1000)</f>
        <v>-83224</v>
      </c>
      <c r="AB44" s="12">
        <f>IF(AA44="","",AA44)</f>
        <v>-83224</v>
      </c>
      <c r="AC44" s="11">
        <f>IF(AC$3=0,"",SUMIFS(INDEX(Inputs!$D$4:$AG$150,0,MATCH(AC$2,Inputs!$D$2:$AG$2,0)),Inputs!$B$4:$B$150,$B44)/1000)</f>
        <v>-87342</v>
      </c>
      <c r="AD44" s="11">
        <f>IF(AD$3=0,"",SUMIFS(INDEX(Inputs!$D$4:$AG$150,0,MATCH(AD$2,Inputs!$D$2:$AG$2,0)),Inputs!$B$4:$B$150,$B44)/1000)</f>
        <v>-92226</v>
      </c>
      <c r="AE44" s="11" t="str">
        <f>IF(AE$3=0,"",SUMIFS(INDEX(Inputs!$D$4:$AG$150,0,MATCH(AE$2,Inputs!$D$2:$AG$2,0)),Inputs!$B$4:$B$150,$B44)/1000)</f>
        <v/>
      </c>
      <c r="AF44" s="11" t="str">
        <f>IF(AF$3=0,"",SUMIFS(INDEX(Inputs!$D$4:$AG$150,0,MATCH(AF$2,Inputs!$D$2:$AG$2,0)),Inputs!$B$4:$B$150,$B44)/1000)</f>
        <v/>
      </c>
      <c r="AG44" s="12" t="str">
        <f>IF(AF44="","",AF44)</f>
        <v/>
      </c>
    </row>
    <row r="45">
      <c r="B45" s="9" t="n">
        <v>39</v>
      </c>
      <c r="C45" s="14" t="inlineStr">
        <is>
          <t>Comprehensive (accumulated) loss</t>
        </is>
      </c>
      <c r="D45" s="11">
        <f>IF(D$3=0,"",SUMIFS(INDEX(Inputs!$D$4:$AG$150,0,MATCH(D$2,Inputs!$D$2:$AG$2,0)),Inputs!$B$4:$B$150,$B45)/1000)</f>
        <v>-738</v>
      </c>
      <c r="E45" s="11">
        <f>IF(E$3=0,"",SUMIFS(INDEX(Inputs!$D$4:$AG$150,0,MATCH(E$2,Inputs!$D$2:$AG$2,0)),Inputs!$B$4:$B$150,$B45)/1000)</f>
        <v>-653</v>
      </c>
      <c r="F45" s="11">
        <f>IF(F$3=0,"",SUMIFS(INDEX(Inputs!$D$4:$AG$150,0,MATCH(F$2,Inputs!$D$2:$AG$2,0)),Inputs!$B$4:$B$150,$B45)/1000)</f>
        <v>-791</v>
      </c>
      <c r="G45" s="11">
        <f>IF(G$3=0,"",SUMIFS(INDEX(Inputs!$D$4:$AG$150,0,MATCH(G$2,Inputs!$D$2:$AG$2,0)),Inputs!$B$4:$B$150,$B45)/1000)</f>
        <v>-809</v>
      </c>
      <c r="H45" s="12">
        <f>IF(G45="","",G45)</f>
        <v>-809</v>
      </c>
      <c r="I45" s="11">
        <f>IF(I$3=0,"",SUMIFS(INDEX(Inputs!$D$4:$AG$150,0,MATCH(I$2,Inputs!$D$2:$AG$2,0)),Inputs!$B$4:$B$150,$B45)/1000)</f>
        <v>-798</v>
      </c>
      <c r="J45" s="11">
        <f>IF(J$3=0,"",SUMIFS(INDEX(Inputs!$D$4:$AG$150,0,MATCH(J$2,Inputs!$D$2:$AG$2,0)),Inputs!$B$4:$B$150,$B45)/1000)</f>
        <v>-1232</v>
      </c>
      <c r="K45" s="11">
        <f>IF(K$3=0,"",SUMIFS(INDEX(Inputs!$D$4:$AG$150,0,MATCH(K$2,Inputs!$D$2:$AG$2,0)),Inputs!$B$4:$B$150,$B45)/1000)</f>
        <v>-1617</v>
      </c>
      <c r="L45" s="11">
        <f>IF(L$3=0,"",SUMIFS(INDEX(Inputs!$D$4:$AG$150,0,MATCH(L$2,Inputs!$D$2:$AG$2,0)),Inputs!$B$4:$B$150,$B45)/1000)</f>
        <v>-1253</v>
      </c>
      <c r="M45" s="12">
        <f>IF(L45="","",L45)</f>
        <v>-1253</v>
      </c>
      <c r="N45" s="11">
        <f>IF(N$3=0,"",SUMIFS(INDEX(Inputs!$D$4:$AG$150,0,MATCH(N$2,Inputs!$D$2:$AG$2,0)),Inputs!$B$4:$B$150,$B45)/1000)</f>
        <v>-1229</v>
      </c>
      <c r="O45" s="11">
        <f>IF(O$3=0,"",SUMIFS(INDEX(Inputs!$D$4:$AG$150,0,MATCH(O$2,Inputs!$D$2:$AG$2,0)),Inputs!$B$4:$B$150,$B45)/1000)</f>
        <v>-1189</v>
      </c>
      <c r="P45" s="11">
        <f>IF(P$3=0,"",SUMIFS(INDEX(Inputs!$D$4:$AG$150,0,MATCH(P$2,Inputs!$D$2:$AG$2,0)),Inputs!$B$4:$B$150,$B45)/1000)</f>
        <v>-1297</v>
      </c>
      <c r="Q45" s="11">
        <f>IF(Q$3=0,"",SUMIFS(INDEX(Inputs!$D$4:$AG$150,0,MATCH(Q$2,Inputs!$D$2:$AG$2,0)),Inputs!$B$4:$B$150,$B45)/1000)</f>
        <v>-1099</v>
      </c>
      <c r="R45" s="12">
        <f>IF(Q45="","",Q45)</f>
        <v>-1099</v>
      </c>
      <c r="S45" s="11">
        <f>IF(S$3=0,"",SUMIFS(INDEX(Inputs!$D$4:$AG$150,0,MATCH(S$2,Inputs!$D$2:$AG$2,0)),Inputs!$B$4:$B$150,$B45)/1000)</f>
        <v>-1202</v>
      </c>
      <c r="T45" s="11">
        <f>IF(T$3=0,"",SUMIFS(INDEX(Inputs!$D$4:$AG$150,0,MATCH(T$2,Inputs!$D$2:$AG$2,0)),Inputs!$B$4:$B$150,$B45)/1000)</f>
        <v>-1205</v>
      </c>
      <c r="U45" s="11">
        <f>IF(U$3=0,"",SUMIFS(INDEX(Inputs!$D$4:$AG$150,0,MATCH(U$2,Inputs!$D$2:$AG$2,0)),Inputs!$B$4:$B$150,$B45)/1000)</f>
        <v>-1073</v>
      </c>
      <c r="V45" s="11">
        <f>IF(V$3=0,"",SUMIFS(INDEX(Inputs!$D$4:$AG$150,0,MATCH(V$2,Inputs!$D$2:$AG$2,0)),Inputs!$B$4:$B$150,$B45)/1000)</f>
        <v>-1433</v>
      </c>
      <c r="W45" s="12">
        <f>IF(V45="","",V45)</f>
        <v>-1433</v>
      </c>
      <c r="X45" s="11">
        <f>IF(X$3=0,"",SUMIFS(INDEX(Inputs!$D$4:$AG$150,0,MATCH(X$2,Inputs!$D$2:$AG$2,0)),Inputs!$B$4:$B$150,$B45)/1000)</f>
        <v>-1155</v>
      </c>
      <c r="Y45" s="11">
        <f>IF(Y$3=0,"",SUMIFS(INDEX(Inputs!$D$4:$AG$150,0,MATCH(Y$2,Inputs!$D$2:$AG$2,0)),Inputs!$B$4:$B$150,$B45)/1000)</f>
        <v>-919</v>
      </c>
      <c r="Z45" s="11">
        <f>IF(Z$3=0,"",SUMIFS(INDEX(Inputs!$D$4:$AG$150,0,MATCH(Z$2,Inputs!$D$2:$AG$2,0)),Inputs!$B$4:$B$150,$B45)/1000)</f>
        <v>-935</v>
      </c>
      <c r="AA45" s="11">
        <f>IF(AA$3=0,"",SUMIFS(INDEX(Inputs!$D$4:$AG$150,0,MATCH(AA$2,Inputs!$D$2:$AG$2,0)),Inputs!$B$4:$B$150,$B45)/1000)</f>
        <v>-981</v>
      </c>
      <c r="AB45" s="12">
        <f>IF(AA45="","",AA45)</f>
        <v>-981</v>
      </c>
      <c r="AC45" s="11">
        <f>IF(AC$3=0,"",SUMIFS(INDEX(Inputs!$D$4:$AG$150,0,MATCH(AC$2,Inputs!$D$2:$AG$2,0)),Inputs!$B$4:$B$150,$B45)/1000)</f>
        <v>-928</v>
      </c>
      <c r="AD45" s="11">
        <f>IF(AD$3=0,"",SUMIFS(INDEX(Inputs!$D$4:$AG$150,0,MATCH(AD$2,Inputs!$D$2:$AG$2,0)),Inputs!$B$4:$B$150,$B45)/1000)</f>
        <v>-1004</v>
      </c>
      <c r="AE45" s="11" t="str">
        <f>IF(AE$3=0,"",SUMIFS(INDEX(Inputs!$D$4:$AG$150,0,MATCH(AE$2,Inputs!$D$2:$AG$2,0)),Inputs!$B$4:$B$150,$B45)/1000)</f>
        <v/>
      </c>
      <c r="AF45" s="11" t="str">
        <f>IF(AF$3=0,"",SUMIFS(INDEX(Inputs!$D$4:$AG$150,0,MATCH(AF$2,Inputs!$D$2:$AG$2,0)),Inputs!$B$4:$B$150,$B45)/1000)</f>
        <v/>
      </c>
      <c r="AG45" s="12" t="str">
        <f>IF(AF45="","",AF45)</f>
        <v/>
      </c>
    </row>
    <row r="46">
      <c r="B46" s="9" t="n">
        <v>40</v>
      </c>
      <c r="C46" s="14" t="inlineStr">
        <is>
          <t>Other equity account</t>
        </is>
      </c>
      <c r="D46" s="11">
        <f>IF(D$3=0,"",SUMIFS(INDEX(Inputs!$D$4:$AG$150,0,MATCH(D$2,Inputs!$D$2:$AG$2,0)),Inputs!$B$4:$B$150,$B46)/1000)</f>
        <v>28</v>
      </c>
      <c r="E46" s="11">
        <f>IF(E$3=0,"",SUMIFS(INDEX(Inputs!$D$4:$AG$150,0,MATCH(E$2,Inputs!$D$2:$AG$2,0)),Inputs!$B$4:$B$150,$B46)/1000)</f>
        <v>29</v>
      </c>
      <c r="F46" s="11">
        <f>IF(F$3=0,"",SUMIFS(INDEX(Inputs!$D$4:$AG$150,0,MATCH(F$2,Inputs!$D$2:$AG$2,0)),Inputs!$B$4:$B$150,$B46)/1000)</f>
        <v>29</v>
      </c>
      <c r="G46" s="11">
        <f>IF(G$3=0,"",SUMIFS(INDEX(Inputs!$D$4:$AG$150,0,MATCH(G$2,Inputs!$D$2:$AG$2,0)),Inputs!$B$4:$B$150,$B46)/1000)</f>
        <v>29</v>
      </c>
      <c r="H46" s="12">
        <f>IF(G46="","",G46)</f>
        <v>29</v>
      </c>
      <c r="I46" s="11">
        <f>IF(I$3=0,"",SUMIFS(INDEX(Inputs!$D$4:$AG$150,0,MATCH(I$2,Inputs!$D$2:$AG$2,0)),Inputs!$B$4:$B$150,$B46)/1000)</f>
        <v>28</v>
      </c>
      <c r="J46" s="11">
        <f>IF(J$3=0,"",SUMIFS(INDEX(Inputs!$D$4:$AG$150,0,MATCH(J$2,Inputs!$D$2:$AG$2,0)),Inputs!$B$4:$B$150,$B46)/1000)</f>
        <v>26</v>
      </c>
      <c r="K46" s="11">
        <f>IF(K$3=0,"",SUMIFS(INDEX(Inputs!$D$4:$AG$150,0,MATCH(K$2,Inputs!$D$2:$AG$2,0)),Inputs!$B$4:$B$150,$B46)/1000)</f>
        <v>20</v>
      </c>
      <c r="L46" s="11">
        <f>IF(L$3=0,"",SUMIFS(INDEX(Inputs!$D$4:$AG$150,0,MATCH(L$2,Inputs!$D$2:$AG$2,0)),Inputs!$B$4:$B$150,$B46)/1000)</f>
        <v>21</v>
      </c>
      <c r="M46" s="12">
        <f>IF(L46="","",L46)</f>
        <v>21</v>
      </c>
      <c r="N46" s="11">
        <f>IF(N$3=0,"",SUMIFS(INDEX(Inputs!$D$4:$AG$150,0,MATCH(N$2,Inputs!$D$2:$AG$2,0)),Inputs!$B$4:$B$150,$B46)/1000)</f>
        <v>21</v>
      </c>
      <c r="O46" s="11">
        <f>IF(O$3=0,"",SUMIFS(INDEX(Inputs!$D$4:$AG$150,0,MATCH(O$2,Inputs!$D$2:$AG$2,0)),Inputs!$B$4:$B$150,$B46)/1000)</f>
        <v>22</v>
      </c>
      <c r="P46" s="11">
        <f>IF(P$3=0,"",SUMIFS(INDEX(Inputs!$D$4:$AG$150,0,MATCH(P$2,Inputs!$D$2:$AG$2,0)),Inputs!$B$4:$B$150,$B46)/1000)</f>
        <v>21</v>
      </c>
      <c r="Q46" s="11">
        <f>IF(Q$3=0,"",SUMIFS(INDEX(Inputs!$D$4:$AG$150,0,MATCH(Q$2,Inputs!$D$2:$AG$2,0)),Inputs!$B$4:$B$150,$B46)/1000)</f>
        <v>22</v>
      </c>
      <c r="R46" s="12">
        <f>IF(Q46="","",Q46)</f>
        <v>22</v>
      </c>
      <c r="S46" s="11">
        <f>IF(S$3=0,"",SUMIFS(INDEX(Inputs!$D$4:$AG$150,0,MATCH(S$2,Inputs!$D$2:$AG$2,0)),Inputs!$B$4:$B$150,$B46)/1000)</f>
        <v>22</v>
      </c>
      <c r="T46" s="11">
        <f>IF(T$3=0,"",SUMIFS(INDEX(Inputs!$D$4:$AG$150,0,MATCH(T$2,Inputs!$D$2:$AG$2,0)),Inputs!$B$4:$B$150,$B46)/1000)</f>
        <v>22</v>
      </c>
      <c r="U46" s="11">
        <f>IF(U$3=0,"",SUMIFS(INDEX(Inputs!$D$4:$AG$150,0,MATCH(U$2,Inputs!$D$2:$AG$2,0)),Inputs!$B$4:$B$150,$B46)/1000)</f>
        <v>23</v>
      </c>
      <c r="V46" s="11">
        <f>IF(V$3=0,"",SUMIFS(INDEX(Inputs!$D$4:$AG$150,0,MATCH(V$2,Inputs!$D$2:$AG$2,0)),Inputs!$B$4:$B$150,$B46)/1000)</f>
        <v>0</v>
      </c>
      <c r="W46" s="12">
        <f>IF(V46="","",V46)</f>
        <v>0</v>
      </c>
      <c r="X46" s="11">
        <f>IF(X$3=0,"",SUMIFS(INDEX(Inputs!$D$4:$AG$150,0,MATCH(X$2,Inputs!$D$2:$AG$2,0)),Inputs!$B$4:$B$150,$B46)/1000)</f>
        <v>0</v>
      </c>
      <c r="Y46" s="11">
        <f>IF(Y$3=0,"",SUMIFS(INDEX(Inputs!$D$4:$AG$150,0,MATCH(Y$2,Inputs!$D$2:$AG$2,0)),Inputs!$B$4:$B$150,$B46)/1000)</f>
        <v>0</v>
      </c>
      <c r="Z46" s="11">
        <f>IF(Z$3=0,"",SUMIFS(INDEX(Inputs!$D$4:$AG$150,0,MATCH(Z$2,Inputs!$D$2:$AG$2,0)),Inputs!$B$4:$B$150,$B46)/1000)</f>
        <v>0</v>
      </c>
      <c r="AA46" s="11">
        <f>IF(AA$3=0,"",SUMIFS(INDEX(Inputs!$D$4:$AG$150,0,MATCH(AA$2,Inputs!$D$2:$AG$2,0)),Inputs!$B$4:$B$150,$B46)/1000)</f>
        <v>0</v>
      </c>
      <c r="AB46" s="12">
        <f>IF(AA46="","",AA46)</f>
        <v>0</v>
      </c>
      <c r="AC46" s="11">
        <f>IF(AC$3=0,"",SUMIFS(INDEX(Inputs!$D$4:$AG$150,0,MATCH(AC$2,Inputs!$D$2:$AG$2,0)),Inputs!$B$4:$B$150,$B46)/1000)</f>
        <v>0</v>
      </c>
      <c r="AD46" s="11">
        <f>IF(AD$3=0,"",SUMIFS(INDEX(Inputs!$D$4:$AG$150,0,MATCH(AD$2,Inputs!$D$2:$AG$2,0)),Inputs!$B$4:$B$150,$B46)/1000)</f>
        <v>0</v>
      </c>
      <c r="AE46" s="11" t="str">
        <f>IF(AE$3=0,"",SUMIFS(INDEX(Inputs!$D$4:$AG$150,0,MATCH(AE$2,Inputs!$D$2:$AG$2,0)),Inputs!$B$4:$B$150,$B46)/1000)</f>
        <v/>
      </c>
      <c r="AF46" s="11" t="str">
        <f>IF(AF$3=0,"",SUMIFS(INDEX(Inputs!$D$4:$AG$150,0,MATCH(AF$2,Inputs!$D$2:$AG$2,0)),Inputs!$B$4:$B$150,$B46)/1000)</f>
        <v/>
      </c>
      <c r="AG46" s="12" t="str">
        <f>IF(AF46="","",AF46)</f>
        <v/>
      </c>
    </row>
    <row r="47">
      <c r="B47" s="9" t="n">
        <v>41</v>
      </c>
      <c r="C47" s="15" t="inlineStr">
        <is>
          <t>Retained earnings</t>
        </is>
      </c>
      <c r="D47" s="11">
        <f>IF(D$3=0,"",SUMIFS(INDEX(Inputs!$D$4:$AG$150,0,MATCH(D$2,Inputs!$D$2:$AG$2,0)),Inputs!$B$4:$B$150,$B47)/1000)</f>
        <v>40140</v>
      </c>
      <c r="E47" s="11">
        <f>IF(E$3=0,"",SUMIFS(INDEX(Inputs!$D$4:$AG$150,0,MATCH(E$2,Inputs!$D$2:$AG$2,0)),Inputs!$B$4:$B$150,$B47)/1000)</f>
        <v>41771</v>
      </c>
      <c r="F47" s="11">
        <f>IF(F$3=0,"",SUMIFS(INDEX(Inputs!$D$4:$AG$150,0,MATCH(F$2,Inputs!$D$2:$AG$2,0)),Inputs!$B$4:$B$150,$B47)/1000)</f>
        <v>43750</v>
      </c>
      <c r="G47" s="11">
        <f>IF(G$3=0,"",SUMIFS(INDEX(Inputs!$D$4:$AG$150,0,MATCH(G$2,Inputs!$D$2:$AG$2,0)),Inputs!$B$4:$B$150,$B47)/1000)</f>
        <v>45648</v>
      </c>
      <c r="H47" s="12">
        <f>IF(G47="","",G47)</f>
        <v>45648</v>
      </c>
      <c r="I47" s="11">
        <f>IF(I$3=0,"",SUMIFS(INDEX(Inputs!$D$4:$AG$150,0,MATCH(I$2,Inputs!$D$2:$AG$2,0)),Inputs!$B$4:$B$150,$B47)/1000)</f>
        <v>47800</v>
      </c>
      <c r="J47" s="11">
        <f>IF(J$3=0,"",SUMIFS(INDEX(Inputs!$D$4:$AG$150,0,MATCH(J$2,Inputs!$D$2:$AG$2,0)),Inputs!$B$4:$B$150,$B47)/1000)</f>
        <v>49599</v>
      </c>
      <c r="K47" s="11">
        <f>IF(K$3=0,"",SUMIFS(INDEX(Inputs!$D$4:$AG$150,0,MATCH(K$2,Inputs!$D$2:$AG$2,0)),Inputs!$B$4:$B$150,$B47)/1000)</f>
        <v>51625</v>
      </c>
      <c r="L47" s="11">
        <f>IF(L$3=0,"",SUMIFS(INDEX(Inputs!$D$4:$AG$150,0,MATCH(L$2,Inputs!$D$2:$AG$2,0)),Inputs!$B$4:$B$150,$B47)/1000)</f>
        <v>53607</v>
      </c>
      <c r="M47" s="12">
        <f>IF(L47="","",L47)</f>
        <v>53607</v>
      </c>
      <c r="N47" s="11">
        <f>IF(N$3=0,"",SUMIFS(INDEX(Inputs!$D$4:$AG$150,0,MATCH(N$2,Inputs!$D$2:$AG$2,0)),Inputs!$B$4:$B$150,$B47)/1000)</f>
        <v>55424</v>
      </c>
      <c r="O47" s="11">
        <f>IF(O$3=0,"",SUMIFS(INDEX(Inputs!$D$4:$AG$150,0,MATCH(O$2,Inputs!$D$2:$AG$2,0)),Inputs!$B$4:$B$150,$B47)/1000)</f>
        <v>57730</v>
      </c>
      <c r="P47" s="11">
        <f>IF(P$3=0,"",SUMIFS(INDEX(Inputs!$D$4:$AG$150,0,MATCH(P$2,Inputs!$D$2:$AG$2,0)),Inputs!$B$4:$B$150,$B47)/1000)</f>
        <v>60390</v>
      </c>
      <c r="Q47" s="11">
        <f>IF(Q$3=0,"",SUMIFS(INDEX(Inputs!$D$4:$AG$150,0,MATCH(Q$2,Inputs!$D$2:$AG$2,0)),Inputs!$B$4:$B$150,$B47)/1000)</f>
        <v>62564</v>
      </c>
      <c r="R47" s="12">
        <f>IF(Q47="","",Q47)</f>
        <v>62564</v>
      </c>
      <c r="S47" s="11">
        <f>IF(S$3=0,"",SUMIFS(INDEX(Inputs!$D$4:$AG$150,0,MATCH(S$2,Inputs!$D$2:$AG$2,0)),Inputs!$B$4:$B$150,$B47)/1000)</f>
        <v>64959</v>
      </c>
      <c r="T47" s="11">
        <f>IF(T$3=0,"",SUMIFS(INDEX(Inputs!$D$4:$AG$150,0,MATCH(T$2,Inputs!$D$2:$AG$2,0)),Inputs!$B$4:$B$150,$B47)/1000)</f>
        <v>67604</v>
      </c>
      <c r="U47" s="11">
        <f>IF(U$3=0,"",SUMIFS(INDEX(Inputs!$D$4:$AG$150,0,MATCH(U$2,Inputs!$D$2:$AG$2,0)),Inputs!$B$4:$B$150,$B47)/1000)</f>
        <v>70258</v>
      </c>
      <c r="V47" s="11">
        <f>IF(V$3=0,"",SUMIFS(INDEX(Inputs!$D$4:$AG$150,0,MATCH(V$2,Inputs!$D$2:$AG$2,0)),Inputs!$B$4:$B$150,$B47)/1000)</f>
        <v>72907</v>
      </c>
      <c r="W47" s="12">
        <f>IF(V47="","",V47)</f>
        <v>72907</v>
      </c>
      <c r="X47" s="11">
        <f>IF(X$3=0,"",SUMIFS(INDEX(Inputs!$D$4:$AG$150,0,MATCH(X$2,Inputs!$D$2:$AG$2,0)),Inputs!$B$4:$B$150,$B47)/1000)</f>
        <v>75495</v>
      </c>
      <c r="Y47" s="11">
        <f>IF(Y$3=0,"",SUMIFS(INDEX(Inputs!$D$4:$AG$150,0,MATCH(Y$2,Inputs!$D$2:$AG$2,0)),Inputs!$B$4:$B$150,$B47)/1000)</f>
        <v>78509</v>
      </c>
      <c r="Z47" s="11">
        <f>IF(Z$3=0,"",SUMIFS(INDEX(Inputs!$D$4:$AG$150,0,MATCH(Z$2,Inputs!$D$2:$AG$2,0)),Inputs!$B$4:$B$150,$B47)/1000)</f>
        <v>81752</v>
      </c>
      <c r="AA47" s="11">
        <f>IF(AA$3=0,"",SUMIFS(INDEX(Inputs!$D$4:$AG$150,0,MATCH(AA$2,Inputs!$D$2:$AG$2,0)),Inputs!$B$4:$B$150,$B47)/1000)</f>
        <v>85035</v>
      </c>
      <c r="AB47" s="12">
        <f>IF(AA47="","",AA47)</f>
        <v>85035</v>
      </c>
      <c r="AC47" s="11">
        <f>IF(AC$3=0,"",SUMIFS(INDEX(Inputs!$D$4:$AG$150,0,MATCH(AC$2,Inputs!$D$2:$AG$2,0)),Inputs!$B$4:$B$150,$B47)/1000)</f>
        <v>88146</v>
      </c>
      <c r="AD47" s="11">
        <f>IF(AD$3=0,"",SUMIFS(INDEX(Inputs!$D$4:$AG$150,0,MATCH(AD$2,Inputs!$D$2:$AG$2,0)),Inputs!$B$4:$B$150,$B47)/1000)</f>
        <v>91771</v>
      </c>
      <c r="AE47" s="11" t="str">
        <f>IF(AE$3=0,"",SUMIFS(INDEX(Inputs!$D$4:$AG$150,0,MATCH(AE$2,Inputs!$D$2:$AG$2,0)),Inputs!$B$4:$B$150,$B47)/1000)</f>
        <v/>
      </c>
      <c r="AF47" s="11" t="str">
        <f>IF(AF$3=0,"",SUMIFS(INDEX(Inputs!$D$4:$AG$150,0,MATCH(AF$2,Inputs!$D$2:$AG$2,0)),Inputs!$B$4:$B$150,$B47)/1000)</f>
        <v/>
      </c>
      <c r="AG47" s="12" t="str">
        <f>IF(AF47="","",AF47)</f>
        <v/>
      </c>
    </row>
    <row r="48"/>
    <row r="49" customFormat="1" s="3">
      <c r="C49" s="4" t="n"/>
      <c r="D49" s="16" t="n"/>
      <c r="E49" s="16" t="n"/>
      <c r="F49" s="16" t="n"/>
      <c r="G49" s="16" t="n"/>
      <c r="H49" s="12" t="n"/>
      <c r="I49" s="16" t="n"/>
      <c r="J49" s="16" t="n"/>
      <c r="K49" s="16" t="n"/>
      <c r="L49" s="16" t="n"/>
      <c r="M49" s="12" t="n"/>
      <c r="N49" s="16" t="n"/>
      <c r="O49" s="16" t="n"/>
      <c r="P49" s="16" t="n"/>
      <c r="Q49" s="16" t="n"/>
      <c r="R49" s="12" t="n"/>
      <c r="S49" s="16" t="n"/>
      <c r="T49" s="16" t="n"/>
      <c r="U49" s="16" t="n"/>
      <c r="V49" s="16" t="n"/>
      <c r="W49" s="12" t="n"/>
      <c r="X49" s="16" t="n"/>
      <c r="Y49" s="16" t="n"/>
      <c r="Z49" s="16" t="n"/>
      <c r="AA49" s="16" t="n"/>
      <c r="AC49" s="16" t="n"/>
      <c r="AD49" s="16" t="n"/>
      <c r="AE49" s="16" t="n"/>
      <c r="AF49" s="16" t="n"/>
    </row>
    <row r="50">
      <c r="B50" s="9" t="n">
        <v>44</v>
      </c>
      <c r="C50" s="10" t="inlineStr">
        <is>
          <t>Net income reported (lucro líquido reportado) — base do check de DRE [Model linha 4]</t>
        </is>
      </c>
      <c r="D50" s="11">
        <f>IF(SUMPRODUCT((Inputs!$B$4:$B$150=$B50)*ISNUMBER(INDEX(Inputs!$D$4:$AG$150,0,MATCH(D$2,Inputs!$D$2:$AG$2,0))))=0,"",SUMIFS(INDEX(Inputs!$D$4:$AG$150,0,MATCH(D$2,Inputs!$D$2:$AG$2,0)),Inputs!$B$4:$B$150,$B50)/1000)</f>
        <v>1828</v>
      </c>
      <c r="E50" s="11">
        <f>IF(SUMPRODUCT((Inputs!$B$4:$B$150=$B50)*ISNUMBER(INDEX(Inputs!$D$4:$AG$150,0,MATCH(E$2,Inputs!$D$2:$AG$2,0))))=0,"",SUMIFS(INDEX(Inputs!$D$4:$AG$150,0,MATCH(E$2,Inputs!$D$2:$AG$2,0)),Inputs!$B$4:$B$150,$B50)/1000)</f>
        <v>2066</v>
      </c>
      <c r="F50" s="11">
        <f>IF(SUMPRODUCT((Inputs!$B$4:$B$150=$B50)*ISNUMBER(INDEX(Inputs!$D$4:$AG$150,0,MATCH(F$2,Inputs!$D$2:$AG$2,0))))=0,"",SUMIFS(INDEX(Inputs!$D$4:$AG$150,0,MATCH(F$2,Inputs!$D$2:$AG$2,0)),Inputs!$B$4:$B$150,$B50)/1000)</f>
        <v>2414</v>
      </c>
      <c r="G50" s="11">
        <f>IF(SUMPRODUCT((Inputs!$B$4:$B$150=$B50)*ISNUMBER(INDEX(Inputs!$D$4:$AG$150,0,MATCH(G$2,Inputs!$D$2:$AG$2,0))))=0,"",SUMIFS(INDEX(Inputs!$D$4:$AG$150,0,MATCH(G$2,Inputs!$D$2:$AG$2,0)),Inputs!$B$4:$B$150,$B50)/1000)</f>
        <v>2379</v>
      </c>
      <c r="H50" s="12">
        <f>IF(COUNT(D50:G50)=4,SUM(D50:G50),"")</f>
        <v>8687</v>
      </c>
      <c r="I50" s="11">
        <f>IF(SUMPRODUCT((Inputs!$B$4:$B$150=$B50)*ISNUMBER(INDEX(Inputs!$D$4:$AG$150,0,MATCH(I$2,Inputs!$D$2:$AG$2,0))))=0,"",SUMIFS(INDEX(Inputs!$D$4:$AG$150,0,MATCH(I$2,Inputs!$D$2:$AG$2,0)),Inputs!$B$4:$B$150,$B50)/1000)</f>
        <v>2631</v>
      </c>
      <c r="J50" s="11">
        <f>IF(SUMPRODUCT((Inputs!$B$4:$B$150=$B50)*ISNUMBER(INDEX(Inputs!$D$4:$AG$150,0,MATCH(J$2,Inputs!$D$2:$AG$2,0))))=0,"",SUMIFS(INDEX(Inputs!$D$4:$AG$150,0,MATCH(J$2,Inputs!$D$2:$AG$2,0)),Inputs!$B$4:$B$150,$B50)/1000)</f>
        <v>2275</v>
      </c>
      <c r="K50" s="11">
        <f>IF(SUMPRODUCT((Inputs!$B$4:$B$150=$B50)*ISNUMBER(INDEX(Inputs!$D$4:$AG$150,0,MATCH(K$2,Inputs!$D$2:$AG$2,0))))=0,"",SUMIFS(INDEX(Inputs!$D$4:$AG$150,0,MATCH(K$2,Inputs!$D$2:$AG$2,0)),Inputs!$B$4:$B$150,$B50)/1000)</f>
        <v>2499</v>
      </c>
      <c r="L50" s="11">
        <f>IF(SUMPRODUCT((Inputs!$B$4:$B$150=$B50)*ISNUMBER(INDEX(Inputs!$D$4:$AG$150,0,MATCH(L$2,Inputs!$D$2:$AG$2,0))))=0,"",SUMIFS(INDEX(Inputs!$D$4:$AG$150,0,MATCH(L$2,Inputs!$D$2:$AG$2,0)),Inputs!$B$4:$B$150,$B50)/1000)</f>
        <v>2525</v>
      </c>
      <c r="M50" s="12">
        <f>IF(COUNT(I50:L50)=4,SUM(I50:L50),"")</f>
        <v>9930</v>
      </c>
      <c r="N50" s="11">
        <f>IF(SUMPRODUCT((Inputs!$B$4:$B$150=$B50)*ISNUMBER(INDEX(Inputs!$D$4:$AG$150,0,MATCH(N$2,Inputs!$D$2:$AG$2,0))))=0,"",SUMIFS(INDEX(Inputs!$D$4:$AG$150,0,MATCH(N$2,Inputs!$D$2:$AG$2,0)),Inputs!$B$4:$B$150,$B50)/1000)</f>
        <v>2361</v>
      </c>
      <c r="O50" s="11">
        <f>IF(SUMPRODUCT((Inputs!$B$4:$B$150=$B50)*ISNUMBER(INDEX(Inputs!$D$4:$AG$150,0,MATCH(O$2,Inputs!$D$2:$AG$2,0))))=0,"",SUMIFS(INDEX(Inputs!$D$4:$AG$150,0,MATCH(O$2,Inputs!$D$2:$AG$2,0)),Inputs!$B$4:$B$150,$B50)/1000)</f>
        <v>2845</v>
      </c>
      <c r="P50" s="11">
        <f>IF(SUMPRODUCT((Inputs!$B$4:$B$150=$B50)*ISNUMBER(INDEX(Inputs!$D$4:$AG$150,0,MATCH(P$2,Inputs!$D$2:$AG$2,0))))=0,"",SUMIFS(INDEX(Inputs!$D$4:$AG$150,0,MATCH(P$2,Inputs!$D$2:$AG$2,0)),Inputs!$B$4:$B$150,$B50)/1000)</f>
        <v>3198</v>
      </c>
      <c r="Q50" s="11">
        <f>IF(SUMPRODUCT((Inputs!$B$4:$B$150=$B50)*ISNUMBER(INDEX(Inputs!$D$4:$AG$150,0,MATCH(Q$2,Inputs!$D$2:$AG$2,0))))=0,"",SUMIFS(INDEX(Inputs!$D$4:$AG$150,0,MATCH(Q$2,Inputs!$D$2:$AG$2,0)),Inputs!$B$4:$B$150,$B50)/1000)</f>
        <v>2791</v>
      </c>
      <c r="R50" s="12">
        <f>IF(COUNT(N50:Q50)=4,SUM(N50:Q50),"")</f>
        <v>11195</v>
      </c>
      <c r="S50" s="11">
        <f>IF(SUMPRODUCT((Inputs!$B$4:$B$150=$B50)*ISNUMBER(INDEX(Inputs!$D$4:$AG$150,0,MATCH(S$2,Inputs!$D$2:$AG$2,0))))=0,"",SUMIFS(INDEX(Inputs!$D$4:$AG$150,0,MATCH(S$2,Inputs!$D$2:$AG$2,0)),Inputs!$B$4:$B$150,$B50)/1000)</f>
        <v>3011</v>
      </c>
      <c r="T50" s="11">
        <f>IF(SUMPRODUCT((Inputs!$B$4:$B$150=$B50)*ISNUMBER(INDEX(Inputs!$D$4:$AG$150,0,MATCH(T$2,Inputs!$D$2:$AG$2,0))))=0,"",SUMIFS(INDEX(Inputs!$D$4:$AG$150,0,MATCH(T$2,Inputs!$D$2:$AG$2,0)),Inputs!$B$4:$B$150,$B50)/1000)</f>
        <v>3258</v>
      </c>
      <c r="U50" s="11">
        <f>IF(SUMPRODUCT((Inputs!$B$4:$B$150=$B50)*ISNUMBER(INDEX(Inputs!$D$4:$AG$150,0,MATCH(U$2,Inputs!$D$2:$AG$2,0))))=0,"",SUMIFS(INDEX(Inputs!$D$4:$AG$150,0,MATCH(U$2,Inputs!$D$2:$AG$2,0)),Inputs!$B$4:$B$150,$B50)/1000)</f>
        <v>3263</v>
      </c>
      <c r="V50" s="11">
        <f>IF(SUMPRODUCT((Inputs!$B$4:$B$150=$B50)*ISNUMBER(INDEX(Inputs!$D$4:$AG$150,0,MATCH(V$2,Inputs!$D$2:$AG$2,0))))=0,"",SUMIFS(INDEX(Inputs!$D$4:$AG$150,0,MATCH(V$2,Inputs!$D$2:$AG$2,0)),Inputs!$B$4:$B$150,$B50)/1000)</f>
        <v>3342</v>
      </c>
      <c r="W50" s="12">
        <f>IF(COUNT(S50:V50)=4,SUM(S50:V50),"")</f>
        <v>12874</v>
      </c>
      <c r="X50" s="11">
        <f>IF(SUMPRODUCT((Inputs!$B$4:$B$150=$B50)*ISNUMBER(INDEX(Inputs!$D$4:$AG$150,0,MATCH(X$2,Inputs!$D$2:$AG$2,0))))=0,"",SUMIFS(INDEX(Inputs!$D$4:$AG$150,0,MATCH(X$2,Inputs!$D$2:$AG$2,0)),Inputs!$B$4:$B$150,$B50)/1000)</f>
        <v>3280</v>
      </c>
      <c r="Y50" s="11">
        <f>IF(SUMPRODUCT((Inputs!$B$4:$B$150=$B50)*ISNUMBER(INDEX(Inputs!$D$4:$AG$150,0,MATCH(Y$2,Inputs!$D$2:$AG$2,0))))=0,"",SUMIFS(INDEX(Inputs!$D$4:$AG$150,0,MATCH(Y$2,Inputs!$D$2:$AG$2,0)),Inputs!$B$4:$B$150,$B50)/1000)</f>
        <v>3701</v>
      </c>
      <c r="Z50" s="11">
        <f>IF(SUMPRODUCT((Inputs!$B$4:$B$150=$B50)*ISNUMBER(INDEX(Inputs!$D$4:$AG$150,0,MATCH(Z$2,Inputs!$D$2:$AG$2,0))))=0,"",SUMIFS(INDEX(Inputs!$D$4:$AG$150,0,MATCH(Z$2,Inputs!$D$2:$AG$2,0)),Inputs!$B$4:$B$150,$B50)/1000)</f>
        <v>3927</v>
      </c>
      <c r="AA50" s="11">
        <f>IF(SUMPRODUCT((Inputs!$B$4:$B$150=$B50)*ISNUMBER(INDEX(Inputs!$D$4:$AG$150,0,MATCH(AA$2,Inputs!$D$2:$AG$2,0))))=0,"",SUMIFS(INDEX(Inputs!$D$4:$AG$150,0,MATCH(AA$2,Inputs!$D$2:$AG$2,0)),Inputs!$B$4:$B$150,$B50)/1000)</f>
        <v>4060</v>
      </c>
      <c r="AB50" s="12">
        <f>IF(COUNT(X50:AA50)=4,SUM(X50:AA50),"")</f>
        <v>14968</v>
      </c>
      <c r="AC50" s="11">
        <f>IF(SUMPRODUCT((Inputs!$B$4:$B$150=$B50)*ISNUMBER(INDEX(Inputs!$D$4:$AG$150,0,MATCH(AC$2,Inputs!$D$2:$AG$2,0))))=0,"",SUMIFS(INDEX(Inputs!$D$4:$AG$150,0,MATCH(AC$2,Inputs!$D$2:$AG$2,0)),Inputs!$B$4:$B$150,$B50)/1000)</f>
        <v>3882</v>
      </c>
      <c r="AD50" s="11">
        <f>IF(SUMPRODUCT((Inputs!$B$4:$B$150=$B50)*ISNUMBER(INDEX(Inputs!$D$4:$AG$150,0,MATCH(AD$2,Inputs!$D$2:$AG$2,0))))=0,"",SUMIFS(INDEX(Inputs!$D$4:$AG$150,0,MATCH(AD$2,Inputs!$D$2:$AG$2,0)),Inputs!$B$4:$B$150,$B50)/1000)</f>
        <v>4388</v>
      </c>
      <c r="AE50" s="11" t="str">
        <f>IF(SUMPRODUCT((Inputs!$B$4:$B$150=$B50)*ISNUMBER(INDEX(Inputs!$D$4:$AG$150,0,MATCH(AE$2,Inputs!$D$2:$AG$2,0))))=0,"",SUMIFS(INDEX(Inputs!$D$4:$AG$150,0,MATCH(AE$2,Inputs!$D$2:$AG$2,0)),Inputs!$B$4:$B$150,$B50)/1000)</f>
        <v/>
      </c>
      <c r="AF50" s="11" t="str">
        <f>IF(SUMPRODUCT((Inputs!$B$4:$B$150=$B50)*ISNUMBER(INDEX(Inputs!$D$4:$AG$150,0,MATCH(AF$2,Inputs!$D$2:$AG$2,0))))=0,"",SUMIFS(INDEX(Inputs!$D$4:$AG$150,0,MATCH(AF$2,Inputs!$D$2:$AG$2,0)),Inputs!$B$4:$B$150,$B50)/1000)</f>
        <v/>
      </c>
      <c r="AG50" s="12" t="str">
        <f>IF(COUNT(AC50:AF50)=4,SUM(AC50:AF50),"")</f>
        <v/>
      </c>
    </row>
    <row r="52">
      <c r="C52" t="inlineStr">
        <is>
          <t>Drivers de receita (memo) - codigos 45+ [Model, bloco abaixo da receita liquida]</t>
        </is>
      </c>
    </row>
    <row r="53">
      <c r="B53" s="9" t="n">
        <v>45</v>
      </c>
      <c r="C53" s="10" t="inlineStr">
        <is>
          <t>Payment Network - receita (USD)</t>
        </is>
      </c>
      <c r="D53" s="11" t="str">
        <f>IF(SUMPRODUCT((Inputs!$B$4:$B$150=$B53)*ISNUMBER(INDEX(Inputs!$D$4:$AG$150,0,MATCH(D$2,Inputs!$D$2:$AG$2,0))))=0,"",SUMIFS(INDEX(Inputs!$D$4:$AG$150,0,MATCH(D$2,Inputs!$D$2:$AG$2,0)),Inputs!$B$4:$B$150,$B53)/1000)</f>
        <v/>
      </c>
      <c r="E53" s="11" t="str">
        <f>IF(SUMPRODUCT((Inputs!$B$4:$B$150=$B53)*ISNUMBER(INDEX(Inputs!$D$4:$AG$150,0,MATCH(E$2,Inputs!$D$2:$AG$2,0))))=0,"",SUMIFS(INDEX(Inputs!$D$4:$AG$150,0,MATCH(E$2,Inputs!$D$2:$AG$2,0)),Inputs!$B$4:$B$150,$B53)/1000)</f>
        <v/>
      </c>
      <c r="F53" s="11" t="str">
        <f>IF(SUMPRODUCT((Inputs!$B$4:$B$150=$B53)*ISNUMBER(INDEX(Inputs!$D$4:$AG$150,0,MATCH(F$2,Inputs!$D$2:$AG$2,0))))=0,"",SUMIFS(INDEX(Inputs!$D$4:$AG$150,0,MATCH(F$2,Inputs!$D$2:$AG$2,0)),Inputs!$B$4:$B$150,$B53)/1000)</f>
        <v/>
      </c>
      <c r="G53" s="11" t="str">
        <f>IF(SUMPRODUCT((Inputs!$B$4:$B$150=$B53)*ISNUMBER(INDEX(Inputs!$D$4:$AG$150,0,MATCH(G$2,Inputs!$D$2:$AG$2,0))))=0,"",SUMIFS(INDEX(Inputs!$D$4:$AG$150,0,MATCH(G$2,Inputs!$D$2:$AG$2,0)),Inputs!$B$4:$B$150,$B53)/1000)</f>
        <v/>
      </c>
      <c r="H53" s="12" t="str">
        <f>IF(COUNT(D53:G53)=4,SUM(D53:G53),"")</f>
        <v/>
      </c>
      <c r="I53" s="11">
        <f>IF(SUMPRODUCT((Inputs!$B$4:$B$150=$B53)*ISNUMBER(INDEX(Inputs!$D$4:$AG$150,0,MATCH(I$2,Inputs!$D$2:$AG$2,0))))=0,"",SUMIFS(INDEX(Inputs!$D$4:$AG$150,0,MATCH(I$2,Inputs!$D$2:$AG$2,0)),Inputs!$B$4:$B$150,$B53)/1000)</f>
        <v>3399</v>
      </c>
      <c r="J53" s="11">
        <f>IF(SUMPRODUCT((Inputs!$B$4:$B$150=$B53)*ISNUMBER(INDEX(Inputs!$D$4:$AG$150,0,MATCH(J$2,Inputs!$D$2:$AG$2,0))))=0,"",SUMIFS(INDEX(Inputs!$D$4:$AG$150,0,MATCH(J$2,Inputs!$D$2:$AG$2,0)),Inputs!$B$4:$B$150,$B53)/1000)</f>
        <v>3609</v>
      </c>
      <c r="K53" s="11">
        <f>IF(SUMPRODUCT((Inputs!$B$4:$B$150=$B53)*ISNUMBER(INDEX(Inputs!$D$4:$AG$150,0,MATCH(K$2,Inputs!$D$2:$AG$2,0))))=0,"",SUMIFS(INDEX(Inputs!$D$4:$AG$150,0,MATCH(K$2,Inputs!$D$2:$AG$2,0)),Inputs!$B$4:$B$150,$B53)/1000)</f>
        <v>3765</v>
      </c>
      <c r="L53" s="11">
        <f>IF(SUMPRODUCT((Inputs!$B$4:$B$150=$B53)*ISNUMBER(INDEX(Inputs!$D$4:$AG$150,0,MATCH(L$2,Inputs!$D$2:$AG$2,0))))=0,"",SUMIFS(INDEX(Inputs!$D$4:$AG$150,0,MATCH(L$2,Inputs!$D$2:$AG$2,0)),Inputs!$B$4:$B$150,$B53)/1000)</f>
        <v>3585</v>
      </c>
      <c r="M53" s="12">
        <f>IF(COUNT(I53:L53)=4,SUM(I53:L53),"")</f>
        <v>14358</v>
      </c>
      <c r="N53" s="11">
        <f>IF(SUMPRODUCT((Inputs!$B$4:$B$150=$B53)*ISNUMBER(INDEX(Inputs!$D$4:$AG$150,0,MATCH(N$2,Inputs!$D$2:$AG$2,0))))=0,"",SUMIFS(INDEX(Inputs!$D$4:$AG$150,0,MATCH(N$2,Inputs!$D$2:$AG$2,0)),Inputs!$B$4:$B$150,$B53)/1000)</f>
        <v>3650</v>
      </c>
      <c r="O53" s="11">
        <f>IF(SUMPRODUCT((Inputs!$B$4:$B$150=$B53)*ISNUMBER(INDEX(Inputs!$D$4:$AG$150,0,MATCH(O$2,Inputs!$D$2:$AG$2,0))))=0,"",SUMIFS(INDEX(Inputs!$D$4:$AG$150,0,MATCH(O$2,Inputs!$D$2:$AG$2,0)),Inputs!$B$4:$B$150,$B53)/1000)</f>
        <v>4073</v>
      </c>
      <c r="P53" s="11">
        <f>IF(SUMPRODUCT((Inputs!$B$4:$B$150=$B53)*ISNUMBER(INDEX(Inputs!$D$4:$AG$150,0,MATCH(P$2,Inputs!$D$2:$AG$2,0))))=0,"",SUMIFS(INDEX(Inputs!$D$4:$AG$150,0,MATCH(P$2,Inputs!$D$2:$AG$2,0)),Inputs!$B$4:$B$150,$B53)/1000)</f>
        <v>4210</v>
      </c>
      <c r="Q53" s="11">
        <f>IF(SUMPRODUCT((Inputs!$B$4:$B$150=$B53)*ISNUMBER(INDEX(Inputs!$D$4:$AG$150,0,MATCH(Q$2,Inputs!$D$2:$AG$2,0))))=0,"",SUMIFS(INDEX(Inputs!$D$4:$AG$150,0,MATCH(Q$2,Inputs!$D$2:$AG$2,0)),Inputs!$B$4:$B$150,$B53)/1000)</f>
        <v>3891</v>
      </c>
      <c r="R53" s="12">
        <f>IF(COUNT(N53:Q53)=4,SUM(N53:Q53),"")</f>
        <v>15824</v>
      </c>
      <c r="S53" s="11">
        <f>IF(SUMPRODUCT((Inputs!$B$4:$B$150=$B53)*ISNUMBER(INDEX(Inputs!$D$4:$AG$150,0,MATCH(S$2,Inputs!$D$2:$AG$2,0))))=0,"",SUMIFS(INDEX(Inputs!$D$4:$AG$150,0,MATCH(S$2,Inputs!$D$2:$AG$2,0)),Inputs!$B$4:$B$150,$B53)/1000)</f>
        <v>3920</v>
      </c>
      <c r="T53" s="11">
        <f>IF(SUMPRODUCT((Inputs!$B$4:$B$150=$B53)*ISNUMBER(INDEX(Inputs!$D$4:$AG$150,0,MATCH(T$2,Inputs!$D$2:$AG$2,0))))=0,"",SUMIFS(INDEX(Inputs!$D$4:$AG$150,0,MATCH(T$2,Inputs!$D$2:$AG$2,0)),Inputs!$B$4:$B$150,$B53)/1000)</f>
        <v>4375</v>
      </c>
      <c r="U53" s="11">
        <f>IF(SUMPRODUCT((Inputs!$B$4:$B$150=$B53)*ISNUMBER(INDEX(Inputs!$D$4:$AG$150,0,MATCH(U$2,Inputs!$D$2:$AG$2,0))))=0,"",SUMIFS(INDEX(Inputs!$D$4:$AG$150,0,MATCH(U$2,Inputs!$D$2:$AG$2,0)),Inputs!$B$4:$B$150,$B53)/1000)</f>
        <v>4629</v>
      </c>
      <c r="V53" s="11">
        <f>IF(SUMPRODUCT((Inputs!$B$4:$B$150=$B53)*ISNUMBER(INDEX(Inputs!$D$4:$AG$150,0,MATCH(V$2,Inputs!$D$2:$AG$2,0))))=0,"",SUMIFS(INDEX(Inputs!$D$4:$AG$150,0,MATCH(V$2,Inputs!$D$2:$AG$2,0)),Inputs!$B$4:$B$150,$B53)/1000)</f>
        <v>4411</v>
      </c>
      <c r="W53" s="12">
        <f>IF(COUNT(S53:V53)=4,SUM(S53:V53),"")</f>
        <v>17335</v>
      </c>
      <c r="X53" s="11">
        <f>IF(SUMPRODUCT((Inputs!$B$4:$B$150=$B53)*ISNUMBER(INDEX(Inputs!$D$4:$AG$150,0,MATCH(X$2,Inputs!$D$2:$AG$2,0))))=0,"",SUMIFS(INDEX(Inputs!$D$4:$AG$150,0,MATCH(X$2,Inputs!$D$2:$AG$2,0)),Inputs!$B$4:$B$150,$B53)/1000)</f>
        <v>4432</v>
      </c>
      <c r="Y53" s="11">
        <f>IF(SUMPRODUCT((Inputs!$B$4:$B$150=$B53)*ISNUMBER(INDEX(Inputs!$D$4:$AG$150,0,MATCH(Y$2,Inputs!$D$2:$AG$2,0))))=0,"",SUMIFS(INDEX(Inputs!$D$4:$AG$150,0,MATCH(Y$2,Inputs!$D$2:$AG$2,0)),Inputs!$B$4:$B$150,$B53)/1000)</f>
        <v>4945</v>
      </c>
      <c r="Z53" s="11">
        <f>IF(SUMPRODUCT((Inputs!$B$4:$B$150=$B53)*ISNUMBER(INDEX(Inputs!$D$4:$AG$150,0,MATCH(Z$2,Inputs!$D$2:$AG$2,0))))=0,"",SUMIFS(INDEX(Inputs!$D$4:$AG$150,0,MATCH(Z$2,Inputs!$D$2:$AG$2,0)),Inputs!$B$4:$B$150,$B53)/1000)</f>
        <v>5179</v>
      </c>
      <c r="AA53" s="11">
        <f>IF(SUMPRODUCT((Inputs!$B$4:$B$150=$B53)*ISNUMBER(INDEX(Inputs!$D$4:$AG$150,0,MATCH(AA$2,Inputs!$D$2:$AG$2,0))))=0,"",SUMIFS(INDEX(Inputs!$D$4:$AG$150,0,MATCH(AA$2,Inputs!$D$2:$AG$2,0)),Inputs!$B$4:$B$150,$B53)/1000)</f>
        <v>4920</v>
      </c>
      <c r="AB53" s="12">
        <f>IF(COUNT(X53:AA53)=4,SUM(X53:AA53),"")</f>
        <v>19476</v>
      </c>
      <c r="AC53" s="11">
        <f>IF(SUMPRODUCT((Inputs!$B$4:$B$150=$B53)*ISNUMBER(INDEX(Inputs!$D$4:$AG$150,0,MATCH(AC$2,Inputs!$D$2:$AG$2,0))))=0,"",SUMIFS(INDEX(Inputs!$D$4:$AG$150,0,MATCH(AC$2,Inputs!$D$2:$AG$2,0)),Inputs!$B$4:$B$150,$B53)/1000)</f>
        <v>4948</v>
      </c>
      <c r="AD53" s="11">
        <f>IF(SUMPRODUCT((Inputs!$B$4:$B$150=$B53)*ISNUMBER(INDEX(Inputs!$D$4:$AG$150,0,MATCH(AD$2,Inputs!$D$2:$AG$2,0))))=0,"",SUMIFS(INDEX(Inputs!$D$4:$AG$150,0,MATCH(AD$2,Inputs!$D$2:$AG$2,0)),Inputs!$B$4:$B$150,$B53)/1000)</f>
        <v>5451</v>
      </c>
      <c r="AE53" s="11" t="str">
        <f>IF(SUMPRODUCT((Inputs!$B$4:$B$150=$B53)*ISNUMBER(INDEX(Inputs!$D$4:$AG$150,0,MATCH(AE$2,Inputs!$D$2:$AG$2,0))))=0,"",SUMIFS(INDEX(Inputs!$D$4:$AG$150,0,MATCH(AE$2,Inputs!$D$2:$AG$2,0)),Inputs!$B$4:$B$150,$B53)/1000)</f>
        <v/>
      </c>
      <c r="AF53" s="11" t="str">
        <f>IF(SUMPRODUCT((Inputs!$B$4:$B$150=$B53)*ISNUMBER(INDEX(Inputs!$D$4:$AG$150,0,MATCH(AF$2,Inputs!$D$2:$AG$2,0))))=0,"",SUMIFS(INDEX(Inputs!$D$4:$AG$150,0,MATCH(AF$2,Inputs!$D$2:$AG$2,0)),Inputs!$B$4:$B$150,$B53)/1000)</f>
        <v/>
      </c>
      <c r="AG53" s="12" t="str">
        <f>IF(COUNT(AC53:AF53)=4,SUM(AC53:AF53),"")</f>
        <v/>
      </c>
    </row>
    <row r="54">
      <c r="B54" s="9" t="n">
        <v>46</v>
      </c>
      <c r="C54" s="10" t="inlineStr">
        <is>
          <t>Value-Added Services and Solutions - receita (USD)</t>
        </is>
      </c>
      <c r="D54" s="11" t="str">
        <f>IF(SUMPRODUCT((Inputs!$B$4:$B$150=$B54)*ISNUMBER(INDEX(Inputs!$D$4:$AG$150,0,MATCH(D$2,Inputs!$D$2:$AG$2,0))))=0,"",SUMIFS(INDEX(Inputs!$D$4:$AG$150,0,MATCH(D$2,Inputs!$D$2:$AG$2,0)),Inputs!$B$4:$B$150,$B54)/1000)</f>
        <v/>
      </c>
      <c r="E54" s="11" t="str">
        <f>IF(SUMPRODUCT((Inputs!$B$4:$B$150=$B54)*ISNUMBER(INDEX(Inputs!$D$4:$AG$150,0,MATCH(E$2,Inputs!$D$2:$AG$2,0))))=0,"",SUMIFS(INDEX(Inputs!$D$4:$AG$150,0,MATCH(E$2,Inputs!$D$2:$AG$2,0)),Inputs!$B$4:$B$150,$B54)/1000)</f>
        <v/>
      </c>
      <c r="F54" s="11" t="str">
        <f>IF(SUMPRODUCT((Inputs!$B$4:$B$150=$B54)*ISNUMBER(INDEX(Inputs!$D$4:$AG$150,0,MATCH(F$2,Inputs!$D$2:$AG$2,0))))=0,"",SUMIFS(INDEX(Inputs!$D$4:$AG$150,0,MATCH(F$2,Inputs!$D$2:$AG$2,0)),Inputs!$B$4:$B$150,$B54)/1000)</f>
        <v/>
      </c>
      <c r="G54" s="11" t="str">
        <f>IF(SUMPRODUCT((Inputs!$B$4:$B$150=$B54)*ISNUMBER(INDEX(Inputs!$D$4:$AG$150,0,MATCH(G$2,Inputs!$D$2:$AG$2,0))))=0,"",SUMIFS(INDEX(Inputs!$D$4:$AG$150,0,MATCH(G$2,Inputs!$D$2:$AG$2,0)),Inputs!$B$4:$B$150,$B54)/1000)</f>
        <v/>
      </c>
      <c r="H54" s="12" t="str">
        <f>IF(COUNT(D54:G54)=4,SUM(D54:G54),"")</f>
        <v/>
      </c>
      <c r="I54" s="11">
        <f>IF(SUMPRODUCT((Inputs!$B$4:$B$150=$B54)*ISNUMBER(INDEX(Inputs!$D$4:$AG$150,0,MATCH(I$2,Inputs!$D$2:$AG$2,0))))=0,"",SUMIFS(INDEX(Inputs!$D$4:$AG$150,0,MATCH(I$2,Inputs!$D$2:$AG$2,0)),Inputs!$B$4:$B$150,$B54)/1000)</f>
        <v>1768</v>
      </c>
      <c r="J54" s="11">
        <f>IF(SUMPRODUCT((Inputs!$B$4:$B$150=$B54)*ISNUMBER(INDEX(Inputs!$D$4:$AG$150,0,MATCH(J$2,Inputs!$D$2:$AG$2,0))))=0,"",SUMIFS(INDEX(Inputs!$D$4:$AG$150,0,MATCH(J$2,Inputs!$D$2:$AG$2,0)),Inputs!$B$4:$B$150,$B54)/1000)</f>
        <v>1888</v>
      </c>
      <c r="K54" s="11">
        <f>IF(SUMPRODUCT((Inputs!$B$4:$B$150=$B54)*ISNUMBER(INDEX(Inputs!$D$4:$AG$150,0,MATCH(K$2,Inputs!$D$2:$AG$2,0))))=0,"",SUMIFS(INDEX(Inputs!$D$4:$AG$150,0,MATCH(K$2,Inputs!$D$2:$AG$2,0)),Inputs!$B$4:$B$150,$B54)/1000)</f>
        <v>1991</v>
      </c>
      <c r="L54" s="11">
        <f>IF(SUMPRODUCT((Inputs!$B$4:$B$150=$B54)*ISNUMBER(INDEX(Inputs!$D$4:$AG$150,0,MATCH(L$2,Inputs!$D$2:$AG$2,0))))=0,"",SUMIFS(INDEX(Inputs!$D$4:$AG$150,0,MATCH(L$2,Inputs!$D$2:$AG$2,0)),Inputs!$B$4:$B$150,$B54)/1000)</f>
        <v>2232</v>
      </c>
      <c r="M54" s="12">
        <f>IF(COUNT(I54:L54)=4,SUM(I54:L54),"")</f>
        <v>7879</v>
      </c>
      <c r="N54" s="11">
        <f>IF(SUMPRODUCT((Inputs!$B$4:$B$150=$B54)*ISNUMBER(INDEX(Inputs!$D$4:$AG$150,0,MATCH(N$2,Inputs!$D$2:$AG$2,0))))=0,"",SUMIFS(INDEX(Inputs!$D$4:$AG$150,0,MATCH(N$2,Inputs!$D$2:$AG$2,0)),Inputs!$B$4:$B$150,$B54)/1000)</f>
        <v>2098</v>
      </c>
      <c r="O54" s="11">
        <f>IF(SUMPRODUCT((Inputs!$B$4:$B$150=$B54)*ISNUMBER(INDEX(Inputs!$D$4:$AG$150,0,MATCH(O$2,Inputs!$D$2:$AG$2,0))))=0,"",SUMIFS(INDEX(Inputs!$D$4:$AG$150,0,MATCH(O$2,Inputs!$D$2:$AG$2,0)),Inputs!$B$4:$B$150,$B54)/1000)</f>
        <v>2196</v>
      </c>
      <c r="P54" s="11">
        <f>IF(SUMPRODUCT((Inputs!$B$4:$B$150=$B54)*ISNUMBER(INDEX(Inputs!$D$4:$AG$150,0,MATCH(P$2,Inputs!$D$2:$AG$2,0))))=0,"",SUMIFS(INDEX(Inputs!$D$4:$AG$150,0,MATCH(P$2,Inputs!$D$2:$AG$2,0)),Inputs!$B$4:$B$150,$B54)/1000)</f>
        <v>2323</v>
      </c>
      <c r="Q54" s="11">
        <f>IF(SUMPRODUCT((Inputs!$B$4:$B$150=$B54)*ISNUMBER(INDEX(Inputs!$D$4:$AG$150,0,MATCH(Q$2,Inputs!$D$2:$AG$2,0))))=0,"",SUMIFS(INDEX(Inputs!$D$4:$AG$150,0,MATCH(Q$2,Inputs!$D$2:$AG$2,0)),Inputs!$B$4:$B$150,$B54)/1000)</f>
        <v>2657</v>
      </c>
      <c r="R54" s="12">
        <f>IF(COUNT(N54:Q54)=4,SUM(N54:Q54),"")</f>
        <v>9274</v>
      </c>
      <c r="S54" s="11">
        <f>IF(SUMPRODUCT((Inputs!$B$4:$B$150=$B54)*ISNUMBER(INDEX(Inputs!$D$4:$AG$150,0,MATCH(S$2,Inputs!$D$2:$AG$2,0))))=0,"",SUMIFS(INDEX(Inputs!$D$4:$AG$150,0,MATCH(S$2,Inputs!$D$2:$AG$2,0)),Inputs!$B$4:$B$150,$B54)/1000)</f>
        <v>2428</v>
      </c>
      <c r="T54" s="11">
        <f>IF(SUMPRODUCT((Inputs!$B$4:$B$150=$B54)*ISNUMBER(INDEX(Inputs!$D$4:$AG$150,0,MATCH(T$2,Inputs!$D$2:$AG$2,0))))=0,"",SUMIFS(INDEX(Inputs!$D$4:$AG$150,0,MATCH(T$2,Inputs!$D$2:$AG$2,0)),Inputs!$B$4:$B$150,$B54)/1000)</f>
        <v>2586</v>
      </c>
      <c r="U54" s="11">
        <f>IF(SUMPRODUCT((Inputs!$B$4:$B$150=$B54)*ISNUMBER(INDEX(Inputs!$D$4:$AG$150,0,MATCH(U$2,Inputs!$D$2:$AG$2,0))))=0,"",SUMIFS(INDEX(Inputs!$D$4:$AG$150,0,MATCH(U$2,Inputs!$D$2:$AG$2,0)),Inputs!$B$4:$B$150,$B54)/1000)</f>
        <v>2740</v>
      </c>
      <c r="V54" s="11">
        <f>IF(SUMPRODUCT((Inputs!$B$4:$B$150=$B54)*ISNUMBER(INDEX(Inputs!$D$4:$AG$150,0,MATCH(V$2,Inputs!$D$2:$AG$2,0))))=0,"",SUMIFS(INDEX(Inputs!$D$4:$AG$150,0,MATCH(V$2,Inputs!$D$2:$AG$2,0)),Inputs!$B$4:$B$150,$B54)/1000)</f>
        <v>3078</v>
      </c>
      <c r="W54" s="12">
        <f>IF(COUNT(S54:V54)=4,SUM(S54:V54),"")</f>
        <v>10832</v>
      </c>
      <c r="X54" s="11">
        <f>IF(SUMPRODUCT((Inputs!$B$4:$B$150=$B54)*ISNUMBER(INDEX(Inputs!$D$4:$AG$150,0,MATCH(X$2,Inputs!$D$2:$AG$2,0))))=0,"",SUMIFS(INDEX(Inputs!$D$4:$AG$150,0,MATCH(X$2,Inputs!$D$2:$AG$2,0)),Inputs!$B$4:$B$150,$B54)/1000)</f>
        <v>2818</v>
      </c>
      <c r="Y54" s="11">
        <f>IF(SUMPRODUCT((Inputs!$B$4:$B$150=$B54)*ISNUMBER(INDEX(Inputs!$D$4:$AG$150,0,MATCH(Y$2,Inputs!$D$2:$AG$2,0))))=0,"",SUMIFS(INDEX(Inputs!$D$4:$AG$150,0,MATCH(Y$2,Inputs!$D$2:$AG$2,0)),Inputs!$B$4:$B$150,$B54)/1000)</f>
        <v>3188</v>
      </c>
      <c r="Z54" s="11">
        <f>IF(SUMPRODUCT((Inputs!$B$4:$B$150=$B54)*ISNUMBER(INDEX(Inputs!$D$4:$AG$150,0,MATCH(Z$2,Inputs!$D$2:$AG$2,0))))=0,"",SUMIFS(INDEX(Inputs!$D$4:$AG$150,0,MATCH(Z$2,Inputs!$D$2:$AG$2,0)),Inputs!$B$4:$B$150,$B54)/1000)</f>
        <v>3423</v>
      </c>
      <c r="AA54" s="11">
        <f>IF(SUMPRODUCT((Inputs!$B$4:$B$150=$B54)*ISNUMBER(INDEX(Inputs!$D$4:$AG$150,0,MATCH(AA$2,Inputs!$D$2:$AG$2,0))))=0,"",SUMIFS(INDEX(Inputs!$D$4:$AG$150,0,MATCH(AA$2,Inputs!$D$2:$AG$2,0)),Inputs!$B$4:$B$150,$B54)/1000)</f>
        <v>3886</v>
      </c>
      <c r="AB54" s="12">
        <f>IF(COUNT(X54:AA54)=4,SUM(X54:AA54),"")</f>
        <v>13315</v>
      </c>
      <c r="AC54" s="11">
        <f>IF(SUMPRODUCT((Inputs!$B$4:$B$150=$B54)*ISNUMBER(INDEX(Inputs!$D$4:$AG$150,0,MATCH(AC$2,Inputs!$D$2:$AG$2,0))))=0,"",SUMIFS(INDEX(Inputs!$D$4:$AG$150,0,MATCH(AC$2,Inputs!$D$2:$AG$2,0)),Inputs!$B$4:$B$150,$B54)/1000)</f>
        <v>3450</v>
      </c>
      <c r="AD54" s="11">
        <f>IF(SUMPRODUCT((Inputs!$B$4:$B$150=$B54)*ISNUMBER(INDEX(Inputs!$D$4:$AG$150,0,MATCH(AD$2,Inputs!$D$2:$AG$2,0))))=0,"",SUMIFS(INDEX(Inputs!$D$4:$AG$150,0,MATCH(AD$2,Inputs!$D$2:$AG$2,0)),Inputs!$B$4:$B$150,$B54)/1000)</f>
        <v>3826</v>
      </c>
      <c r="AE54" s="11" t="str">
        <f>IF(SUMPRODUCT((Inputs!$B$4:$B$150=$B54)*ISNUMBER(INDEX(Inputs!$D$4:$AG$150,0,MATCH(AE$2,Inputs!$D$2:$AG$2,0))))=0,"",SUMIFS(INDEX(Inputs!$D$4:$AG$150,0,MATCH(AE$2,Inputs!$D$2:$AG$2,0)),Inputs!$B$4:$B$150,$B54)/1000)</f>
        <v/>
      </c>
      <c r="AF54" s="11" t="str">
        <f>IF(SUMPRODUCT((Inputs!$B$4:$B$150=$B54)*ISNUMBER(INDEX(Inputs!$D$4:$AG$150,0,MATCH(AF$2,Inputs!$D$2:$AG$2,0))))=0,"",SUMIFS(INDEX(Inputs!$D$4:$AG$150,0,MATCH(AF$2,Inputs!$D$2:$AG$2,0)),Inputs!$B$4:$B$150,$B54)/1000)</f>
        <v/>
      </c>
      <c r="AG54" s="12" t="str">
        <f>IF(COUNT(AC54:AF54)=4,SUM(AC54:AF54),"")</f>
        <v/>
      </c>
    </row>
    <row r="55">
      <c r="B55" s="9" t="n">
        <v>47</v>
      </c>
      <c r="C55" s="10" t="inlineStr">
        <is>
          <t>Receita América do Norte (USD)</t>
        </is>
      </c>
      <c r="D55" s="11">
        <f>IF(SUMPRODUCT((Inputs!$B$4:$B$150=$B55)*ISNUMBER(INDEX(Inputs!$D$4:$AG$150,0,MATCH(D$2,Inputs!$D$2:$AG$2,0))))=0,"",SUMIFS(INDEX(Inputs!$D$4:$AG$150,0,MATCH(D$2,Inputs!$D$2:$AG$2,0)),Inputs!$B$4:$B$150,$B55)/1000)</f>
        <v>1491</v>
      </c>
      <c r="E55" s="11">
        <f>IF(SUMPRODUCT((Inputs!$B$4:$B$150=$B55)*ISNUMBER(INDEX(Inputs!$D$4:$AG$150,0,MATCH(E$2,Inputs!$D$2:$AG$2,0))))=0,"",SUMIFS(INDEX(Inputs!$D$4:$AG$150,0,MATCH(E$2,Inputs!$D$2:$AG$2,0)),Inputs!$B$4:$B$150,$B55)/1000)</f>
        <v>1605</v>
      </c>
      <c r="F55" s="11">
        <f>IF(SUMPRODUCT((Inputs!$B$4:$B$150=$B55)*ISNUMBER(INDEX(Inputs!$D$4:$AG$150,0,MATCH(F$2,Inputs!$D$2:$AG$2,0))))=0,"",SUMIFS(INDEX(Inputs!$D$4:$AG$150,0,MATCH(F$2,Inputs!$D$2:$AG$2,0)),Inputs!$B$4:$B$150,$B55)/1000)</f>
        <v>1707</v>
      </c>
      <c r="G55" s="11">
        <f>IF(SUMPRODUCT((Inputs!$B$4:$B$150=$B55)*ISNUMBER(INDEX(Inputs!$D$4:$AG$150,0,MATCH(G$2,Inputs!$D$2:$AG$2,0))))=0,"",SUMIFS(INDEX(Inputs!$D$4:$AG$150,0,MATCH(G$2,Inputs!$D$2:$AG$2,0)),Inputs!$B$4:$B$150,$B55)/1000)</f>
        <v>1791</v>
      </c>
      <c r="H55" s="12">
        <f>IF(COUNT(D55:G55)=4,SUM(D55:G55),"")</f>
        <v>6594</v>
      </c>
      <c r="I55" s="11">
        <f>IF(SUMPRODUCT((Inputs!$B$4:$B$150=$B55)*ISNUMBER(INDEX(Inputs!$D$4:$AG$150,0,MATCH(I$2,Inputs!$D$2:$AG$2,0))))=0,"",SUMIFS(INDEX(Inputs!$D$4:$AG$150,0,MATCH(I$2,Inputs!$D$2:$AG$2,0)),Inputs!$B$4:$B$150,$B55)/1000)</f>
        <v>1730</v>
      </c>
      <c r="J55" s="11">
        <f>IF(SUMPRODUCT((Inputs!$B$4:$B$150=$B55)*ISNUMBER(INDEX(Inputs!$D$4:$AG$150,0,MATCH(J$2,Inputs!$D$2:$AG$2,0))))=0,"",SUMIFS(INDEX(Inputs!$D$4:$AG$150,0,MATCH(J$2,Inputs!$D$2:$AG$2,0)),Inputs!$B$4:$B$150,$B55)/1000)</f>
        <v>2008</v>
      </c>
      <c r="K55" s="11">
        <f>IF(SUMPRODUCT((Inputs!$B$4:$B$150=$B55)*ISNUMBER(INDEX(Inputs!$D$4:$AG$150,0,MATCH(K$2,Inputs!$D$2:$AG$2,0))))=0,"",SUMIFS(INDEX(Inputs!$D$4:$AG$150,0,MATCH(K$2,Inputs!$D$2:$AG$2,0)),Inputs!$B$4:$B$150,$B55)/1000)</f>
        <v>2031</v>
      </c>
      <c r="L55" s="11">
        <f>IF(SUMPRODUCT((Inputs!$B$4:$B$150=$B55)*ISNUMBER(INDEX(Inputs!$D$4:$AG$150,0,MATCH(L$2,Inputs!$D$2:$AG$2,0))))=0,"",SUMIFS(INDEX(Inputs!$D$4:$AG$150,0,MATCH(L$2,Inputs!$D$2:$AG$2,0)),Inputs!$B$4:$B$150,$B55)/1000)</f>
        <v>2040</v>
      </c>
      <c r="M55" s="12">
        <f>IF(COUNT(I55:L55)=4,SUM(I55:L55),"")</f>
        <v>7809</v>
      </c>
      <c r="N55" s="11">
        <f>IF(SUMPRODUCT((Inputs!$B$4:$B$150=$B55)*ISNUMBER(INDEX(Inputs!$D$4:$AG$150,0,MATCH(N$2,Inputs!$D$2:$AG$2,0))))=0,"",SUMIFS(INDEX(Inputs!$D$4:$AG$150,0,MATCH(N$2,Inputs!$D$2:$AG$2,0)),Inputs!$B$4:$B$150,$B55)/1000)</f>
        <v>2537</v>
      </c>
      <c r="O55" s="11">
        <f>IF(SUMPRODUCT((Inputs!$B$4:$B$150=$B55)*ISNUMBER(INDEX(Inputs!$D$4:$AG$150,0,MATCH(O$2,Inputs!$D$2:$AG$2,0))))=0,"",SUMIFS(INDEX(Inputs!$D$4:$AG$150,0,MATCH(O$2,Inputs!$D$2:$AG$2,0)),Inputs!$B$4:$B$150,$B55)/1000)</f>
        <v>2814</v>
      </c>
      <c r="P55" s="11">
        <f>IF(SUMPRODUCT((Inputs!$B$4:$B$150=$B55)*ISNUMBER(INDEX(Inputs!$D$4:$AG$150,0,MATCH(P$2,Inputs!$D$2:$AG$2,0))))=0,"",SUMIFS(INDEX(Inputs!$D$4:$AG$150,0,MATCH(P$2,Inputs!$D$2:$AG$2,0)),Inputs!$B$4:$B$150,$B55)/1000)</f>
        <v>2828</v>
      </c>
      <c r="Q55" s="11">
        <f>IF(SUMPRODUCT((Inputs!$B$4:$B$150=$B55)*ISNUMBER(INDEX(Inputs!$D$4:$AG$150,0,MATCH(Q$2,Inputs!$D$2:$AG$2,0))))=0,"",SUMIFS(INDEX(Inputs!$D$4:$AG$150,0,MATCH(Q$2,Inputs!$D$2:$AG$2,0)),Inputs!$B$4:$B$150,$B55)/1000)</f>
        <v>180</v>
      </c>
      <c r="R55" s="12">
        <f>IF(COUNT(N55:Q55)=4,SUM(N55:Q55),"")</f>
        <v>8359</v>
      </c>
      <c r="S55" s="11">
        <f>IF(SUMPRODUCT((Inputs!$B$4:$B$150=$B55)*ISNUMBER(INDEX(Inputs!$D$4:$AG$150,0,MATCH(S$2,Inputs!$D$2:$AG$2,0))))=0,"",SUMIFS(INDEX(Inputs!$D$4:$AG$150,0,MATCH(S$2,Inputs!$D$2:$AG$2,0)),Inputs!$B$4:$B$150,$B55)/1000)</f>
        <v>2773</v>
      </c>
      <c r="T55" s="11">
        <f>IF(SUMPRODUCT((Inputs!$B$4:$B$150=$B55)*ISNUMBER(INDEX(Inputs!$D$4:$AG$150,0,MATCH(T$2,Inputs!$D$2:$AG$2,0))))=0,"",SUMIFS(INDEX(Inputs!$D$4:$AG$150,0,MATCH(T$2,Inputs!$D$2:$AG$2,0)),Inputs!$B$4:$B$150,$B55)/1000)</f>
        <v>3164</v>
      </c>
      <c r="U55" s="11">
        <f>IF(SUMPRODUCT((Inputs!$B$4:$B$150=$B55)*ISNUMBER(INDEX(Inputs!$D$4:$AG$150,0,MATCH(U$2,Inputs!$D$2:$AG$2,0))))=0,"",SUMIFS(INDEX(Inputs!$D$4:$AG$150,0,MATCH(U$2,Inputs!$D$2:$AG$2,0)),Inputs!$B$4:$B$150,$B55)/1000)</f>
        <v>3156</v>
      </c>
      <c r="V55" s="11" t="str">
        <f>IF(SUMPRODUCT((Inputs!$B$4:$B$150=$B55)*ISNUMBER(INDEX(Inputs!$D$4:$AG$150,0,MATCH(V$2,Inputs!$D$2:$AG$2,0))))=0,"",SUMIFS(INDEX(Inputs!$D$4:$AG$150,0,MATCH(V$2,Inputs!$D$2:$AG$2,0)),Inputs!$B$4:$B$150,$B55)/1000)</f>
        <v/>
      </c>
      <c r="W55" s="12" t="str">
        <f>IF(COUNT(S55:V55)=4,SUM(S55:V55),"")</f>
        <v/>
      </c>
      <c r="X55" s="11">
        <f>IF(SUMPRODUCT((Inputs!$B$4:$B$150=$B55)*ISNUMBER(INDEX(Inputs!$D$4:$AG$150,0,MATCH(X$2,Inputs!$D$2:$AG$2,0))))=0,"",SUMIFS(INDEX(Inputs!$D$4:$AG$150,0,MATCH(X$2,Inputs!$D$2:$AG$2,0)),Inputs!$B$4:$B$150,$B55)/1000)</f>
        <v>3151</v>
      </c>
      <c r="Y55" s="11">
        <f>IF(SUMPRODUCT((Inputs!$B$4:$B$150=$B55)*ISNUMBER(INDEX(Inputs!$D$4:$AG$150,0,MATCH(Y$2,Inputs!$D$2:$AG$2,0))))=0,"",SUMIFS(INDEX(Inputs!$D$4:$AG$150,0,MATCH(Y$2,Inputs!$D$2:$AG$2,0)),Inputs!$B$4:$B$150,$B55)/1000)</f>
        <v>3406</v>
      </c>
      <c r="Z55" s="11">
        <f>IF(SUMPRODUCT((Inputs!$B$4:$B$150=$B55)*ISNUMBER(INDEX(Inputs!$D$4:$AG$150,0,MATCH(Z$2,Inputs!$D$2:$AG$2,0))))=0,"",SUMIFS(INDEX(Inputs!$D$4:$AG$150,0,MATCH(Z$2,Inputs!$D$2:$AG$2,0)),Inputs!$B$4:$B$150,$B55)/1000)</f>
        <v>3651</v>
      </c>
      <c r="AA55" s="11" t="str">
        <f>IF(SUMPRODUCT((Inputs!$B$4:$B$150=$B55)*ISNUMBER(INDEX(Inputs!$D$4:$AG$150,0,MATCH(AA$2,Inputs!$D$2:$AG$2,0))))=0,"",SUMIFS(INDEX(Inputs!$D$4:$AG$150,0,MATCH(AA$2,Inputs!$D$2:$AG$2,0)),Inputs!$B$4:$B$150,$B55)/1000)</f>
        <v/>
      </c>
      <c r="AB55" s="12" t="str">
        <f>IF(COUNT(X55:AA55)=4,SUM(X55:AA55),"")</f>
        <v/>
      </c>
      <c r="AC55" s="11">
        <f>IF(SUMPRODUCT((Inputs!$B$4:$B$150=$B55)*ISNUMBER(INDEX(Inputs!$D$4:$AG$150,0,MATCH(AC$2,Inputs!$D$2:$AG$2,0))))=0,"",SUMIFS(INDEX(Inputs!$D$4:$AG$150,0,MATCH(AC$2,Inputs!$D$2:$AG$2,0)),Inputs!$B$4:$B$150,$B55)/1000)</f>
        <v>3564</v>
      </c>
      <c r="AD55" s="11">
        <f>IF(SUMPRODUCT((Inputs!$B$4:$B$150=$B55)*ISNUMBER(INDEX(Inputs!$D$4:$AG$150,0,MATCH(AD$2,Inputs!$D$2:$AG$2,0))))=0,"",SUMIFS(INDEX(Inputs!$D$4:$AG$150,0,MATCH(AD$2,Inputs!$D$2:$AG$2,0)),Inputs!$B$4:$B$150,$B55)/1000)</f>
        <v>3999</v>
      </c>
      <c r="AE55" s="11" t="str">
        <f>IF(SUMPRODUCT((Inputs!$B$4:$B$150=$B55)*ISNUMBER(INDEX(Inputs!$D$4:$AG$150,0,MATCH(AE$2,Inputs!$D$2:$AG$2,0))))=0,"",SUMIFS(INDEX(Inputs!$D$4:$AG$150,0,MATCH(AE$2,Inputs!$D$2:$AG$2,0)),Inputs!$B$4:$B$150,$B55)/1000)</f>
        <v/>
      </c>
      <c r="AF55" s="11" t="str">
        <f>IF(SUMPRODUCT((Inputs!$B$4:$B$150=$B55)*ISNUMBER(INDEX(Inputs!$D$4:$AG$150,0,MATCH(AF$2,Inputs!$D$2:$AG$2,0))))=0,"",SUMIFS(INDEX(Inputs!$D$4:$AG$150,0,MATCH(AF$2,Inputs!$D$2:$AG$2,0)),Inputs!$B$4:$B$150,$B55)/1000)</f>
        <v/>
      </c>
      <c r="AG55" s="12" t="str">
        <f>IF(COUNT(AC55:AF55)=4,SUM(AC55:AF55),"")</f>
        <v/>
      </c>
    </row>
    <row r="56">
      <c r="B56" s="9" t="n">
        <v>48</v>
      </c>
      <c r="C56" s="10" t="inlineStr">
        <is>
          <t>Receita International Markets (USD)</t>
        </is>
      </c>
      <c r="D56" s="11">
        <f>IF(SUMPRODUCT((Inputs!$B$4:$B$150=$B56)*ISNUMBER(INDEX(Inputs!$D$4:$AG$150,0,MATCH(D$2,Inputs!$D$2:$AG$2,0))))=0,"",SUMIFS(INDEX(Inputs!$D$4:$AG$150,0,MATCH(D$2,Inputs!$D$2:$AG$2,0)),Inputs!$B$4:$B$150,$B56)/1000)</f>
        <v>2618</v>
      </c>
      <c r="E56" s="11">
        <f>IF(SUMPRODUCT((Inputs!$B$4:$B$150=$B56)*ISNUMBER(INDEX(Inputs!$D$4:$AG$150,0,MATCH(E$2,Inputs!$D$2:$AG$2,0))))=0,"",SUMIFS(INDEX(Inputs!$D$4:$AG$150,0,MATCH(E$2,Inputs!$D$2:$AG$2,0)),Inputs!$B$4:$B$150,$B56)/1000)</f>
        <v>2879</v>
      </c>
      <c r="F56" s="11">
        <f>IF(SUMPRODUCT((Inputs!$B$4:$B$150=$B56)*ISNUMBER(INDEX(Inputs!$D$4:$AG$150,0,MATCH(F$2,Inputs!$D$2:$AG$2,0))))=0,"",SUMIFS(INDEX(Inputs!$D$4:$AG$150,0,MATCH(F$2,Inputs!$D$2:$AG$2,0)),Inputs!$B$4:$B$150,$B56)/1000)</f>
        <v>3218</v>
      </c>
      <c r="G56" s="11">
        <f>IF(SUMPRODUCT((Inputs!$B$4:$B$150=$B56)*ISNUMBER(INDEX(Inputs!$D$4:$AG$150,0,MATCH(G$2,Inputs!$D$2:$AG$2,0))))=0,"",SUMIFS(INDEX(Inputs!$D$4:$AG$150,0,MATCH(G$2,Inputs!$D$2:$AG$2,0)),Inputs!$B$4:$B$150,$B56)/1000)</f>
        <v>3353</v>
      </c>
      <c r="H56" s="12">
        <f>IF(COUNT(D56:G56)=4,SUM(D56:G56),"")</f>
        <v>12068</v>
      </c>
      <c r="I56" s="11">
        <f>IF(SUMPRODUCT((Inputs!$B$4:$B$150=$B56)*ISNUMBER(INDEX(Inputs!$D$4:$AG$150,0,MATCH(I$2,Inputs!$D$2:$AG$2,0))))=0,"",SUMIFS(INDEX(Inputs!$D$4:$AG$150,0,MATCH(I$2,Inputs!$D$2:$AG$2,0)),Inputs!$B$4:$B$150,$B56)/1000)</f>
        <v>3437</v>
      </c>
      <c r="J56" s="11">
        <f>IF(SUMPRODUCT((Inputs!$B$4:$B$150=$B56)*ISNUMBER(INDEX(Inputs!$D$4:$AG$150,0,MATCH(J$2,Inputs!$D$2:$AG$2,0))))=0,"",SUMIFS(INDEX(Inputs!$D$4:$AG$150,0,MATCH(J$2,Inputs!$D$2:$AG$2,0)),Inputs!$B$4:$B$150,$B56)/1000)</f>
        <v>3489</v>
      </c>
      <c r="K56" s="11">
        <f>IF(SUMPRODUCT((Inputs!$B$4:$B$150=$B56)*ISNUMBER(INDEX(Inputs!$D$4:$AG$150,0,MATCH(K$2,Inputs!$D$2:$AG$2,0))))=0,"",SUMIFS(INDEX(Inputs!$D$4:$AG$150,0,MATCH(K$2,Inputs!$D$2:$AG$2,0)),Inputs!$B$4:$B$150,$B56)/1000)</f>
        <v>3725</v>
      </c>
      <c r="L56" s="11">
        <f>IF(SUMPRODUCT((Inputs!$B$4:$B$150=$B56)*ISNUMBER(INDEX(Inputs!$D$4:$AG$150,0,MATCH(L$2,Inputs!$D$2:$AG$2,0))))=0,"",SUMIFS(INDEX(Inputs!$D$4:$AG$150,0,MATCH(L$2,Inputs!$D$2:$AG$2,0)),Inputs!$B$4:$B$150,$B56)/1000)</f>
        <v>3938</v>
      </c>
      <c r="M56" s="12">
        <f>IF(COUNT(I56:L56)=4,SUM(I56:L56),"")</f>
        <v>14589</v>
      </c>
      <c r="N56" s="11">
        <f>IF(SUMPRODUCT((Inputs!$B$4:$B$150=$B56)*ISNUMBER(INDEX(Inputs!$D$4:$AG$150,0,MATCH(N$2,Inputs!$D$2:$AG$2,0))))=0,"",SUMIFS(INDEX(Inputs!$D$4:$AG$150,0,MATCH(N$2,Inputs!$D$2:$AG$2,0)),Inputs!$B$4:$B$150,$B56)/1000)</f>
        <v>3211</v>
      </c>
      <c r="O56" s="11">
        <f>IF(SUMPRODUCT((Inputs!$B$4:$B$150=$B56)*ISNUMBER(INDEX(Inputs!$D$4:$AG$150,0,MATCH(O$2,Inputs!$D$2:$AG$2,0))))=0,"",SUMIFS(INDEX(Inputs!$D$4:$AG$150,0,MATCH(O$2,Inputs!$D$2:$AG$2,0)),Inputs!$B$4:$B$150,$B56)/1000)</f>
        <v>3455</v>
      </c>
      <c r="P56" s="11">
        <f>IF(SUMPRODUCT((Inputs!$B$4:$B$150=$B56)*ISNUMBER(INDEX(Inputs!$D$4:$AG$150,0,MATCH(P$2,Inputs!$D$2:$AG$2,0))))=0,"",SUMIFS(INDEX(Inputs!$D$4:$AG$150,0,MATCH(P$2,Inputs!$D$2:$AG$2,0)),Inputs!$B$4:$B$150,$B56)/1000)</f>
        <v>3705</v>
      </c>
      <c r="Q56" s="11">
        <f>IF(SUMPRODUCT((Inputs!$B$4:$B$150=$B56)*ISNUMBER(INDEX(Inputs!$D$4:$AG$150,0,MATCH(Q$2,Inputs!$D$2:$AG$2,0))))=0,"",SUMIFS(INDEX(Inputs!$D$4:$AG$150,0,MATCH(Q$2,Inputs!$D$2:$AG$2,0)),Inputs!$B$4:$B$150,$B56)/1000)</f>
        <v>4332</v>
      </c>
      <c r="R56" s="12">
        <f>IF(COUNT(N56:Q56)=4,SUM(N56:Q56),"")</f>
        <v>14703</v>
      </c>
      <c r="S56" s="11">
        <f>IF(SUMPRODUCT((Inputs!$B$4:$B$150=$B56)*ISNUMBER(INDEX(Inputs!$D$4:$AG$150,0,MATCH(S$2,Inputs!$D$2:$AG$2,0))))=0,"",SUMIFS(INDEX(Inputs!$D$4:$AG$150,0,MATCH(S$2,Inputs!$D$2:$AG$2,0)),Inputs!$B$4:$B$150,$B56)/1000)</f>
        <v>3575</v>
      </c>
      <c r="T56" s="11">
        <f>IF(SUMPRODUCT((Inputs!$B$4:$B$150=$B56)*ISNUMBER(INDEX(Inputs!$D$4:$AG$150,0,MATCH(T$2,Inputs!$D$2:$AG$2,0))))=0,"",SUMIFS(INDEX(Inputs!$D$4:$AG$150,0,MATCH(T$2,Inputs!$D$2:$AG$2,0)),Inputs!$B$4:$B$150,$B56)/1000)</f>
        <v>3797</v>
      </c>
      <c r="U56" s="11">
        <f>IF(SUMPRODUCT((Inputs!$B$4:$B$150=$B56)*ISNUMBER(INDEX(Inputs!$D$4:$AG$150,0,MATCH(U$2,Inputs!$D$2:$AG$2,0))))=0,"",SUMIFS(INDEX(Inputs!$D$4:$AG$150,0,MATCH(U$2,Inputs!$D$2:$AG$2,0)),Inputs!$B$4:$B$150,$B56)/1000)</f>
        <v>4213</v>
      </c>
      <c r="V56" s="11">
        <f>IF(SUMPRODUCT((Inputs!$B$4:$B$150=$B56)*ISNUMBER(INDEX(Inputs!$D$4:$AG$150,0,MATCH(V$2,Inputs!$D$2:$AG$2,0))))=0,"",SUMIFS(INDEX(Inputs!$D$4:$AG$150,0,MATCH(V$2,Inputs!$D$2:$AG$2,0)),Inputs!$B$4:$B$150,$B56)/1000)</f>
        <v>4207</v>
      </c>
      <c r="W56" s="12">
        <f>IF(COUNT(S56:V56)=4,SUM(S56:V56),"")</f>
        <v>15792</v>
      </c>
      <c r="X56" s="11">
        <f>IF(SUMPRODUCT((Inputs!$B$4:$B$150=$B56)*ISNUMBER(INDEX(Inputs!$D$4:$AG$150,0,MATCH(X$2,Inputs!$D$2:$AG$2,0))))=0,"",SUMIFS(INDEX(Inputs!$D$4:$AG$150,0,MATCH(X$2,Inputs!$D$2:$AG$2,0)),Inputs!$B$4:$B$150,$B56)/1000)</f>
        <v>4099</v>
      </c>
      <c r="Y56" s="11">
        <f>IF(SUMPRODUCT((Inputs!$B$4:$B$150=$B56)*ISNUMBER(INDEX(Inputs!$D$4:$AG$150,0,MATCH(Y$2,Inputs!$D$2:$AG$2,0))))=0,"",SUMIFS(INDEX(Inputs!$D$4:$AG$150,0,MATCH(Y$2,Inputs!$D$2:$AG$2,0)),Inputs!$B$4:$B$150,$B56)/1000)</f>
        <v>4727</v>
      </c>
      <c r="Z56" s="11">
        <f>IF(SUMPRODUCT((Inputs!$B$4:$B$150=$B56)*ISNUMBER(INDEX(Inputs!$D$4:$AG$150,0,MATCH(Z$2,Inputs!$D$2:$AG$2,0))))=0,"",SUMIFS(INDEX(Inputs!$D$4:$AG$150,0,MATCH(Z$2,Inputs!$D$2:$AG$2,0)),Inputs!$B$4:$B$150,$B56)/1000)</f>
        <v>4951</v>
      </c>
      <c r="AA56" s="11">
        <f>IF(SUMPRODUCT((Inputs!$B$4:$B$150=$B56)*ISNUMBER(INDEX(Inputs!$D$4:$AG$150,0,MATCH(AA$2,Inputs!$D$2:$AG$2,0))))=0,"",SUMIFS(INDEX(Inputs!$D$4:$AG$150,0,MATCH(AA$2,Inputs!$D$2:$AG$2,0)),Inputs!$B$4:$B$150,$B56)/1000)</f>
        <v>4969</v>
      </c>
      <c r="AB56" s="12">
        <f>IF(COUNT(X56:AA56)=4,SUM(X56:AA56),"")</f>
        <v>18746</v>
      </c>
      <c r="AC56" s="11">
        <f>IF(SUMPRODUCT((Inputs!$B$4:$B$150=$B56)*ISNUMBER(INDEX(Inputs!$D$4:$AG$150,0,MATCH(AC$2,Inputs!$D$2:$AG$2,0))))=0,"",SUMIFS(INDEX(Inputs!$D$4:$AG$150,0,MATCH(AC$2,Inputs!$D$2:$AG$2,0)),Inputs!$B$4:$B$150,$B56)/1000)</f>
        <v>4834</v>
      </c>
      <c r="AD56" s="11">
        <f>IF(SUMPRODUCT((Inputs!$B$4:$B$150=$B56)*ISNUMBER(INDEX(Inputs!$D$4:$AG$150,0,MATCH(AD$2,Inputs!$D$2:$AG$2,0))))=0,"",SUMIFS(INDEX(Inputs!$D$4:$AG$150,0,MATCH(AD$2,Inputs!$D$2:$AG$2,0)),Inputs!$B$4:$B$150,$B56)/1000)</f>
        <v>5278</v>
      </c>
      <c r="AE56" s="11" t="str">
        <f>IF(SUMPRODUCT((Inputs!$B$4:$B$150=$B56)*ISNUMBER(INDEX(Inputs!$D$4:$AG$150,0,MATCH(AE$2,Inputs!$D$2:$AG$2,0))))=0,"",SUMIFS(INDEX(Inputs!$D$4:$AG$150,0,MATCH(AE$2,Inputs!$D$2:$AG$2,0)),Inputs!$B$4:$B$150,$B56)/1000)</f>
        <v/>
      </c>
      <c r="AF56" s="11" t="str">
        <f>IF(SUMPRODUCT((Inputs!$B$4:$B$150=$B56)*ISNUMBER(INDEX(Inputs!$D$4:$AG$150,0,MATCH(AF$2,Inputs!$D$2:$AG$2,0))))=0,"",SUMIFS(INDEX(Inputs!$D$4:$AG$150,0,MATCH(AF$2,Inputs!$D$2:$AG$2,0)),Inputs!$B$4:$B$150,$B56)/1000)</f>
        <v/>
      </c>
      <c r="AG56" s="12" t="str">
        <f>IF(COUNT(AC56:AF56)=4,SUM(AC56:AF56),"")</f>
        <v/>
      </c>
    </row>
    <row r="57">
      <c r="B57" s="9" t="n">
        <v>49</v>
      </c>
      <c r="C57" s="10" t="inlineStr">
        <is>
          <t>Domestic assessments (USD; até 2022)</t>
        </is>
      </c>
      <c r="D57" s="11">
        <f>IF(SUMPRODUCT((Inputs!$B$4:$B$150=$B57)*ISNUMBER(INDEX(Inputs!$D$4:$AG$150,0,MATCH(D$2,Inputs!$D$2:$AG$2,0))))=0,"",SUMIFS(INDEX(Inputs!$D$4:$AG$150,0,MATCH(D$2,Inputs!$D$2:$AG$2,0)),Inputs!$B$4:$B$150,$B57)/1000)</f>
        <v>1798</v>
      </c>
      <c r="E57" s="11">
        <f>IF(SUMPRODUCT((Inputs!$B$4:$B$150=$B57)*ISNUMBER(INDEX(Inputs!$D$4:$AG$150,0,MATCH(E$2,Inputs!$D$2:$AG$2,0))))=0,"",SUMIFS(INDEX(Inputs!$D$4:$AG$150,0,MATCH(E$2,Inputs!$D$2:$AG$2,0)),Inputs!$B$4:$B$150,$B57)/1000)</f>
        <v>2056</v>
      </c>
      <c r="F57" s="11">
        <f>IF(SUMPRODUCT((Inputs!$B$4:$B$150=$B57)*ISNUMBER(INDEX(Inputs!$D$4:$AG$150,0,MATCH(F$2,Inputs!$D$2:$AG$2,0))))=0,"",SUMIFS(INDEX(Inputs!$D$4:$AG$150,0,MATCH(F$2,Inputs!$D$2:$AG$2,0)),Inputs!$B$4:$B$150,$B57)/1000)</f>
        <v>2139</v>
      </c>
      <c r="G57" s="11">
        <f>IF(SUMPRODUCT((Inputs!$B$4:$B$150=$B57)*ISNUMBER(INDEX(Inputs!$D$4:$AG$150,0,MATCH(G$2,Inputs!$D$2:$AG$2,0))))=0,"",SUMIFS(INDEX(Inputs!$D$4:$AG$150,0,MATCH(G$2,Inputs!$D$2:$AG$2,0)),Inputs!$B$4:$B$150,$B57)/1000)</f>
        <v>2165</v>
      </c>
      <c r="H57" s="12">
        <f>IF(COUNT(D57:G57)=4,SUM(D57:G57),"")</f>
        <v>8158</v>
      </c>
      <c r="I57" s="11">
        <f>IF(SUMPRODUCT((Inputs!$B$4:$B$150=$B57)*ISNUMBER(INDEX(Inputs!$D$4:$AG$150,0,MATCH(I$2,Inputs!$D$2:$AG$2,0))))=0,"",SUMIFS(INDEX(Inputs!$D$4:$AG$150,0,MATCH(I$2,Inputs!$D$2:$AG$2,0)),Inputs!$B$4:$B$150,$B57)/1000)</f>
        <v>2134</v>
      </c>
      <c r="J57" s="11">
        <f>IF(SUMPRODUCT((Inputs!$B$4:$B$150=$B57)*ISNUMBER(INDEX(Inputs!$D$4:$AG$150,0,MATCH(J$2,Inputs!$D$2:$AG$2,0))))=0,"",SUMIFS(INDEX(Inputs!$D$4:$AG$150,0,MATCH(J$2,Inputs!$D$2:$AG$2,0)),Inputs!$B$4:$B$150,$B57)/1000)</f>
        <v>2283</v>
      </c>
      <c r="K57" s="11">
        <f>IF(SUMPRODUCT((Inputs!$B$4:$B$150=$B57)*ISNUMBER(INDEX(Inputs!$D$4:$AG$150,0,MATCH(K$2,Inputs!$D$2:$AG$2,0))))=0,"",SUMIFS(INDEX(Inputs!$D$4:$AG$150,0,MATCH(K$2,Inputs!$D$2:$AG$2,0)),Inputs!$B$4:$B$150,$B57)/1000)</f>
        <v>2252</v>
      </c>
      <c r="L57" s="11" t="str">
        <f>IF(SUMPRODUCT((Inputs!$B$4:$B$150=$B57)*ISNUMBER(INDEX(Inputs!$D$4:$AG$150,0,MATCH(L$2,Inputs!$D$2:$AG$2,0))))=0,"",SUMIFS(INDEX(Inputs!$D$4:$AG$150,0,MATCH(L$2,Inputs!$D$2:$AG$2,0)),Inputs!$B$4:$B$150,$B57)/1000)</f>
        <v/>
      </c>
      <c r="M57" s="12" t="str">
        <f>IF(COUNT(I57:L57)=4,SUM(I57:L57),"")</f>
        <v/>
      </c>
      <c r="N57" s="11" t="str">
        <f>IF(SUMPRODUCT((Inputs!$B$4:$B$150=$B57)*ISNUMBER(INDEX(Inputs!$D$4:$AG$150,0,MATCH(N$2,Inputs!$D$2:$AG$2,0))))=0,"",SUMIFS(INDEX(Inputs!$D$4:$AG$150,0,MATCH(N$2,Inputs!$D$2:$AG$2,0)),Inputs!$B$4:$B$150,$B57)/1000)</f>
        <v/>
      </c>
      <c r="O57" s="11" t="str">
        <f>IF(SUMPRODUCT((Inputs!$B$4:$B$150=$B57)*ISNUMBER(INDEX(Inputs!$D$4:$AG$150,0,MATCH(O$2,Inputs!$D$2:$AG$2,0))))=0,"",SUMIFS(INDEX(Inputs!$D$4:$AG$150,0,MATCH(O$2,Inputs!$D$2:$AG$2,0)),Inputs!$B$4:$B$150,$B57)/1000)</f>
        <v/>
      </c>
      <c r="P57" s="11" t="str">
        <f>IF(SUMPRODUCT((Inputs!$B$4:$B$150=$B57)*ISNUMBER(INDEX(Inputs!$D$4:$AG$150,0,MATCH(P$2,Inputs!$D$2:$AG$2,0))))=0,"",SUMIFS(INDEX(Inputs!$D$4:$AG$150,0,MATCH(P$2,Inputs!$D$2:$AG$2,0)),Inputs!$B$4:$B$150,$B57)/1000)</f>
        <v/>
      </c>
      <c r="Q57" s="11" t="str">
        <f>IF(SUMPRODUCT((Inputs!$B$4:$B$150=$B57)*ISNUMBER(INDEX(Inputs!$D$4:$AG$150,0,MATCH(Q$2,Inputs!$D$2:$AG$2,0))))=0,"",SUMIFS(INDEX(Inputs!$D$4:$AG$150,0,MATCH(Q$2,Inputs!$D$2:$AG$2,0)),Inputs!$B$4:$B$150,$B57)/1000)</f>
        <v/>
      </c>
      <c r="R57" s="12" t="str">
        <f>IF(COUNT(N57:Q57)=4,SUM(N57:Q57),"")</f>
        <v/>
      </c>
      <c r="S57" s="11" t="str">
        <f>IF(SUMPRODUCT((Inputs!$B$4:$B$150=$B57)*ISNUMBER(INDEX(Inputs!$D$4:$AG$150,0,MATCH(S$2,Inputs!$D$2:$AG$2,0))))=0,"",SUMIFS(INDEX(Inputs!$D$4:$AG$150,0,MATCH(S$2,Inputs!$D$2:$AG$2,0)),Inputs!$B$4:$B$150,$B57)/1000)</f>
        <v/>
      </c>
      <c r="T57" s="11" t="str">
        <f>IF(SUMPRODUCT((Inputs!$B$4:$B$150=$B57)*ISNUMBER(INDEX(Inputs!$D$4:$AG$150,0,MATCH(T$2,Inputs!$D$2:$AG$2,0))))=0,"",SUMIFS(INDEX(Inputs!$D$4:$AG$150,0,MATCH(T$2,Inputs!$D$2:$AG$2,0)),Inputs!$B$4:$B$150,$B57)/1000)</f>
        <v/>
      </c>
      <c r="U57" s="11" t="str">
        <f>IF(SUMPRODUCT((Inputs!$B$4:$B$150=$B57)*ISNUMBER(INDEX(Inputs!$D$4:$AG$150,0,MATCH(U$2,Inputs!$D$2:$AG$2,0))))=0,"",SUMIFS(INDEX(Inputs!$D$4:$AG$150,0,MATCH(U$2,Inputs!$D$2:$AG$2,0)),Inputs!$B$4:$B$150,$B57)/1000)</f>
        <v/>
      </c>
      <c r="V57" s="11" t="str">
        <f>IF(SUMPRODUCT((Inputs!$B$4:$B$150=$B57)*ISNUMBER(INDEX(Inputs!$D$4:$AG$150,0,MATCH(V$2,Inputs!$D$2:$AG$2,0))))=0,"",SUMIFS(INDEX(Inputs!$D$4:$AG$150,0,MATCH(V$2,Inputs!$D$2:$AG$2,0)),Inputs!$B$4:$B$150,$B57)/1000)</f>
        <v/>
      </c>
      <c r="W57" s="12" t="str">
        <f>IF(COUNT(S57:V57)=4,SUM(S57:V57),"")</f>
        <v/>
      </c>
      <c r="X57" s="11" t="str">
        <f>IF(SUMPRODUCT((Inputs!$B$4:$B$150=$B57)*ISNUMBER(INDEX(Inputs!$D$4:$AG$150,0,MATCH(X$2,Inputs!$D$2:$AG$2,0))))=0,"",SUMIFS(INDEX(Inputs!$D$4:$AG$150,0,MATCH(X$2,Inputs!$D$2:$AG$2,0)),Inputs!$B$4:$B$150,$B57)/1000)</f>
        <v/>
      </c>
      <c r="Y57" s="11" t="str">
        <f>IF(SUMPRODUCT((Inputs!$B$4:$B$150=$B57)*ISNUMBER(INDEX(Inputs!$D$4:$AG$150,0,MATCH(Y$2,Inputs!$D$2:$AG$2,0))))=0,"",SUMIFS(INDEX(Inputs!$D$4:$AG$150,0,MATCH(Y$2,Inputs!$D$2:$AG$2,0)),Inputs!$B$4:$B$150,$B57)/1000)</f>
        <v/>
      </c>
      <c r="Z57" s="11" t="str">
        <f>IF(SUMPRODUCT((Inputs!$B$4:$B$150=$B57)*ISNUMBER(INDEX(Inputs!$D$4:$AG$150,0,MATCH(Z$2,Inputs!$D$2:$AG$2,0))))=0,"",SUMIFS(INDEX(Inputs!$D$4:$AG$150,0,MATCH(Z$2,Inputs!$D$2:$AG$2,0)),Inputs!$B$4:$B$150,$B57)/1000)</f>
        <v/>
      </c>
      <c r="AA57" s="11" t="str">
        <f>IF(SUMPRODUCT((Inputs!$B$4:$B$150=$B57)*ISNUMBER(INDEX(Inputs!$D$4:$AG$150,0,MATCH(AA$2,Inputs!$D$2:$AG$2,0))))=0,"",SUMIFS(INDEX(Inputs!$D$4:$AG$150,0,MATCH(AA$2,Inputs!$D$2:$AG$2,0)),Inputs!$B$4:$B$150,$B57)/1000)</f>
        <v/>
      </c>
      <c r="AB57" s="12" t="str">
        <f>IF(COUNT(X57:AA57)=4,SUM(X57:AA57),"")</f>
        <v/>
      </c>
      <c r="AC57" s="11" t="str">
        <f>IF(SUMPRODUCT((Inputs!$B$4:$B$150=$B57)*ISNUMBER(INDEX(Inputs!$D$4:$AG$150,0,MATCH(AC$2,Inputs!$D$2:$AG$2,0))))=0,"",SUMIFS(INDEX(Inputs!$D$4:$AG$150,0,MATCH(AC$2,Inputs!$D$2:$AG$2,0)),Inputs!$B$4:$B$150,$B57)/1000)</f>
        <v/>
      </c>
      <c r="AD57" s="11" t="str">
        <f>IF(SUMPRODUCT((Inputs!$B$4:$B$150=$B57)*ISNUMBER(INDEX(Inputs!$D$4:$AG$150,0,MATCH(AD$2,Inputs!$D$2:$AG$2,0))))=0,"",SUMIFS(INDEX(Inputs!$D$4:$AG$150,0,MATCH(AD$2,Inputs!$D$2:$AG$2,0)),Inputs!$B$4:$B$150,$B57)/1000)</f>
        <v/>
      </c>
      <c r="AE57" s="11" t="str">
        <f>IF(SUMPRODUCT((Inputs!$B$4:$B$150=$B57)*ISNUMBER(INDEX(Inputs!$D$4:$AG$150,0,MATCH(AE$2,Inputs!$D$2:$AG$2,0))))=0,"",SUMIFS(INDEX(Inputs!$D$4:$AG$150,0,MATCH(AE$2,Inputs!$D$2:$AG$2,0)),Inputs!$B$4:$B$150,$B57)/1000)</f>
        <v/>
      </c>
      <c r="AF57" s="11" t="str">
        <f>IF(SUMPRODUCT((Inputs!$B$4:$B$150=$B57)*ISNUMBER(INDEX(Inputs!$D$4:$AG$150,0,MATCH(AF$2,Inputs!$D$2:$AG$2,0))))=0,"",SUMIFS(INDEX(Inputs!$D$4:$AG$150,0,MATCH(AF$2,Inputs!$D$2:$AG$2,0)),Inputs!$B$4:$B$150,$B57)/1000)</f>
        <v/>
      </c>
      <c r="AG57" s="12" t="str">
        <f>IF(COUNT(AC57:AF57)=4,SUM(AC57:AF57),"")</f>
        <v/>
      </c>
    </row>
    <row r="58">
      <c r="B58" s="9" t="n">
        <v>50</v>
      </c>
      <c r="C58" s="10" t="inlineStr">
        <is>
          <t>Cross-border volume fees (USD; até 2022)</t>
        </is>
      </c>
      <c r="D58" s="11">
        <f>IF(SUMPRODUCT((Inputs!$B$4:$B$150=$B58)*ISNUMBER(INDEX(Inputs!$D$4:$AG$150,0,MATCH(D$2,Inputs!$D$2:$AG$2,0))))=0,"",SUMIFS(INDEX(Inputs!$D$4:$AG$150,0,MATCH(D$2,Inputs!$D$2:$AG$2,0)),Inputs!$B$4:$B$150,$B58)/1000)</f>
        <v>932</v>
      </c>
      <c r="E58" s="11">
        <f>IF(SUMPRODUCT((Inputs!$B$4:$B$150=$B58)*ISNUMBER(INDEX(Inputs!$D$4:$AG$150,0,MATCH(E$2,Inputs!$D$2:$AG$2,0))))=0,"",SUMIFS(INDEX(Inputs!$D$4:$AG$150,0,MATCH(E$2,Inputs!$D$2:$AG$2,0)),Inputs!$B$4:$B$150,$B58)/1000)</f>
        <v>1076</v>
      </c>
      <c r="F58" s="11">
        <f>IF(SUMPRODUCT((Inputs!$B$4:$B$150=$B58)*ISNUMBER(INDEX(Inputs!$D$4:$AG$150,0,MATCH(F$2,Inputs!$D$2:$AG$2,0))))=0,"",SUMIFS(INDEX(Inputs!$D$4:$AG$150,0,MATCH(F$2,Inputs!$D$2:$AG$2,0)),Inputs!$B$4:$B$150,$B58)/1000)</f>
        <v>1276</v>
      </c>
      <c r="G58" s="11">
        <f>IF(SUMPRODUCT((Inputs!$B$4:$B$150=$B58)*ISNUMBER(INDEX(Inputs!$D$4:$AG$150,0,MATCH(G$2,Inputs!$D$2:$AG$2,0))))=0,"",SUMIFS(INDEX(Inputs!$D$4:$AG$150,0,MATCH(G$2,Inputs!$D$2:$AG$2,0)),Inputs!$B$4:$B$150,$B58)/1000)</f>
        <v>1380</v>
      </c>
      <c r="H58" s="12">
        <f>IF(COUNT(D58:G58)=4,SUM(D58:G58),"")</f>
        <v>4664</v>
      </c>
      <c r="I58" s="11">
        <f>IF(SUMPRODUCT((Inputs!$B$4:$B$150=$B58)*ISNUMBER(INDEX(Inputs!$D$4:$AG$150,0,MATCH(I$2,Inputs!$D$2:$AG$2,0))))=0,"",SUMIFS(INDEX(Inputs!$D$4:$AG$150,0,MATCH(I$2,Inputs!$D$2:$AG$2,0)),Inputs!$B$4:$B$150,$B58)/1000)</f>
        <v>1395</v>
      </c>
      <c r="J58" s="11">
        <f>IF(SUMPRODUCT((Inputs!$B$4:$B$150=$B58)*ISNUMBER(INDEX(Inputs!$D$4:$AG$150,0,MATCH(J$2,Inputs!$D$2:$AG$2,0))))=0,"",SUMIFS(INDEX(Inputs!$D$4:$AG$150,0,MATCH(J$2,Inputs!$D$2:$AG$2,0)),Inputs!$B$4:$B$150,$B58)/1000)</f>
        <v>1615</v>
      </c>
      <c r="K58" s="11">
        <f>IF(SUMPRODUCT((Inputs!$B$4:$B$150=$B58)*ISNUMBER(INDEX(Inputs!$D$4:$AG$150,0,MATCH(K$2,Inputs!$D$2:$AG$2,0))))=0,"",SUMIFS(INDEX(Inputs!$D$4:$AG$150,0,MATCH(K$2,Inputs!$D$2:$AG$2,0)),Inputs!$B$4:$B$150,$B58)/1000)</f>
        <v>1803</v>
      </c>
      <c r="L58" s="11" t="str">
        <f>IF(SUMPRODUCT((Inputs!$B$4:$B$150=$B58)*ISNUMBER(INDEX(Inputs!$D$4:$AG$150,0,MATCH(L$2,Inputs!$D$2:$AG$2,0))))=0,"",SUMIFS(INDEX(Inputs!$D$4:$AG$150,0,MATCH(L$2,Inputs!$D$2:$AG$2,0)),Inputs!$B$4:$B$150,$B58)/1000)</f>
        <v/>
      </c>
      <c r="M58" s="12" t="str">
        <f>IF(COUNT(I58:L58)=4,SUM(I58:L58),"")</f>
        <v/>
      </c>
      <c r="N58" s="11" t="str">
        <f>IF(SUMPRODUCT((Inputs!$B$4:$B$150=$B58)*ISNUMBER(INDEX(Inputs!$D$4:$AG$150,0,MATCH(N$2,Inputs!$D$2:$AG$2,0))))=0,"",SUMIFS(INDEX(Inputs!$D$4:$AG$150,0,MATCH(N$2,Inputs!$D$2:$AG$2,0)),Inputs!$B$4:$B$150,$B58)/1000)</f>
        <v/>
      </c>
      <c r="O58" s="11" t="str">
        <f>IF(SUMPRODUCT((Inputs!$B$4:$B$150=$B58)*ISNUMBER(INDEX(Inputs!$D$4:$AG$150,0,MATCH(O$2,Inputs!$D$2:$AG$2,0))))=0,"",SUMIFS(INDEX(Inputs!$D$4:$AG$150,0,MATCH(O$2,Inputs!$D$2:$AG$2,0)),Inputs!$B$4:$B$150,$B58)/1000)</f>
        <v/>
      </c>
      <c r="P58" s="11" t="str">
        <f>IF(SUMPRODUCT((Inputs!$B$4:$B$150=$B58)*ISNUMBER(INDEX(Inputs!$D$4:$AG$150,0,MATCH(P$2,Inputs!$D$2:$AG$2,0))))=0,"",SUMIFS(INDEX(Inputs!$D$4:$AG$150,0,MATCH(P$2,Inputs!$D$2:$AG$2,0)),Inputs!$B$4:$B$150,$B58)/1000)</f>
        <v/>
      </c>
      <c r="Q58" s="11" t="str">
        <f>IF(SUMPRODUCT((Inputs!$B$4:$B$150=$B58)*ISNUMBER(INDEX(Inputs!$D$4:$AG$150,0,MATCH(Q$2,Inputs!$D$2:$AG$2,0))))=0,"",SUMIFS(INDEX(Inputs!$D$4:$AG$150,0,MATCH(Q$2,Inputs!$D$2:$AG$2,0)),Inputs!$B$4:$B$150,$B58)/1000)</f>
        <v/>
      </c>
      <c r="R58" s="12" t="str">
        <f>IF(COUNT(N58:Q58)=4,SUM(N58:Q58),"")</f>
        <v/>
      </c>
      <c r="S58" s="11" t="str">
        <f>IF(SUMPRODUCT((Inputs!$B$4:$B$150=$B58)*ISNUMBER(INDEX(Inputs!$D$4:$AG$150,0,MATCH(S$2,Inputs!$D$2:$AG$2,0))))=0,"",SUMIFS(INDEX(Inputs!$D$4:$AG$150,0,MATCH(S$2,Inputs!$D$2:$AG$2,0)),Inputs!$B$4:$B$150,$B58)/1000)</f>
        <v/>
      </c>
      <c r="T58" s="11" t="str">
        <f>IF(SUMPRODUCT((Inputs!$B$4:$B$150=$B58)*ISNUMBER(INDEX(Inputs!$D$4:$AG$150,0,MATCH(T$2,Inputs!$D$2:$AG$2,0))))=0,"",SUMIFS(INDEX(Inputs!$D$4:$AG$150,0,MATCH(T$2,Inputs!$D$2:$AG$2,0)),Inputs!$B$4:$B$150,$B58)/1000)</f>
        <v/>
      </c>
      <c r="U58" s="11" t="str">
        <f>IF(SUMPRODUCT((Inputs!$B$4:$B$150=$B58)*ISNUMBER(INDEX(Inputs!$D$4:$AG$150,0,MATCH(U$2,Inputs!$D$2:$AG$2,0))))=0,"",SUMIFS(INDEX(Inputs!$D$4:$AG$150,0,MATCH(U$2,Inputs!$D$2:$AG$2,0)),Inputs!$B$4:$B$150,$B58)/1000)</f>
        <v/>
      </c>
      <c r="V58" s="11" t="str">
        <f>IF(SUMPRODUCT((Inputs!$B$4:$B$150=$B58)*ISNUMBER(INDEX(Inputs!$D$4:$AG$150,0,MATCH(V$2,Inputs!$D$2:$AG$2,0))))=0,"",SUMIFS(INDEX(Inputs!$D$4:$AG$150,0,MATCH(V$2,Inputs!$D$2:$AG$2,0)),Inputs!$B$4:$B$150,$B58)/1000)</f>
        <v/>
      </c>
      <c r="W58" s="12" t="str">
        <f>IF(COUNT(S58:V58)=4,SUM(S58:V58),"")</f>
        <v/>
      </c>
      <c r="X58" s="11" t="str">
        <f>IF(SUMPRODUCT((Inputs!$B$4:$B$150=$B58)*ISNUMBER(INDEX(Inputs!$D$4:$AG$150,0,MATCH(X$2,Inputs!$D$2:$AG$2,0))))=0,"",SUMIFS(INDEX(Inputs!$D$4:$AG$150,0,MATCH(X$2,Inputs!$D$2:$AG$2,0)),Inputs!$B$4:$B$150,$B58)/1000)</f>
        <v/>
      </c>
      <c r="Y58" s="11" t="str">
        <f>IF(SUMPRODUCT((Inputs!$B$4:$B$150=$B58)*ISNUMBER(INDEX(Inputs!$D$4:$AG$150,0,MATCH(Y$2,Inputs!$D$2:$AG$2,0))))=0,"",SUMIFS(INDEX(Inputs!$D$4:$AG$150,0,MATCH(Y$2,Inputs!$D$2:$AG$2,0)),Inputs!$B$4:$B$150,$B58)/1000)</f>
        <v/>
      </c>
      <c r="Z58" s="11" t="str">
        <f>IF(SUMPRODUCT((Inputs!$B$4:$B$150=$B58)*ISNUMBER(INDEX(Inputs!$D$4:$AG$150,0,MATCH(Z$2,Inputs!$D$2:$AG$2,0))))=0,"",SUMIFS(INDEX(Inputs!$D$4:$AG$150,0,MATCH(Z$2,Inputs!$D$2:$AG$2,0)),Inputs!$B$4:$B$150,$B58)/1000)</f>
        <v/>
      </c>
      <c r="AA58" s="11" t="str">
        <f>IF(SUMPRODUCT((Inputs!$B$4:$B$150=$B58)*ISNUMBER(INDEX(Inputs!$D$4:$AG$150,0,MATCH(AA$2,Inputs!$D$2:$AG$2,0))))=0,"",SUMIFS(INDEX(Inputs!$D$4:$AG$150,0,MATCH(AA$2,Inputs!$D$2:$AG$2,0)),Inputs!$B$4:$B$150,$B58)/1000)</f>
        <v/>
      </c>
      <c r="AB58" s="12" t="str">
        <f>IF(COUNT(X58:AA58)=4,SUM(X58:AA58),"")</f>
        <v/>
      </c>
      <c r="AC58" s="11" t="str">
        <f>IF(SUMPRODUCT((Inputs!$B$4:$B$150=$B58)*ISNUMBER(INDEX(Inputs!$D$4:$AG$150,0,MATCH(AC$2,Inputs!$D$2:$AG$2,0))))=0,"",SUMIFS(INDEX(Inputs!$D$4:$AG$150,0,MATCH(AC$2,Inputs!$D$2:$AG$2,0)),Inputs!$B$4:$B$150,$B58)/1000)</f>
        <v/>
      </c>
      <c r="AD58" s="11" t="str">
        <f>IF(SUMPRODUCT((Inputs!$B$4:$B$150=$B58)*ISNUMBER(INDEX(Inputs!$D$4:$AG$150,0,MATCH(AD$2,Inputs!$D$2:$AG$2,0))))=0,"",SUMIFS(INDEX(Inputs!$D$4:$AG$150,0,MATCH(AD$2,Inputs!$D$2:$AG$2,0)),Inputs!$B$4:$B$150,$B58)/1000)</f>
        <v/>
      </c>
      <c r="AE58" s="11" t="str">
        <f>IF(SUMPRODUCT((Inputs!$B$4:$B$150=$B58)*ISNUMBER(INDEX(Inputs!$D$4:$AG$150,0,MATCH(AE$2,Inputs!$D$2:$AG$2,0))))=0,"",SUMIFS(INDEX(Inputs!$D$4:$AG$150,0,MATCH(AE$2,Inputs!$D$2:$AG$2,0)),Inputs!$B$4:$B$150,$B58)/1000)</f>
        <v/>
      </c>
      <c r="AF58" s="11" t="str">
        <f>IF(SUMPRODUCT((Inputs!$B$4:$B$150=$B58)*ISNUMBER(INDEX(Inputs!$D$4:$AG$150,0,MATCH(AF$2,Inputs!$D$2:$AG$2,0))))=0,"",SUMIFS(INDEX(Inputs!$D$4:$AG$150,0,MATCH(AF$2,Inputs!$D$2:$AG$2,0)),Inputs!$B$4:$B$150,$B58)/1000)</f>
        <v/>
      </c>
      <c r="AG58" s="12" t="str">
        <f>IF(COUNT(AC58:AF58)=4,SUM(AC58:AF58),"")</f>
        <v/>
      </c>
    </row>
    <row r="59">
      <c r="B59" s="9" t="n">
        <v>51</v>
      </c>
      <c r="C59" s="10" t="inlineStr">
        <is>
          <t>Transaction processing (USD; até 2022)</t>
        </is>
      </c>
      <c r="D59" s="11">
        <f>IF(SUMPRODUCT((Inputs!$B$4:$B$150=$B59)*ISNUMBER(INDEX(Inputs!$D$4:$AG$150,0,MATCH(D$2,Inputs!$D$2:$AG$2,0))))=0,"",SUMIFS(INDEX(Inputs!$D$4:$AG$150,0,MATCH(D$2,Inputs!$D$2:$AG$2,0)),Inputs!$B$4:$B$150,$B59)/1000)</f>
        <v>2351</v>
      </c>
      <c r="E59" s="11">
        <f>IF(SUMPRODUCT((Inputs!$B$4:$B$150=$B59)*ISNUMBER(INDEX(Inputs!$D$4:$AG$150,0,MATCH(E$2,Inputs!$D$2:$AG$2,0))))=0,"",SUMIFS(INDEX(Inputs!$D$4:$AG$150,0,MATCH(E$2,Inputs!$D$2:$AG$2,0)),Inputs!$B$4:$B$150,$B59)/1000)</f>
        <v>2612</v>
      </c>
      <c r="F59" s="11">
        <f>IF(SUMPRODUCT((Inputs!$B$4:$B$150=$B59)*ISNUMBER(INDEX(Inputs!$D$4:$AG$150,0,MATCH(F$2,Inputs!$D$2:$AG$2,0))))=0,"",SUMIFS(INDEX(Inputs!$D$4:$AG$150,0,MATCH(F$2,Inputs!$D$2:$AG$2,0)),Inputs!$B$4:$B$150,$B59)/1000)</f>
        <v>2849</v>
      </c>
      <c r="G59" s="11">
        <f>IF(SUMPRODUCT((Inputs!$B$4:$B$150=$B59)*ISNUMBER(INDEX(Inputs!$D$4:$AG$150,0,MATCH(G$2,Inputs!$D$2:$AG$2,0))))=0,"",SUMIFS(INDEX(Inputs!$D$4:$AG$150,0,MATCH(G$2,Inputs!$D$2:$AG$2,0)),Inputs!$B$4:$B$150,$B59)/1000)</f>
        <v>2987</v>
      </c>
      <c r="H59" s="12">
        <f>IF(COUNT(D59:G59)=4,SUM(D59:G59),"")</f>
        <v>10799</v>
      </c>
      <c r="I59" s="11">
        <f>IF(SUMPRODUCT((Inputs!$B$4:$B$150=$B59)*ISNUMBER(INDEX(Inputs!$D$4:$AG$150,0,MATCH(I$2,Inputs!$D$2:$AG$2,0))))=0,"",SUMIFS(INDEX(Inputs!$D$4:$AG$150,0,MATCH(I$2,Inputs!$D$2:$AG$2,0)),Inputs!$B$4:$B$150,$B59)/1000)</f>
        <v>2912</v>
      </c>
      <c r="J59" s="11">
        <f>IF(SUMPRODUCT((Inputs!$B$4:$B$150=$B59)*ISNUMBER(INDEX(Inputs!$D$4:$AG$150,0,MATCH(J$2,Inputs!$D$2:$AG$2,0))))=0,"",SUMIFS(INDEX(Inputs!$D$4:$AG$150,0,MATCH(J$2,Inputs!$D$2:$AG$2,0)),Inputs!$B$4:$B$150,$B59)/1000)</f>
        <v>3061</v>
      </c>
      <c r="K59" s="11">
        <f>IF(SUMPRODUCT((Inputs!$B$4:$B$150=$B59)*ISNUMBER(INDEX(Inputs!$D$4:$AG$150,0,MATCH(K$2,Inputs!$D$2:$AG$2,0))))=0,"",SUMIFS(INDEX(Inputs!$D$4:$AG$150,0,MATCH(K$2,Inputs!$D$2:$AG$2,0)),Inputs!$B$4:$B$150,$B59)/1000)</f>
        <v>3288</v>
      </c>
      <c r="L59" s="11" t="str">
        <f>IF(SUMPRODUCT((Inputs!$B$4:$B$150=$B59)*ISNUMBER(INDEX(Inputs!$D$4:$AG$150,0,MATCH(L$2,Inputs!$D$2:$AG$2,0))))=0,"",SUMIFS(INDEX(Inputs!$D$4:$AG$150,0,MATCH(L$2,Inputs!$D$2:$AG$2,0)),Inputs!$B$4:$B$150,$B59)/1000)</f>
        <v/>
      </c>
      <c r="M59" s="12" t="str">
        <f>IF(COUNT(I59:L59)=4,SUM(I59:L59),"")</f>
        <v/>
      </c>
      <c r="N59" s="11" t="str">
        <f>IF(SUMPRODUCT((Inputs!$B$4:$B$150=$B59)*ISNUMBER(INDEX(Inputs!$D$4:$AG$150,0,MATCH(N$2,Inputs!$D$2:$AG$2,0))))=0,"",SUMIFS(INDEX(Inputs!$D$4:$AG$150,0,MATCH(N$2,Inputs!$D$2:$AG$2,0)),Inputs!$B$4:$B$150,$B59)/1000)</f>
        <v/>
      </c>
      <c r="O59" s="11" t="str">
        <f>IF(SUMPRODUCT((Inputs!$B$4:$B$150=$B59)*ISNUMBER(INDEX(Inputs!$D$4:$AG$150,0,MATCH(O$2,Inputs!$D$2:$AG$2,0))))=0,"",SUMIFS(INDEX(Inputs!$D$4:$AG$150,0,MATCH(O$2,Inputs!$D$2:$AG$2,0)),Inputs!$B$4:$B$150,$B59)/1000)</f>
        <v/>
      </c>
      <c r="P59" s="11" t="str">
        <f>IF(SUMPRODUCT((Inputs!$B$4:$B$150=$B59)*ISNUMBER(INDEX(Inputs!$D$4:$AG$150,0,MATCH(P$2,Inputs!$D$2:$AG$2,0))))=0,"",SUMIFS(INDEX(Inputs!$D$4:$AG$150,0,MATCH(P$2,Inputs!$D$2:$AG$2,0)),Inputs!$B$4:$B$150,$B59)/1000)</f>
        <v/>
      </c>
      <c r="Q59" s="11" t="str">
        <f>IF(SUMPRODUCT((Inputs!$B$4:$B$150=$B59)*ISNUMBER(INDEX(Inputs!$D$4:$AG$150,0,MATCH(Q$2,Inputs!$D$2:$AG$2,0))))=0,"",SUMIFS(INDEX(Inputs!$D$4:$AG$150,0,MATCH(Q$2,Inputs!$D$2:$AG$2,0)),Inputs!$B$4:$B$150,$B59)/1000)</f>
        <v/>
      </c>
      <c r="R59" s="12" t="str">
        <f>IF(COUNT(N59:Q59)=4,SUM(N59:Q59),"")</f>
        <v/>
      </c>
      <c r="S59" s="11" t="str">
        <f>IF(SUMPRODUCT((Inputs!$B$4:$B$150=$B59)*ISNUMBER(INDEX(Inputs!$D$4:$AG$150,0,MATCH(S$2,Inputs!$D$2:$AG$2,0))))=0,"",SUMIFS(INDEX(Inputs!$D$4:$AG$150,0,MATCH(S$2,Inputs!$D$2:$AG$2,0)),Inputs!$B$4:$B$150,$B59)/1000)</f>
        <v/>
      </c>
      <c r="T59" s="11" t="str">
        <f>IF(SUMPRODUCT((Inputs!$B$4:$B$150=$B59)*ISNUMBER(INDEX(Inputs!$D$4:$AG$150,0,MATCH(T$2,Inputs!$D$2:$AG$2,0))))=0,"",SUMIFS(INDEX(Inputs!$D$4:$AG$150,0,MATCH(T$2,Inputs!$D$2:$AG$2,0)),Inputs!$B$4:$B$150,$B59)/1000)</f>
        <v/>
      </c>
      <c r="U59" s="11" t="str">
        <f>IF(SUMPRODUCT((Inputs!$B$4:$B$150=$B59)*ISNUMBER(INDEX(Inputs!$D$4:$AG$150,0,MATCH(U$2,Inputs!$D$2:$AG$2,0))))=0,"",SUMIFS(INDEX(Inputs!$D$4:$AG$150,0,MATCH(U$2,Inputs!$D$2:$AG$2,0)),Inputs!$B$4:$B$150,$B59)/1000)</f>
        <v/>
      </c>
      <c r="V59" s="11" t="str">
        <f>IF(SUMPRODUCT((Inputs!$B$4:$B$150=$B59)*ISNUMBER(INDEX(Inputs!$D$4:$AG$150,0,MATCH(V$2,Inputs!$D$2:$AG$2,0))))=0,"",SUMIFS(INDEX(Inputs!$D$4:$AG$150,0,MATCH(V$2,Inputs!$D$2:$AG$2,0)),Inputs!$B$4:$B$150,$B59)/1000)</f>
        <v/>
      </c>
      <c r="W59" s="12" t="str">
        <f>IF(COUNT(S59:V59)=4,SUM(S59:V59),"")</f>
        <v/>
      </c>
      <c r="X59" s="11" t="str">
        <f>IF(SUMPRODUCT((Inputs!$B$4:$B$150=$B59)*ISNUMBER(INDEX(Inputs!$D$4:$AG$150,0,MATCH(X$2,Inputs!$D$2:$AG$2,0))))=0,"",SUMIFS(INDEX(Inputs!$D$4:$AG$150,0,MATCH(X$2,Inputs!$D$2:$AG$2,0)),Inputs!$B$4:$B$150,$B59)/1000)</f>
        <v/>
      </c>
      <c r="Y59" s="11" t="str">
        <f>IF(SUMPRODUCT((Inputs!$B$4:$B$150=$B59)*ISNUMBER(INDEX(Inputs!$D$4:$AG$150,0,MATCH(Y$2,Inputs!$D$2:$AG$2,0))))=0,"",SUMIFS(INDEX(Inputs!$D$4:$AG$150,0,MATCH(Y$2,Inputs!$D$2:$AG$2,0)),Inputs!$B$4:$B$150,$B59)/1000)</f>
        <v/>
      </c>
      <c r="Z59" s="11" t="str">
        <f>IF(SUMPRODUCT((Inputs!$B$4:$B$150=$B59)*ISNUMBER(INDEX(Inputs!$D$4:$AG$150,0,MATCH(Z$2,Inputs!$D$2:$AG$2,0))))=0,"",SUMIFS(INDEX(Inputs!$D$4:$AG$150,0,MATCH(Z$2,Inputs!$D$2:$AG$2,0)),Inputs!$B$4:$B$150,$B59)/1000)</f>
        <v/>
      </c>
      <c r="AA59" s="11" t="str">
        <f>IF(SUMPRODUCT((Inputs!$B$4:$B$150=$B59)*ISNUMBER(INDEX(Inputs!$D$4:$AG$150,0,MATCH(AA$2,Inputs!$D$2:$AG$2,0))))=0,"",SUMIFS(INDEX(Inputs!$D$4:$AG$150,0,MATCH(AA$2,Inputs!$D$2:$AG$2,0)),Inputs!$B$4:$B$150,$B59)/1000)</f>
        <v/>
      </c>
      <c r="AB59" s="12" t="str">
        <f>IF(COUNT(X59:AA59)=4,SUM(X59:AA59),"")</f>
        <v/>
      </c>
      <c r="AC59" s="11" t="str">
        <f>IF(SUMPRODUCT((Inputs!$B$4:$B$150=$B59)*ISNUMBER(INDEX(Inputs!$D$4:$AG$150,0,MATCH(AC$2,Inputs!$D$2:$AG$2,0))))=0,"",SUMIFS(INDEX(Inputs!$D$4:$AG$150,0,MATCH(AC$2,Inputs!$D$2:$AG$2,0)),Inputs!$B$4:$B$150,$B59)/1000)</f>
        <v/>
      </c>
      <c r="AD59" s="11" t="str">
        <f>IF(SUMPRODUCT((Inputs!$B$4:$B$150=$B59)*ISNUMBER(INDEX(Inputs!$D$4:$AG$150,0,MATCH(AD$2,Inputs!$D$2:$AG$2,0))))=0,"",SUMIFS(INDEX(Inputs!$D$4:$AG$150,0,MATCH(AD$2,Inputs!$D$2:$AG$2,0)),Inputs!$B$4:$B$150,$B59)/1000)</f>
        <v/>
      </c>
      <c r="AE59" s="11" t="str">
        <f>IF(SUMPRODUCT((Inputs!$B$4:$B$150=$B59)*ISNUMBER(INDEX(Inputs!$D$4:$AG$150,0,MATCH(AE$2,Inputs!$D$2:$AG$2,0))))=0,"",SUMIFS(INDEX(Inputs!$D$4:$AG$150,0,MATCH(AE$2,Inputs!$D$2:$AG$2,0)),Inputs!$B$4:$B$150,$B59)/1000)</f>
        <v/>
      </c>
      <c r="AF59" s="11" t="str">
        <f>IF(SUMPRODUCT((Inputs!$B$4:$B$150=$B59)*ISNUMBER(INDEX(Inputs!$D$4:$AG$150,0,MATCH(AF$2,Inputs!$D$2:$AG$2,0))))=0,"",SUMIFS(INDEX(Inputs!$D$4:$AG$150,0,MATCH(AF$2,Inputs!$D$2:$AG$2,0)),Inputs!$B$4:$B$150,$B59)/1000)</f>
        <v/>
      </c>
      <c r="AG59" s="12" t="str">
        <f>IF(COUNT(AC59:AF59)=4,SUM(AC59:AF59),"")</f>
        <v/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C375"/>
  <sheetViews>
    <sheetView showGridLines="0" zoomScaleNormal="100" workbookViewId="0">
      <pane xSplit="3" ySplit="11" topLeftCell="D270" activePane="bottomRight" state="frozen"/>
      <selection pane="topRight" activeCell="D1" sqref="D1"/>
      <selection pane="bottomLeft" activeCell="A12" sqref="A12"/>
      <selection pane="bottomRight" activeCell="O315" sqref="O315"/>
    </sheetView>
  </sheetViews>
  <sheetFormatPr baseColWidth="8" defaultColWidth="10.42578125" defaultRowHeight="12.75" outlineLevelRow="1"/>
  <cols>
    <col width="2" customWidth="1" style="3" min="1" max="1"/>
    <col width="8.85546875" customWidth="1" style="3" min="2" max="2"/>
    <col width="96.140625" customWidth="1" style="4" min="3" max="3"/>
    <col width="13" customWidth="1" style="4" min="4" max="24"/>
    <col width="12.7109375" customWidth="1" style="4" min="25" max="25"/>
    <col width="13" customWidth="1" style="4" min="26" max="27"/>
    <col width="12.7109375" customWidth="1" style="4" min="28" max="28"/>
    <col width="14" customWidth="1" style="4" min="29" max="29"/>
    <col width="15.140625" customWidth="1" style="4" min="30" max="30"/>
    <col width="12.42578125" customWidth="1" style="4" min="31" max="31"/>
    <col width="11.5703125" customWidth="1" style="4" min="32" max="32"/>
    <col width="12.42578125" customWidth="1" style="4" min="33" max="33"/>
    <col width="11.5703125" customWidth="1" style="4" min="34" max="34"/>
    <col width="12.7109375" customWidth="1" style="4" min="35" max="35"/>
    <col width="11.5703125" customWidth="1" style="4" min="36" max="37"/>
    <col width="11.28515625" customWidth="1" style="4" min="38" max="38"/>
    <col width="11.5703125" customWidth="1" style="4" min="39" max="39"/>
    <col width="12.7109375" customWidth="1" style="4" min="40" max="40"/>
    <col width="11.5703125" customWidth="1" style="4" min="41" max="42"/>
    <col width="11.28515625" customWidth="1" style="4" min="43" max="43"/>
    <col width="11.5703125" customWidth="1" style="4" min="44" max="44"/>
    <col width="12.7109375" customWidth="1" style="4" min="45" max="45"/>
    <col width="11.5703125" customWidth="1" style="4" min="46" max="47"/>
    <col width="11.28515625" customWidth="1" style="4" min="48" max="48"/>
    <col width="11.5703125" customWidth="1" style="4" min="49" max="49"/>
    <col width="12.7109375" customWidth="1" style="4" min="50" max="50"/>
    <col width="11.5703125" customWidth="1" style="4" min="51" max="52"/>
    <col width="11.28515625" customWidth="1" style="4" min="53" max="53"/>
    <col width="11.5703125" customWidth="1" style="4" min="54" max="54"/>
    <col width="12.7109375" customWidth="1" style="4" min="55" max="55"/>
    <col width="11.5703125" customWidth="1" style="4" min="56" max="57"/>
    <col width="11.28515625" customWidth="1" style="4" min="58" max="58"/>
    <col width="11.5703125" customWidth="1" style="4" min="59" max="59"/>
    <col width="12.7109375" customWidth="1" style="4" min="60" max="60"/>
    <col width="11.5703125" customWidth="1" style="4" min="61" max="62"/>
    <col width="11.28515625" customWidth="1" style="4" min="63" max="63"/>
    <col width="11.5703125" customWidth="1" style="4" min="64" max="64"/>
    <col width="12.7109375" customWidth="1" style="4" min="65" max="65"/>
    <col width="11.5703125" customWidth="1" style="4" min="66" max="67"/>
    <col width="11.28515625" customWidth="1" style="4" min="68" max="68"/>
    <col width="11.5703125" customWidth="1" style="4" min="69" max="69"/>
    <col width="12.7109375" customWidth="1" style="4" min="70" max="70"/>
    <col width="11.5703125" customWidth="1" style="4" min="71" max="72"/>
    <col width="11.28515625" customWidth="1" style="4" min="73" max="73"/>
    <col width="11.5703125" customWidth="1" style="4" min="74" max="74"/>
    <col width="12.7109375" customWidth="1" style="4" min="75" max="75"/>
    <col width="11.5703125" customWidth="1" style="4" min="76" max="77"/>
    <col width="11.28515625" customWidth="1" style="4" min="78" max="78"/>
    <col width="11.5703125" customWidth="1" style="4" min="79" max="79"/>
    <col width="12.7109375" customWidth="1" style="4" min="80" max="80"/>
    <col width="11.5703125" customWidth="1" style="4" min="81" max="82"/>
    <col width="11.28515625" customWidth="1" style="4" min="83" max="83"/>
    <col width="11.5703125" customWidth="1" style="4" min="84" max="84"/>
    <col width="12.7109375" customWidth="1" style="4" min="85" max="85"/>
    <col width="11.5703125" customWidth="1" style="4" min="86" max="87"/>
    <col width="11.28515625" customWidth="1" style="4" min="88" max="88"/>
    <col width="11.5703125" customWidth="1" style="4" min="89" max="89"/>
    <col width="12.7109375" customWidth="1" style="4" min="90" max="90"/>
    <col width="11.5703125" customWidth="1" style="4" min="91" max="92"/>
    <col width="11.28515625" customWidth="1" style="4" min="93" max="93"/>
    <col width="11.5703125" customWidth="1" style="4" min="94" max="94"/>
    <col width="12.7109375" customWidth="1" style="4" min="95" max="95"/>
    <col width="11.5703125" customWidth="1" style="4" min="96" max="97"/>
    <col width="11.28515625" customWidth="1" style="4" min="98" max="98"/>
    <col width="11.5703125" customWidth="1" style="4" min="99" max="99"/>
    <col width="12.7109375" customWidth="1" style="4" min="100" max="100"/>
    <col width="11.5703125" customWidth="1" style="4" min="101" max="102"/>
    <col width="11.28515625" customWidth="1" style="4" min="103" max="103"/>
    <col width="10.42578125" customWidth="1" style="4" min="104" max="106"/>
    <col width="10.42578125" customWidth="1" style="4" min="107" max="16384"/>
  </cols>
  <sheetData>
    <row r="1">
      <c r="C1" s="17" t="inlineStr">
        <is>
          <t>CHECKS</t>
        </is>
      </c>
      <c r="D1" s="12" t="n"/>
      <c r="E1" s="12" t="n"/>
      <c r="F1" s="12" t="n"/>
      <c r="G1" s="12" t="n"/>
      <c r="H1" s="12" t="n"/>
      <c r="I1" s="12">
        <f>IF(I2="","",SUM(I2,I3))</f>
        <v>0</v>
      </c>
      <c r="J1" s="12">
        <f>IF(J2="","",SUM(J2,J3))</f>
        <v>0</v>
      </c>
      <c r="K1" s="12">
        <f>IF(K2="","",SUM(K2,K3))</f>
        <v>0</v>
      </c>
      <c r="L1" s="12">
        <f>IF(L2="","",SUM(L2,L3))</f>
        <v>0</v>
      </c>
      <c r="M1" s="12">
        <f>IF(M2="","",SUM(M2,M3))</f>
        <v>0</v>
      </c>
      <c r="N1" s="12">
        <f>IF(N2="","",SUM(N2,N3))</f>
        <v>0</v>
      </c>
      <c r="O1" s="12">
        <f>IF(O2="","",SUM(O2,O3))</f>
        <v>0</v>
      </c>
      <c r="P1" s="12">
        <f>IF(P2="","",SUM(P2,P3))</f>
        <v>0</v>
      </c>
      <c r="Q1" s="12">
        <f>IF(Q2="","",SUM(Q2,Q3))</f>
        <v>0</v>
      </c>
      <c r="R1" s="12">
        <f>IF(R2="","",SUM(R2,R3))</f>
        <v>0</v>
      </c>
      <c r="S1" s="12">
        <f>IF(S2="","",SUM(S2,S3))</f>
        <v>0</v>
      </c>
      <c r="T1" s="12">
        <f>IF(T2="","",SUM(T2,T3))</f>
        <v>0</v>
      </c>
      <c r="U1" s="12">
        <f>IF(U2="","",SUM(U2,U3))</f>
        <v>0</v>
      </c>
      <c r="V1" s="12">
        <f>IF(V2="","",SUM(V2,V3))</f>
        <v>0</v>
      </c>
      <c r="W1" s="12">
        <f>IF(W2="","",SUM(W2,W3))</f>
        <v>0</v>
      </c>
      <c r="X1" s="12">
        <f>IF(X2="","",SUM(X2,X3))</f>
        <v>0</v>
      </c>
      <c r="Y1" s="12">
        <f>IF(Y2="","",SUM(Y2,Y3))</f>
        <v>0</v>
      </c>
      <c r="Z1" s="12">
        <f>IF(Z2="","",SUM(Z2,Z3))</f>
        <v>0</v>
      </c>
      <c r="AA1" s="12">
        <f>IF(AA2="","",SUM(AA2,AA3))</f>
        <v>0</v>
      </c>
      <c r="AB1" s="12">
        <f>IF(AB2="","",SUM(AB2,AB3))</f>
        <v>0</v>
      </c>
      <c r="AC1" s="12">
        <f>IF(AC2="","",SUM(AC2,AC3))</f>
        <v>0</v>
      </c>
      <c r="AD1" s="12">
        <f>IF(AD2="","",SUM(AD2,AD3))</f>
        <v>0</v>
      </c>
      <c r="AE1" s="12">
        <f>IF(AE2="","",SUM(AE2,AE3))</f>
        <v>0</v>
      </c>
      <c r="AF1" s="12">
        <f>IF(AF2="","",SUM(AF2,AF3))</f>
        <v>0</v>
      </c>
      <c r="AG1" s="12">
        <f>IF(AG2="","",SUM(AG2,AG3))</f>
        <v>0</v>
      </c>
      <c r="AH1" s="12">
        <f>IF(AH2="","",SUM(AH2,AH3))</f>
        <v>0</v>
      </c>
      <c r="AI1" s="12">
        <f>IF(AI2="","",SUM(AI2,AI3))</f>
        <v>0</v>
      </c>
      <c r="AJ1" s="12">
        <f>IF(AJ2="","",SUM(AJ2,AJ3))</f>
        <v>4767.78480620795</v>
      </c>
      <c r="AK1" s="12">
        <f>IF(AK2="","",SUM(AK2,AK3))</f>
        <v>4880.8548016121</v>
      </c>
      <c r="AL1" s="12">
        <f>IF(AL2="","",SUM(AL2,AL3))</f>
        <v>17918.6396078201</v>
      </c>
      <c r="AM1" s="12">
        <f>IF(AM2="","",SUM(AM2,AM3))</f>
        <v>4654.71481080381</v>
      </c>
      <c r="AN1" s="12">
        <f>IF(AN2="","",SUM(AN2,AN3))</f>
        <v>5141.91346747166</v>
      </c>
      <c r="AO1" s="12">
        <f>IF(AO2="","",SUM(AO2,AO3))</f>
        <v>5524.78621056731</v>
      </c>
      <c r="AP1" s="12">
        <f>IF(AP2="","",SUM(AP2,AP3))</f>
        <v>5655.80880844637</v>
      </c>
      <c r="AQ1" s="12">
        <f>IF(AQ2="","",SUM(AQ2,AQ3))</f>
        <v>20977.2232972891</v>
      </c>
      <c r="AR1" s="12">
        <f>IF(AR2="","",SUM(AR2,AR3))</f>
        <v>5370.49003863422</v>
      </c>
      <c r="AS1" s="12">
        <f>IF(AS2="","",SUM(AS2,AS3))</f>
        <v>5932.60729797686</v>
      </c>
      <c r="AT1" s="12">
        <f>IF(AT2="","",SUM(AT2,AT3))</f>
        <v>6374.35600577893</v>
      </c>
      <c r="AU1" s="12">
        <f>IF(AU2="","",SUM(AU2,AU3))</f>
        <v>6525.52650393969</v>
      </c>
      <c r="AV1" s="12">
        <f>IF(AV2="","",SUM(AV2,AV3))</f>
        <v>24202.9798463297</v>
      </c>
      <c r="AW1" s="12">
        <f>IF(AW2="","",SUM(AW2,AW3))</f>
        <v>6169.48060723182</v>
      </c>
      <c r="AX1" s="12">
        <f>IF(AX2="","",SUM(AX2,AX3))</f>
        <v>6815.2264340664</v>
      </c>
      <c r="AY1" s="12">
        <f>IF(AY2="","",SUM(AY2,AY3))</f>
        <v>7322.69596970447</v>
      </c>
      <c r="AZ1" s="12">
        <f>IF(AZ2="","",SUM(AZ2,AZ3))</f>
        <v>7496.35674368955</v>
      </c>
      <c r="BA1" s="12">
        <f>IF(BA2="","",SUM(BA2,BA3))</f>
        <v>27803.7597546922</v>
      </c>
      <c r="BB1" s="12">
        <f>IF(BB2="","",SUM(BB2,BB3))</f>
        <v>7056.4929866109</v>
      </c>
      <c r="BC1" s="12">
        <f>IF(BC2="","",SUM(BC2,BC3))</f>
        <v>7795.08042829118</v>
      </c>
      <c r="BD1" s="12">
        <f>IF(BD2="","",SUM(BD2,BD3))</f>
        <v>8375.51101023533</v>
      </c>
      <c r="BE1" s="12">
        <f>IF(BE2="","",SUM(BE2,BE3))</f>
        <v>8574.13972984566</v>
      </c>
      <c r="BF1" s="12">
        <f>IF(BF2="","",SUM(BF2,BF3))</f>
        <v>31801.2241549831</v>
      </c>
      <c r="BG1" s="12" t="n"/>
      <c r="BH1" s="12" t="n"/>
      <c r="BI1" s="12" t="n"/>
      <c r="BJ1" s="12" t="n"/>
      <c r="BK1" s="12" t="n"/>
      <c r="BL1" s="12" t="n"/>
      <c r="BM1" s="12" t="n"/>
      <c r="BN1" s="12" t="n"/>
      <c r="BO1" s="12" t="n"/>
      <c r="BP1" s="12" t="n"/>
      <c r="BQ1" s="12" t="n"/>
      <c r="BR1" s="12" t="n"/>
      <c r="BS1" s="12" t="n"/>
      <c r="BT1" s="12" t="n"/>
      <c r="BU1" s="12" t="n"/>
      <c r="BV1" s="12" t="n"/>
      <c r="BW1" s="12" t="n"/>
      <c r="BX1" s="12" t="n"/>
      <c r="BY1" s="12" t="n"/>
      <c r="BZ1" s="12" t="n"/>
      <c r="CA1" s="12" t="n"/>
      <c r="CB1" s="12" t="n"/>
      <c r="CC1" s="12" t="n"/>
      <c r="CD1" s="12" t="n"/>
      <c r="CE1" s="12" t="n"/>
      <c r="CF1" s="12" t="n"/>
      <c r="CG1" s="12" t="n"/>
      <c r="CH1" s="12" t="n"/>
      <c r="CI1" s="12" t="n"/>
      <c r="CJ1" s="12" t="n"/>
      <c r="CK1" s="12" t="n"/>
      <c r="CL1" s="12" t="n"/>
      <c r="CM1" s="12" t="n"/>
      <c r="CN1" s="12" t="n"/>
      <c r="CO1" s="12" t="n"/>
      <c r="CP1" s="12" t="n"/>
      <c r="CQ1" s="12" t="n"/>
      <c r="CR1" s="12" t="n"/>
      <c r="CS1" s="12" t="n"/>
      <c r="CT1" s="12" t="n"/>
      <c r="CU1" s="12" t="n"/>
      <c r="CV1" s="12" t="n"/>
      <c r="CW1" s="12" t="n"/>
      <c r="CX1" s="12" t="n"/>
      <c r="CY1" s="12" t="n"/>
    </row>
    <row r="2">
      <c r="C2" s="18" t="inlineStr">
        <is>
          <t>BS</t>
        </is>
      </c>
      <c r="D2" s="12" t="n"/>
      <c r="E2" s="12" t="n"/>
      <c r="F2" s="12" t="n"/>
      <c r="G2" s="12" t="n"/>
      <c r="H2" s="12" t="n"/>
      <c r="I2" s="12">
        <f>IF(COUNT(I180,I256)&lt;2,"",ABS(I180-I256))</f>
        <v>0</v>
      </c>
      <c r="J2" s="12">
        <f>IF(COUNT(J180,J256)&lt;2,"",ABS(J180-J256))</f>
        <v>0</v>
      </c>
      <c r="K2" s="12">
        <f>IF(COUNT(K180,K256)&lt;2,"",ABS(K180-K256))</f>
        <v>0</v>
      </c>
      <c r="L2" s="12">
        <f>IF(COUNT(L180,L256)&lt;2,"",ABS(L180-L256))</f>
        <v>0</v>
      </c>
      <c r="M2" s="12">
        <f>IF(COUNT(M180,M256)&lt;2,"",ABS(M180-M256))</f>
        <v>0</v>
      </c>
      <c r="N2" s="12">
        <f>IF(COUNT(N180,N256)&lt;2,"",ABS(N180-N256))</f>
        <v>0</v>
      </c>
      <c r="O2" s="12">
        <f>IF(COUNT(O180,O256)&lt;2,"",ABS(O180-O256))</f>
        <v>0</v>
      </c>
      <c r="P2" s="12">
        <f>IF(COUNT(P180,P256)&lt;2,"",ABS(P180-P256))</f>
        <v>0</v>
      </c>
      <c r="Q2" s="12">
        <f>IF(COUNT(Q180,Q256)&lt;2,"",ABS(Q180-Q256))</f>
        <v>0</v>
      </c>
      <c r="R2" s="12">
        <f>IF(COUNT(R180,R256)&lt;2,"",ABS(R180-R256))</f>
        <v>0</v>
      </c>
      <c r="S2" s="12">
        <f>IF(COUNT(S180,S256)&lt;2,"",ABS(S180-S256))</f>
        <v>0</v>
      </c>
      <c r="T2" s="12">
        <f>IF(COUNT(T180,T256)&lt;2,"",ABS(T180-T256))</f>
        <v>0</v>
      </c>
      <c r="U2" s="12">
        <f>IF(COUNT(U180,U256)&lt;2,"",ABS(U180-U256))</f>
        <v>0</v>
      </c>
      <c r="V2" s="12">
        <f>IF(COUNT(V180,V256)&lt;2,"",ABS(V180-V256))</f>
        <v>0</v>
      </c>
      <c r="W2" s="12">
        <f>IF(COUNT(W180,W256)&lt;2,"",ABS(W180-W256))</f>
        <v>0</v>
      </c>
      <c r="X2" s="12">
        <f>IF(COUNT(X180,X256)&lt;2,"",ABS(X180-X256))</f>
        <v>0</v>
      </c>
      <c r="Y2" s="12">
        <f>IF(COUNT(Y180,Y256)&lt;2,"",ABS(Y180-Y256))</f>
        <v>0</v>
      </c>
      <c r="Z2" s="12">
        <f>IF(COUNT(Z180,Z256)&lt;2,"",ABS(Z180-Z256))</f>
        <v>0</v>
      </c>
      <c r="AA2" s="12">
        <f>IF(COUNT(AA180,AA256)&lt;2,"",ABS(AA180-AA256))</f>
        <v>0</v>
      </c>
      <c r="AB2" s="12">
        <f>IF(COUNT(AB180,AB256)&lt;2,"",ABS(AB180-AB256))</f>
        <v>0</v>
      </c>
      <c r="AC2" s="12">
        <f>IF(COUNT(AC180,AC256)&lt;2,"",ABS(AC180-AC256))</f>
        <v>0</v>
      </c>
      <c r="AD2" s="12">
        <f>IF(COUNT(AD180,AD256)&lt;2,"",ABS(AD180-AD256))</f>
        <v>0</v>
      </c>
      <c r="AE2" s="12">
        <f>IF(COUNT(AE180,AE256)&lt;2,"",ABS(AE180-AE256))</f>
        <v>0</v>
      </c>
      <c r="AF2" s="12">
        <f>IF(COUNT(AF180,AF256)&lt;2,"",ABS(AF180-AF256))</f>
        <v>0</v>
      </c>
      <c r="AG2" s="12">
        <f>IF(COUNT(AG180,AG256)&lt;2,"",ABS(AG180-AG256))</f>
        <v>0</v>
      </c>
      <c r="AH2" s="12">
        <f>IF(COUNT(AH180,AH256)&lt;2,"",ABS(AH180-AH256))</f>
        <v>0</v>
      </c>
      <c r="AI2" s="12">
        <f>IF(COUNT(AI180,AI256)&lt;2,"",ABS(AI180-AI256))</f>
        <v>0</v>
      </c>
      <c r="AJ2" s="12">
        <f>IF(COUNT(AJ180,AJ256)&lt;2,"",ABS(AJ180-AJ256))</f>
        <v>0</v>
      </c>
      <c r="AK2" s="12">
        <f>IF(COUNT(AK180,AK256)&lt;2,"",ABS(AK180-AK256))</f>
        <v>0</v>
      </c>
      <c r="AL2" s="12">
        <f>IF(COUNT(AL180,AL256)&lt;2,"",ABS(AL180-AL256))</f>
        <v>0</v>
      </c>
      <c r="AM2" s="12">
        <f>IF(COUNT(AM180,AM256)&lt;2,"",ABS(AM180-AM256))</f>
        <v>0</v>
      </c>
      <c r="AN2" s="12">
        <f>IF(COUNT(AN180,AN256)&lt;2,"",ABS(AN180-AN256))</f>
        <v>0</v>
      </c>
      <c r="AO2" s="12">
        <f>IF(COUNT(AO180,AO256)&lt;2,"",ABS(AO180-AO256))</f>
        <v>0</v>
      </c>
      <c r="AP2" s="12">
        <f>IF(COUNT(AP180,AP256)&lt;2,"",ABS(AP180-AP256))</f>
        <v>0</v>
      </c>
      <c r="AQ2" s="12">
        <f>IF(COUNT(AQ180,AQ256)&lt;2,"",ABS(AQ180-AQ256))</f>
        <v>0</v>
      </c>
      <c r="AR2" s="12">
        <f>IF(COUNT(AR180,AR256)&lt;2,"",ABS(AR180-AR256))</f>
        <v>0</v>
      </c>
      <c r="AS2" s="12">
        <f>IF(COUNT(AS180,AS256)&lt;2,"",ABS(AS180-AS256))</f>
        <v>0</v>
      </c>
      <c r="AT2" s="12">
        <f>IF(COUNT(AT180,AT256)&lt;2,"",ABS(AT180-AT256))</f>
        <v>0</v>
      </c>
      <c r="AU2" s="12">
        <f>IF(COUNT(AU180,AU256)&lt;2,"",ABS(AU180-AU256))</f>
        <v>0</v>
      </c>
      <c r="AV2" s="12">
        <f>IF(COUNT(AV180,AV256)&lt;2,"",ABS(AV180-AV256))</f>
        <v>0</v>
      </c>
      <c r="AW2" s="12">
        <f>IF(COUNT(AW180,AW256)&lt;2,"",ABS(AW180-AW256))</f>
        <v>0</v>
      </c>
      <c r="AX2" s="12">
        <f>IF(COUNT(AX180,AX256)&lt;2,"",ABS(AX180-AX256))</f>
        <v>0</v>
      </c>
      <c r="AY2" s="12">
        <f>IF(COUNT(AY180,AY256)&lt;2,"",ABS(AY180-AY256))</f>
        <v>0</v>
      </c>
      <c r="AZ2" s="12">
        <f>IF(COUNT(AZ180,AZ256)&lt;2,"",ABS(AZ180-AZ256))</f>
        <v>0</v>
      </c>
      <c r="BA2" s="12">
        <f>IF(COUNT(BA180,BA256)&lt;2,"",ABS(BA180-BA256))</f>
        <v>0</v>
      </c>
      <c r="BB2" s="12">
        <f>IF(COUNT(BB180,BB256)&lt;2,"",ABS(BB180-BB256))</f>
        <v>0</v>
      </c>
      <c r="BC2" s="12">
        <f>IF(COUNT(BC180,BC256)&lt;2,"",ABS(BC180-BC256))</f>
        <v>0</v>
      </c>
      <c r="BD2" s="12">
        <f>IF(COUNT(BD180,BD256)&lt;2,"",ABS(BD180-BD256))</f>
        <v>0</v>
      </c>
      <c r="BE2" s="12">
        <f>IF(COUNT(BE180,BE256)&lt;2,"",ABS(BE180-BE256))</f>
        <v>0</v>
      </c>
      <c r="BF2" s="12">
        <f>IF(COUNT(BF180,BF256)&lt;2,"",ABS(BF180-BF256))</f>
        <v>0</v>
      </c>
      <c r="BG2" s="12" t="n"/>
      <c r="BH2" s="12" t="n"/>
      <c r="BI2" s="12" t="n"/>
      <c r="BJ2" s="12" t="n"/>
      <c r="BK2" s="12" t="n"/>
      <c r="BL2" s="12" t="n"/>
      <c r="BM2" s="12" t="n"/>
      <c r="BN2" s="12" t="n"/>
      <c r="BO2" s="12" t="n"/>
      <c r="BP2" s="12" t="n"/>
      <c r="BQ2" s="12" t="n"/>
      <c r="BR2" s="12" t="n"/>
      <c r="BS2" s="12" t="n"/>
      <c r="BT2" s="12" t="n"/>
      <c r="BU2" s="12" t="n"/>
      <c r="BV2" s="12" t="n"/>
      <c r="BW2" s="12" t="n"/>
      <c r="BX2" s="12" t="n"/>
      <c r="BY2" s="12" t="n"/>
      <c r="BZ2" s="12" t="n"/>
      <c r="CA2" s="12" t="n"/>
      <c r="CB2" s="12" t="n"/>
      <c r="CC2" s="12" t="n"/>
      <c r="CD2" s="12" t="n"/>
      <c r="CE2" s="12" t="n"/>
      <c r="CF2" s="12" t="n"/>
      <c r="CG2" s="12" t="n"/>
      <c r="CH2" s="12" t="n"/>
      <c r="CI2" s="12" t="n"/>
      <c r="CJ2" s="12" t="n"/>
      <c r="CK2" s="12" t="n"/>
      <c r="CL2" s="12" t="n"/>
      <c r="CM2" s="12" t="n"/>
      <c r="CN2" s="12" t="n"/>
      <c r="CO2" s="12" t="n"/>
      <c r="CP2" s="12" t="n"/>
      <c r="CQ2" s="12" t="n"/>
      <c r="CR2" s="12" t="n"/>
      <c r="CS2" s="12" t="n"/>
      <c r="CT2" s="12" t="n"/>
      <c r="CU2" s="12" t="n"/>
      <c r="CV2" s="12" t="n"/>
      <c r="CW2" s="12" t="n"/>
      <c r="CX2" s="12" t="n"/>
      <c r="CY2" s="12" t="n"/>
    </row>
    <row r="3">
      <c r="C3" s="18" t="inlineStr">
        <is>
          <t>IS</t>
        </is>
      </c>
      <c r="D3" s="12" t="n"/>
      <c r="E3" s="12" t="n"/>
      <c r="F3" s="12" t="n"/>
      <c r="G3" s="12" t="n"/>
      <c r="H3" s="12" t="n"/>
      <c r="I3" s="12">
        <f>IF(COUNT(I120,I4)&lt;2,"",ABS(I120-I4))</f>
        <v>0</v>
      </c>
      <c r="J3" s="12">
        <f>IF(COUNT(J120,J4)&lt;2,"",ABS(J120-J4))</f>
        <v>0</v>
      </c>
      <c r="K3" s="12">
        <f>IF(COUNT(K120,K4)&lt;2,"",ABS(K120-K4))</f>
        <v>0</v>
      </c>
      <c r="L3" s="12">
        <f>IF(COUNT(L120,L4)&lt;2,"",ABS(L120-L4))</f>
        <v>0</v>
      </c>
      <c r="M3" s="12">
        <f>IF(COUNT(M120,M4)&lt;2,"",ABS(M120-M4))</f>
        <v>0</v>
      </c>
      <c r="N3" s="12">
        <f>IF(COUNT(N120,N4)&lt;2,"",ABS(N120-N4))</f>
        <v>0</v>
      </c>
      <c r="O3" s="12">
        <f>IF(COUNT(O120,O4)&lt;2,"",ABS(O120-O4))</f>
        <v>0</v>
      </c>
      <c r="P3" s="12">
        <f>IF(COUNT(P120,P4)&lt;2,"",ABS(P120-P4))</f>
        <v>0</v>
      </c>
      <c r="Q3" s="12">
        <f>IF(COUNT(Q120,Q4)&lt;2,"",ABS(Q120-Q4))</f>
        <v>0</v>
      </c>
      <c r="R3" s="12">
        <f>IF(COUNT(R120,R4)&lt;2,"",ABS(R120-R4))</f>
        <v>0</v>
      </c>
      <c r="S3" s="12">
        <f>IF(COUNT(S120,S4)&lt;2,"",ABS(S120-S4))</f>
        <v>0</v>
      </c>
      <c r="T3" s="12">
        <f>IF(COUNT(T120,T4)&lt;2,"",ABS(T120-T4))</f>
        <v>0</v>
      </c>
      <c r="U3" s="12">
        <f>IF(COUNT(U120,U4)&lt;2,"",ABS(U120-U4))</f>
        <v>0</v>
      </c>
      <c r="V3" s="12">
        <f>IF(COUNT(V120,V4)&lt;2,"",ABS(V120-V4))</f>
        <v>0</v>
      </c>
      <c r="W3" s="12">
        <f>IF(COUNT(W120,W4)&lt;2,"",ABS(W120-W4))</f>
        <v>0</v>
      </c>
      <c r="X3" s="12">
        <f>IF(COUNT(X120,X4)&lt;2,"",ABS(X120-X4))</f>
        <v>0</v>
      </c>
      <c r="Y3" s="12">
        <f>IF(COUNT(Y120,Y4)&lt;2,"",ABS(Y120-Y4))</f>
        <v>0</v>
      </c>
      <c r="Z3" s="12">
        <f>IF(COUNT(Z120,Z4)&lt;2,"",ABS(Z120-Z4))</f>
        <v>0</v>
      </c>
      <c r="AA3" s="12">
        <f>IF(COUNT(AA120,AA4)&lt;2,"",ABS(AA120-AA4))</f>
        <v>0</v>
      </c>
      <c r="AB3" s="12">
        <f>IF(COUNT(AB120,AB4)&lt;2,"",ABS(AB120-AB4))</f>
        <v>0</v>
      </c>
      <c r="AC3" s="12">
        <f>IF(COUNT(AC120,AC4)&lt;2,"",ABS(AC120-AC4))</f>
        <v>0</v>
      </c>
      <c r="AD3" s="12">
        <f>IF(COUNT(AD120,AD4)&lt;2,"",ABS(AD120-AD4))</f>
        <v>0</v>
      </c>
      <c r="AE3" s="12">
        <f>IF(COUNT(AE120,AE4)&lt;2,"",ABS(AE120-AE4))</f>
        <v>0</v>
      </c>
      <c r="AF3" s="12">
        <f>IF(COUNT(AF120,AF4)&lt;2,"",ABS(AF120-AF4))</f>
        <v>0</v>
      </c>
      <c r="AG3" s="12">
        <f>IF(COUNT(AG120,AG4)&lt;2,"",ABS(AG120-AG4))</f>
        <v>0</v>
      </c>
      <c r="AH3" s="12">
        <f>IF(COUNT(AH120,AH4)&lt;2,"",ABS(AH120-AH4))</f>
        <v>0</v>
      </c>
      <c r="AI3" s="12">
        <f>IF(COUNT(AI120,AI4)&lt;2,"",ABS(AI120-AI4))</f>
        <v>0</v>
      </c>
      <c r="AJ3" s="12">
        <f>ABS(AJ120-AJ4)</f>
        <v>4767.78480620795</v>
      </c>
      <c r="AK3" s="12">
        <f>ABS(AK120-AK4)</f>
        <v>4880.8548016121</v>
      </c>
      <c r="AL3" s="12">
        <f>ABS(AL120-AL4)</f>
        <v>17918.6396078201</v>
      </c>
      <c r="AM3" s="12">
        <f>ABS(AM120-AM4)</f>
        <v>4654.71481080381</v>
      </c>
      <c r="AN3" s="12">
        <f>ABS(AN120-AN4)</f>
        <v>5141.91346747166</v>
      </c>
      <c r="AO3" s="12">
        <f>ABS(AO120-AO4)</f>
        <v>5524.78621056731</v>
      </c>
      <c r="AP3" s="12">
        <f>ABS(AP120-AP4)</f>
        <v>5655.80880844637</v>
      </c>
      <c r="AQ3" s="12">
        <f>ABS(AQ120-AQ4)</f>
        <v>20977.2232972891</v>
      </c>
      <c r="AR3" s="12">
        <f>ABS(AR120-AR4)</f>
        <v>5370.49003863422</v>
      </c>
      <c r="AS3" s="12">
        <f>ABS(AS120-AS4)</f>
        <v>5932.60729797686</v>
      </c>
      <c r="AT3" s="12">
        <f>ABS(AT120-AT4)</f>
        <v>6374.35600577893</v>
      </c>
      <c r="AU3" s="12">
        <f>ABS(AU120-AU4)</f>
        <v>6525.52650393969</v>
      </c>
      <c r="AV3" s="12">
        <f>ABS(AV120-AV4)</f>
        <v>24202.9798463297</v>
      </c>
      <c r="AW3" s="12">
        <f>ABS(AW120-AW4)</f>
        <v>6169.48060723182</v>
      </c>
      <c r="AX3" s="12">
        <f>ABS(AX120-AX4)</f>
        <v>6815.2264340664</v>
      </c>
      <c r="AY3" s="12">
        <f>ABS(AY120-AY4)</f>
        <v>7322.69596970447</v>
      </c>
      <c r="AZ3" s="12">
        <f>ABS(AZ120-AZ4)</f>
        <v>7496.35674368955</v>
      </c>
      <c r="BA3" s="12">
        <f>ABS(BA120-BA4)</f>
        <v>27803.7597546922</v>
      </c>
      <c r="BB3" s="12">
        <f>ABS(BB120-BB4)</f>
        <v>7056.4929866109</v>
      </c>
      <c r="BC3" s="12">
        <f>ABS(BC120-BC4)</f>
        <v>7795.08042829118</v>
      </c>
      <c r="BD3" s="12">
        <f>ABS(BD120-BD4)</f>
        <v>8375.51101023533</v>
      </c>
      <c r="BE3" s="12">
        <f>ABS(BE120-BE4)</f>
        <v>8574.13972984566</v>
      </c>
      <c r="BF3" s="12">
        <f>ABS(BF120-BF4)</f>
        <v>31801.2241549831</v>
      </c>
      <c r="BG3" s="12" t="n"/>
      <c r="BH3" s="12" t="n"/>
      <c r="BI3" s="12" t="n"/>
      <c r="BJ3" s="12" t="n"/>
      <c r="BK3" s="12" t="n"/>
      <c r="BL3" s="12" t="n"/>
      <c r="BM3" s="12" t="n"/>
      <c r="BN3" s="12" t="n"/>
      <c r="BO3" s="12" t="n"/>
      <c r="BP3" s="12" t="n"/>
      <c r="BQ3" s="12" t="n"/>
      <c r="BR3" s="12" t="n"/>
      <c r="BS3" s="12" t="n"/>
      <c r="BT3" s="12" t="n"/>
      <c r="BU3" s="12" t="n"/>
      <c r="BV3" s="12" t="n"/>
      <c r="BW3" s="12" t="n"/>
      <c r="BX3" s="12" t="n"/>
      <c r="BY3" s="12" t="n"/>
      <c r="BZ3" s="12" t="n"/>
      <c r="CA3" s="12" t="n"/>
      <c r="CB3" s="12" t="n"/>
      <c r="CC3" s="12" t="n"/>
      <c r="CD3" s="12" t="n"/>
      <c r="CE3" s="12" t="n"/>
      <c r="CF3" s="12" t="n"/>
      <c r="CG3" s="12" t="n"/>
      <c r="CH3" s="12" t="n"/>
      <c r="CI3" s="12" t="n"/>
      <c r="CJ3" s="12" t="n"/>
      <c r="CK3" s="12" t="n"/>
      <c r="CL3" s="12" t="n"/>
      <c r="CM3" s="12" t="n"/>
      <c r="CN3" s="12" t="n"/>
      <c r="CO3" s="12" t="n"/>
      <c r="CP3" s="12" t="n"/>
      <c r="CQ3" s="12" t="n"/>
      <c r="CR3" s="12" t="n"/>
      <c r="CS3" s="12" t="n"/>
      <c r="CT3" s="12" t="n"/>
      <c r="CU3" s="12" t="n"/>
      <c r="CV3" s="12" t="n"/>
      <c r="CW3" s="12" t="n"/>
      <c r="CX3" s="12" t="n"/>
      <c r="CY3" s="12" t="n"/>
    </row>
    <row r="4">
      <c r="C4" s="17" t="inlineStr">
        <is>
          <t>Net Income reportado (lucro líquido) — base do check de DRE</t>
        </is>
      </c>
      <c r="H4" s="11" t="n"/>
      <c r="I4">
        <f>IF(ISNUMBER('Inputs (2)'!D50),'Inputs (2)'!D50,"")</f>
        <v>1828</v>
      </c>
      <c r="J4">
        <f>IF(ISNUMBER('Inputs (2)'!E50),'Inputs (2)'!E50,"")</f>
        <v>2066</v>
      </c>
      <c r="K4">
        <f>IF(ISNUMBER('Inputs (2)'!F50),'Inputs (2)'!F50,"")</f>
        <v>2414</v>
      </c>
      <c r="L4">
        <f>IF(ISNUMBER('Inputs (2)'!G50),'Inputs (2)'!G50,"")</f>
        <v>2379</v>
      </c>
      <c r="M4" s="11">
        <f>IF(COUNT(I4:L4)=4,SUM(I4:L4),"")</f>
        <v>8687</v>
      </c>
      <c r="N4">
        <f>IF(ISNUMBER('Inputs (2)'!I50),'Inputs (2)'!I50,"")</f>
        <v>2631</v>
      </c>
      <c r="O4">
        <f>IF(ISNUMBER('Inputs (2)'!J50),'Inputs (2)'!J50,"")</f>
        <v>2275</v>
      </c>
      <c r="P4">
        <f>IF(ISNUMBER('Inputs (2)'!K50),'Inputs (2)'!K50,"")</f>
        <v>2499</v>
      </c>
      <c r="Q4">
        <f>IF(ISNUMBER('Inputs (2)'!L50),'Inputs (2)'!L50,"")</f>
        <v>2525</v>
      </c>
      <c r="R4" s="11">
        <f>IF(COUNT(N4:Q4)=4,SUM(N4:Q4),"")</f>
        <v>9930</v>
      </c>
      <c r="S4">
        <f>IF(ISNUMBER('Inputs (2)'!N50),'Inputs (2)'!N50,"")</f>
        <v>2361</v>
      </c>
      <c r="T4">
        <f>IF(ISNUMBER('Inputs (2)'!O50),'Inputs (2)'!O50,"")</f>
        <v>2845</v>
      </c>
      <c r="U4">
        <f>IF(ISNUMBER('Inputs (2)'!P50),'Inputs (2)'!P50,"")</f>
        <v>3198</v>
      </c>
      <c r="V4">
        <f>IF(ISNUMBER('Inputs (2)'!Q50),'Inputs (2)'!Q50,"")</f>
        <v>2791</v>
      </c>
      <c r="W4" s="11">
        <f>IF(COUNT(S4:V4)=4,SUM(S4:V4),"")</f>
        <v>11195</v>
      </c>
      <c r="X4">
        <f>IF(ISNUMBER('Inputs (2)'!S50),'Inputs (2)'!S50,"")</f>
        <v>3011</v>
      </c>
      <c r="Y4">
        <f>IF(ISNUMBER('Inputs (2)'!T50),'Inputs (2)'!T50,"")</f>
        <v>3258</v>
      </c>
      <c r="Z4">
        <f>IF(ISNUMBER('Inputs (2)'!U50),'Inputs (2)'!U50,"")</f>
        <v>3263</v>
      </c>
      <c r="AA4">
        <f>IF(ISNUMBER('Inputs (2)'!V50),'Inputs (2)'!V50,"")</f>
        <v>3342</v>
      </c>
      <c r="AB4" s="11">
        <f>IF(COUNT(X4:AA4)=4,SUM(X4:AA4),"")</f>
        <v>12874</v>
      </c>
      <c r="AC4">
        <f>IF(ISNUMBER('Inputs (2)'!X50),'Inputs (2)'!X50,"")</f>
        <v>3280</v>
      </c>
      <c r="AD4">
        <f>IF(ISNUMBER('Inputs (2)'!Y50),'Inputs (2)'!Y50,"")</f>
        <v>3701</v>
      </c>
      <c r="AE4">
        <f>IF(ISNUMBER('Inputs (2)'!Z50),'Inputs (2)'!Z50,"")</f>
        <v>3927</v>
      </c>
      <c r="AF4">
        <f>IF(ISNUMBER('Inputs (2)'!AA50),'Inputs (2)'!AA50,"")</f>
        <v>4060</v>
      </c>
      <c r="AG4" s="11">
        <f>IF(COUNT(AC4:AF4)=4,SUM(AC4:AF4),"")</f>
        <v>14968</v>
      </c>
      <c r="AH4" s="11">
        <f>IF(ISNUMBER('Inputs (2)'!AC50),'Inputs (2)'!AC50,"")</f>
        <v>3882</v>
      </c>
      <c r="AI4" s="11">
        <f>IF(ISNUMBER('Inputs (2)'!AD50),'Inputs (2)'!AD50,"")</f>
        <v>4388</v>
      </c>
      <c r="AJ4" s="11" t="n"/>
      <c r="AK4" s="11" t="n"/>
      <c r="AL4" s="11" t="n"/>
      <c r="AM4" s="11" t="n"/>
      <c r="AN4" s="11" t="n"/>
      <c r="AO4" s="11" t="n"/>
      <c r="AP4" s="11" t="n"/>
      <c r="AQ4" s="11" t="n"/>
      <c r="AR4" s="11" t="n"/>
      <c r="AS4" s="11" t="n"/>
      <c r="AT4" s="11" t="n"/>
      <c r="AU4" s="11" t="n"/>
      <c r="AV4" s="11" t="n"/>
      <c r="AW4" s="11" t="n"/>
      <c r="AX4" s="11" t="n"/>
      <c r="AY4" s="11" t="n"/>
      <c r="AZ4" s="11" t="n"/>
      <c r="BA4" s="11" t="n"/>
      <c r="BB4" s="11" t="n"/>
      <c r="BC4" s="11" t="n"/>
      <c r="BD4" s="11" t="n"/>
      <c r="BE4" s="11" t="n"/>
      <c r="BF4" s="11" t="n"/>
      <c r="BG4" s="11" t="n"/>
      <c r="BH4" s="11" t="n"/>
      <c r="BI4" s="11" t="n"/>
      <c r="BJ4" s="11" t="n"/>
      <c r="BK4" s="11" t="n"/>
      <c r="BL4" s="11" t="n"/>
      <c r="BM4" s="11" t="n"/>
      <c r="BN4" s="11" t="n"/>
      <c r="BO4" s="11" t="n"/>
      <c r="BP4" s="11" t="n"/>
      <c r="BQ4" s="11" t="n"/>
      <c r="BR4" s="11" t="n"/>
      <c r="BS4" s="11" t="n"/>
      <c r="BT4" s="11" t="n"/>
      <c r="BU4" s="11" t="n"/>
      <c r="BV4" s="11" t="n"/>
      <c r="BW4" s="11" t="n"/>
      <c r="BX4" s="11" t="n"/>
      <c r="BY4" s="11" t="n"/>
      <c r="BZ4" s="11" t="n"/>
      <c r="CA4" s="11" t="n"/>
      <c r="CB4" s="11" t="n"/>
      <c r="CC4" s="11" t="n"/>
      <c r="CD4" s="11" t="n"/>
      <c r="CE4" s="11" t="n"/>
      <c r="CF4" s="11" t="n"/>
      <c r="CG4" s="11" t="n"/>
      <c r="CH4" s="11" t="n"/>
      <c r="CI4" s="11" t="n"/>
      <c r="CJ4" s="11" t="n"/>
      <c r="CK4" s="11" t="n"/>
      <c r="CL4" s="11" t="n"/>
      <c r="CM4" s="11" t="n"/>
      <c r="CN4" s="11" t="n"/>
      <c r="CO4" s="11" t="n"/>
      <c r="CP4" s="11" t="n"/>
      <c r="CQ4" s="11" t="n"/>
      <c r="CR4" s="11" t="n"/>
      <c r="CS4" s="11" t="n"/>
      <c r="CT4" s="11" t="n"/>
      <c r="CU4" s="11" t="n"/>
      <c r="CV4" s="11" t="n"/>
      <c r="CW4" s="11" t="n"/>
      <c r="CX4" s="11" t="n"/>
      <c r="CY4" s="11" t="n"/>
    </row>
    <row r="5">
      <c r="B5" s="19" t="n">
        <v>45930</v>
      </c>
      <c r="D5" s="20" t="n"/>
      <c r="E5" s="21" t="n"/>
      <c r="F5" s="21" t="n"/>
      <c r="G5" s="21" t="n"/>
      <c r="H5" s="266" t="n">
        <v>44196</v>
      </c>
      <c r="I5" s="20" t="n">
        <v>44286</v>
      </c>
      <c r="J5" s="21">
        <f>DATE(YEAR(I5),MONTH(I5)+3,DAY(I5)-1)</f>
        <v>44377.0</v>
      </c>
      <c r="K5" s="21">
        <f>DATE(YEAR(J5),MONTH(J5)+3,DAY(J5))</f>
        <v>44469.0</v>
      </c>
      <c r="L5" s="21">
        <f>DATE(YEAR(K5),MONTH(K5)+3,DAY(K5)+1)</f>
        <v>44561.0</v>
      </c>
      <c r="M5" s="22">
        <f>L5</f>
        <v>44561.0</v>
      </c>
      <c r="N5" s="21">
        <f>DATE(YEAR(M5),MONTH(M5)+3,DAY(M5))</f>
        <v>44651.0</v>
      </c>
      <c r="O5" s="21">
        <f>DATE(YEAR(N5),MONTH(N5)+3,DAY(N5)-1)</f>
        <v>44742.0</v>
      </c>
      <c r="P5" s="21">
        <f>DATE(YEAR(O5),MONTH(O5)+3,DAY(O5))</f>
        <v>44834.0</v>
      </c>
      <c r="Q5" s="21">
        <f>DATE(YEAR(P5),MONTH(P5)+3,DAY(P5)+1)</f>
        <v>44926.0</v>
      </c>
      <c r="R5" s="22">
        <f>Q5</f>
        <v>44926.0</v>
      </c>
      <c r="S5" s="21">
        <f>DATE(YEAR(R5),MONTH(R5)+3,DAY(R5))</f>
        <v>45016.0</v>
      </c>
      <c r="T5" s="21">
        <f>DATE(YEAR(S5),MONTH(S5)+3,DAY(S5))-1</f>
        <v>45107.0</v>
      </c>
      <c r="U5" s="21">
        <f>DATE(YEAR(T5),MONTH(T5)+3,DAY(T5))</f>
        <v>45199.0</v>
      </c>
      <c r="V5" s="21">
        <f>DATE(YEAR(U5),MONTH(U5)+3,DAY(U5))+1</f>
        <v>45291.0</v>
      </c>
      <c r="W5" s="22">
        <f>V5</f>
        <v>45291.0</v>
      </c>
      <c r="X5" s="21">
        <f>DATE(YEAR(W5),MONTH(W5)+3,DAY(W5))</f>
        <v>45382.0</v>
      </c>
      <c r="Y5" s="21">
        <f>DATE(YEAR(X5),MONTH(X5)+3,DAY(X5))-1</f>
        <v>45473.0</v>
      </c>
      <c r="Z5" s="21">
        <f>DATE(YEAR(Y5),MONTH(Y5)+3,DAY(Y5))</f>
        <v>45565.0</v>
      </c>
      <c r="AA5" s="21">
        <f>DATE(YEAR(Z5),MONTH(Z5)+3,DAY(Z5))+1</f>
        <v>45657.0</v>
      </c>
      <c r="AB5" s="22">
        <f>AA5</f>
        <v>45657.0</v>
      </c>
      <c r="AC5" s="21">
        <f>DATE(YEAR(AB5),MONTH(AB5)+3,DAY(AB5))</f>
        <v>45747.0</v>
      </c>
      <c r="AD5" s="21">
        <f>DATE(YEAR(AC5),MONTH(AC5)+3,DAY(AC5))-1</f>
        <v>45838.0</v>
      </c>
      <c r="AE5" s="21">
        <f>DATE(YEAR(AD5),MONTH(AD5)+3,DAY(AD5))</f>
        <v>45930.0</v>
      </c>
      <c r="AF5" s="21">
        <f>DATE(YEAR(AE5),MONTH(AE5)+3,DAY(AE5))+1</f>
        <v>46022.0</v>
      </c>
      <c r="AG5" s="22">
        <f>AF5</f>
        <v>46022.0</v>
      </c>
      <c r="AH5" s="21">
        <f>DATE(YEAR(AG5),MONTH(AG5)+3,DAY(AG5))</f>
        <v>46112.0</v>
      </c>
      <c r="AI5" s="21">
        <f>DATE(YEAR(AH5),MONTH(AH5)+3,DAY(AH5))-1</f>
        <v>46203.0</v>
      </c>
      <c r="AJ5" s="21">
        <f>DATE(YEAR(AI5),MONTH(AI5)+3,DAY(AI5))</f>
        <v>46295.0</v>
      </c>
      <c r="AK5" s="21">
        <f>DATE(YEAR(AJ5),MONTH(AJ5)+3,DAY(AJ5))+1</f>
        <v>46387.0</v>
      </c>
      <c r="AL5" s="22">
        <f>AK5</f>
        <v>46387.0</v>
      </c>
      <c r="AM5" s="21">
        <f>DATE(YEAR(AL5),MONTH(AL5)+3,DAY(AL5))</f>
        <v>46477.0</v>
      </c>
      <c r="AN5" s="21">
        <f>DATE(YEAR(AM5),MONTH(AM5)+3,DAY(AM5))-1</f>
        <v>46568.0</v>
      </c>
      <c r="AO5" s="21">
        <f>DATE(YEAR(AN5),MONTH(AN5)+3,DAY(AN5))</f>
        <v>46660.0</v>
      </c>
      <c r="AP5" s="21">
        <f>DATE(YEAR(AO5),MONTH(AO5)+3,DAY(AO5))+1</f>
        <v>46752.0</v>
      </c>
      <c r="AQ5" s="22">
        <f>AP5</f>
        <v>46752.0</v>
      </c>
      <c r="AR5" s="21">
        <f>DATE(YEAR(AQ5),MONTH(AQ5)+3,DAY(AQ5))</f>
        <v>46843.0</v>
      </c>
      <c r="AS5" s="21">
        <f>DATE(YEAR(AR5),MONTH(AR5)+3,DAY(AR5))-1</f>
        <v>46934.0</v>
      </c>
      <c r="AT5" s="21">
        <f>DATE(YEAR(AS5),MONTH(AS5)+3,DAY(AS5))</f>
        <v>47026.0</v>
      </c>
      <c r="AU5" s="21">
        <f>DATE(YEAR(AT5),MONTH(AT5)+3,DAY(AT5))+1</f>
        <v>47118.0</v>
      </c>
      <c r="AV5" s="22">
        <f>AU5</f>
        <v>47118.0</v>
      </c>
      <c r="AW5" s="21">
        <f>DATE(YEAR(AV5),MONTH(AV5)+3,DAY(AV5))</f>
        <v>47208.0</v>
      </c>
      <c r="AX5" s="21">
        <f>DATE(YEAR(AW5),MONTH(AW5)+3,DAY(AW5))-1</f>
        <v>47299.0</v>
      </c>
      <c r="AY5" s="21">
        <f>DATE(YEAR(AX5),MONTH(AX5)+3,DAY(AX5))</f>
        <v>47391.0</v>
      </c>
      <c r="AZ5" s="21">
        <f>DATE(YEAR(AY5),MONTH(AY5)+3,DAY(AY5))+1</f>
        <v>47483.0</v>
      </c>
      <c r="BA5" s="22">
        <f>AZ5</f>
        <v>47483.0</v>
      </c>
      <c r="BB5" s="21">
        <f>DATE(YEAR(BA5),MONTH(BA5)+3,DAY(BA5))</f>
        <v>47573.0</v>
      </c>
      <c r="BC5" s="21">
        <f>DATE(YEAR(BB5),MONTH(BB5)+3,DAY(BB5))-1</f>
        <v>47664.0</v>
      </c>
      <c r="BD5" s="21">
        <f>DATE(YEAR(BC5),MONTH(BC5)+3,DAY(BC5))</f>
        <v>47756.0</v>
      </c>
      <c r="BE5" s="21">
        <f>DATE(YEAR(BD5),MONTH(BD5)+3,DAY(BD5))+1</f>
        <v>47848.0</v>
      </c>
      <c r="BF5" s="22">
        <f>BE5</f>
        <v>47848.0</v>
      </c>
      <c r="BG5" s="21" t="n"/>
      <c r="BH5" s="21" t="n"/>
      <c r="BI5" s="21" t="n"/>
      <c r="BJ5" s="21" t="n"/>
      <c r="BK5" s="22" t="n"/>
      <c r="BL5" s="21" t="n"/>
      <c r="BM5" s="21" t="n"/>
      <c r="BN5" s="21" t="n"/>
      <c r="BO5" s="21" t="n"/>
      <c r="BP5" s="22" t="n"/>
      <c r="BQ5" s="21" t="n"/>
      <c r="BR5" s="21" t="n"/>
      <c r="BS5" s="21" t="n"/>
      <c r="BT5" s="21" t="n"/>
      <c r="BU5" s="22" t="n"/>
      <c r="BV5" s="21" t="n"/>
      <c r="BW5" s="21" t="n"/>
      <c r="BX5" s="21" t="n"/>
      <c r="BY5" s="21" t="n"/>
      <c r="BZ5" s="22" t="n"/>
      <c r="CA5" s="21" t="n"/>
      <c r="CB5" s="21" t="n"/>
      <c r="CC5" s="21" t="n"/>
      <c r="CD5" s="21" t="n"/>
      <c r="CE5" s="22" t="n"/>
      <c r="CF5" s="21" t="n"/>
      <c r="CG5" s="21" t="n"/>
      <c r="CH5" s="21" t="n"/>
      <c r="CI5" s="21" t="n"/>
      <c r="CJ5" s="22" t="n"/>
      <c r="CK5" s="21" t="n"/>
      <c r="CL5" s="21" t="n"/>
      <c r="CM5" s="21" t="n"/>
      <c r="CN5" s="21" t="n"/>
      <c r="CO5" s="22" t="n"/>
      <c r="CP5" s="21" t="n"/>
      <c r="CQ5" s="21" t="n"/>
      <c r="CR5" s="21" t="n"/>
      <c r="CS5" s="21" t="n"/>
      <c r="CT5" s="22" t="n"/>
      <c r="CU5" s="21" t="n"/>
      <c r="CV5" s="21" t="n"/>
      <c r="CW5" s="21" t="n"/>
      <c r="CX5" s="21" t="n"/>
      <c r="CY5" s="22" t="n"/>
    </row>
    <row r="6">
      <c r="B6" s="23" t="n"/>
      <c r="D6" s="24" t="n"/>
      <c r="E6" s="24" t="n"/>
      <c r="F6" s="24" t="n"/>
      <c r="G6" s="24" t="n"/>
      <c r="H6" s="24" t="n"/>
      <c r="I6" s="24">
        <f>YEAR(I5)</f>
        <v>2021</v>
      </c>
      <c r="J6" s="24">
        <f>YEAR(J5)</f>
        <v>2021</v>
      </c>
      <c r="K6" s="24">
        <f>YEAR(K5)</f>
        <v>2021</v>
      </c>
      <c r="L6" s="24">
        <f>YEAR(L5)</f>
        <v>2021</v>
      </c>
      <c r="M6" s="24">
        <f>YEAR(M5)</f>
        <v>2021</v>
      </c>
      <c r="N6" s="24">
        <f>YEAR(N5)</f>
        <v>2022</v>
      </c>
      <c r="O6" s="24">
        <f>YEAR(O5)</f>
        <v>2022</v>
      </c>
      <c r="P6" s="24">
        <f>YEAR(P5)</f>
        <v>2022</v>
      </c>
      <c r="Q6" s="24">
        <f>YEAR(Q5)</f>
        <v>2022</v>
      </c>
      <c r="R6" s="24">
        <f>YEAR(R5)</f>
        <v>2022</v>
      </c>
      <c r="S6" s="24">
        <f>YEAR(S5)</f>
        <v>2023</v>
      </c>
      <c r="T6" s="24">
        <f>YEAR(T5)</f>
        <v>2023</v>
      </c>
      <c r="U6" s="24">
        <f>YEAR(U5)</f>
        <v>2023</v>
      </c>
      <c r="V6" s="24">
        <f>YEAR(V5)</f>
        <v>2023</v>
      </c>
      <c r="W6" s="24">
        <f>YEAR(W5)</f>
        <v>2023</v>
      </c>
      <c r="X6" s="24">
        <f>YEAR(X5)</f>
        <v>2024</v>
      </c>
      <c r="Y6" s="24">
        <f>YEAR(Y5)</f>
        <v>2024</v>
      </c>
      <c r="Z6" s="24">
        <f>YEAR(Z5)</f>
        <v>2024</v>
      </c>
      <c r="AA6" s="24">
        <f>YEAR(AA5)</f>
        <v>2024</v>
      </c>
      <c r="AB6" s="24">
        <f>YEAR(AB5)</f>
        <v>2024</v>
      </c>
      <c r="AC6" s="24">
        <f>YEAR(AC5)</f>
        <v>2025</v>
      </c>
      <c r="AD6" s="24">
        <f>YEAR(AD5)</f>
        <v>2025</v>
      </c>
      <c r="AE6" s="24">
        <f>YEAR(AE5)</f>
        <v>2025</v>
      </c>
      <c r="AF6" s="24">
        <f>YEAR(AF5)</f>
        <v>2025</v>
      </c>
      <c r="AG6" s="24">
        <f>YEAR(AG5)</f>
        <v>2025</v>
      </c>
      <c r="AH6" s="24">
        <f>YEAR(AH5)</f>
        <v>2026</v>
      </c>
      <c r="AI6" s="24">
        <f>YEAR(AI5)</f>
        <v>2026</v>
      </c>
      <c r="AJ6" s="24">
        <f>YEAR(AJ5)</f>
        <v>2026</v>
      </c>
      <c r="AK6" s="24">
        <f>YEAR(AK5)</f>
        <v>2026</v>
      </c>
      <c r="AL6" s="24">
        <f>YEAR(AL5)</f>
        <v>2026</v>
      </c>
      <c r="AM6" s="24">
        <f>YEAR(AM5)</f>
        <v>2027</v>
      </c>
      <c r="AN6" s="24">
        <f>YEAR(AN5)</f>
        <v>2027</v>
      </c>
      <c r="AO6" s="24">
        <f>YEAR(AO5)</f>
        <v>2027</v>
      </c>
      <c r="AP6" s="24">
        <f>YEAR(AP5)</f>
        <v>2027</v>
      </c>
      <c r="AQ6" s="24">
        <f>YEAR(AQ5)</f>
        <v>2027</v>
      </c>
      <c r="AR6" s="24">
        <f>YEAR(AR5)</f>
        <v>2028</v>
      </c>
      <c r="AS6" s="24">
        <f>YEAR(AS5)</f>
        <v>2028</v>
      </c>
      <c r="AT6" s="24">
        <f>YEAR(AT5)</f>
        <v>2028</v>
      </c>
      <c r="AU6" s="24">
        <f>YEAR(AU5)</f>
        <v>2028</v>
      </c>
      <c r="AV6" s="24">
        <f>YEAR(AV5)</f>
        <v>2028</v>
      </c>
      <c r="AW6" s="24">
        <f>YEAR(AW5)</f>
        <v>2029</v>
      </c>
      <c r="AX6" s="24">
        <f>YEAR(AX5)</f>
        <v>2029</v>
      </c>
      <c r="AY6" s="24">
        <f>YEAR(AY5)</f>
        <v>2029</v>
      </c>
      <c r="AZ6" s="24">
        <f>YEAR(AZ5)</f>
        <v>2029</v>
      </c>
      <c r="BA6" s="24">
        <f>YEAR(BA5)</f>
        <v>2029</v>
      </c>
      <c r="BB6" s="24">
        <f>YEAR(BB5)</f>
        <v>2030</v>
      </c>
      <c r="BC6" s="24">
        <f>YEAR(BC5)</f>
        <v>2030</v>
      </c>
      <c r="BD6" s="24">
        <f>YEAR(BD5)</f>
        <v>2030</v>
      </c>
      <c r="BE6" s="24">
        <f>YEAR(BE5)</f>
        <v>2030</v>
      </c>
      <c r="BF6" s="24">
        <f>YEAR(BF5)</f>
        <v>2030</v>
      </c>
      <c r="BG6" s="24" t="n"/>
      <c r="BH6" s="24" t="n"/>
      <c r="BI6" s="24" t="n"/>
      <c r="BJ6" s="24" t="n"/>
      <c r="BK6" s="24" t="n"/>
      <c r="BL6" s="24" t="n"/>
      <c r="BM6" s="24" t="n"/>
      <c r="BN6" s="24" t="n"/>
      <c r="BO6" s="24" t="n"/>
      <c r="BP6" s="24" t="n"/>
      <c r="BQ6" s="24" t="n"/>
      <c r="BR6" s="24" t="n"/>
      <c r="BS6" s="24" t="n"/>
      <c r="BT6" s="24" t="n"/>
      <c r="BU6" s="24" t="n"/>
      <c r="BV6" s="24" t="n"/>
      <c r="BW6" s="24" t="n"/>
      <c r="BX6" s="24" t="n"/>
      <c r="BY6" s="24" t="n"/>
      <c r="BZ6" s="24" t="n"/>
      <c r="CA6" s="24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n"/>
      <c r="CT6" s="24" t="n"/>
      <c r="CU6" s="24" t="n"/>
      <c r="CV6" s="24" t="n"/>
      <c r="CW6" s="24" t="n"/>
      <c r="CX6" s="24" t="n"/>
      <c r="CY6" s="24" t="n"/>
    </row>
    <row r="7">
      <c r="B7" s="4" t="n"/>
      <c r="D7" s="25" t="n"/>
      <c r="E7" s="25" t="n"/>
      <c r="F7" s="25" t="n"/>
      <c r="G7" s="25" t="n"/>
      <c r="H7" s="26" t="n">
        <v>2020</v>
      </c>
      <c r="I7" s="25" t="str">
        <f>"1Q"&amp;RIGHT(I6,2)</f>
        <v>1Q21</v>
      </c>
      <c r="J7" s="25" t="str">
        <f>"2Q"&amp;RIGHT(J6,2)</f>
        <v>2Q21</v>
      </c>
      <c r="K7" s="25" t="str">
        <f>"3Q"&amp;RIGHT(K6,2)</f>
        <v>3Q21</v>
      </c>
      <c r="L7" s="25" t="str">
        <f>"4Q"&amp;RIGHT(L6,2)</f>
        <v>4Q21</v>
      </c>
      <c r="M7" s="26">
        <f>H7+1</f>
        <v>2021</v>
      </c>
      <c r="N7" s="25" t="str">
        <f>"1Q"&amp;RIGHT(N6,2)</f>
        <v>1Q22</v>
      </c>
      <c r="O7" s="25" t="str">
        <f>"2Q"&amp;RIGHT(O6,2)</f>
        <v>2Q22</v>
      </c>
      <c r="P7" s="25" t="str">
        <f>"3Q"&amp;RIGHT(P6,2)</f>
        <v>3Q22</v>
      </c>
      <c r="Q7" s="25" t="str">
        <f>"4Q"&amp;RIGHT(Q6,2)</f>
        <v>4Q22</v>
      </c>
      <c r="R7" s="26">
        <f>M7+1</f>
        <v>2022</v>
      </c>
      <c r="S7" s="25" t="str">
        <f>"1Q"&amp;RIGHT(S6,2)</f>
        <v>1Q23</v>
      </c>
      <c r="T7" s="25" t="str">
        <f>"2Q"&amp;RIGHT(T6,2)</f>
        <v>2Q23</v>
      </c>
      <c r="U7" s="25" t="str">
        <f>"3Q"&amp;RIGHT(U6,2)</f>
        <v>3Q23</v>
      </c>
      <c r="V7" s="25" t="str">
        <f>"4Q"&amp;RIGHT(V6,2)</f>
        <v>4Q23</v>
      </c>
      <c r="W7" s="26">
        <f>R7+1</f>
        <v>2023</v>
      </c>
      <c r="X7" s="25" t="str">
        <f>"1Q"&amp;RIGHT(X6,2)</f>
        <v>1Q24</v>
      </c>
      <c r="Y7" s="25" t="str">
        <f>"2Q"&amp;RIGHT(Y6,2)</f>
        <v>2Q24</v>
      </c>
      <c r="Z7" s="25" t="str">
        <f>"3Q"&amp;RIGHT(Z6,2)</f>
        <v>3Q24</v>
      </c>
      <c r="AA7" s="25" t="str">
        <f>"4Q"&amp;RIGHT(AA6,2)</f>
        <v>4Q24</v>
      </c>
      <c r="AB7" s="26">
        <f>W7+1</f>
        <v>2024</v>
      </c>
      <c r="AC7" s="25" t="str">
        <f>"1Q"&amp;RIGHT(AC6,2)</f>
        <v>1Q25</v>
      </c>
      <c r="AD7" s="25" t="str">
        <f>"2Q"&amp;RIGHT(AD6,2)</f>
        <v>2Q25</v>
      </c>
      <c r="AE7" s="25" t="str">
        <f>"3Q"&amp;RIGHT(AE6,2)</f>
        <v>3Q25</v>
      </c>
      <c r="AF7" s="25" t="str">
        <f>"4Q"&amp;RIGHT(AF6,2)</f>
        <v>4Q25</v>
      </c>
      <c r="AG7" s="26">
        <f>AB7+1</f>
        <v>2025</v>
      </c>
      <c r="AH7" s="25" t="str">
        <f>"1Q"&amp;RIGHT(AH6,2)</f>
        <v>1Q26</v>
      </c>
      <c r="AI7" s="25" t="str">
        <f>"2Q"&amp;RIGHT(AI6,2)</f>
        <v>2Q26</v>
      </c>
      <c r="AJ7" s="25" t="str">
        <f>"3Q"&amp;RIGHT(AJ6,2)</f>
        <v>3Q26</v>
      </c>
      <c r="AK7" s="25" t="str">
        <f>"4Q"&amp;RIGHT(AK6,2)</f>
        <v>4Q26</v>
      </c>
      <c r="AL7" s="26">
        <f>AG7+1</f>
        <v>2026</v>
      </c>
      <c r="AM7" s="25" t="str">
        <f>"1Q"&amp;RIGHT(AM6,2)</f>
        <v>1Q27</v>
      </c>
      <c r="AN7" s="25" t="str">
        <f>"2Q"&amp;RIGHT(AN6,2)</f>
        <v>2Q27</v>
      </c>
      <c r="AO7" s="25" t="str">
        <f>"3Q"&amp;RIGHT(AO6,2)</f>
        <v>3Q27</v>
      </c>
      <c r="AP7" s="25" t="str">
        <f>"4Q"&amp;RIGHT(AP6,2)</f>
        <v>4Q27</v>
      </c>
      <c r="AQ7" s="26">
        <f>AL7+1</f>
        <v>2027</v>
      </c>
      <c r="AR7" s="25" t="str">
        <f>"1Q"&amp;RIGHT(AR6,2)</f>
        <v>1Q28</v>
      </c>
      <c r="AS7" s="25" t="str">
        <f>"2Q"&amp;RIGHT(AS6,2)</f>
        <v>2Q28</v>
      </c>
      <c r="AT7" s="25" t="str">
        <f>"3Q"&amp;RIGHT(AT6,2)</f>
        <v>3Q28</v>
      </c>
      <c r="AU7" s="25" t="str">
        <f>"4Q"&amp;RIGHT(AU6,2)</f>
        <v>4Q28</v>
      </c>
      <c r="AV7" s="26">
        <f>AQ7+1</f>
        <v>2028</v>
      </c>
      <c r="AW7" s="25" t="str">
        <f>"1Q"&amp;RIGHT(AW6,2)</f>
        <v>1Q29</v>
      </c>
      <c r="AX7" s="25" t="str">
        <f>"2Q"&amp;RIGHT(AX6,2)</f>
        <v>2Q29</v>
      </c>
      <c r="AY7" s="25" t="str">
        <f>"3Q"&amp;RIGHT(AY6,2)</f>
        <v>3Q29</v>
      </c>
      <c r="AZ7" s="25" t="str">
        <f>"4Q"&amp;RIGHT(AZ6,2)</f>
        <v>4Q29</v>
      </c>
      <c r="BA7" s="26">
        <f>AV7+1</f>
        <v>2029</v>
      </c>
      <c r="BB7" s="25" t="str">
        <f>"1Q"&amp;RIGHT(BB6,2)</f>
        <v>1Q30</v>
      </c>
      <c r="BC7" s="25" t="str">
        <f>"2Q"&amp;RIGHT(BC6,2)</f>
        <v>2Q30</v>
      </c>
      <c r="BD7" s="25" t="str">
        <f>"3Q"&amp;RIGHT(BD6,2)</f>
        <v>3Q30</v>
      </c>
      <c r="BE7" s="25" t="str">
        <f>"4Q"&amp;RIGHT(BE6,2)</f>
        <v>4Q30</v>
      </c>
      <c r="BF7" s="26">
        <f>BA7+1</f>
        <v>2030</v>
      </c>
      <c r="BG7" s="25" t="n"/>
      <c r="BH7" s="25" t="n"/>
      <c r="BI7" s="25" t="n"/>
      <c r="BJ7" s="25" t="n"/>
      <c r="BK7" s="26" t="n"/>
      <c r="BL7" s="25" t="n"/>
      <c r="BM7" s="25" t="n"/>
      <c r="BN7" s="25" t="n"/>
      <c r="BO7" s="25" t="n"/>
      <c r="BP7" s="26" t="n"/>
      <c r="BQ7" s="25" t="n"/>
      <c r="BR7" s="25" t="n"/>
      <c r="BS7" s="25" t="n"/>
      <c r="BT7" s="25" t="n"/>
      <c r="BU7" s="26" t="n"/>
      <c r="BV7" s="25" t="n"/>
      <c r="BW7" s="25" t="n"/>
      <c r="BX7" s="25" t="n"/>
      <c r="BY7" s="25" t="n"/>
      <c r="BZ7" s="26" t="n"/>
      <c r="CA7" s="25" t="n"/>
      <c r="CB7" s="25" t="n"/>
      <c r="CC7" s="25" t="n"/>
      <c r="CD7" s="25" t="n"/>
      <c r="CE7" s="26" t="n"/>
      <c r="CF7" s="25" t="n"/>
      <c r="CG7" s="25" t="n"/>
      <c r="CH7" s="25" t="n"/>
      <c r="CI7" s="25" t="n"/>
      <c r="CJ7" s="26" t="n"/>
      <c r="CK7" s="25" t="n"/>
      <c r="CL7" s="25" t="n"/>
      <c r="CM7" s="25" t="n"/>
      <c r="CN7" s="25" t="n"/>
      <c r="CO7" s="26" t="n"/>
      <c r="CP7" s="25" t="n"/>
      <c r="CQ7" s="25" t="n"/>
      <c r="CR7" s="25" t="n"/>
      <c r="CS7" s="25" t="n"/>
      <c r="CT7" s="26" t="n"/>
      <c r="CU7" s="25" t="n"/>
      <c r="CV7" s="25" t="n"/>
      <c r="CW7" s="25" t="n"/>
      <c r="CX7" s="25" t="n"/>
      <c r="CY7" s="26" t="n"/>
    </row>
    <row r="8">
      <c r="B8" s="4" t="n"/>
      <c r="C8" s="4" t="inlineStr">
        <is>
          <t>IPCA</t>
        </is>
      </c>
      <c r="D8" s="25" t="n"/>
      <c r="E8" s="25" t="n"/>
      <c r="F8" s="25" t="n"/>
      <c r="G8" s="25" t="n"/>
      <c r="H8" s="27" t="n"/>
      <c r="I8" s="25" t="n"/>
      <c r="J8" s="25" t="n"/>
      <c r="K8" s="25" t="n"/>
      <c r="L8" s="25" t="n"/>
      <c r="M8" s="27" t="n">
        <v>0.1006</v>
      </c>
      <c r="N8" s="25" t="n"/>
      <c r="O8" s="25" t="n"/>
      <c r="P8" s="25" t="n"/>
      <c r="Q8" s="25" t="n"/>
      <c r="R8" s="27" t="n">
        <v>0.0579</v>
      </c>
      <c r="S8" s="25" t="n"/>
      <c r="T8" s="25" t="n"/>
      <c r="U8" s="25" t="n"/>
      <c r="V8" s="25" t="n"/>
      <c r="W8" s="27" t="n">
        <v>0.0468</v>
      </c>
      <c r="X8" s="25" t="n"/>
      <c r="Y8" s="25" t="n"/>
      <c r="Z8" s="25" t="n"/>
      <c r="AA8" s="25" t="n"/>
      <c r="AB8" s="27" t="n">
        <v>0.0483</v>
      </c>
      <c r="AC8" s="25" t="n"/>
      <c r="AD8" s="25" t="n"/>
      <c r="AE8" s="25" t="n"/>
      <c r="AF8" s="25" t="n"/>
      <c r="AG8" s="27" t="n">
        <v>0.0468</v>
      </c>
      <c r="AH8" s="25" t="n"/>
      <c r="AI8" s="25" t="n"/>
      <c r="AJ8" s="25" t="n"/>
      <c r="AK8" s="25" t="n"/>
      <c r="AL8" s="28" t="n"/>
      <c r="AM8" s="25" t="n"/>
      <c r="AN8" s="25" t="n"/>
      <c r="AO8" s="25" t="n"/>
      <c r="AP8" s="25" t="n"/>
      <c r="AQ8" s="28" t="n"/>
      <c r="AR8" s="25" t="n"/>
      <c r="AS8" s="25" t="n"/>
      <c r="AT8" s="25" t="n"/>
      <c r="AU8" s="25" t="n"/>
      <c r="AV8" s="28" t="n"/>
      <c r="AW8" s="25" t="n"/>
      <c r="AX8" s="25" t="n"/>
      <c r="AY8" s="25" t="n"/>
      <c r="AZ8" s="25" t="n"/>
      <c r="BA8" s="28" t="n"/>
      <c r="BB8" s="25" t="n"/>
      <c r="BC8" s="25" t="n"/>
      <c r="BD8" s="25" t="n"/>
      <c r="BE8" s="25" t="n"/>
      <c r="BF8" s="28" t="n"/>
      <c r="BG8" s="25" t="n"/>
      <c r="BH8" s="25" t="n"/>
      <c r="BI8" s="25" t="n"/>
      <c r="BJ8" s="25" t="n"/>
      <c r="BK8" s="28" t="n"/>
      <c r="BL8" s="25" t="n"/>
      <c r="BM8" s="25" t="n"/>
      <c r="BN8" s="25" t="n"/>
      <c r="BO8" s="25" t="n"/>
      <c r="BP8" s="28" t="n"/>
      <c r="BQ8" s="25" t="n"/>
      <c r="BR8" s="25" t="n"/>
      <c r="BS8" s="25" t="n"/>
      <c r="BT8" s="25" t="n"/>
      <c r="BU8" s="28" t="n"/>
      <c r="BV8" s="25" t="n"/>
      <c r="BW8" s="25" t="n"/>
      <c r="BX8" s="25" t="n"/>
      <c r="BY8" s="25" t="n"/>
      <c r="BZ8" s="28" t="n"/>
      <c r="CA8" s="25" t="n"/>
      <c r="CB8" s="25" t="n"/>
      <c r="CC8" s="25" t="n"/>
      <c r="CD8" s="25" t="n"/>
      <c r="CE8" s="28" t="n"/>
      <c r="CF8" s="25" t="n"/>
      <c r="CG8" s="25" t="n"/>
      <c r="CH8" s="25" t="n"/>
      <c r="CI8" s="25" t="n"/>
      <c r="CJ8" s="28" t="n"/>
      <c r="CK8" s="25" t="n"/>
      <c r="CL8" s="25" t="n"/>
      <c r="CM8" s="25" t="n"/>
      <c r="CN8" s="25" t="n"/>
      <c r="CO8" s="28" t="n"/>
      <c r="CP8" s="25" t="n"/>
      <c r="CQ8" s="25" t="n"/>
      <c r="CR8" s="25" t="n"/>
      <c r="CS8" s="25" t="n"/>
      <c r="CT8" s="28" t="n"/>
      <c r="CU8" s="25" t="n"/>
      <c r="CV8" s="25" t="n"/>
      <c r="CW8" s="25" t="n"/>
      <c r="CX8" s="25" t="n"/>
      <c r="CY8" s="28" t="n"/>
    </row>
    <row r="9">
      <c r="B9" s="4" t="n"/>
      <c r="C9" s="4" t="inlineStr">
        <is>
          <t>GDP BRAZIL</t>
        </is>
      </c>
      <c r="D9" s="25" t="n"/>
      <c r="E9" s="25" t="n"/>
      <c r="F9" s="25" t="n"/>
      <c r="G9" s="25" t="n"/>
      <c r="H9" s="29" t="n"/>
      <c r="I9" s="25" t="n"/>
      <c r="J9" s="25" t="n"/>
      <c r="K9" s="25" t="n"/>
      <c r="L9" s="25" t="n"/>
      <c r="M9" s="29" t="n">
        <v>0.046</v>
      </c>
      <c r="N9" s="25" t="n"/>
      <c r="O9" s="25" t="n"/>
      <c r="P9" s="25" t="n"/>
      <c r="Q9" s="25" t="n"/>
      <c r="R9" s="29" t="n"/>
      <c r="S9" s="25" t="n"/>
      <c r="T9" s="25" t="n"/>
      <c r="U9" s="25" t="n"/>
      <c r="V9" s="25" t="n"/>
      <c r="W9" s="29" t="n"/>
      <c r="X9" s="25" t="n"/>
      <c r="Y9" s="25" t="n"/>
      <c r="Z9" s="25" t="n"/>
      <c r="AA9" s="25" t="n"/>
      <c r="AB9" s="29" t="n"/>
      <c r="AC9" s="25" t="n"/>
      <c r="AD9" s="25" t="n"/>
      <c r="AE9" s="25" t="n"/>
      <c r="AF9" s="25" t="n"/>
      <c r="AG9" s="29" t="n"/>
      <c r="AH9" s="25" t="n"/>
      <c r="AI9" s="25" t="n"/>
      <c r="AJ9" s="25" t="n"/>
      <c r="AK9" s="25" t="n"/>
      <c r="AL9" s="28" t="n"/>
      <c r="AM9" s="25" t="n"/>
      <c r="AN9" s="25" t="n"/>
      <c r="AO9" s="25" t="n"/>
      <c r="AP9" s="25" t="n"/>
      <c r="AQ9" s="28" t="n"/>
      <c r="AR9" s="25" t="n"/>
      <c r="AS9" s="25" t="n"/>
      <c r="AT9" s="25" t="n"/>
      <c r="AU9" s="25" t="n"/>
      <c r="AV9" s="28" t="n"/>
      <c r="AW9" s="25" t="n"/>
      <c r="AX9" s="25" t="n"/>
      <c r="AY9" s="25" t="n"/>
      <c r="AZ9" s="25" t="n"/>
      <c r="BA9" s="28" t="n"/>
      <c r="BB9" s="25" t="n"/>
      <c r="BC9" s="25" t="n"/>
      <c r="BD9" s="25" t="n"/>
      <c r="BE9" s="25" t="n"/>
      <c r="BF9" s="28" t="n"/>
      <c r="BG9" s="25" t="n"/>
      <c r="BH9" s="25" t="n"/>
      <c r="BI9" s="25" t="n"/>
      <c r="BJ9" s="25" t="n"/>
      <c r="BK9" s="28" t="n"/>
      <c r="BL9" s="25" t="n"/>
      <c r="BM9" s="25" t="n"/>
      <c r="BN9" s="25" t="n"/>
      <c r="BO9" s="25" t="n"/>
      <c r="BP9" s="28" t="n"/>
      <c r="BQ9" s="25" t="n"/>
      <c r="BR9" s="25" t="n"/>
      <c r="BS9" s="25" t="n"/>
      <c r="BT9" s="25" t="n"/>
      <c r="BU9" s="28" t="n"/>
      <c r="BV9" s="25" t="n"/>
      <c r="BW9" s="25" t="n"/>
      <c r="BX9" s="25" t="n"/>
      <c r="BY9" s="25" t="n"/>
      <c r="BZ9" s="28" t="n"/>
      <c r="CA9" s="25" t="n"/>
      <c r="CB9" s="25" t="n"/>
      <c r="CC9" s="25" t="n"/>
      <c r="CD9" s="25" t="n"/>
      <c r="CE9" s="28" t="n"/>
      <c r="CF9" s="25" t="n"/>
      <c r="CG9" s="25" t="n"/>
      <c r="CH9" s="25" t="n"/>
      <c r="CI9" s="25" t="n"/>
      <c r="CJ9" s="28" t="n"/>
      <c r="CK9" s="25" t="n"/>
      <c r="CL9" s="25" t="n"/>
      <c r="CM9" s="25" t="n"/>
      <c r="CN9" s="25" t="n"/>
      <c r="CO9" s="28" t="n"/>
      <c r="CP9" s="25" t="n"/>
      <c r="CQ9" s="25" t="n"/>
      <c r="CR9" s="25" t="n"/>
      <c r="CS9" s="25" t="n"/>
      <c r="CT9" s="28" t="n"/>
      <c r="CU9" s="25" t="n"/>
      <c r="CV9" s="25" t="n"/>
      <c r="CW9" s="25" t="n"/>
      <c r="CX9" s="25" t="n"/>
      <c r="CY9" s="28" t="n"/>
    </row>
    <row r="10">
      <c r="C10" s="4" t="inlineStr">
        <is>
          <t>CDI</t>
        </is>
      </c>
      <c r="H10" s="29" t="n"/>
      <c r="M10" s="29" t="n">
        <v>0.0442</v>
      </c>
      <c r="R10" s="29" t="n">
        <v>0.1239</v>
      </c>
      <c r="W10" s="29" t="n">
        <v>0.1304</v>
      </c>
      <c r="AB10" s="29" t="n">
        <v>0.1064</v>
      </c>
      <c r="AG10" s="29" t="n">
        <v>0.1464</v>
      </c>
    </row>
    <row r="11"/>
    <row r="12"/>
    <row r="13" customFormat="1" s="32">
      <c r="A13" s="30" t="n"/>
      <c r="B13" s="30" t="n"/>
      <c r="C13" s="31" t="inlineStr">
        <is>
          <t>Income Statement</t>
        </is>
      </c>
      <c r="D13" s="31" t="n"/>
      <c r="E13" s="31" t="n"/>
      <c r="F13" s="31" t="n"/>
      <c r="G13" s="31" t="n"/>
      <c r="H13" s="31" t="n"/>
      <c r="I13" s="31" t="str">
        <f>I7</f>
        <v>1Q21</v>
      </c>
      <c r="J13" s="31" t="str">
        <f>J7</f>
        <v>2Q21</v>
      </c>
      <c r="K13" s="31" t="str">
        <f>K7</f>
        <v>3Q21</v>
      </c>
      <c r="L13" s="31" t="str">
        <f>L7</f>
        <v>4Q21</v>
      </c>
      <c r="M13" s="31">
        <f>M7</f>
        <v>2021</v>
      </c>
      <c r="N13" s="31" t="str">
        <f>N7</f>
        <v>1Q22</v>
      </c>
      <c r="O13" s="31" t="str">
        <f>O7</f>
        <v>2Q22</v>
      </c>
      <c r="P13" s="31" t="str">
        <f>P7</f>
        <v>3Q22</v>
      </c>
      <c r="Q13" s="31" t="str">
        <f>Q7</f>
        <v>4Q22</v>
      </c>
      <c r="R13" s="31">
        <f>R7</f>
        <v>2022</v>
      </c>
      <c r="S13" s="31" t="str">
        <f>S7</f>
        <v>1Q23</v>
      </c>
      <c r="T13" s="31" t="str">
        <f>T7</f>
        <v>2Q23</v>
      </c>
      <c r="U13" s="31" t="str">
        <f>U7</f>
        <v>3Q23</v>
      </c>
      <c r="V13" s="31" t="str">
        <f>V7</f>
        <v>4Q23</v>
      </c>
      <c r="W13" s="31">
        <f>W7</f>
        <v>2023</v>
      </c>
      <c r="X13" s="31" t="str">
        <f>X7</f>
        <v>1Q24</v>
      </c>
      <c r="Y13" s="31" t="str">
        <f>Y7</f>
        <v>2Q24</v>
      </c>
      <c r="Z13" s="31" t="str">
        <f>Z7</f>
        <v>3Q24</v>
      </c>
      <c r="AA13" s="31" t="str">
        <f>AA7</f>
        <v>4Q24</v>
      </c>
      <c r="AB13" s="31">
        <f>AB7</f>
        <v>2024</v>
      </c>
      <c r="AC13" s="31" t="str">
        <f>AC7</f>
        <v>1Q25</v>
      </c>
      <c r="AD13" s="31" t="str">
        <f>AD7</f>
        <v>2Q25</v>
      </c>
      <c r="AE13" s="31" t="str">
        <f>AE7</f>
        <v>3Q25</v>
      </c>
      <c r="AF13" s="31" t="str">
        <f>AF7</f>
        <v>4Q25</v>
      </c>
      <c r="AG13" s="31">
        <f>AG7</f>
        <v>2025</v>
      </c>
      <c r="AH13" s="31" t="str">
        <f>AH7</f>
        <v>1Q26</v>
      </c>
      <c r="AI13" s="31" t="str">
        <f>AI7</f>
        <v>2Q26</v>
      </c>
      <c r="AJ13" s="31" t="str">
        <f>AJ7</f>
        <v>3Q26</v>
      </c>
      <c r="AK13" s="31" t="str">
        <f>AK7</f>
        <v>4Q26</v>
      </c>
      <c r="AL13" s="31">
        <f>AL7</f>
        <v>2026</v>
      </c>
      <c r="AM13" s="31" t="str">
        <f>AM7</f>
        <v>1Q27</v>
      </c>
      <c r="AN13" s="31" t="str">
        <f>AN7</f>
        <v>2Q27</v>
      </c>
      <c r="AO13" s="31" t="str">
        <f>AO7</f>
        <v>3Q27</v>
      </c>
      <c r="AP13" s="31" t="str">
        <f>AP7</f>
        <v>4Q27</v>
      </c>
      <c r="AQ13" s="31">
        <f>AQ7</f>
        <v>2027</v>
      </c>
      <c r="AR13" s="31" t="str">
        <f>AR7</f>
        <v>1Q28</v>
      </c>
      <c r="AS13" s="31" t="str">
        <f>AS7</f>
        <v>2Q28</v>
      </c>
      <c r="AT13" s="31" t="str">
        <f>AT7</f>
        <v>3Q28</v>
      </c>
      <c r="AU13" s="31" t="str">
        <f>AU7</f>
        <v>4Q28</v>
      </c>
      <c r="AV13" s="31">
        <f>AV7</f>
        <v>2028</v>
      </c>
      <c r="AW13" s="31" t="str">
        <f>AW7</f>
        <v>1Q29</v>
      </c>
      <c r="AX13" s="31" t="str">
        <f>AX7</f>
        <v>2Q29</v>
      </c>
      <c r="AY13" s="31" t="str">
        <f>AY7</f>
        <v>3Q29</v>
      </c>
      <c r="AZ13" s="31" t="str">
        <f>AZ7</f>
        <v>4Q29</v>
      </c>
      <c r="BA13" s="31">
        <f>BA7</f>
        <v>2029</v>
      </c>
      <c r="BB13" s="31" t="str">
        <f>BB7</f>
        <v>1Q30</v>
      </c>
      <c r="BC13" s="31" t="str">
        <f>BC7</f>
        <v>2Q30</v>
      </c>
      <c r="BD13" s="31" t="str">
        <f>BD7</f>
        <v>3Q30</v>
      </c>
      <c r="BE13" s="31" t="str">
        <f>BE7</f>
        <v>4Q30</v>
      </c>
      <c r="BF13" s="31">
        <f>BF7</f>
        <v>2030</v>
      </c>
      <c r="BG13" s="31" t="n"/>
      <c r="BH13" s="31" t="n"/>
      <c r="BI13" s="31" t="n"/>
      <c r="BJ13" s="31" t="n"/>
      <c r="BK13" s="31" t="n"/>
      <c r="BL13" s="31" t="n"/>
      <c r="BM13" s="31" t="n"/>
      <c r="BN13" s="31" t="n"/>
      <c r="BO13" s="31" t="n"/>
      <c r="BP13" s="31" t="n"/>
      <c r="BQ13" s="31" t="n"/>
      <c r="BR13" s="31" t="n"/>
      <c r="BS13" s="31" t="n"/>
      <c r="BT13" s="31" t="n"/>
      <c r="BU13" s="31" t="n"/>
      <c r="BV13" s="31" t="n"/>
      <c r="BW13" s="31" t="n"/>
      <c r="BX13" s="31" t="n"/>
      <c r="BY13" s="31" t="n"/>
      <c r="BZ13" s="31" t="n"/>
      <c r="CA13" s="31" t="n"/>
      <c r="CB13" s="31" t="n"/>
      <c r="CC13" s="31" t="n"/>
      <c r="CD13" s="31" t="n"/>
      <c r="CE13" s="31" t="n"/>
      <c r="CF13" s="31" t="n"/>
      <c r="CG13" s="31" t="n"/>
      <c r="CH13" s="31" t="n"/>
      <c r="CI13" s="31" t="n"/>
      <c r="CJ13" s="31" t="n"/>
      <c r="CK13" s="31" t="n"/>
      <c r="CL13" s="31" t="n"/>
      <c r="CM13" s="31" t="n"/>
      <c r="CN13" s="31" t="n"/>
      <c r="CO13" s="31" t="n"/>
      <c r="CP13" s="31" t="n"/>
      <c r="CQ13" s="31" t="n"/>
      <c r="CR13" s="31" t="n"/>
      <c r="CS13" s="31" t="n"/>
      <c r="CT13" s="31" t="n"/>
      <c r="CU13" s="31" t="n"/>
      <c r="CV13" s="31" t="n"/>
      <c r="CW13" s="31" t="n"/>
      <c r="CX13" s="31" t="n"/>
      <c r="CY13" s="31" t="n"/>
    </row>
    <row r="14">
      <c r="C14" s="17" t="n"/>
    </row>
    <row r="15" customFormat="1" s="32">
      <c r="A15" s="30" t="n"/>
      <c r="B15" s="3" t="n"/>
      <c r="C15" s="33" t="inlineStr">
        <is>
          <t>Net Revenues</t>
        </is>
      </c>
      <c r="D15" s="34" t="n"/>
      <c r="E15" s="34" t="n"/>
      <c r="F15" s="34" t="n"/>
      <c r="G15" s="34" t="n"/>
      <c r="H15" s="35" t="n"/>
      <c r="I15" s="34">
        <f>'Inputs (2)'!D4</f>
        <v>4155</v>
      </c>
      <c r="J15" s="34">
        <f>'Inputs (2)'!E4</f>
        <v>4528</v>
      </c>
      <c r="K15" s="34">
        <f>'Inputs (2)'!F4</f>
        <v>4985</v>
      </c>
      <c r="L15" s="34">
        <f>'Inputs (2)'!G4</f>
        <v>5216</v>
      </c>
      <c r="M15" s="35">
        <f>'Inputs (2)'!H4</f>
        <v>18884</v>
      </c>
      <c r="N15" s="34">
        <f>'Inputs (2)'!I4</f>
        <v>5167</v>
      </c>
      <c r="O15" s="34">
        <f>'Inputs (2)'!J4</f>
        <v>5497</v>
      </c>
      <c r="P15" s="34">
        <f>'Inputs (2)'!K4</f>
        <v>5756</v>
      </c>
      <c r="Q15" s="34">
        <f>'Inputs (2)'!L4</f>
        <v>5817</v>
      </c>
      <c r="R15" s="35">
        <f>'Inputs (2)'!M4</f>
        <v>22237</v>
      </c>
      <c r="S15" s="34">
        <f>'Inputs (2)'!N4</f>
        <v>5748</v>
      </c>
      <c r="T15" s="34">
        <f>'Inputs (2)'!O4</f>
        <v>6269</v>
      </c>
      <c r="U15" s="34">
        <f>'Inputs (2)'!P4</f>
        <v>6533</v>
      </c>
      <c r="V15" s="34">
        <f>'Inputs (2)'!Q4</f>
        <v>6548</v>
      </c>
      <c r="W15" s="35">
        <f>'Inputs (2)'!R4</f>
        <v>25098</v>
      </c>
      <c r="X15" s="34">
        <f>'Inputs (2)'!S4</f>
        <v>6348</v>
      </c>
      <c r="Y15" s="34">
        <f>'Inputs (2)'!T4</f>
        <v>6961</v>
      </c>
      <c r="Z15" s="34">
        <f>'Inputs (2)'!U4</f>
        <v>7369</v>
      </c>
      <c r="AA15" s="34">
        <f>'Inputs (2)'!V4</f>
        <v>7489</v>
      </c>
      <c r="AB15" s="35">
        <f>'Inputs (2)'!W4</f>
        <v>28167</v>
      </c>
      <c r="AC15" s="34">
        <f>'Inputs (2)'!X4</f>
        <v>7250</v>
      </c>
      <c r="AD15" s="34">
        <f>'Inputs (2)'!Y4</f>
        <v>8133</v>
      </c>
      <c r="AE15" s="34">
        <f>'Inputs (2)'!Z4</f>
        <v>8602</v>
      </c>
      <c r="AF15" s="34">
        <f>'Inputs (2)'!AA4</f>
        <v>8806</v>
      </c>
      <c r="AG15" s="35">
        <f>'Inputs (2)'!AB4</f>
        <v>32791</v>
      </c>
      <c r="AH15" s="35">
        <f>'Inputs (2)'!AC4</f>
        <v>8398</v>
      </c>
      <c r="AI15" s="35">
        <f>'Inputs (2)'!AD4</f>
        <v>9277</v>
      </c>
      <c r="AJ15" s="35">
        <f>AE15*(1+AJ16)</f>
        <v>9967.77600394642</v>
      </c>
      <c r="AK15" s="35">
        <f>AF15*(1+AK16)</f>
        <v>10204.165948704</v>
      </c>
      <c r="AL15" s="35">
        <f>SUM(AH15:AK15)</f>
        <v>37846.9419526505</v>
      </c>
      <c r="AM15" s="35">
        <f>AH15*(1+AM16)</f>
        <v>9731.3860591888</v>
      </c>
      <c r="AN15" s="35">
        <f>AI15*(1+AN16)</f>
        <v>10749.9486152768</v>
      </c>
      <c r="AO15" s="35">
        <f>AJ15*(1+AO16)</f>
        <v>11550.4020535748</v>
      </c>
      <c r="AP15" s="35">
        <f>AK15*(1+AP16)</f>
        <v>11824.3246319204</v>
      </c>
      <c r="AQ15" s="35">
        <f>SUM(AM15:AP15)</f>
        <v>43856.0613599607</v>
      </c>
      <c r="AR15" s="35">
        <f>AM15*(1+AR16)</f>
        <v>11227.8225449332</v>
      </c>
      <c r="AS15" s="35">
        <f>AN15*(1+AS16)</f>
        <v>12403.0137829656</v>
      </c>
      <c r="AT15" s="35">
        <f>AO15*(1+AT16)</f>
        <v>13326.5563395991</v>
      </c>
      <c r="AU15" s="35">
        <f>AP15*(1+AU16)</f>
        <v>13642.601153977</v>
      </c>
      <c r="AV15" s="35">
        <f>SUM(AR15:AU15)</f>
        <v>50599.9938214748</v>
      </c>
      <c r="AW15" s="35">
        <f>AR15*(1+AW16)</f>
        <v>12898.2332997719</v>
      </c>
      <c r="AX15" s="35">
        <f>AS15*(1+AX16)</f>
        <v>14248.2627199314</v>
      </c>
      <c r="AY15" s="35">
        <f>AT15*(1+AY16)</f>
        <v>15309.2046176196</v>
      </c>
      <c r="AZ15" s="35">
        <f>AU15*(1+AZ16)</f>
        <v>15672.2687587489</v>
      </c>
      <c r="BA15" s="35">
        <f>SUM(AW15:AZ15)</f>
        <v>58127.9693960719</v>
      </c>
      <c r="BB15" s="35">
        <f>AW15*(1+BB16)</f>
        <v>14752.6669769937</v>
      </c>
      <c r="BC15" s="35">
        <f>AX15*(1+BC16)</f>
        <v>16296.795849675</v>
      </c>
      <c r="BD15" s="35">
        <f>AY15*(1+BD16)</f>
        <v>17510.2738613349</v>
      </c>
      <c r="BE15" s="35">
        <f>AZ15*(1+BE16)</f>
        <v>17925.5372730662</v>
      </c>
      <c r="BF15" s="35">
        <f>SUM(BB15:BE15)</f>
        <v>66485.2739610697</v>
      </c>
      <c r="BG15" s="35" t="n"/>
      <c r="BH15" s="35" t="n"/>
      <c r="BI15" s="35" t="n"/>
      <c r="BJ15" s="35" t="n"/>
      <c r="BK15" s="35" t="n"/>
      <c r="BL15" s="35" t="n"/>
      <c r="BM15" s="35" t="n"/>
      <c r="BN15" s="35" t="n"/>
      <c r="BO15" s="35" t="n"/>
      <c r="BP15" s="35" t="n"/>
      <c r="BQ15" s="35" t="n"/>
      <c r="BR15" s="35" t="n"/>
      <c r="BS15" s="35" t="n"/>
      <c r="BT15" s="35" t="n"/>
      <c r="BU15" s="35" t="n"/>
      <c r="BV15" s="35" t="n"/>
      <c r="BW15" s="35" t="n"/>
      <c r="BX15" s="35" t="n"/>
      <c r="BY15" s="35" t="n"/>
      <c r="BZ15" s="35" t="n"/>
      <c r="CA15" s="35" t="n"/>
      <c r="CB15" s="35" t="n"/>
      <c r="CC15" s="35" t="n"/>
      <c r="CD15" s="35" t="n"/>
      <c r="CE15" s="35" t="n"/>
      <c r="CF15" s="35" t="n"/>
      <c r="CG15" s="35" t="n"/>
      <c r="CH15" s="35" t="n"/>
      <c r="CI15" s="35" t="n"/>
      <c r="CJ15" s="35" t="n"/>
      <c r="CK15" s="35" t="n"/>
      <c r="CL15" s="35" t="n"/>
      <c r="CM15" s="35" t="n"/>
      <c r="CN15" s="35" t="n"/>
      <c r="CO15" s="35" t="n"/>
      <c r="CP15" s="35" t="n"/>
      <c r="CQ15" s="35" t="n"/>
      <c r="CR15" s="35" t="n"/>
      <c r="CS15" s="35" t="n"/>
      <c r="CT15" s="35" t="n"/>
      <c r="CU15" s="35" t="n"/>
      <c r="CV15" s="35" t="n"/>
      <c r="CW15" s="35" t="n"/>
      <c r="CX15" s="35" t="n"/>
      <c r="CY15" s="35" t="n"/>
    </row>
    <row r="16" hidden="1" outlineLevel="1" customFormat="1" s="43">
      <c r="A16" s="36" t="n"/>
      <c r="B16" s="37" t="n"/>
      <c r="C16" s="38" t="inlineStr">
        <is>
          <t>% YoY</t>
        </is>
      </c>
      <c r="D16" s="39" t="n"/>
      <c r="E16" s="40" t="n"/>
      <c r="F16" s="40" t="n"/>
      <c r="G16" s="40" t="n"/>
      <c r="H16" s="39" t="n"/>
      <c r="I16" s="39" t="n"/>
      <c r="J16" s="40" t="n"/>
      <c r="K16" s="40" t="n"/>
      <c r="L16" s="40" t="n"/>
      <c r="M16" s="39" t="n"/>
      <c r="N16" s="40">
        <f>IFERROR(N15/I15-1,"")</f>
        <v>0.243561973525873</v>
      </c>
      <c r="O16" s="40">
        <f>IFERROR(O15/J15-1,"")</f>
        <v>0.214001766784452</v>
      </c>
      <c r="P16" s="40">
        <f>IFERROR(P15/K15-1,"")</f>
        <v>0.154663991975928</v>
      </c>
      <c r="Q16" s="40">
        <f>IFERROR(Q15/L15-1,"")</f>
        <v>0.115222392638037</v>
      </c>
      <c r="R16" s="40">
        <f>IFERROR(R15/M15-1,"")</f>
        <v>0.17755772082186</v>
      </c>
      <c r="S16" s="40">
        <f>IFERROR(S15/N15-1,"")</f>
        <v>0.112444358428488</v>
      </c>
      <c r="T16" s="40">
        <f>IFERROR(T15/O15-1,"")</f>
        <v>0.140440240130981</v>
      </c>
      <c r="U16" s="40">
        <f>IFERROR(U15/P15-1,"")</f>
        <v>0.13498957609451</v>
      </c>
      <c r="V16" s="40">
        <f>IFERROR(V15/Q15-1,"")</f>
        <v>0.125666150936909</v>
      </c>
      <c r="W16" s="40">
        <f>IFERROR(W15/R15-1,"")</f>
        <v>0.128659441471422</v>
      </c>
      <c r="X16" s="40">
        <f>IFERROR(X15/S15-1,"")</f>
        <v>0.104384133611691</v>
      </c>
      <c r="Y16" s="40">
        <f>IFERROR(Y15/T15-1,"")</f>
        <v>0.110384431328761</v>
      </c>
      <c r="Z16" s="40">
        <f>IFERROR(Z15/U15-1,"")</f>
        <v>0.127965712536354</v>
      </c>
      <c r="AA16" s="40">
        <f>IFERROR(AA15/V15-1,"")</f>
        <v>0.143708002443494</v>
      </c>
      <c r="AB16" s="40">
        <f>IFERROR(AB15/W15-1,"")</f>
        <v>0.122280659813531</v>
      </c>
      <c r="AC16" s="40">
        <f>IFERROR(AC15/X15-1,"")</f>
        <v>0.142091997479521</v>
      </c>
      <c r="AD16" s="40">
        <f>IFERROR(AD15/Y15-1,"")</f>
        <v>0.168366613992242</v>
      </c>
      <c r="AE16" s="40">
        <f>IFERROR(AE15/Z15-1,"")</f>
        <v>0.167322567512552</v>
      </c>
      <c r="AF16" s="41">
        <f>IFERROR(AF15/AA15-1,"")</f>
        <v>0.175857924956603</v>
      </c>
      <c r="AG16" s="40">
        <f>IFERROR(AG15/AB15-1,"")</f>
        <v>0.164163737707246</v>
      </c>
      <c r="AH16" s="41">
        <f>IFERROR(AH15/AC15-1,"")</f>
        <v>0.158344827586207</v>
      </c>
      <c r="AI16" s="41">
        <f>IFERROR(AI15/AD15-1,"")</f>
        <v>0.140661502520595</v>
      </c>
      <c r="AJ16" s="41">
        <f>Control!$B$18</f>
        <v>0.158774239007954</v>
      </c>
      <c r="AK16" s="41">
        <f>Control!$B$18</f>
        <v>0.158774239007954</v>
      </c>
      <c r="AL16" s="42">
        <f>IFERROR(AL15/AG15-1,"")</f>
        <v>0.154186879102512</v>
      </c>
      <c r="AM16" s="41">
        <f>Control!$C$18</f>
        <v>0.158774239007954</v>
      </c>
      <c r="AN16" s="41">
        <f>Control!$C$18</f>
        <v>0.158774239007954</v>
      </c>
      <c r="AO16" s="41">
        <f>Control!$C$18</f>
        <v>0.158774239007954</v>
      </c>
      <c r="AP16" s="41">
        <f>Control!$C$18</f>
        <v>0.158774239007954</v>
      </c>
      <c r="AQ16" s="42">
        <f>IFERROR(AQ15/AL15-1,"")</f>
        <v>0.158774239007954</v>
      </c>
      <c r="AR16" s="41">
        <f>Control!$D$18</f>
        <v>0.153774239007954</v>
      </c>
      <c r="AS16" s="41">
        <f>Control!$D$18</f>
        <v>0.153774239007954</v>
      </c>
      <c r="AT16" s="41">
        <f>Control!$D$18</f>
        <v>0.153774239007954</v>
      </c>
      <c r="AU16" s="41">
        <f>Control!$D$18</f>
        <v>0.153774239007954</v>
      </c>
      <c r="AV16" s="42">
        <f>IFERROR(AV15/AQ15-1,"")</f>
        <v>0.153774239007954</v>
      </c>
      <c r="AW16" s="41">
        <f>Control!$E$18</f>
        <v>0.148774239007954</v>
      </c>
      <c r="AX16" s="41">
        <f>Control!$E$18</f>
        <v>0.148774239007954</v>
      </c>
      <c r="AY16" s="41">
        <f>Control!$E$18</f>
        <v>0.148774239007954</v>
      </c>
      <c r="AZ16" s="41">
        <f>Control!$E$18</f>
        <v>0.148774239007954</v>
      </c>
      <c r="BA16" s="42">
        <f>IFERROR(BA15/AV15-1,"")</f>
        <v>0.148774239007953</v>
      </c>
      <c r="BB16" s="41">
        <f>Control!$F$18</f>
        <v>0.143774239007954</v>
      </c>
      <c r="BC16" s="41">
        <f>Control!$F$18</f>
        <v>0.143774239007954</v>
      </c>
      <c r="BD16" s="41">
        <f>Control!$F$18</f>
        <v>0.143774239007954</v>
      </c>
      <c r="BE16" s="41">
        <f>Control!$F$18</f>
        <v>0.143774239007954</v>
      </c>
      <c r="BF16" s="42">
        <f>IFERROR(BF15/BA15-1,"")</f>
        <v>0.143774239007954</v>
      </c>
      <c r="BG16" s="41" t="n"/>
      <c r="BH16" s="41" t="n"/>
      <c r="BI16" s="41" t="n"/>
      <c r="BJ16" s="41" t="n"/>
      <c r="BK16" s="42" t="n"/>
      <c r="BL16" s="41" t="n"/>
      <c r="BM16" s="41" t="n"/>
      <c r="BN16" s="41" t="n"/>
      <c r="BO16" s="41" t="n"/>
      <c r="BP16" s="42" t="n"/>
      <c r="BQ16" s="41" t="n"/>
      <c r="BR16" s="41" t="n"/>
      <c r="BS16" s="41" t="n"/>
      <c r="BT16" s="41" t="n"/>
      <c r="BU16" s="42" t="n"/>
      <c r="BV16" s="41" t="n"/>
      <c r="BW16" s="41" t="n"/>
      <c r="BX16" s="41" t="n"/>
      <c r="BY16" s="41" t="n"/>
      <c r="BZ16" s="42" t="n"/>
      <c r="CA16" s="41" t="n"/>
      <c r="CB16" s="41" t="n"/>
      <c r="CC16" s="41" t="n"/>
      <c r="CD16" s="41" t="n"/>
      <c r="CE16" s="42" t="n"/>
      <c r="CF16" s="41" t="n"/>
      <c r="CG16" s="41" t="n"/>
      <c r="CH16" s="41" t="n"/>
      <c r="CI16" s="41" t="n"/>
      <c r="CJ16" s="42" t="n"/>
      <c r="CK16" s="41" t="n"/>
      <c r="CL16" s="41" t="n"/>
      <c r="CM16" s="41" t="n"/>
      <c r="CN16" s="41" t="n"/>
      <c r="CO16" s="42" t="n"/>
      <c r="CP16" s="41" t="n"/>
      <c r="CQ16" s="41" t="n"/>
      <c r="CR16" s="41" t="n"/>
      <c r="CS16" s="41" t="n"/>
      <c r="CT16" s="42" t="n"/>
      <c r="CU16" s="41" t="n"/>
      <c r="CV16" s="41" t="n"/>
      <c r="CW16" s="41" t="n"/>
      <c r="CX16" s="41" t="n"/>
      <c r="CY16" s="42" t="n"/>
    </row>
    <row r="17" hidden="1" outlineLevel="1" customFormat="1" s="43">
      <c r="A17" s="36" t="n"/>
      <c r="B17" s="37" t="n"/>
      <c r="C17" s="44" t="inlineStr">
        <is>
          <t>Check Receita</t>
        </is>
      </c>
      <c r="D17" s="39" t="n"/>
      <c r="E17" s="40" t="n"/>
      <c r="F17" s="40" t="n"/>
      <c r="G17" s="40" t="n"/>
      <c r="H17" s="39" t="n"/>
      <c r="I17" s="39" t="str">
        <f>IF(ISNUMBER(I22),I22,"")</f>
        <v/>
      </c>
      <c r="J17" s="40" t="str">
        <f>IF(ISNUMBER(J22),J22,"")</f>
        <v/>
      </c>
      <c r="K17" s="40" t="str">
        <f>IF(ISNUMBER(K22),K22,"")</f>
        <v/>
      </c>
      <c r="L17" s="40" t="str">
        <f>IF(ISNUMBER(L22),L22,"")</f>
        <v/>
      </c>
      <c r="M17" s="39" t="str">
        <f>IF(ISNUMBER(M22),M22,"")</f>
        <v/>
      </c>
      <c r="N17" s="40">
        <f>IF(ISNUMBER(N22),N22,"")</f>
        <v>0</v>
      </c>
      <c r="O17" s="40">
        <f>IF(ISNUMBER(O22),O22,"")</f>
        <v>0</v>
      </c>
      <c r="P17" s="40">
        <f>IF(ISNUMBER(P22),P22,"")</f>
        <v>0</v>
      </c>
      <c r="Q17" s="40">
        <f>IF(ISNUMBER(Q22),Q22,"")</f>
        <v>0</v>
      </c>
      <c r="R17" s="40">
        <f>IF(ISNUMBER(R22),R22,"")</f>
        <v>0</v>
      </c>
      <c r="S17" s="40">
        <f>IF(ISNUMBER(S22),S22,"")</f>
        <v>0</v>
      </c>
      <c r="T17" s="40">
        <f>IF(ISNUMBER(T22),T22,"")</f>
        <v>0</v>
      </c>
      <c r="U17" s="40">
        <f>IF(ISNUMBER(U22),U22,"")</f>
        <v>0</v>
      </c>
      <c r="V17" s="40">
        <f>IF(ISNUMBER(V22),V22,"")</f>
        <v>0</v>
      </c>
      <c r="W17" s="40">
        <f>IF(ISNUMBER(W22),W22,"")</f>
        <v>0</v>
      </c>
      <c r="X17" s="40">
        <f>IF(ISNUMBER(X22),X22,"")</f>
        <v>0</v>
      </c>
      <c r="Y17" s="40">
        <f>IF(ISNUMBER(Y22),Y22,"")</f>
        <v>0</v>
      </c>
      <c r="Z17" s="40">
        <f>IF(ISNUMBER(Z22),Z22,"")</f>
        <v>0</v>
      </c>
      <c r="AA17" s="40">
        <f>IF(ISNUMBER(AA22),AA22,"")</f>
        <v>0</v>
      </c>
      <c r="AB17" s="40">
        <f>IF(ISNUMBER(AB22),AB22,"")</f>
        <v>0</v>
      </c>
      <c r="AC17" s="40">
        <f>IF(ISNUMBER(AC22),AC22,"")</f>
        <v>0</v>
      </c>
      <c r="AD17" s="40">
        <f>IF(ISNUMBER(AD22),AD22,"")</f>
        <v>0</v>
      </c>
      <c r="AE17" s="40">
        <f>IF(ISNUMBER(AE22),AE22,"")</f>
        <v>0</v>
      </c>
      <c r="AF17" s="40">
        <f>IF(ISNUMBER(AF22),AF22,"")</f>
        <v>0</v>
      </c>
      <c r="AG17" s="40">
        <f>IF(ISNUMBER(AG22),AG22,"")</f>
        <v>0</v>
      </c>
      <c r="AH17" s="41">
        <f>IF(ISNUMBER(AH22),AH22,"")</f>
        <v>0</v>
      </c>
      <c r="AI17" s="41">
        <f>IF(ISNUMBER(AI22),AI22,"")</f>
        <v>0</v>
      </c>
      <c r="AJ17" s="41" t="n"/>
      <c r="AK17" s="41" t="n"/>
      <c r="AL17" s="42" t="n"/>
      <c r="AM17" s="41" t="n"/>
      <c r="AN17" s="41" t="n"/>
      <c r="AO17" s="41" t="n"/>
      <c r="AP17" s="41" t="n"/>
      <c r="AQ17" s="42" t="n"/>
      <c r="AR17" s="41" t="n"/>
      <c r="AS17" s="41" t="n"/>
      <c r="AT17" s="41" t="n"/>
      <c r="AU17" s="41" t="n"/>
      <c r="AV17" s="42" t="n"/>
      <c r="AW17" s="41" t="n"/>
      <c r="AX17" s="41" t="n"/>
      <c r="AY17" s="41" t="n"/>
      <c r="AZ17" s="41" t="n"/>
      <c r="BA17" s="42" t="n"/>
      <c r="BB17" s="41" t="n"/>
      <c r="BC17" s="41" t="n"/>
      <c r="BD17" s="41" t="n"/>
      <c r="BE17" s="41" t="n"/>
      <c r="BF17" s="42" t="n"/>
      <c r="BG17" s="41" t="n"/>
      <c r="BH17" s="41" t="n"/>
      <c r="BI17" s="41" t="n"/>
      <c r="BJ17" s="41" t="n"/>
      <c r="BK17" s="42" t="n"/>
      <c r="BL17" s="41" t="n"/>
      <c r="BM17" s="41" t="n"/>
      <c r="BN17" s="41" t="n"/>
      <c r="BO17" s="41" t="n"/>
      <c r="BP17" s="42" t="n"/>
      <c r="BQ17" s="41" t="n"/>
      <c r="BR17" s="41" t="n"/>
      <c r="BS17" s="41" t="n"/>
      <c r="BT17" s="41" t="n"/>
      <c r="BU17" s="42" t="n"/>
      <c r="BV17" s="41" t="n"/>
      <c r="BW17" s="41" t="n"/>
      <c r="BX17" s="41" t="n"/>
      <c r="BY17" s="41" t="n"/>
      <c r="BZ17" s="42" t="n"/>
      <c r="CA17" s="41" t="n"/>
      <c r="CB17" s="41" t="n"/>
      <c r="CC17" s="41" t="n"/>
      <c r="CD17" s="41" t="n"/>
      <c r="CE17" s="42" t="n"/>
      <c r="CF17" s="41" t="n"/>
      <c r="CG17" s="41" t="n"/>
      <c r="CH17" s="41" t="n"/>
      <c r="CI17" s="41" t="n"/>
      <c r="CJ17" s="42" t="n"/>
      <c r="CK17" s="41" t="n"/>
      <c r="CL17" s="41" t="n"/>
      <c r="CM17" s="41" t="n"/>
      <c r="CN17" s="41" t="n"/>
      <c r="CO17" s="42" t="n"/>
      <c r="CP17" s="41" t="n"/>
      <c r="CQ17" s="41" t="n"/>
      <c r="CR17" s="41" t="n"/>
      <c r="CS17" s="41" t="n"/>
      <c r="CT17" s="42" t="n"/>
      <c r="CU17" s="41" t="n"/>
      <c r="CV17" s="41" t="n"/>
      <c r="CW17" s="41" t="n"/>
      <c r="CX17" s="41" t="n"/>
      <c r="CY17" s="42" t="n"/>
    </row>
    <row r="18">
      <c r="C18" s="267" t="inlineStr">
        <is>
          <t>Receita por linha (USD milhões; desde 2020)</t>
        </is>
      </c>
      <c r="D18" s="267">
        <f>D7</f>
        <v>0</v>
      </c>
      <c r="E18" s="267">
        <f>E7</f>
        <v>0</v>
      </c>
      <c r="F18" s="267">
        <f>F7</f>
        <v>0</v>
      </c>
      <c r="G18" s="267">
        <f>G7</f>
        <v>0</v>
      </c>
      <c r="H18" s="267">
        <f>H7</f>
        <v>2020</v>
      </c>
      <c r="I18" s="267" t="str">
        <f>I7</f>
        <v>1Q21</v>
      </c>
      <c r="J18" s="267" t="str">
        <f>J7</f>
        <v>2Q21</v>
      </c>
      <c r="K18" s="267" t="str">
        <f>K7</f>
        <v>3Q21</v>
      </c>
      <c r="L18" s="267" t="str">
        <f>L7</f>
        <v>4Q21</v>
      </c>
      <c r="M18" s="267">
        <f>M7</f>
        <v>2021</v>
      </c>
      <c r="N18" s="267" t="str">
        <f>N7</f>
        <v>1Q22</v>
      </c>
      <c r="O18" s="267" t="str">
        <f>O7</f>
        <v>2Q22</v>
      </c>
      <c r="P18" s="267" t="str">
        <f>P7</f>
        <v>3Q22</v>
      </c>
      <c r="Q18" s="267" t="str">
        <f>Q7</f>
        <v>4Q22</v>
      </c>
      <c r="R18" s="267">
        <f>R7</f>
        <v>2022</v>
      </c>
      <c r="S18" s="267" t="str">
        <f>S7</f>
        <v>1Q23</v>
      </c>
      <c r="T18" s="267" t="str">
        <f>T7</f>
        <v>2Q23</v>
      </c>
      <c r="U18" s="267" t="str">
        <f>U7</f>
        <v>3Q23</v>
      </c>
      <c r="V18" s="267" t="str">
        <f>V7</f>
        <v>4Q23</v>
      </c>
      <c r="W18" s="267">
        <f>W7</f>
        <v>2023</v>
      </c>
      <c r="X18" s="267" t="str">
        <f>X7</f>
        <v>1Q24</v>
      </c>
      <c r="Y18" s="267" t="str">
        <f>Y7</f>
        <v>2Q24</v>
      </c>
      <c r="Z18" s="267" t="str">
        <f>Z7</f>
        <v>3Q24</v>
      </c>
      <c r="AA18" s="267" t="str">
        <f>AA7</f>
        <v>4Q24</v>
      </c>
      <c r="AB18" s="267">
        <f>AB7</f>
        <v>2024</v>
      </c>
      <c r="AC18" s="267" t="str">
        <f>AC7</f>
        <v>1Q25</v>
      </c>
      <c r="AD18" s="267" t="str">
        <f>AD7</f>
        <v>2Q25</v>
      </c>
      <c r="AE18" s="267" t="str">
        <f>AE7</f>
        <v>3Q25</v>
      </c>
      <c r="AF18" s="267" t="str">
        <f>AF7</f>
        <v>4Q25</v>
      </c>
      <c r="AG18" s="267">
        <f>AG7</f>
        <v>2025</v>
      </c>
      <c r="AH18" s="267" t="str">
        <f>AH7</f>
        <v>1Q26</v>
      </c>
      <c r="AI18" s="267" t="str">
        <f>AI7</f>
        <v>2Q26</v>
      </c>
    </row>
    <row r="19">
      <c r="C19" s="268" t="inlineStr">
        <is>
          <t xml:space="preserve">   Payment Network</t>
        </is>
      </c>
      <c r="D19" s="269" t="str">
        <f>IFERROR(INDEX('Inputs (2)'!$D$53:$AL$53,MATCH(D$7&amp;"",'Inputs (2)'!$D$2:$AL$2,0)),"")</f>
        <v/>
      </c>
      <c r="E19" s="269" t="str">
        <f>IFERROR(INDEX('Inputs (2)'!$D$53:$AL$53,MATCH(E$7&amp;"",'Inputs (2)'!$D$2:$AL$2,0)),"")</f>
        <v/>
      </c>
      <c r="F19" s="269" t="str">
        <f>IFERROR(INDEX('Inputs (2)'!$D$53:$AL$53,MATCH(F$7&amp;"",'Inputs (2)'!$D$2:$AL$2,0)),"")</f>
        <v/>
      </c>
      <c r="G19" s="269" t="str">
        <f>IFERROR(INDEX('Inputs (2)'!$D$53:$AL$53,MATCH(G$7&amp;"",'Inputs (2)'!$D$2:$AL$2,0)),"")</f>
        <v/>
      </c>
      <c r="H19" s="270" t="str">
        <f>IF(COUNT(D19:G19)=4,SUM(D19:G19),"")</f>
        <v/>
      </c>
      <c r="I19" s="269" t="str">
        <f>IFERROR(INDEX('Inputs (2)'!$D$53:$AL$53,MATCH(I$7&amp;"",'Inputs (2)'!$D$2:$AL$2,0)),"")</f>
        <v/>
      </c>
      <c r="J19" s="269" t="str">
        <f>IFERROR(INDEX('Inputs (2)'!$D$53:$AL$53,MATCH(J$7&amp;"",'Inputs (2)'!$D$2:$AL$2,0)),"")</f>
        <v/>
      </c>
      <c r="K19" s="269" t="str">
        <f>IFERROR(INDEX('Inputs (2)'!$D$53:$AL$53,MATCH(K$7&amp;"",'Inputs (2)'!$D$2:$AL$2,0)),"")</f>
        <v/>
      </c>
      <c r="L19" s="269" t="str">
        <f>IFERROR(INDEX('Inputs (2)'!$D$53:$AL$53,MATCH(L$7&amp;"",'Inputs (2)'!$D$2:$AL$2,0)),"")</f>
        <v/>
      </c>
      <c r="M19" s="270" t="str">
        <f>IF(COUNT(I19:L19)=4,SUM(I19:L19),"")</f>
        <v/>
      </c>
      <c r="N19" s="269">
        <f>IFERROR(INDEX('Inputs (2)'!$D$53:$AL$53,MATCH(N$7&amp;"",'Inputs (2)'!$D$2:$AL$2,0)),"")</f>
        <v>3399</v>
      </c>
      <c r="O19" s="269">
        <f>IFERROR(INDEX('Inputs (2)'!$D$53:$AL$53,MATCH(O$7&amp;"",'Inputs (2)'!$D$2:$AL$2,0)),"")</f>
        <v>3609</v>
      </c>
      <c r="P19" s="269">
        <f>IFERROR(INDEX('Inputs (2)'!$D$53:$AL$53,MATCH(P$7&amp;"",'Inputs (2)'!$D$2:$AL$2,0)),"")</f>
        <v>3765</v>
      </c>
      <c r="Q19" s="269">
        <f>IFERROR(INDEX('Inputs (2)'!$D$53:$AL$53,MATCH(Q$7&amp;"",'Inputs (2)'!$D$2:$AL$2,0)),"")</f>
        <v>3585</v>
      </c>
      <c r="R19" s="270">
        <f>IF(COUNT(N19:Q19)=4,SUM(N19:Q19),"")</f>
        <v>14358</v>
      </c>
      <c r="S19" s="269">
        <f>IFERROR(INDEX('Inputs (2)'!$D$53:$AL$53,MATCH(S$7&amp;"",'Inputs (2)'!$D$2:$AL$2,0)),"")</f>
        <v>3650</v>
      </c>
      <c r="T19" s="269">
        <f>IFERROR(INDEX('Inputs (2)'!$D$53:$AL$53,MATCH(T$7&amp;"",'Inputs (2)'!$D$2:$AL$2,0)),"")</f>
        <v>4073</v>
      </c>
      <c r="U19" s="269">
        <f>IFERROR(INDEX('Inputs (2)'!$D$53:$AL$53,MATCH(U$7&amp;"",'Inputs (2)'!$D$2:$AL$2,0)),"")</f>
        <v>4210</v>
      </c>
      <c r="V19" s="269">
        <f>IFERROR(INDEX('Inputs (2)'!$D$53:$AL$53,MATCH(V$7&amp;"",'Inputs (2)'!$D$2:$AL$2,0)),"")</f>
        <v>3891</v>
      </c>
      <c r="W19" s="270">
        <f>IF(COUNT(S19:V19)=4,SUM(S19:V19),"")</f>
        <v>15824</v>
      </c>
      <c r="X19" s="269">
        <f>IFERROR(INDEX('Inputs (2)'!$D$53:$AL$53,MATCH(X$7&amp;"",'Inputs (2)'!$D$2:$AL$2,0)),"")</f>
        <v>3920</v>
      </c>
      <c r="Y19" s="269">
        <f>IFERROR(INDEX('Inputs (2)'!$D$53:$AL$53,MATCH(Y$7&amp;"",'Inputs (2)'!$D$2:$AL$2,0)),"")</f>
        <v>4375</v>
      </c>
      <c r="Z19" s="269">
        <f>IFERROR(INDEX('Inputs (2)'!$D$53:$AL$53,MATCH(Z$7&amp;"",'Inputs (2)'!$D$2:$AL$2,0)),"")</f>
        <v>4629</v>
      </c>
      <c r="AA19" s="269">
        <f>IFERROR(INDEX('Inputs (2)'!$D$53:$AL$53,MATCH(AA$7&amp;"",'Inputs (2)'!$D$2:$AL$2,0)),"")</f>
        <v>4411</v>
      </c>
      <c r="AB19" s="270">
        <f>IF(COUNT(X19:AA19)=4,SUM(X19:AA19),"")</f>
        <v>17335</v>
      </c>
      <c r="AC19" s="269">
        <f>IFERROR(INDEX('Inputs (2)'!$D$53:$AL$53,MATCH(AC$7&amp;"",'Inputs (2)'!$D$2:$AL$2,0)),"")</f>
        <v>4432</v>
      </c>
      <c r="AD19" s="269">
        <f>IFERROR(INDEX('Inputs (2)'!$D$53:$AL$53,MATCH(AD$7&amp;"",'Inputs (2)'!$D$2:$AL$2,0)),"")</f>
        <v>4945</v>
      </c>
      <c r="AE19" s="269">
        <f>IFERROR(INDEX('Inputs (2)'!$D$53:$AL$53,MATCH(AE$7&amp;"",'Inputs (2)'!$D$2:$AL$2,0)),"")</f>
        <v>5179</v>
      </c>
      <c r="AF19" s="269">
        <f>IFERROR(INDEX('Inputs (2)'!$D$53:$AL$53,MATCH(AF$7&amp;"",'Inputs (2)'!$D$2:$AL$2,0)),"")</f>
        <v>4920</v>
      </c>
      <c r="AG19" s="270">
        <f>IF(COUNT(AC19:AF19)=4,SUM(AC19:AF19),"")</f>
        <v>19476</v>
      </c>
      <c r="AH19" s="270">
        <f>IFERROR(INDEX('Inputs (2)'!$D$53:$AL$53,MATCH(AH$7&amp;"",'Inputs (2)'!$D$2:$AL$2,0)),"")</f>
        <v>4948</v>
      </c>
      <c r="AI19" s="270">
        <f>IFERROR(INDEX('Inputs (2)'!$D$53:$AL$53,MATCH(AI$7&amp;"",'Inputs (2)'!$D$2:$AL$2,0)),"")</f>
        <v>5451</v>
      </c>
    </row>
    <row r="20">
      <c r="C20" s="268" t="inlineStr">
        <is>
          <t xml:space="preserve">   Value-Added Services and Solutions</t>
        </is>
      </c>
      <c r="D20" s="269" t="str">
        <f>IFERROR(INDEX('Inputs (2)'!$D$54:$AL$54,MATCH(D$7&amp;"",'Inputs (2)'!$D$2:$AL$2,0)),"")</f>
        <v/>
      </c>
      <c r="E20" s="269" t="str">
        <f>IFERROR(INDEX('Inputs (2)'!$D$54:$AL$54,MATCH(E$7&amp;"",'Inputs (2)'!$D$2:$AL$2,0)),"")</f>
        <v/>
      </c>
      <c r="F20" s="269" t="str">
        <f>IFERROR(INDEX('Inputs (2)'!$D$54:$AL$54,MATCH(F$7&amp;"",'Inputs (2)'!$D$2:$AL$2,0)),"")</f>
        <v/>
      </c>
      <c r="G20" s="269" t="str">
        <f>IFERROR(INDEX('Inputs (2)'!$D$54:$AL$54,MATCH(G$7&amp;"",'Inputs (2)'!$D$2:$AL$2,0)),"")</f>
        <v/>
      </c>
      <c r="H20" s="270" t="str">
        <f>IF(COUNT(D20:G20)=4,SUM(D20:G20),"")</f>
        <v/>
      </c>
      <c r="I20" s="269" t="str">
        <f>IFERROR(INDEX('Inputs (2)'!$D$54:$AL$54,MATCH(I$7&amp;"",'Inputs (2)'!$D$2:$AL$2,0)),"")</f>
        <v/>
      </c>
      <c r="J20" s="269" t="str">
        <f>IFERROR(INDEX('Inputs (2)'!$D$54:$AL$54,MATCH(J$7&amp;"",'Inputs (2)'!$D$2:$AL$2,0)),"")</f>
        <v/>
      </c>
      <c r="K20" s="269" t="str">
        <f>IFERROR(INDEX('Inputs (2)'!$D$54:$AL$54,MATCH(K$7&amp;"",'Inputs (2)'!$D$2:$AL$2,0)),"")</f>
        <v/>
      </c>
      <c r="L20" s="269" t="str">
        <f>IFERROR(INDEX('Inputs (2)'!$D$54:$AL$54,MATCH(L$7&amp;"",'Inputs (2)'!$D$2:$AL$2,0)),"")</f>
        <v/>
      </c>
      <c r="M20" s="270" t="str">
        <f>IF(COUNT(I20:L20)=4,SUM(I20:L20),"")</f>
        <v/>
      </c>
      <c r="N20" s="269">
        <f>IFERROR(INDEX('Inputs (2)'!$D$54:$AL$54,MATCH(N$7&amp;"",'Inputs (2)'!$D$2:$AL$2,0)),"")</f>
        <v>1768</v>
      </c>
      <c r="O20" s="269">
        <f>IFERROR(INDEX('Inputs (2)'!$D$54:$AL$54,MATCH(O$7&amp;"",'Inputs (2)'!$D$2:$AL$2,0)),"")</f>
        <v>1888</v>
      </c>
      <c r="P20" s="269">
        <f>IFERROR(INDEX('Inputs (2)'!$D$54:$AL$54,MATCH(P$7&amp;"",'Inputs (2)'!$D$2:$AL$2,0)),"")</f>
        <v>1991</v>
      </c>
      <c r="Q20" s="269">
        <f>IFERROR(INDEX('Inputs (2)'!$D$54:$AL$54,MATCH(Q$7&amp;"",'Inputs (2)'!$D$2:$AL$2,0)),"")</f>
        <v>2232</v>
      </c>
      <c r="R20" s="270">
        <f>IF(COUNT(N20:Q20)=4,SUM(N20:Q20),"")</f>
        <v>7879</v>
      </c>
      <c r="S20" s="269">
        <f>IFERROR(INDEX('Inputs (2)'!$D$54:$AL$54,MATCH(S$7&amp;"",'Inputs (2)'!$D$2:$AL$2,0)),"")</f>
        <v>2098</v>
      </c>
      <c r="T20" s="269">
        <f>IFERROR(INDEX('Inputs (2)'!$D$54:$AL$54,MATCH(T$7&amp;"",'Inputs (2)'!$D$2:$AL$2,0)),"")</f>
        <v>2196</v>
      </c>
      <c r="U20" s="269">
        <f>IFERROR(INDEX('Inputs (2)'!$D$54:$AL$54,MATCH(U$7&amp;"",'Inputs (2)'!$D$2:$AL$2,0)),"")</f>
        <v>2323</v>
      </c>
      <c r="V20" s="269">
        <f>IFERROR(INDEX('Inputs (2)'!$D$54:$AL$54,MATCH(V$7&amp;"",'Inputs (2)'!$D$2:$AL$2,0)),"")</f>
        <v>2657</v>
      </c>
      <c r="W20" s="270">
        <f>IF(COUNT(S20:V20)=4,SUM(S20:V20),"")</f>
        <v>9274</v>
      </c>
      <c r="X20" s="269">
        <f>IFERROR(INDEX('Inputs (2)'!$D$54:$AL$54,MATCH(X$7&amp;"",'Inputs (2)'!$D$2:$AL$2,0)),"")</f>
        <v>2428</v>
      </c>
      <c r="Y20" s="269">
        <f>IFERROR(INDEX('Inputs (2)'!$D$54:$AL$54,MATCH(Y$7&amp;"",'Inputs (2)'!$D$2:$AL$2,0)),"")</f>
        <v>2586</v>
      </c>
      <c r="Z20" s="269">
        <f>IFERROR(INDEX('Inputs (2)'!$D$54:$AL$54,MATCH(Z$7&amp;"",'Inputs (2)'!$D$2:$AL$2,0)),"")</f>
        <v>2740</v>
      </c>
      <c r="AA20" s="269">
        <f>IFERROR(INDEX('Inputs (2)'!$D$54:$AL$54,MATCH(AA$7&amp;"",'Inputs (2)'!$D$2:$AL$2,0)),"")</f>
        <v>3078</v>
      </c>
      <c r="AB20" s="270">
        <f>IF(COUNT(X20:AA20)=4,SUM(X20:AA20),"")</f>
        <v>10832</v>
      </c>
      <c r="AC20" s="269">
        <f>IFERROR(INDEX('Inputs (2)'!$D$54:$AL$54,MATCH(AC$7&amp;"",'Inputs (2)'!$D$2:$AL$2,0)),"")</f>
        <v>2818</v>
      </c>
      <c r="AD20" s="269">
        <f>IFERROR(INDEX('Inputs (2)'!$D$54:$AL$54,MATCH(AD$7&amp;"",'Inputs (2)'!$D$2:$AL$2,0)),"")</f>
        <v>3188</v>
      </c>
      <c r="AE20" s="269">
        <f>IFERROR(INDEX('Inputs (2)'!$D$54:$AL$54,MATCH(AE$7&amp;"",'Inputs (2)'!$D$2:$AL$2,0)),"")</f>
        <v>3423</v>
      </c>
      <c r="AF20" s="269">
        <f>IFERROR(INDEX('Inputs (2)'!$D$54:$AL$54,MATCH(AF$7&amp;"",'Inputs (2)'!$D$2:$AL$2,0)),"")</f>
        <v>3886</v>
      </c>
      <c r="AG20" s="270">
        <f>IF(COUNT(AC20:AF20)=4,SUM(AC20:AF20),"")</f>
        <v>13315</v>
      </c>
      <c r="AH20" s="270">
        <f>IFERROR(INDEX('Inputs (2)'!$D$54:$AL$54,MATCH(AH$7&amp;"",'Inputs (2)'!$D$2:$AL$2,0)),"")</f>
        <v>3450</v>
      </c>
      <c r="AI20" s="270">
        <f>IFERROR(INDEX('Inputs (2)'!$D$54:$AL$54,MATCH(AI$7&amp;"",'Inputs (2)'!$D$2:$AL$2,0)),"")</f>
        <v>3826</v>
      </c>
    </row>
    <row r="21">
      <c r="C21" s="271" t="inlineStr">
        <is>
          <t>Receita (soma)</t>
        </is>
      </c>
      <c r="D21" s="269" t="str">
        <f>IF(COUNT(D19,D20)=0,"",N(D19)+N(D20))</f>
        <v/>
      </c>
      <c r="E21" s="269" t="str">
        <f>IF(COUNT(E19,E20)=0,"",N(E19)+N(E20))</f>
        <v/>
      </c>
      <c r="F21" s="269" t="str">
        <f>IF(COUNT(F19,F20)=0,"",N(F19)+N(F20))</f>
        <v/>
      </c>
      <c r="G21" s="269" t="str">
        <f>IF(COUNT(G19,G20)=0,"",N(G19)+N(G20))</f>
        <v/>
      </c>
      <c r="H21" s="270" t="str">
        <f>IF(COUNT(H19,H20)=0,"",N(H19)+N(H20))</f>
        <v/>
      </c>
      <c r="I21" s="269" t="str">
        <f>IF(COUNT(I19,I20)=0,"",N(I19)+N(I20))</f>
        <v/>
      </c>
      <c r="J21" s="269" t="str">
        <f>IF(COUNT(J19,J20)=0,"",N(J19)+N(J20))</f>
        <v/>
      </c>
      <c r="K21" s="269" t="str">
        <f>IF(COUNT(K19,K20)=0,"",N(K19)+N(K20))</f>
        <v/>
      </c>
      <c r="L21" s="269" t="str">
        <f>IF(COUNT(L19,L20)=0,"",N(L19)+N(L20))</f>
        <v/>
      </c>
      <c r="M21" s="270" t="str">
        <f>IF(COUNT(M19,M20)=0,"",N(M19)+N(M20))</f>
        <v/>
      </c>
      <c r="N21" s="269">
        <f>IF(COUNT(N19,N20)=0,"",N(N19)+N(N20))</f>
        <v>5167</v>
      </c>
      <c r="O21" s="269">
        <f>IF(COUNT(O19,O20)=0,"",N(O19)+N(O20))</f>
        <v>5497</v>
      </c>
      <c r="P21" s="269">
        <f>IF(COUNT(P19,P20)=0,"",N(P19)+N(P20))</f>
        <v>5756</v>
      </c>
      <c r="Q21" s="269">
        <f>IF(COUNT(Q19,Q20)=0,"",N(Q19)+N(Q20))</f>
        <v>5817</v>
      </c>
      <c r="R21" s="270">
        <f>IF(COUNT(R19,R20)=0,"",N(R19)+N(R20))</f>
        <v>22237</v>
      </c>
      <c r="S21" s="269">
        <f>IF(COUNT(S19,S20)=0,"",N(S19)+N(S20))</f>
        <v>5748</v>
      </c>
      <c r="T21" s="269">
        <f>IF(COUNT(T19,T20)=0,"",N(T19)+N(T20))</f>
        <v>6269</v>
      </c>
      <c r="U21" s="269">
        <f>IF(COUNT(U19,U20)=0,"",N(U19)+N(U20))</f>
        <v>6533</v>
      </c>
      <c r="V21" s="269">
        <f>IF(COUNT(V19,V20)=0,"",N(V19)+N(V20))</f>
        <v>6548</v>
      </c>
      <c r="W21" s="270">
        <f>IF(COUNT(W19,W20)=0,"",N(W19)+N(W20))</f>
        <v>25098</v>
      </c>
      <c r="X21" s="269">
        <f>IF(COUNT(X19,X20)=0,"",N(X19)+N(X20))</f>
        <v>6348</v>
      </c>
      <c r="Y21" s="269">
        <f>IF(COUNT(Y19,Y20)=0,"",N(Y19)+N(Y20))</f>
        <v>6961</v>
      </c>
      <c r="Z21" s="269">
        <f>IF(COUNT(Z19,Z20)=0,"",N(Z19)+N(Z20))</f>
        <v>7369</v>
      </c>
      <c r="AA21" s="269">
        <f>IF(COUNT(AA19,AA20)=0,"",N(AA19)+N(AA20))</f>
        <v>7489</v>
      </c>
      <c r="AB21" s="270">
        <f>IF(COUNT(AB19,AB20)=0,"",N(AB19)+N(AB20))</f>
        <v>28167</v>
      </c>
      <c r="AC21" s="269">
        <f>IF(COUNT(AC19,AC20)=0,"",N(AC19)+N(AC20))</f>
        <v>7250</v>
      </c>
      <c r="AD21" s="269">
        <f>IF(COUNT(AD19,AD20)=0,"",N(AD19)+N(AD20))</f>
        <v>8133</v>
      </c>
      <c r="AE21" s="269">
        <f>IF(COUNT(AE19,AE20)=0,"",N(AE19)+N(AE20))</f>
        <v>8602</v>
      </c>
      <c r="AF21" s="269">
        <f>IF(COUNT(AF19,AF20)=0,"",N(AF19)+N(AF20))</f>
        <v>8806</v>
      </c>
      <c r="AG21" s="270">
        <f>IF(COUNT(AG19,AG20)=0,"",N(AG19)+N(AG20))</f>
        <v>32791</v>
      </c>
      <c r="AH21" s="270">
        <f>IF(COUNT(AH19,AH20)=0,"",N(AH19)+N(AH20))</f>
        <v>8398</v>
      </c>
      <c r="AI21" s="270">
        <f>IF(COUNT(AI19,AI20)=0,"",N(AI19)+N(AI20))</f>
        <v>9277</v>
      </c>
    </row>
    <row r="22">
      <c r="C22" s="268" t="inlineStr">
        <is>
          <t>Check vs Net Revenues (linha 15)</t>
        </is>
      </c>
      <c r="D22" s="269" t="str">
        <f>IF(COUNT(D21)=0,"",ROUND(D15-D21,1))</f>
        <v/>
      </c>
      <c r="E22" s="269" t="str">
        <f>IF(COUNT(E21)=0,"",ROUND(E15-E21,1))</f>
        <v/>
      </c>
      <c r="F22" s="269" t="str">
        <f>IF(COUNT(F21)=0,"",ROUND(F15-F21,1))</f>
        <v/>
      </c>
      <c r="G22" s="269" t="str">
        <f>IF(COUNT(G21)=0,"",ROUND(G15-G21,1))</f>
        <v/>
      </c>
      <c r="H22" s="270" t="str">
        <f>IF(COUNT(H21)=0,"",ROUND(H15-H21,1))</f>
        <v/>
      </c>
      <c r="I22" s="269" t="str">
        <f>IF(COUNT(I21)=0,"",ROUND(I15-I21,1))</f>
        <v/>
      </c>
      <c r="J22" s="269" t="str">
        <f>IF(COUNT(J21)=0,"",ROUND(J15-J21,1))</f>
        <v/>
      </c>
      <c r="K22" s="269" t="str">
        <f>IF(COUNT(K21)=0,"",ROUND(K15-K21,1))</f>
        <v/>
      </c>
      <c r="L22" s="269" t="str">
        <f>IF(COUNT(L21)=0,"",ROUND(L15-L21,1))</f>
        <v/>
      </c>
      <c r="M22" s="270" t="str">
        <f>IF(COUNT(M21)=0,"",ROUND(M15-M21,1))</f>
        <v/>
      </c>
      <c r="N22" s="269">
        <f>IF(COUNT(N21)=0,"",ROUND(N15-N21,1))</f>
        <v>0</v>
      </c>
      <c r="O22" s="269">
        <f>IF(COUNT(O21)=0,"",ROUND(O15-O21,1))</f>
        <v>0</v>
      </c>
      <c r="P22" s="269">
        <f>IF(COUNT(P21)=0,"",ROUND(P15-P21,1))</f>
        <v>0</v>
      </c>
      <c r="Q22" s="269">
        <f>IF(COUNT(Q21)=0,"",ROUND(Q15-Q21,1))</f>
        <v>0</v>
      </c>
      <c r="R22" s="270">
        <f>IF(COUNT(R21)=0,"",ROUND(R15-R21,1))</f>
        <v>0</v>
      </c>
      <c r="S22" s="269">
        <f>IF(COUNT(S21)=0,"",ROUND(S15-S21,1))</f>
        <v>0</v>
      </c>
      <c r="T22" s="269">
        <f>IF(COUNT(T21)=0,"",ROUND(T15-T21,1))</f>
        <v>0</v>
      </c>
      <c r="U22" s="269">
        <f>IF(COUNT(U21)=0,"",ROUND(U15-U21,1))</f>
        <v>0</v>
      </c>
      <c r="V22" s="269">
        <f>IF(COUNT(V21)=0,"",ROUND(V15-V21,1))</f>
        <v>0</v>
      </c>
      <c r="W22" s="270">
        <f>IF(COUNT(W21)=0,"",ROUND(W15-W21,1))</f>
        <v>0</v>
      </c>
      <c r="X22" s="269">
        <f>IF(COUNT(X21)=0,"",ROUND(X15-X21,1))</f>
        <v>0</v>
      </c>
      <c r="Y22" s="269">
        <f>IF(COUNT(Y21)=0,"",ROUND(Y15-Y21,1))</f>
        <v>0</v>
      </c>
      <c r="Z22" s="269">
        <f>IF(COUNT(Z21)=0,"",ROUND(Z15-Z21,1))</f>
        <v>0</v>
      </c>
      <c r="AA22" s="269">
        <f>IF(COUNT(AA21)=0,"",ROUND(AA15-AA21,1))</f>
        <v>0</v>
      </c>
      <c r="AB22" s="270">
        <f>IF(COUNT(AB21)=0,"",ROUND(AB15-AB21,1))</f>
        <v>0</v>
      </c>
      <c r="AC22" s="269">
        <f>IF(COUNT(AC21)=0,"",ROUND(AC15-AC21,1))</f>
        <v>0</v>
      </c>
      <c r="AD22" s="269">
        <f>IF(COUNT(AD21)=0,"",ROUND(AD15-AD21,1))</f>
        <v>0</v>
      </c>
      <c r="AE22" s="269">
        <f>IF(COUNT(AE21)=0,"",ROUND(AE15-AE21,1))</f>
        <v>0</v>
      </c>
      <c r="AF22" s="269">
        <f>IF(COUNT(AF21)=0,"",ROUND(AF15-AF21,1))</f>
        <v>0</v>
      </c>
      <c r="AG22" s="270">
        <f>IF(COUNT(AG21)=0,"",ROUND(AG15-AG21,1))</f>
        <v>0</v>
      </c>
      <c r="AH22" s="270">
        <f>IF(COUNT(AH21)=0,"",ROUND(AH15-AH21,1))</f>
        <v>0</v>
      </c>
      <c r="AI22" s="270">
        <f>IF(COUNT(AI21)=0,"",ROUND(AI15-AI21,1))</f>
        <v>0</v>
      </c>
    </row>
    <row r="23">
      <c r="C23" s="268" t="inlineStr">
        <is>
          <t xml:space="preserve">   % YoY VAS</t>
        </is>
      </c>
      <c r="D23" s="272" t="str">
        <f>""</f>
        <v/>
      </c>
      <c r="E23" s="272" t="str">
        <f>""</f>
        <v/>
      </c>
      <c r="F23" s="272" t="str">
        <f>""</f>
        <v/>
      </c>
      <c r="G23" s="272" t="str">
        <f>""</f>
        <v/>
      </c>
      <c r="H23" s="273" t="str">
        <f>""</f>
        <v/>
      </c>
      <c r="I23" s="272" t="str">
        <f>IFERROR(I20/D20-1,"")</f>
        <v/>
      </c>
      <c r="J23" s="272" t="str">
        <f>IFERROR(J20/E20-1,"")</f>
        <v/>
      </c>
      <c r="K23" s="272" t="str">
        <f>IFERROR(K20/F20-1,"")</f>
        <v/>
      </c>
      <c r="L23" s="272" t="str">
        <f>IFERROR(L20/G20-1,"")</f>
        <v/>
      </c>
      <c r="M23" s="273" t="str">
        <f>IFERROR(M20/H20-1,"")</f>
        <v/>
      </c>
      <c r="N23" s="272" t="str">
        <f>IFERROR(N20/I20-1,"")</f>
        <v/>
      </c>
      <c r="O23" s="272" t="str">
        <f>IFERROR(O20/J20-1,"")</f>
        <v/>
      </c>
      <c r="P23" s="272" t="str">
        <f>IFERROR(P20/K20-1,"")</f>
        <v/>
      </c>
      <c r="Q23" s="272" t="str">
        <f>IFERROR(Q20/L20-1,"")</f>
        <v/>
      </c>
      <c r="R23" s="273" t="str">
        <f>IFERROR(R20/M20-1,"")</f>
        <v/>
      </c>
      <c r="S23" s="272">
        <f>IFERROR(S20/N20-1,"")</f>
        <v>0.186651583710407</v>
      </c>
      <c r="T23" s="272">
        <f>IFERROR(T20/O20-1,"")</f>
        <v>0.163135593220339</v>
      </c>
      <c r="U23" s="272">
        <f>IFERROR(U20/P20-1,"")</f>
        <v>0.166750376695128</v>
      </c>
      <c r="V23" s="272">
        <f>IFERROR(V20/Q20-1,"")</f>
        <v>0.190412186379928</v>
      </c>
      <c r="W23" s="273">
        <f>IFERROR(W20/R20-1,"")</f>
        <v>0.17705292549816</v>
      </c>
      <c r="X23" s="272">
        <f>IFERROR(X20/S20-1,"")</f>
        <v>0.157292659675882</v>
      </c>
      <c r="Y23" s="272">
        <f>IFERROR(Y20/T20-1,"")</f>
        <v>0.177595628415301</v>
      </c>
      <c r="Z23" s="272">
        <f>IFERROR(Z20/U20-1,"")</f>
        <v>0.179509255273353</v>
      </c>
      <c r="AA23" s="272">
        <f>IFERROR(AA20/V20-1,"")</f>
        <v>0.158449378998871</v>
      </c>
      <c r="AB23" s="273">
        <f>IFERROR(AB20/W20-1,"")</f>
        <v>0.167996549493207</v>
      </c>
      <c r="AC23" s="272">
        <f>IFERROR(AC20/X20-1,"")</f>
        <v>0.160626029654036</v>
      </c>
      <c r="AD23" s="272">
        <f>IFERROR(AD20/Y20-1,"")</f>
        <v>0.232791956689869</v>
      </c>
      <c r="AE23" s="272">
        <f>IFERROR(AE20/Z20-1,"")</f>
        <v>0.249270072992701</v>
      </c>
      <c r="AF23" s="272">
        <f>IFERROR(AF20/AA20-1,"")</f>
        <v>0.262508122157245</v>
      </c>
      <c r="AG23" s="273">
        <f>IFERROR(AG20/AB20-1,"")</f>
        <v>0.229228212703102</v>
      </c>
      <c r="AH23" s="273">
        <f>IFERROR(AH20/AC20-1,"")</f>
        <v>0.224272533711852</v>
      </c>
      <c r="AI23" s="273">
        <f>IFERROR(AI20/AD20-1,"")</f>
        <v>0.200125470514429</v>
      </c>
    </row>
    <row r="24">
      <c r="C24" s="268" t="inlineStr">
        <is>
          <t xml:space="preserve">   % VAS na receita</t>
        </is>
      </c>
      <c r="D24" s="272" t="str">
        <f>IFERROR(D20/D21,"")</f>
        <v/>
      </c>
      <c r="E24" s="272" t="str">
        <f>IFERROR(E20/E21,"")</f>
        <v/>
      </c>
      <c r="F24" s="272" t="str">
        <f>IFERROR(F20/F21,"")</f>
        <v/>
      </c>
      <c r="G24" s="272" t="str">
        <f>IFERROR(G20/G21,"")</f>
        <v/>
      </c>
      <c r="H24" s="273" t="str">
        <f>IFERROR(H20/H21,"")</f>
        <v/>
      </c>
      <c r="I24" s="272" t="str">
        <f>IFERROR(I20/I21,"")</f>
        <v/>
      </c>
      <c r="J24" s="272" t="str">
        <f>IFERROR(J20/J21,"")</f>
        <v/>
      </c>
      <c r="K24" s="272" t="str">
        <f>IFERROR(K20/K21,"")</f>
        <v/>
      </c>
      <c r="L24" s="272" t="str">
        <f>IFERROR(L20/L21,"")</f>
        <v/>
      </c>
      <c r="M24" s="273" t="str">
        <f>IFERROR(M20/M21,"")</f>
        <v/>
      </c>
      <c r="N24" s="272">
        <f>IFERROR(N20/N21,"")</f>
        <v>0.342171472808206</v>
      </c>
      <c r="O24" s="272">
        <f>IFERROR(O20/O21,"")</f>
        <v>0.343460069128616</v>
      </c>
      <c r="P24" s="272">
        <f>IFERROR(P20/P21,"")</f>
        <v>0.345899930507297</v>
      </c>
      <c r="Q24" s="272">
        <f>IFERROR(Q20/Q21,"")</f>
        <v>0.383702939659618</v>
      </c>
      <c r="R24" s="273">
        <f>IFERROR(R20/R21,"")</f>
        <v>0.354319377613887</v>
      </c>
      <c r="S24" s="272">
        <f>IFERROR(S20/S21,"")</f>
        <v>0.36499652052888</v>
      </c>
      <c r="T24" s="272">
        <f>IFERROR(T20/T21,"")</f>
        <v>0.350295102887223</v>
      </c>
      <c r="U24" s="272">
        <f>IFERROR(U20/U21,"")</f>
        <v>0.355579366294199</v>
      </c>
      <c r="V24" s="272">
        <f>IFERROR(V20/V21,"")</f>
        <v>0.405772755039707</v>
      </c>
      <c r="W24" s="273">
        <f>IFERROR(W20/W21,"")</f>
        <v>0.369511514861742</v>
      </c>
      <c r="X24" s="272">
        <f>IFERROR(X20/X21,"")</f>
        <v>0.382482671707624</v>
      </c>
      <c r="Y24" s="272">
        <f>IFERROR(Y20/Y21,"")</f>
        <v>0.371498347938515</v>
      </c>
      <c r="Z24" s="272">
        <f>IFERROR(Z20/Z21,"")</f>
        <v>0.371827927805672</v>
      </c>
      <c r="AA24" s="272">
        <f>IFERROR(AA20/AA21,"")</f>
        <v>0.411002804112699</v>
      </c>
      <c r="AB24" s="273">
        <f>IFERROR(AB20/AB21,"")</f>
        <v>0.384563496289985</v>
      </c>
      <c r="AC24" s="272">
        <f>IFERROR(AC20/AC21,"")</f>
        <v>0.388689655172414</v>
      </c>
      <c r="AD24" s="272">
        <f>IFERROR(AD20/AD21,"")</f>
        <v>0.391983278003197</v>
      </c>
      <c r="AE24" s="272">
        <f>IFERROR(AE20/AE21,"")</f>
        <v>0.397930713787491</v>
      </c>
      <c r="AF24" s="272">
        <f>IFERROR(AF20/AF21,"")</f>
        <v>0.441290029525324</v>
      </c>
      <c r="AG24" s="273">
        <f>IFERROR(AG20/AG21,"")</f>
        <v>0.406056539904242</v>
      </c>
      <c r="AH24" s="273">
        <f>IFERROR(AH20/AH21,"")</f>
        <v>0.4108120981186</v>
      </c>
      <c r="AI24" s="273">
        <f>IFERROR(AI20/AI21,"")</f>
        <v>0.412417807480867</v>
      </c>
    </row>
    <row r="25"/>
    <row r="26">
      <c r="C26" s="267" t="inlineStr">
        <is>
          <t>Região e tarifas (USD milhões)</t>
        </is>
      </c>
      <c r="D26" s="267">
        <f>D7</f>
        <v>0</v>
      </c>
      <c r="E26" s="267">
        <f>E7</f>
        <v>0</v>
      </c>
      <c r="F26" s="267">
        <f>F7</f>
        <v>0</v>
      </c>
      <c r="G26" s="267">
        <f>G7</f>
        <v>0</v>
      </c>
      <c r="H26" s="267">
        <f>H7</f>
        <v>2020</v>
      </c>
      <c r="I26" s="267" t="str">
        <f>I7</f>
        <v>1Q21</v>
      </c>
      <c r="J26" s="267" t="str">
        <f>J7</f>
        <v>2Q21</v>
      </c>
      <c r="K26" s="267" t="str">
        <f>K7</f>
        <v>3Q21</v>
      </c>
      <c r="L26" s="267" t="str">
        <f>L7</f>
        <v>4Q21</v>
      </c>
      <c r="M26" s="267">
        <f>M7</f>
        <v>2021</v>
      </c>
      <c r="N26" s="267" t="str">
        <f>N7</f>
        <v>1Q22</v>
      </c>
      <c r="O26" s="267" t="str">
        <f>O7</f>
        <v>2Q22</v>
      </c>
      <c r="P26" s="267" t="str">
        <f>P7</f>
        <v>3Q22</v>
      </c>
      <c r="Q26" s="267" t="str">
        <f>Q7</f>
        <v>4Q22</v>
      </c>
      <c r="R26" s="267">
        <f>R7</f>
        <v>2022</v>
      </c>
      <c r="S26" s="267" t="str">
        <f>S7</f>
        <v>1Q23</v>
      </c>
      <c r="T26" s="267" t="str">
        <f>T7</f>
        <v>2Q23</v>
      </c>
      <c r="U26" s="267" t="str">
        <f>U7</f>
        <v>3Q23</v>
      </c>
      <c r="V26" s="267" t="str">
        <f>V7</f>
        <v>4Q23</v>
      </c>
      <c r="W26" s="267">
        <f>W7</f>
        <v>2023</v>
      </c>
      <c r="X26" s="267" t="str">
        <f>X7</f>
        <v>1Q24</v>
      </c>
      <c r="Y26" s="267" t="str">
        <f>Y7</f>
        <v>2Q24</v>
      </c>
      <c r="Z26" s="267" t="str">
        <f>Z7</f>
        <v>3Q24</v>
      </c>
      <c r="AA26" s="267" t="str">
        <f>AA7</f>
        <v>4Q24</v>
      </c>
      <c r="AB26" s="267">
        <f>AB7</f>
        <v>2024</v>
      </c>
      <c r="AC26" s="267" t="str">
        <f>AC7</f>
        <v>1Q25</v>
      </c>
      <c r="AD26" s="267" t="str">
        <f>AD7</f>
        <v>2Q25</v>
      </c>
      <c r="AE26" s="267" t="str">
        <f>AE7</f>
        <v>3Q25</v>
      </c>
      <c r="AF26" s="267" t="str">
        <f>AF7</f>
        <v>4Q25</v>
      </c>
      <c r="AG26" s="267">
        <f>AG7</f>
        <v>2025</v>
      </c>
      <c r="AH26" s="267" t="str">
        <f>AH7</f>
        <v>1Q26</v>
      </c>
      <c r="AI26" s="267" t="str">
        <f>AI7</f>
        <v>2Q26</v>
      </c>
    </row>
    <row r="27">
      <c r="C27" s="268" t="inlineStr">
        <is>
          <t xml:space="preserve">   América do Norte</t>
        </is>
      </c>
      <c r="D27" s="269" t="str">
        <f>IFERROR(INDEX('Inputs (2)'!$D$55:$AL$55,MATCH(D$7&amp;"",'Inputs (2)'!$D$2:$AL$2,0)),"")</f>
        <v/>
      </c>
      <c r="E27" s="269" t="str">
        <f>IFERROR(INDEX('Inputs (2)'!$D$55:$AL$55,MATCH(E$7&amp;"",'Inputs (2)'!$D$2:$AL$2,0)),"")</f>
        <v/>
      </c>
      <c r="F27" s="269" t="str">
        <f>IFERROR(INDEX('Inputs (2)'!$D$55:$AL$55,MATCH(F$7&amp;"",'Inputs (2)'!$D$2:$AL$2,0)),"")</f>
        <v/>
      </c>
      <c r="G27" s="269" t="str">
        <f>IFERROR(INDEX('Inputs (2)'!$D$55:$AL$55,MATCH(G$7&amp;"",'Inputs (2)'!$D$2:$AL$2,0)),"")</f>
        <v/>
      </c>
      <c r="H27" s="270" t="str">
        <f>IF(COUNT(D27:G27)=4,SUM(D27:G27),"")</f>
        <v/>
      </c>
      <c r="I27" s="269">
        <f>IFERROR(INDEX('Inputs (2)'!$D$55:$AL$55,MATCH(I$7&amp;"",'Inputs (2)'!$D$2:$AL$2,0)),"")</f>
        <v>1491</v>
      </c>
      <c r="J27" s="269">
        <f>IFERROR(INDEX('Inputs (2)'!$D$55:$AL$55,MATCH(J$7&amp;"",'Inputs (2)'!$D$2:$AL$2,0)),"")</f>
        <v>1605</v>
      </c>
      <c r="K27" s="269">
        <f>IFERROR(INDEX('Inputs (2)'!$D$55:$AL$55,MATCH(K$7&amp;"",'Inputs (2)'!$D$2:$AL$2,0)),"")</f>
        <v>1707</v>
      </c>
      <c r="L27" s="269">
        <f>IFERROR(INDEX('Inputs (2)'!$D$55:$AL$55,MATCH(L$7&amp;"",'Inputs (2)'!$D$2:$AL$2,0)),"")</f>
        <v>1791</v>
      </c>
      <c r="M27" s="270">
        <f>IF(COUNT(I27:L27)=4,SUM(I27:L27),"")</f>
        <v>6594</v>
      </c>
      <c r="N27" s="269">
        <f>IFERROR(INDEX('Inputs (2)'!$D$55:$AL$55,MATCH(N$7&amp;"",'Inputs (2)'!$D$2:$AL$2,0)),"")</f>
        <v>1730</v>
      </c>
      <c r="O27" s="269">
        <f>IFERROR(INDEX('Inputs (2)'!$D$55:$AL$55,MATCH(O$7&amp;"",'Inputs (2)'!$D$2:$AL$2,0)),"")</f>
        <v>2008</v>
      </c>
      <c r="P27" s="269">
        <f>IFERROR(INDEX('Inputs (2)'!$D$55:$AL$55,MATCH(P$7&amp;"",'Inputs (2)'!$D$2:$AL$2,0)),"")</f>
        <v>2031</v>
      </c>
      <c r="Q27" s="269">
        <f>IFERROR(INDEX('Inputs (2)'!$D$55:$AL$55,MATCH(Q$7&amp;"",'Inputs (2)'!$D$2:$AL$2,0)),"")</f>
        <v>2040</v>
      </c>
      <c r="R27" s="270">
        <f>IF(COUNT(N27:Q27)=4,SUM(N27:Q27),"")</f>
        <v>7809</v>
      </c>
      <c r="S27" s="269">
        <f>IFERROR(INDEX('Inputs (2)'!$D$55:$AL$55,MATCH(S$7&amp;"",'Inputs (2)'!$D$2:$AL$2,0)),"")</f>
        <v>2537</v>
      </c>
      <c r="T27" s="269">
        <f>IFERROR(INDEX('Inputs (2)'!$D$55:$AL$55,MATCH(T$7&amp;"",'Inputs (2)'!$D$2:$AL$2,0)),"")</f>
        <v>2814</v>
      </c>
      <c r="U27" s="269">
        <f>IFERROR(INDEX('Inputs (2)'!$D$55:$AL$55,MATCH(U$7&amp;"",'Inputs (2)'!$D$2:$AL$2,0)),"")</f>
        <v>2828</v>
      </c>
      <c r="V27" s="269">
        <f>IFERROR(INDEX('Inputs (2)'!$D$55:$AL$55,MATCH(V$7&amp;"",'Inputs (2)'!$D$2:$AL$2,0)),"")</f>
        <v>180</v>
      </c>
      <c r="W27" s="270">
        <f>IF(COUNT(S27:V27)=4,SUM(S27:V27),"")</f>
        <v>8359</v>
      </c>
      <c r="X27" s="269">
        <f>IFERROR(INDEX('Inputs (2)'!$D$55:$AL$55,MATCH(X$7&amp;"",'Inputs (2)'!$D$2:$AL$2,0)),"")</f>
        <v>2773</v>
      </c>
      <c r="Y27" s="269">
        <f>IFERROR(INDEX('Inputs (2)'!$D$55:$AL$55,MATCH(Y$7&amp;"",'Inputs (2)'!$D$2:$AL$2,0)),"")</f>
        <v>3164</v>
      </c>
      <c r="Z27" s="269">
        <f>IFERROR(INDEX('Inputs (2)'!$D$55:$AL$55,MATCH(Z$7&amp;"",'Inputs (2)'!$D$2:$AL$2,0)),"")</f>
        <v>3156</v>
      </c>
      <c r="AA27" s="269" t="str">
        <f>IFERROR(INDEX('Inputs (2)'!$D$55:$AL$55,MATCH(AA$7&amp;"",'Inputs (2)'!$D$2:$AL$2,0)),"")</f>
        <v/>
      </c>
      <c r="AB27" s="270" t="str">
        <f>IF(COUNT(X27:AA27)=4,SUM(X27:AA27),"")</f>
        <v/>
      </c>
      <c r="AC27" s="269">
        <f>IFERROR(INDEX('Inputs (2)'!$D$55:$AL$55,MATCH(AC$7&amp;"",'Inputs (2)'!$D$2:$AL$2,0)),"")</f>
        <v>3151</v>
      </c>
      <c r="AD27" s="269">
        <f>IFERROR(INDEX('Inputs (2)'!$D$55:$AL$55,MATCH(AD$7&amp;"",'Inputs (2)'!$D$2:$AL$2,0)),"")</f>
        <v>3406</v>
      </c>
      <c r="AE27" s="269">
        <f>IFERROR(INDEX('Inputs (2)'!$D$55:$AL$55,MATCH(AE$7&amp;"",'Inputs (2)'!$D$2:$AL$2,0)),"")</f>
        <v>3651</v>
      </c>
      <c r="AF27" s="269" t="str">
        <f>IFERROR(INDEX('Inputs (2)'!$D$55:$AL$55,MATCH(AF$7&amp;"",'Inputs (2)'!$D$2:$AL$2,0)),"")</f>
        <v/>
      </c>
      <c r="AG27" s="270" t="str">
        <f>IF(COUNT(AC27:AF27)=4,SUM(AC27:AF27),"")</f>
        <v/>
      </c>
      <c r="AH27" s="270">
        <f>IFERROR(INDEX('Inputs (2)'!$D$55:$AL$55,MATCH(AH$7&amp;"",'Inputs (2)'!$D$2:$AL$2,0)),"")</f>
        <v>3564</v>
      </c>
      <c r="AI27" s="270">
        <f>IFERROR(INDEX('Inputs (2)'!$D$55:$AL$55,MATCH(AI$7&amp;"",'Inputs (2)'!$D$2:$AL$2,0)),"")</f>
        <v>3999</v>
      </c>
    </row>
    <row r="28">
      <c r="C28" s="268" t="inlineStr">
        <is>
          <t xml:space="preserve">   International Markets</t>
        </is>
      </c>
      <c r="D28" s="269" t="str">
        <f>IFERROR(INDEX('Inputs (2)'!$D$56:$AL$56,MATCH(D$7&amp;"",'Inputs (2)'!$D$2:$AL$2,0)),"")</f>
        <v/>
      </c>
      <c r="E28" s="269" t="str">
        <f>IFERROR(INDEX('Inputs (2)'!$D$56:$AL$56,MATCH(E$7&amp;"",'Inputs (2)'!$D$2:$AL$2,0)),"")</f>
        <v/>
      </c>
      <c r="F28" s="269" t="str">
        <f>IFERROR(INDEX('Inputs (2)'!$D$56:$AL$56,MATCH(F$7&amp;"",'Inputs (2)'!$D$2:$AL$2,0)),"")</f>
        <v/>
      </c>
      <c r="G28" s="269" t="str">
        <f>IFERROR(INDEX('Inputs (2)'!$D$56:$AL$56,MATCH(G$7&amp;"",'Inputs (2)'!$D$2:$AL$2,0)),"")</f>
        <v/>
      </c>
      <c r="H28" s="270" t="str">
        <f>IF(COUNT(D28:G28)=4,SUM(D28:G28),"")</f>
        <v/>
      </c>
      <c r="I28" s="269">
        <f>IFERROR(INDEX('Inputs (2)'!$D$56:$AL$56,MATCH(I$7&amp;"",'Inputs (2)'!$D$2:$AL$2,0)),"")</f>
        <v>2618</v>
      </c>
      <c r="J28" s="269">
        <f>IFERROR(INDEX('Inputs (2)'!$D$56:$AL$56,MATCH(J$7&amp;"",'Inputs (2)'!$D$2:$AL$2,0)),"")</f>
        <v>2879</v>
      </c>
      <c r="K28" s="269">
        <f>IFERROR(INDEX('Inputs (2)'!$D$56:$AL$56,MATCH(K$7&amp;"",'Inputs (2)'!$D$2:$AL$2,0)),"")</f>
        <v>3218</v>
      </c>
      <c r="L28" s="269">
        <f>IFERROR(INDEX('Inputs (2)'!$D$56:$AL$56,MATCH(L$7&amp;"",'Inputs (2)'!$D$2:$AL$2,0)),"")</f>
        <v>3353</v>
      </c>
      <c r="M28" s="270">
        <f>IF(COUNT(I28:L28)=4,SUM(I28:L28),"")</f>
        <v>12068</v>
      </c>
      <c r="N28" s="269">
        <f>IFERROR(INDEX('Inputs (2)'!$D$56:$AL$56,MATCH(N$7&amp;"",'Inputs (2)'!$D$2:$AL$2,0)),"")</f>
        <v>3437</v>
      </c>
      <c r="O28" s="269">
        <f>IFERROR(INDEX('Inputs (2)'!$D$56:$AL$56,MATCH(O$7&amp;"",'Inputs (2)'!$D$2:$AL$2,0)),"")</f>
        <v>3489</v>
      </c>
      <c r="P28" s="269">
        <f>IFERROR(INDEX('Inputs (2)'!$D$56:$AL$56,MATCH(P$7&amp;"",'Inputs (2)'!$D$2:$AL$2,0)),"")</f>
        <v>3725</v>
      </c>
      <c r="Q28" s="269">
        <f>IFERROR(INDEX('Inputs (2)'!$D$56:$AL$56,MATCH(Q$7&amp;"",'Inputs (2)'!$D$2:$AL$2,0)),"")</f>
        <v>3938</v>
      </c>
      <c r="R28" s="270">
        <f>IF(COUNT(N28:Q28)=4,SUM(N28:Q28),"")</f>
        <v>14589</v>
      </c>
      <c r="S28" s="269">
        <f>IFERROR(INDEX('Inputs (2)'!$D$56:$AL$56,MATCH(S$7&amp;"",'Inputs (2)'!$D$2:$AL$2,0)),"")</f>
        <v>3211</v>
      </c>
      <c r="T28" s="269">
        <f>IFERROR(INDEX('Inputs (2)'!$D$56:$AL$56,MATCH(T$7&amp;"",'Inputs (2)'!$D$2:$AL$2,0)),"")</f>
        <v>3455</v>
      </c>
      <c r="U28" s="269">
        <f>IFERROR(INDEX('Inputs (2)'!$D$56:$AL$56,MATCH(U$7&amp;"",'Inputs (2)'!$D$2:$AL$2,0)),"")</f>
        <v>3705</v>
      </c>
      <c r="V28" s="269">
        <f>IFERROR(INDEX('Inputs (2)'!$D$56:$AL$56,MATCH(V$7&amp;"",'Inputs (2)'!$D$2:$AL$2,0)),"")</f>
        <v>4332</v>
      </c>
      <c r="W28" s="270">
        <f>IF(COUNT(S28:V28)=4,SUM(S28:V28),"")</f>
        <v>14703</v>
      </c>
      <c r="X28" s="269">
        <f>IFERROR(INDEX('Inputs (2)'!$D$56:$AL$56,MATCH(X$7&amp;"",'Inputs (2)'!$D$2:$AL$2,0)),"")</f>
        <v>3575</v>
      </c>
      <c r="Y28" s="269">
        <f>IFERROR(INDEX('Inputs (2)'!$D$56:$AL$56,MATCH(Y$7&amp;"",'Inputs (2)'!$D$2:$AL$2,0)),"")</f>
        <v>3797</v>
      </c>
      <c r="Z28" s="269">
        <f>IFERROR(INDEX('Inputs (2)'!$D$56:$AL$56,MATCH(Z$7&amp;"",'Inputs (2)'!$D$2:$AL$2,0)),"")</f>
        <v>4213</v>
      </c>
      <c r="AA28" s="269">
        <f>IFERROR(INDEX('Inputs (2)'!$D$56:$AL$56,MATCH(AA$7&amp;"",'Inputs (2)'!$D$2:$AL$2,0)),"")</f>
        <v>4207</v>
      </c>
      <c r="AB28" s="270">
        <f>IF(COUNT(X28:AA28)=4,SUM(X28:AA28),"")</f>
        <v>15792</v>
      </c>
      <c r="AC28" s="269">
        <f>IFERROR(INDEX('Inputs (2)'!$D$56:$AL$56,MATCH(AC$7&amp;"",'Inputs (2)'!$D$2:$AL$2,0)),"")</f>
        <v>4099</v>
      </c>
      <c r="AD28" s="269">
        <f>IFERROR(INDEX('Inputs (2)'!$D$56:$AL$56,MATCH(AD$7&amp;"",'Inputs (2)'!$D$2:$AL$2,0)),"")</f>
        <v>4727</v>
      </c>
      <c r="AE28" s="269">
        <f>IFERROR(INDEX('Inputs (2)'!$D$56:$AL$56,MATCH(AE$7&amp;"",'Inputs (2)'!$D$2:$AL$2,0)),"")</f>
        <v>4951</v>
      </c>
      <c r="AF28" s="269">
        <f>IFERROR(INDEX('Inputs (2)'!$D$56:$AL$56,MATCH(AF$7&amp;"",'Inputs (2)'!$D$2:$AL$2,0)),"")</f>
        <v>4969</v>
      </c>
      <c r="AG28" s="270">
        <f>IF(COUNT(AC28:AF28)=4,SUM(AC28:AF28),"")</f>
        <v>18746</v>
      </c>
      <c r="AH28" s="270">
        <f>IFERROR(INDEX('Inputs (2)'!$D$56:$AL$56,MATCH(AH$7&amp;"",'Inputs (2)'!$D$2:$AL$2,0)),"")</f>
        <v>4834</v>
      </c>
      <c r="AI28" s="270">
        <f>IFERROR(INDEX('Inputs (2)'!$D$56:$AL$56,MATCH(AI$7&amp;"",'Inputs (2)'!$D$2:$AL$2,0)),"")</f>
        <v>5278</v>
      </c>
    </row>
    <row r="29">
      <c r="C29" s="268" t="inlineStr">
        <is>
          <t xml:space="preserve">   Domestic assessments (até 2022)</t>
        </is>
      </c>
      <c r="D29" s="269" t="str">
        <f>IFERROR(INDEX('Inputs (2)'!$D$57:$AL$57,MATCH(D$7&amp;"",'Inputs (2)'!$D$2:$AL$2,0)),"")</f>
        <v/>
      </c>
      <c r="E29" s="269" t="str">
        <f>IFERROR(INDEX('Inputs (2)'!$D$57:$AL$57,MATCH(E$7&amp;"",'Inputs (2)'!$D$2:$AL$2,0)),"")</f>
        <v/>
      </c>
      <c r="F29" s="269" t="str">
        <f>IFERROR(INDEX('Inputs (2)'!$D$57:$AL$57,MATCH(F$7&amp;"",'Inputs (2)'!$D$2:$AL$2,0)),"")</f>
        <v/>
      </c>
      <c r="G29" s="269" t="str">
        <f>IFERROR(INDEX('Inputs (2)'!$D$57:$AL$57,MATCH(G$7&amp;"",'Inputs (2)'!$D$2:$AL$2,0)),"")</f>
        <v/>
      </c>
      <c r="H29" s="270" t="str">
        <f>IF(COUNT(D29:G29)=4,SUM(D29:G29),"")</f>
        <v/>
      </c>
      <c r="I29" s="269">
        <f>IFERROR(INDEX('Inputs (2)'!$D$57:$AL$57,MATCH(I$7&amp;"",'Inputs (2)'!$D$2:$AL$2,0)),"")</f>
        <v>1798</v>
      </c>
      <c r="J29" s="269">
        <f>IFERROR(INDEX('Inputs (2)'!$D$57:$AL$57,MATCH(J$7&amp;"",'Inputs (2)'!$D$2:$AL$2,0)),"")</f>
        <v>2056</v>
      </c>
      <c r="K29" s="269">
        <f>IFERROR(INDEX('Inputs (2)'!$D$57:$AL$57,MATCH(K$7&amp;"",'Inputs (2)'!$D$2:$AL$2,0)),"")</f>
        <v>2139</v>
      </c>
      <c r="L29" s="269">
        <f>IFERROR(INDEX('Inputs (2)'!$D$57:$AL$57,MATCH(L$7&amp;"",'Inputs (2)'!$D$2:$AL$2,0)),"")</f>
        <v>2165</v>
      </c>
      <c r="M29" s="270">
        <f>IF(COUNT(I29:L29)=4,SUM(I29:L29),"")</f>
        <v>8158</v>
      </c>
      <c r="N29" s="269">
        <f>IFERROR(INDEX('Inputs (2)'!$D$57:$AL$57,MATCH(N$7&amp;"",'Inputs (2)'!$D$2:$AL$2,0)),"")</f>
        <v>2134</v>
      </c>
      <c r="O29" s="269">
        <f>IFERROR(INDEX('Inputs (2)'!$D$57:$AL$57,MATCH(O$7&amp;"",'Inputs (2)'!$D$2:$AL$2,0)),"")</f>
        <v>2283</v>
      </c>
      <c r="P29" s="269">
        <f>IFERROR(INDEX('Inputs (2)'!$D$57:$AL$57,MATCH(P$7&amp;"",'Inputs (2)'!$D$2:$AL$2,0)),"")</f>
        <v>2252</v>
      </c>
      <c r="Q29" s="269" t="str">
        <f>IFERROR(INDEX('Inputs (2)'!$D$57:$AL$57,MATCH(Q$7&amp;"",'Inputs (2)'!$D$2:$AL$2,0)),"")</f>
        <v/>
      </c>
      <c r="R29" s="270" t="str">
        <f>IF(COUNT(N29:Q29)=4,SUM(N29:Q29),"")</f>
        <v/>
      </c>
      <c r="S29" s="269" t="str">
        <f>IFERROR(INDEX('Inputs (2)'!$D$57:$AL$57,MATCH(S$7&amp;"",'Inputs (2)'!$D$2:$AL$2,0)),"")</f>
        <v/>
      </c>
      <c r="T29" s="269" t="str">
        <f>IFERROR(INDEX('Inputs (2)'!$D$57:$AL$57,MATCH(T$7&amp;"",'Inputs (2)'!$D$2:$AL$2,0)),"")</f>
        <v/>
      </c>
      <c r="U29" s="269" t="str">
        <f>IFERROR(INDEX('Inputs (2)'!$D$57:$AL$57,MATCH(U$7&amp;"",'Inputs (2)'!$D$2:$AL$2,0)),"")</f>
        <v/>
      </c>
      <c r="V29" s="269" t="str">
        <f>IFERROR(INDEX('Inputs (2)'!$D$57:$AL$57,MATCH(V$7&amp;"",'Inputs (2)'!$D$2:$AL$2,0)),"")</f>
        <v/>
      </c>
      <c r="W29" s="270" t="str">
        <f>IF(COUNT(S29:V29)=4,SUM(S29:V29),"")</f>
        <v/>
      </c>
      <c r="X29" s="269" t="str">
        <f>IFERROR(INDEX('Inputs (2)'!$D$57:$AL$57,MATCH(X$7&amp;"",'Inputs (2)'!$D$2:$AL$2,0)),"")</f>
        <v/>
      </c>
      <c r="Y29" s="269" t="str">
        <f>IFERROR(INDEX('Inputs (2)'!$D$57:$AL$57,MATCH(Y$7&amp;"",'Inputs (2)'!$D$2:$AL$2,0)),"")</f>
        <v/>
      </c>
      <c r="Z29" s="269" t="str">
        <f>IFERROR(INDEX('Inputs (2)'!$D$57:$AL$57,MATCH(Z$7&amp;"",'Inputs (2)'!$D$2:$AL$2,0)),"")</f>
        <v/>
      </c>
      <c r="AA29" s="269" t="str">
        <f>IFERROR(INDEX('Inputs (2)'!$D$57:$AL$57,MATCH(AA$7&amp;"",'Inputs (2)'!$D$2:$AL$2,0)),"")</f>
        <v/>
      </c>
      <c r="AB29" s="270" t="str">
        <f>IF(COUNT(X29:AA29)=4,SUM(X29:AA29),"")</f>
        <v/>
      </c>
      <c r="AC29" s="269" t="str">
        <f>IFERROR(INDEX('Inputs (2)'!$D$57:$AL$57,MATCH(AC$7&amp;"",'Inputs (2)'!$D$2:$AL$2,0)),"")</f>
        <v/>
      </c>
      <c r="AD29" s="269" t="str">
        <f>IFERROR(INDEX('Inputs (2)'!$D$57:$AL$57,MATCH(AD$7&amp;"",'Inputs (2)'!$D$2:$AL$2,0)),"")</f>
        <v/>
      </c>
      <c r="AE29" s="269" t="str">
        <f>IFERROR(INDEX('Inputs (2)'!$D$57:$AL$57,MATCH(AE$7&amp;"",'Inputs (2)'!$D$2:$AL$2,0)),"")</f>
        <v/>
      </c>
      <c r="AF29" s="269" t="str">
        <f>IFERROR(INDEX('Inputs (2)'!$D$57:$AL$57,MATCH(AF$7&amp;"",'Inputs (2)'!$D$2:$AL$2,0)),"")</f>
        <v/>
      </c>
      <c r="AG29" s="270" t="str">
        <f>IF(COUNT(AC29:AF29)=4,SUM(AC29:AF29),"")</f>
        <v/>
      </c>
      <c r="AH29" s="270" t="str">
        <f>IFERROR(INDEX('Inputs (2)'!$D$57:$AL$57,MATCH(AH$7&amp;"",'Inputs (2)'!$D$2:$AL$2,0)),"")</f>
        <v/>
      </c>
      <c r="AI29" s="270" t="str">
        <f>IFERROR(INDEX('Inputs (2)'!$D$57:$AL$57,MATCH(AI$7&amp;"",'Inputs (2)'!$D$2:$AL$2,0)),"")</f>
        <v/>
      </c>
    </row>
    <row r="30">
      <c r="C30" s="268" t="inlineStr">
        <is>
          <t xml:space="preserve">   Cross-border volume fees (até 2022)</t>
        </is>
      </c>
      <c r="D30" s="269" t="str">
        <f>IFERROR(INDEX('Inputs (2)'!$D$58:$AL$58,MATCH(D$7&amp;"",'Inputs (2)'!$D$2:$AL$2,0)),"")</f>
        <v/>
      </c>
      <c r="E30" s="269" t="str">
        <f>IFERROR(INDEX('Inputs (2)'!$D$58:$AL$58,MATCH(E$7&amp;"",'Inputs (2)'!$D$2:$AL$2,0)),"")</f>
        <v/>
      </c>
      <c r="F30" s="269" t="str">
        <f>IFERROR(INDEX('Inputs (2)'!$D$58:$AL$58,MATCH(F$7&amp;"",'Inputs (2)'!$D$2:$AL$2,0)),"")</f>
        <v/>
      </c>
      <c r="G30" s="269" t="str">
        <f>IFERROR(INDEX('Inputs (2)'!$D$58:$AL$58,MATCH(G$7&amp;"",'Inputs (2)'!$D$2:$AL$2,0)),"")</f>
        <v/>
      </c>
      <c r="H30" s="270" t="str">
        <f>IF(COUNT(D30:G30)=4,SUM(D30:G30),"")</f>
        <v/>
      </c>
      <c r="I30" s="269">
        <f>IFERROR(INDEX('Inputs (2)'!$D$58:$AL$58,MATCH(I$7&amp;"",'Inputs (2)'!$D$2:$AL$2,0)),"")</f>
        <v>932</v>
      </c>
      <c r="J30" s="269">
        <f>IFERROR(INDEX('Inputs (2)'!$D$58:$AL$58,MATCH(J$7&amp;"",'Inputs (2)'!$D$2:$AL$2,0)),"")</f>
        <v>1076</v>
      </c>
      <c r="K30" s="269">
        <f>IFERROR(INDEX('Inputs (2)'!$D$58:$AL$58,MATCH(K$7&amp;"",'Inputs (2)'!$D$2:$AL$2,0)),"")</f>
        <v>1276</v>
      </c>
      <c r="L30" s="269">
        <f>IFERROR(INDEX('Inputs (2)'!$D$58:$AL$58,MATCH(L$7&amp;"",'Inputs (2)'!$D$2:$AL$2,0)),"")</f>
        <v>1380</v>
      </c>
      <c r="M30" s="270">
        <f>IF(COUNT(I30:L30)=4,SUM(I30:L30),"")</f>
        <v>4664</v>
      </c>
      <c r="N30" s="269">
        <f>IFERROR(INDEX('Inputs (2)'!$D$58:$AL$58,MATCH(N$7&amp;"",'Inputs (2)'!$D$2:$AL$2,0)),"")</f>
        <v>1395</v>
      </c>
      <c r="O30" s="269">
        <f>IFERROR(INDEX('Inputs (2)'!$D$58:$AL$58,MATCH(O$7&amp;"",'Inputs (2)'!$D$2:$AL$2,0)),"")</f>
        <v>1615</v>
      </c>
      <c r="P30" s="269">
        <f>IFERROR(INDEX('Inputs (2)'!$D$58:$AL$58,MATCH(P$7&amp;"",'Inputs (2)'!$D$2:$AL$2,0)),"")</f>
        <v>1803</v>
      </c>
      <c r="Q30" s="269" t="str">
        <f>IFERROR(INDEX('Inputs (2)'!$D$58:$AL$58,MATCH(Q$7&amp;"",'Inputs (2)'!$D$2:$AL$2,0)),"")</f>
        <v/>
      </c>
      <c r="R30" s="270" t="str">
        <f>IF(COUNT(N30:Q30)=4,SUM(N30:Q30),"")</f>
        <v/>
      </c>
      <c r="S30" s="269" t="str">
        <f>IFERROR(INDEX('Inputs (2)'!$D$58:$AL$58,MATCH(S$7&amp;"",'Inputs (2)'!$D$2:$AL$2,0)),"")</f>
        <v/>
      </c>
      <c r="T30" s="269" t="str">
        <f>IFERROR(INDEX('Inputs (2)'!$D$58:$AL$58,MATCH(T$7&amp;"",'Inputs (2)'!$D$2:$AL$2,0)),"")</f>
        <v/>
      </c>
      <c r="U30" s="269" t="str">
        <f>IFERROR(INDEX('Inputs (2)'!$D$58:$AL$58,MATCH(U$7&amp;"",'Inputs (2)'!$D$2:$AL$2,0)),"")</f>
        <v/>
      </c>
      <c r="V30" s="269" t="str">
        <f>IFERROR(INDEX('Inputs (2)'!$D$58:$AL$58,MATCH(V$7&amp;"",'Inputs (2)'!$D$2:$AL$2,0)),"")</f>
        <v/>
      </c>
      <c r="W30" s="270" t="str">
        <f>IF(COUNT(S30:V30)=4,SUM(S30:V30),"")</f>
        <v/>
      </c>
      <c r="X30" s="269" t="str">
        <f>IFERROR(INDEX('Inputs (2)'!$D$58:$AL$58,MATCH(X$7&amp;"",'Inputs (2)'!$D$2:$AL$2,0)),"")</f>
        <v/>
      </c>
      <c r="Y30" s="269" t="str">
        <f>IFERROR(INDEX('Inputs (2)'!$D$58:$AL$58,MATCH(Y$7&amp;"",'Inputs (2)'!$D$2:$AL$2,0)),"")</f>
        <v/>
      </c>
      <c r="Z30" s="269" t="str">
        <f>IFERROR(INDEX('Inputs (2)'!$D$58:$AL$58,MATCH(Z$7&amp;"",'Inputs (2)'!$D$2:$AL$2,0)),"")</f>
        <v/>
      </c>
      <c r="AA30" s="269" t="str">
        <f>IFERROR(INDEX('Inputs (2)'!$D$58:$AL$58,MATCH(AA$7&amp;"",'Inputs (2)'!$D$2:$AL$2,0)),"")</f>
        <v/>
      </c>
      <c r="AB30" s="270" t="str">
        <f>IF(COUNT(X30:AA30)=4,SUM(X30:AA30),"")</f>
        <v/>
      </c>
      <c r="AC30" s="269" t="str">
        <f>IFERROR(INDEX('Inputs (2)'!$D$58:$AL$58,MATCH(AC$7&amp;"",'Inputs (2)'!$D$2:$AL$2,0)),"")</f>
        <v/>
      </c>
      <c r="AD30" s="269" t="str">
        <f>IFERROR(INDEX('Inputs (2)'!$D$58:$AL$58,MATCH(AD$7&amp;"",'Inputs (2)'!$D$2:$AL$2,0)),"")</f>
        <v/>
      </c>
      <c r="AE30" s="269" t="str">
        <f>IFERROR(INDEX('Inputs (2)'!$D$58:$AL$58,MATCH(AE$7&amp;"",'Inputs (2)'!$D$2:$AL$2,0)),"")</f>
        <v/>
      </c>
      <c r="AF30" s="269" t="str">
        <f>IFERROR(INDEX('Inputs (2)'!$D$58:$AL$58,MATCH(AF$7&amp;"",'Inputs (2)'!$D$2:$AL$2,0)),"")</f>
        <v/>
      </c>
      <c r="AG30" s="270" t="str">
        <f>IF(COUNT(AC30:AF30)=4,SUM(AC30:AF30),"")</f>
        <v/>
      </c>
      <c r="AH30" s="270" t="str">
        <f>IFERROR(INDEX('Inputs (2)'!$D$58:$AL$58,MATCH(AH$7&amp;"",'Inputs (2)'!$D$2:$AL$2,0)),"")</f>
        <v/>
      </c>
      <c r="AI30" s="270" t="str">
        <f>IFERROR(INDEX('Inputs (2)'!$D$58:$AL$58,MATCH(AI$7&amp;"",'Inputs (2)'!$D$2:$AL$2,0)),"")</f>
        <v/>
      </c>
    </row>
    <row r="31">
      <c r="C31" s="268" t="inlineStr">
        <is>
          <t xml:space="preserve">   Transaction processing (até 2022)</t>
        </is>
      </c>
      <c r="D31" s="269" t="str">
        <f>IFERROR(INDEX('Inputs (2)'!$D$59:$AL$59,MATCH(D$7&amp;"",'Inputs (2)'!$D$2:$AL$2,0)),"")</f>
        <v/>
      </c>
      <c r="E31" s="269" t="str">
        <f>IFERROR(INDEX('Inputs (2)'!$D$59:$AL$59,MATCH(E$7&amp;"",'Inputs (2)'!$D$2:$AL$2,0)),"")</f>
        <v/>
      </c>
      <c r="F31" s="269" t="str">
        <f>IFERROR(INDEX('Inputs (2)'!$D$59:$AL$59,MATCH(F$7&amp;"",'Inputs (2)'!$D$2:$AL$2,0)),"")</f>
        <v/>
      </c>
      <c r="G31" s="269" t="str">
        <f>IFERROR(INDEX('Inputs (2)'!$D$59:$AL$59,MATCH(G$7&amp;"",'Inputs (2)'!$D$2:$AL$2,0)),"")</f>
        <v/>
      </c>
      <c r="H31" s="270" t="str">
        <f>IF(COUNT(D31:G31)=4,SUM(D31:G31),"")</f>
        <v/>
      </c>
      <c r="I31" s="269">
        <f>IFERROR(INDEX('Inputs (2)'!$D$59:$AL$59,MATCH(I$7&amp;"",'Inputs (2)'!$D$2:$AL$2,0)),"")</f>
        <v>2351</v>
      </c>
      <c r="J31" s="269">
        <f>IFERROR(INDEX('Inputs (2)'!$D$59:$AL$59,MATCH(J$7&amp;"",'Inputs (2)'!$D$2:$AL$2,0)),"")</f>
        <v>2612</v>
      </c>
      <c r="K31" s="269">
        <f>IFERROR(INDEX('Inputs (2)'!$D$59:$AL$59,MATCH(K$7&amp;"",'Inputs (2)'!$D$2:$AL$2,0)),"")</f>
        <v>2849</v>
      </c>
      <c r="L31" s="269">
        <f>IFERROR(INDEX('Inputs (2)'!$D$59:$AL$59,MATCH(L$7&amp;"",'Inputs (2)'!$D$2:$AL$2,0)),"")</f>
        <v>2987</v>
      </c>
      <c r="M31" s="270">
        <f>IF(COUNT(I31:L31)=4,SUM(I31:L31),"")</f>
        <v>10799</v>
      </c>
      <c r="N31" s="269">
        <f>IFERROR(INDEX('Inputs (2)'!$D$59:$AL$59,MATCH(N$7&amp;"",'Inputs (2)'!$D$2:$AL$2,0)),"")</f>
        <v>2912</v>
      </c>
      <c r="O31" s="269">
        <f>IFERROR(INDEX('Inputs (2)'!$D$59:$AL$59,MATCH(O$7&amp;"",'Inputs (2)'!$D$2:$AL$2,0)),"")</f>
        <v>3061</v>
      </c>
      <c r="P31" s="269">
        <f>IFERROR(INDEX('Inputs (2)'!$D$59:$AL$59,MATCH(P$7&amp;"",'Inputs (2)'!$D$2:$AL$2,0)),"")</f>
        <v>3288</v>
      </c>
      <c r="Q31" s="269" t="str">
        <f>IFERROR(INDEX('Inputs (2)'!$D$59:$AL$59,MATCH(Q$7&amp;"",'Inputs (2)'!$D$2:$AL$2,0)),"")</f>
        <v/>
      </c>
      <c r="R31" s="270" t="str">
        <f>IF(COUNT(N31:Q31)=4,SUM(N31:Q31),"")</f>
        <v/>
      </c>
      <c r="S31" s="269" t="str">
        <f>IFERROR(INDEX('Inputs (2)'!$D$59:$AL$59,MATCH(S$7&amp;"",'Inputs (2)'!$D$2:$AL$2,0)),"")</f>
        <v/>
      </c>
      <c r="T31" s="269" t="str">
        <f>IFERROR(INDEX('Inputs (2)'!$D$59:$AL$59,MATCH(T$7&amp;"",'Inputs (2)'!$D$2:$AL$2,0)),"")</f>
        <v/>
      </c>
      <c r="U31" s="269" t="str">
        <f>IFERROR(INDEX('Inputs (2)'!$D$59:$AL$59,MATCH(U$7&amp;"",'Inputs (2)'!$D$2:$AL$2,0)),"")</f>
        <v/>
      </c>
      <c r="V31" s="269" t="str">
        <f>IFERROR(INDEX('Inputs (2)'!$D$59:$AL$59,MATCH(V$7&amp;"",'Inputs (2)'!$D$2:$AL$2,0)),"")</f>
        <v/>
      </c>
      <c r="W31" s="270" t="str">
        <f>IF(COUNT(S31:V31)=4,SUM(S31:V31),"")</f>
        <v/>
      </c>
      <c r="X31" s="269" t="str">
        <f>IFERROR(INDEX('Inputs (2)'!$D$59:$AL$59,MATCH(X$7&amp;"",'Inputs (2)'!$D$2:$AL$2,0)),"")</f>
        <v/>
      </c>
      <c r="Y31" s="269" t="str">
        <f>IFERROR(INDEX('Inputs (2)'!$D$59:$AL$59,MATCH(Y$7&amp;"",'Inputs (2)'!$D$2:$AL$2,0)),"")</f>
        <v/>
      </c>
      <c r="Z31" s="269" t="str">
        <f>IFERROR(INDEX('Inputs (2)'!$D$59:$AL$59,MATCH(Z$7&amp;"",'Inputs (2)'!$D$2:$AL$2,0)),"")</f>
        <v/>
      </c>
      <c r="AA31" s="269" t="str">
        <f>IFERROR(INDEX('Inputs (2)'!$D$59:$AL$59,MATCH(AA$7&amp;"",'Inputs (2)'!$D$2:$AL$2,0)),"")</f>
        <v/>
      </c>
      <c r="AB31" s="270" t="str">
        <f>IF(COUNT(X31:AA31)=4,SUM(X31:AA31),"")</f>
        <v/>
      </c>
      <c r="AC31" s="269" t="str">
        <f>IFERROR(INDEX('Inputs (2)'!$D$59:$AL$59,MATCH(AC$7&amp;"",'Inputs (2)'!$D$2:$AL$2,0)),"")</f>
        <v/>
      </c>
      <c r="AD31" s="269" t="str">
        <f>IFERROR(INDEX('Inputs (2)'!$D$59:$AL$59,MATCH(AD$7&amp;"",'Inputs (2)'!$D$2:$AL$2,0)),"")</f>
        <v/>
      </c>
      <c r="AE31" s="269" t="str">
        <f>IFERROR(INDEX('Inputs (2)'!$D$59:$AL$59,MATCH(AE$7&amp;"",'Inputs (2)'!$D$2:$AL$2,0)),"")</f>
        <v/>
      </c>
      <c r="AF31" s="269" t="str">
        <f>IFERROR(INDEX('Inputs (2)'!$D$59:$AL$59,MATCH(AF$7&amp;"",'Inputs (2)'!$D$2:$AL$2,0)),"")</f>
        <v/>
      </c>
      <c r="AG31" s="270" t="str">
        <f>IF(COUNT(AC31:AF31)=4,SUM(AC31:AF31),"")</f>
        <v/>
      </c>
      <c r="AH31" s="270" t="str">
        <f>IFERROR(INDEX('Inputs (2)'!$D$59:$AL$59,MATCH(AH$7&amp;"",'Inputs (2)'!$D$2:$AL$2,0)),"")</f>
        <v/>
      </c>
      <c r="AI31" s="270" t="str">
        <f>IFERROR(INDEX('Inputs (2)'!$D$59:$AL$59,MATCH(AI$7&amp;"",'Inputs (2)'!$D$2:$AL$2,0)),"")</f>
        <v/>
      </c>
    </row>
    <row r="32"/>
    <row r="33"/>
    <row r="34"/>
    <row r="35" hidden="1" outlineLevel="1" customFormat="1" s="43">
      <c r="A35" s="36" t="n"/>
      <c r="B35" s="37" t="n"/>
      <c r="C35" s="45" t="n"/>
      <c r="D35" s="39" t="n"/>
      <c r="E35" s="39" t="n"/>
      <c r="F35" s="39" t="n"/>
      <c r="G35" s="39" t="n"/>
      <c r="H35" s="39" t="n"/>
      <c r="I35" s="39" t="n"/>
      <c r="J35" s="39" t="n"/>
      <c r="K35" s="39" t="n"/>
      <c r="L35" s="39" t="n"/>
      <c r="M35" s="39" t="n"/>
      <c r="N35" s="39" t="n"/>
      <c r="O35" s="39" t="n"/>
      <c r="P35" s="39" t="n"/>
      <c r="Q35" s="39" t="n"/>
      <c r="R35" s="39" t="n"/>
      <c r="S35" s="39" t="n"/>
      <c r="T35" s="39" t="n"/>
      <c r="U35" s="39" t="n"/>
      <c r="V35" s="39" t="n"/>
      <c r="W35" s="39" t="n"/>
      <c r="X35" s="39" t="n"/>
      <c r="Y35" s="39" t="n"/>
      <c r="Z35" s="39" t="n"/>
      <c r="AA35" s="39" t="n"/>
      <c r="AB35" s="39" t="n"/>
      <c r="AC35" s="39" t="n"/>
      <c r="AD35" s="39" t="n"/>
      <c r="AE35" s="39" t="n"/>
      <c r="AF35" s="39" t="n"/>
      <c r="AG35" s="39" t="n"/>
      <c r="AH35" s="39" t="n"/>
      <c r="AI35" s="39" t="n"/>
      <c r="AJ35" s="39" t="n"/>
      <c r="AK35" s="39" t="n"/>
      <c r="AL35" s="39" t="n"/>
      <c r="AM35" s="39" t="n"/>
      <c r="AN35" s="39" t="n"/>
      <c r="AO35" s="39" t="n"/>
      <c r="AP35" s="39" t="n"/>
      <c r="AQ35" s="39" t="n"/>
      <c r="AR35" s="39" t="n"/>
      <c r="AS35" s="39" t="n"/>
      <c r="AT35" s="39" t="n"/>
      <c r="AU35" s="39" t="n"/>
      <c r="AV35" s="39" t="n"/>
      <c r="AW35" s="39" t="n"/>
      <c r="AX35" s="39" t="n"/>
      <c r="AY35" s="39" t="n"/>
      <c r="AZ35" s="39" t="n"/>
      <c r="BA35" s="39" t="n"/>
      <c r="BB35" s="39" t="n"/>
      <c r="BC35" s="39" t="n"/>
      <c r="BD35" s="39" t="n"/>
      <c r="BE35" s="39" t="n"/>
      <c r="BF35" s="39" t="n"/>
      <c r="BG35" s="39" t="n"/>
      <c r="BH35" s="39" t="n"/>
      <c r="BI35" s="39" t="n"/>
      <c r="BJ35" s="39" t="n"/>
      <c r="BK35" s="39" t="n"/>
      <c r="BL35" s="39" t="n"/>
      <c r="BM35" s="39" t="n"/>
      <c r="BN35" s="39" t="n"/>
      <c r="BO35" s="39" t="n"/>
      <c r="BP35" s="39" t="n"/>
      <c r="BQ35" s="39" t="n"/>
      <c r="BR35" s="39" t="n"/>
      <c r="BS35" s="39" t="n"/>
      <c r="BT35" s="39" t="n"/>
      <c r="BU35" s="39" t="n"/>
      <c r="BV35" s="39" t="n"/>
      <c r="BW35" s="39" t="n"/>
      <c r="BX35" s="39" t="n"/>
      <c r="BY35" s="39" t="n"/>
      <c r="BZ35" s="39" t="n"/>
      <c r="CA35" s="39" t="n"/>
      <c r="CB35" s="39" t="n"/>
      <c r="CC35" s="39" t="n"/>
      <c r="CD35" s="39" t="n"/>
      <c r="CE35" s="39" t="n"/>
      <c r="CF35" s="39" t="n"/>
      <c r="CG35" s="39" t="n"/>
      <c r="CH35" s="39" t="n"/>
      <c r="CI35" s="39" t="n"/>
      <c r="CJ35" s="39" t="n"/>
      <c r="CK35" s="39" t="n"/>
      <c r="CL35" s="39" t="n"/>
      <c r="CM35" s="39" t="n"/>
      <c r="CN35" s="39" t="n"/>
      <c r="CO35" s="39" t="n"/>
      <c r="CP35" s="39" t="n"/>
      <c r="CQ35" s="39" t="n"/>
      <c r="CR35" s="39" t="n"/>
      <c r="CS35" s="39" t="n"/>
      <c r="CT35" s="39" t="n"/>
      <c r="CU35" s="39" t="n"/>
      <c r="CV35" s="39" t="n"/>
      <c r="CW35" s="39" t="n"/>
      <c r="CX35" s="39" t="n"/>
      <c r="CY35" s="39" t="n"/>
    </row>
    <row r="36" hidden="1" outlineLevel="1" customFormat="1" s="43">
      <c r="A36" s="36" t="n"/>
      <c r="B36" s="37" t="n"/>
      <c r="C36" s="45" t="n"/>
      <c r="D36" s="39" t="n"/>
      <c r="E36" s="39" t="n"/>
      <c r="F36" s="39" t="n"/>
      <c r="G36" s="39" t="n"/>
      <c r="H36" s="39" t="n"/>
      <c r="I36" s="39" t="n"/>
      <c r="J36" s="39" t="n"/>
      <c r="K36" s="39" t="n"/>
      <c r="L36" s="39" t="n"/>
      <c r="M36" s="39" t="n"/>
      <c r="N36" s="39" t="n"/>
      <c r="O36" s="39" t="n"/>
      <c r="P36" s="39" t="n"/>
      <c r="Q36" s="39" t="n"/>
      <c r="R36" s="39" t="n"/>
      <c r="S36" s="39" t="n"/>
      <c r="T36" s="39" t="n"/>
      <c r="U36" s="39" t="n"/>
      <c r="V36" s="39" t="n"/>
      <c r="W36" s="39" t="n"/>
      <c r="X36" s="39" t="n"/>
      <c r="Y36" s="39" t="n"/>
      <c r="Z36" s="39" t="n"/>
      <c r="AA36" s="39" t="n"/>
      <c r="AB36" s="39" t="n"/>
      <c r="AC36" s="39" t="n"/>
      <c r="AD36" s="39" t="n"/>
      <c r="AE36" s="39" t="n"/>
      <c r="AF36" s="39" t="n"/>
      <c r="AG36" s="39" t="n"/>
      <c r="AH36" s="39" t="n"/>
      <c r="AI36" s="39" t="n"/>
      <c r="AJ36" s="39" t="n"/>
      <c r="AK36" s="39" t="n"/>
      <c r="AL36" s="39" t="n"/>
      <c r="AM36" s="39" t="n"/>
      <c r="AN36" s="39" t="n"/>
      <c r="AO36" s="39" t="n"/>
      <c r="AP36" s="39" t="n"/>
      <c r="AQ36" s="39" t="n"/>
      <c r="AR36" s="39" t="n"/>
      <c r="AS36" s="39" t="n"/>
      <c r="AT36" s="39" t="n"/>
      <c r="AU36" s="39" t="n"/>
      <c r="AV36" s="39" t="n"/>
      <c r="AW36" s="39" t="n"/>
      <c r="AX36" s="39" t="n"/>
      <c r="AY36" s="39" t="n"/>
      <c r="AZ36" s="39" t="n"/>
      <c r="BA36" s="39" t="n"/>
      <c r="BB36" s="39" t="n"/>
      <c r="BC36" s="39" t="n"/>
      <c r="BD36" s="39" t="n"/>
      <c r="BE36" s="39" t="n"/>
      <c r="BF36" s="39" t="n"/>
      <c r="BG36" s="39" t="n"/>
      <c r="BH36" s="39" t="n"/>
      <c r="BI36" s="39" t="n"/>
      <c r="BJ36" s="39" t="n"/>
      <c r="BK36" s="39" t="n"/>
      <c r="BL36" s="39" t="n"/>
      <c r="BM36" s="39" t="n"/>
      <c r="BN36" s="39" t="n"/>
      <c r="BO36" s="39" t="n"/>
      <c r="BP36" s="39" t="n"/>
      <c r="BQ36" s="39" t="n"/>
      <c r="BR36" s="39" t="n"/>
      <c r="BS36" s="39" t="n"/>
      <c r="BT36" s="39" t="n"/>
      <c r="BU36" s="39" t="n"/>
      <c r="BV36" s="39" t="n"/>
      <c r="BW36" s="39" t="n"/>
      <c r="BX36" s="39" t="n"/>
      <c r="BY36" s="39" t="n"/>
      <c r="BZ36" s="39" t="n"/>
      <c r="CA36" s="39" t="n"/>
      <c r="CB36" s="39" t="n"/>
      <c r="CC36" s="39" t="n"/>
      <c r="CD36" s="39" t="n"/>
      <c r="CE36" s="39" t="n"/>
      <c r="CF36" s="39" t="n"/>
      <c r="CG36" s="39" t="n"/>
      <c r="CH36" s="39" t="n"/>
      <c r="CI36" s="39" t="n"/>
      <c r="CJ36" s="39" t="n"/>
      <c r="CK36" s="39" t="n"/>
      <c r="CL36" s="39" t="n"/>
      <c r="CM36" s="39" t="n"/>
      <c r="CN36" s="39" t="n"/>
      <c r="CO36" s="39" t="n"/>
      <c r="CP36" s="39" t="n"/>
      <c r="CQ36" s="39" t="n"/>
      <c r="CR36" s="39" t="n"/>
      <c r="CS36" s="39" t="n"/>
      <c r="CT36" s="39" t="n"/>
      <c r="CU36" s="39" t="n"/>
      <c r="CV36" s="39" t="n"/>
      <c r="CW36" s="39" t="n"/>
      <c r="CX36" s="39" t="n"/>
      <c r="CY36" s="39" t="n"/>
    </row>
    <row r="37" collapsed="1">
      <c r="C37" s="13" t="inlineStr">
        <is>
          <t>COGS (cash)</t>
        </is>
      </c>
      <c r="D37" s="46" t="n"/>
      <c r="E37" s="46" t="n"/>
      <c r="F37" s="46" t="n"/>
      <c r="G37" s="46" t="n"/>
      <c r="H37" s="12" t="n"/>
      <c r="I37" s="46">
        <f>'Inputs (2)'!D5</f>
        <v>0</v>
      </c>
      <c r="J37" s="46">
        <f>'Inputs (2)'!E5</f>
        <v>0</v>
      </c>
      <c r="K37" s="46">
        <f>'Inputs (2)'!F5</f>
        <v>0</v>
      </c>
      <c r="L37" s="46">
        <f>'Inputs (2)'!G5</f>
        <v>0</v>
      </c>
      <c r="M37" s="12">
        <f>'Inputs (2)'!H5</f>
        <v>0</v>
      </c>
      <c r="N37" s="46">
        <f>'Inputs (2)'!I5</f>
        <v>0</v>
      </c>
      <c r="O37" s="46">
        <f>'Inputs (2)'!J5</f>
        <v>0</v>
      </c>
      <c r="P37" s="46">
        <f>'Inputs (2)'!K5</f>
        <v>0</v>
      </c>
      <c r="Q37" s="46">
        <f>'Inputs (2)'!L5</f>
        <v>0</v>
      </c>
      <c r="R37" s="12">
        <f>'Inputs (2)'!M5</f>
        <v>0</v>
      </c>
      <c r="S37" s="46">
        <f>'Inputs (2)'!N5</f>
        <v>0</v>
      </c>
      <c r="T37" s="46">
        <f>'Inputs (2)'!O5</f>
        <v>0</v>
      </c>
      <c r="U37" s="46">
        <f>'Inputs (2)'!P5</f>
        <v>0</v>
      </c>
      <c r="V37" s="46">
        <f>'Inputs (2)'!Q5</f>
        <v>0</v>
      </c>
      <c r="W37" s="12">
        <f>'Inputs (2)'!R5</f>
        <v>0</v>
      </c>
      <c r="X37" s="46">
        <f>'Inputs (2)'!S5</f>
        <v>0</v>
      </c>
      <c r="Y37" s="46">
        <f>'Inputs (2)'!T5</f>
        <v>0</v>
      </c>
      <c r="Z37" s="46">
        <f>'Inputs (2)'!U5</f>
        <v>0</v>
      </c>
      <c r="AA37" s="46">
        <f>'Inputs (2)'!V5</f>
        <v>0</v>
      </c>
      <c r="AB37" s="12">
        <f>'Inputs (2)'!W5</f>
        <v>0</v>
      </c>
      <c r="AC37" s="46">
        <f>'Inputs (2)'!X5</f>
        <v>0</v>
      </c>
      <c r="AD37" s="46">
        <f>'Inputs (2)'!Y5</f>
        <v>0</v>
      </c>
      <c r="AE37" s="46">
        <f>'Inputs (2)'!Z5</f>
        <v>0</v>
      </c>
      <c r="AF37" s="46">
        <f>'Inputs (2)'!AA5</f>
        <v>0</v>
      </c>
      <c r="AG37" s="12">
        <f>'Inputs (2)'!AB5</f>
        <v>0</v>
      </c>
      <c r="AH37" s="12">
        <f>'Inputs (2)'!AC5</f>
        <v>0</v>
      </c>
      <c r="AI37" s="12">
        <f>'Inputs (2)'!AD5</f>
        <v>0</v>
      </c>
      <c r="AJ37" s="12">
        <f>-(1-AJ38)*AJ15</f>
        <v>0</v>
      </c>
      <c r="AK37" s="12">
        <f>-(1-AK38)*AK15</f>
        <v>0</v>
      </c>
      <c r="AL37" s="12">
        <f>SUM(AH37:AK37)</f>
        <v>0</v>
      </c>
      <c r="AM37" s="12">
        <f>-(1-AM38)*AM15</f>
        <v>0</v>
      </c>
      <c r="AN37" s="12">
        <f>-(1-AN38)*AN15</f>
        <v>0</v>
      </c>
      <c r="AO37" s="12">
        <f>-(1-AO38)*AO15</f>
        <v>0</v>
      </c>
      <c r="AP37" s="12">
        <f>-(1-AP38)*AP15</f>
        <v>0</v>
      </c>
      <c r="AQ37" s="12">
        <f>SUM(AM37:AP37)</f>
        <v>0</v>
      </c>
      <c r="AR37" s="12">
        <f>-(1-AR38)*AR15</f>
        <v>0</v>
      </c>
      <c r="AS37" s="12">
        <f>-(1-AS38)*AS15</f>
        <v>0</v>
      </c>
      <c r="AT37" s="12">
        <f>-(1-AT38)*AT15</f>
        <v>0</v>
      </c>
      <c r="AU37" s="12">
        <f>-(1-AU38)*AU15</f>
        <v>0</v>
      </c>
      <c r="AV37" s="12">
        <f>SUM(AR37:AU37)</f>
        <v>0</v>
      </c>
      <c r="AW37" s="12">
        <f>-(1-AW38)*AW15</f>
        <v>0</v>
      </c>
      <c r="AX37" s="12">
        <f>-(1-AX38)*AX15</f>
        <v>0</v>
      </c>
      <c r="AY37" s="12">
        <f>-(1-AY38)*AY15</f>
        <v>0</v>
      </c>
      <c r="AZ37" s="12">
        <f>-(1-AZ38)*AZ15</f>
        <v>0</v>
      </c>
      <c r="BA37" s="12">
        <f>SUM(AW37:AZ37)</f>
        <v>0</v>
      </c>
      <c r="BB37" s="12">
        <f>-(1-BB38)*BB15</f>
        <v>0</v>
      </c>
      <c r="BC37" s="12">
        <f>-(1-BC38)*BC15</f>
        <v>0</v>
      </c>
      <c r="BD37" s="12">
        <f>-(1-BD38)*BD15</f>
        <v>0</v>
      </c>
      <c r="BE37" s="12">
        <f>-(1-BE38)*BE15</f>
        <v>0</v>
      </c>
      <c r="BF37" s="12">
        <f>SUM(BB37:BE37)</f>
        <v>0</v>
      </c>
      <c r="BG37" s="12" t="n"/>
      <c r="BH37" s="12" t="n"/>
      <c r="BI37" s="12" t="n"/>
      <c r="BJ37" s="12" t="n"/>
      <c r="BK37" s="12" t="n"/>
      <c r="BL37" s="12" t="n"/>
      <c r="BM37" s="12" t="n"/>
      <c r="BN37" s="12" t="n"/>
      <c r="BO37" s="12" t="n"/>
      <c r="BP37" s="12" t="n"/>
      <c r="BQ37" s="12" t="n"/>
      <c r="BR37" s="12" t="n"/>
      <c r="BS37" s="12" t="n"/>
      <c r="BT37" s="12" t="n"/>
      <c r="BU37" s="12" t="n"/>
      <c r="BV37" s="12" t="n"/>
      <c r="BW37" s="12" t="n"/>
      <c r="BX37" s="12" t="n"/>
      <c r="BY37" s="12" t="n"/>
      <c r="BZ37" s="12" t="n"/>
      <c r="CA37" s="12" t="n"/>
      <c r="CB37" s="12" t="n"/>
      <c r="CC37" s="12" t="n"/>
      <c r="CD37" s="12" t="n"/>
      <c r="CE37" s="12" t="n"/>
      <c r="CF37" s="12" t="n"/>
      <c r="CG37" s="12" t="n"/>
      <c r="CH37" s="12" t="n"/>
      <c r="CI37" s="12" t="n"/>
      <c r="CJ37" s="12" t="n"/>
      <c r="CK37" s="12" t="n"/>
      <c r="CL37" s="12" t="n"/>
      <c r="CM37" s="12" t="n"/>
      <c r="CN37" s="12" t="n"/>
      <c r="CO37" s="12" t="n"/>
      <c r="CP37" s="12" t="n"/>
      <c r="CQ37" s="12" t="n"/>
      <c r="CR37" s="12" t="n"/>
      <c r="CS37" s="12" t="n"/>
      <c r="CT37" s="12" t="n"/>
      <c r="CU37" s="12" t="n"/>
      <c r="CV37" s="12" t="n"/>
      <c r="CW37" s="12" t="n"/>
      <c r="CX37" s="12" t="n"/>
      <c r="CY37" s="12" t="n"/>
    </row>
    <row r="38" hidden="1" outlineLevel="1" customFormat="1" s="3">
      <c r="C38" s="47" t="inlineStr">
        <is>
          <t>% Gross Margin</t>
        </is>
      </c>
      <c r="D38" s="48" t="n"/>
      <c r="E38" s="48" t="n"/>
      <c r="F38" s="48" t="n"/>
      <c r="G38" s="48" t="n"/>
      <c r="H38" s="48" t="n"/>
      <c r="I38" s="48">
        <f>IFERROR((I15+I37)/I$15,"")</f>
        <v>1</v>
      </c>
      <c r="J38" s="48">
        <f>IFERROR((J15+J37)/J$15,"")</f>
        <v>1</v>
      </c>
      <c r="K38" s="48">
        <f>IFERROR((K15+K37)/K$15,"")</f>
        <v>1</v>
      </c>
      <c r="L38" s="48">
        <f>IFERROR((L15+L37)/L$15,"")</f>
        <v>1</v>
      </c>
      <c r="M38" s="48">
        <f>IFERROR((M15+M37)/M$15,"")</f>
        <v>1</v>
      </c>
      <c r="N38" s="48">
        <f>IFERROR((N15+N37)/N$15,"")</f>
        <v>1</v>
      </c>
      <c r="O38" s="48">
        <f>IFERROR((O15+O37)/O$15,"")</f>
        <v>1</v>
      </c>
      <c r="P38" s="48">
        <f>IFERROR((P15+P37)/P$15,"")</f>
        <v>1</v>
      </c>
      <c r="Q38" s="48">
        <f>IFERROR((Q15+Q37)/Q$15,"")</f>
        <v>1</v>
      </c>
      <c r="R38" s="48">
        <f>IFERROR((R15+R37)/R$15,"")</f>
        <v>1</v>
      </c>
      <c r="S38" s="48">
        <f>IFERROR((S15+S37)/S$15,"")</f>
        <v>1</v>
      </c>
      <c r="T38" s="48">
        <f>IFERROR((T15+T37)/T$15,"")</f>
        <v>1</v>
      </c>
      <c r="U38" s="48">
        <f>IFERROR((U15+U37)/U$15,"")</f>
        <v>1</v>
      </c>
      <c r="V38" s="48">
        <f>IFERROR((V15+V37)/V$15,"")</f>
        <v>1</v>
      </c>
      <c r="W38" s="48">
        <f>IFERROR((W15+W37)/W$15,"")</f>
        <v>1</v>
      </c>
      <c r="X38" s="48">
        <f>IFERROR((X15+X37)/X$15,"")</f>
        <v>1</v>
      </c>
      <c r="Y38" s="48">
        <f>IFERROR((Y15+Y37)/Y$15,"")</f>
        <v>1</v>
      </c>
      <c r="Z38" s="48">
        <f>IFERROR((Z15+Z37)/Z$15,"")</f>
        <v>1</v>
      </c>
      <c r="AA38" s="48">
        <f>IFERROR((AA15+AA37)/AA$15,"")</f>
        <v>1</v>
      </c>
      <c r="AB38" s="48">
        <f>IFERROR((AB15+AB37)/AB$15,"")</f>
        <v>1</v>
      </c>
      <c r="AC38" s="48">
        <f>IFERROR((AC15+AC37)/AC$15,"")</f>
        <v>1</v>
      </c>
      <c r="AD38" s="48">
        <f>IFERROR((AD15+AD37)/AD$15,"")</f>
        <v>1</v>
      </c>
      <c r="AE38" s="48">
        <f>IFERROR((AE15+AE37)/AE$15,"")</f>
        <v>1</v>
      </c>
      <c r="AF38" s="41">
        <f>IFERROR((AF15+AF37)/AF$15,"")</f>
        <v>1</v>
      </c>
      <c r="AG38" s="48">
        <f>IFERROR((AG15+AG37)/AG$15,"")</f>
        <v>1</v>
      </c>
      <c r="AH38" s="49">
        <f>IFERROR((AH15+AH37)/AH$15,"")</f>
        <v>1</v>
      </c>
      <c r="AI38" s="49">
        <f>IFERROR((AI15+AI37)/AI$15,"")</f>
        <v>1</v>
      </c>
      <c r="AJ38" s="49">
        <f>Control!$B$19</f>
        <v>1</v>
      </c>
      <c r="AK38" s="49">
        <f>Control!$B$19</f>
        <v>1</v>
      </c>
      <c r="AL38" s="48">
        <f>IFERROR((AL15+AL37)/AL$15,"")</f>
        <v>1</v>
      </c>
      <c r="AM38" s="49">
        <f>Control!$C$19</f>
        <v>1</v>
      </c>
      <c r="AN38" s="49">
        <f>Control!$C$19</f>
        <v>1</v>
      </c>
      <c r="AO38" s="49">
        <f>Control!$C$19</f>
        <v>1</v>
      </c>
      <c r="AP38" s="49">
        <f>Control!$C$19</f>
        <v>1</v>
      </c>
      <c r="AQ38" s="48">
        <f>IFERROR((AQ15+AQ37)/AQ$15,"")</f>
        <v>1</v>
      </c>
      <c r="AR38" s="49">
        <f>Control!$D$19</f>
        <v>1</v>
      </c>
      <c r="AS38" s="49">
        <f>Control!$D$19</f>
        <v>1</v>
      </c>
      <c r="AT38" s="49">
        <f>Control!$D$19</f>
        <v>1</v>
      </c>
      <c r="AU38" s="49">
        <f>Control!$D$19</f>
        <v>1</v>
      </c>
      <c r="AV38" s="48">
        <f>IFERROR((AV15+AV37)/AV$15,"")</f>
        <v>1</v>
      </c>
      <c r="AW38" s="49">
        <f>Control!$E$19</f>
        <v>1</v>
      </c>
      <c r="AX38" s="49">
        <f>Control!$E$19</f>
        <v>1</v>
      </c>
      <c r="AY38" s="49">
        <f>Control!$E$19</f>
        <v>1</v>
      </c>
      <c r="AZ38" s="49">
        <f>Control!$E$19</f>
        <v>1</v>
      </c>
      <c r="BA38" s="48">
        <f>IFERROR((BA15+BA37)/BA$15,"")</f>
        <v>1</v>
      </c>
      <c r="BB38" s="49">
        <f>Control!$F$19</f>
        <v>1</v>
      </c>
      <c r="BC38" s="49">
        <f>Control!$F$19</f>
        <v>1</v>
      </c>
      <c r="BD38" s="49">
        <f>Control!$F$19</f>
        <v>1</v>
      </c>
      <c r="BE38" s="49">
        <f>Control!$F$19</f>
        <v>1</v>
      </c>
      <c r="BF38" s="48">
        <f>IFERROR((BF15+BF37)/BF$15,"")</f>
        <v>1</v>
      </c>
      <c r="BG38" s="49" t="n"/>
      <c r="BH38" s="49" t="n"/>
      <c r="BI38" s="49" t="n"/>
      <c r="BJ38" s="49" t="n"/>
      <c r="BK38" s="48" t="n"/>
      <c r="BL38" s="49" t="n"/>
      <c r="BM38" s="49" t="n"/>
      <c r="BN38" s="49" t="n"/>
      <c r="BO38" s="49" t="n"/>
      <c r="BP38" s="48" t="n"/>
      <c r="BQ38" s="49" t="n"/>
      <c r="BR38" s="49" t="n"/>
      <c r="BS38" s="49" t="n"/>
      <c r="BT38" s="49" t="n"/>
      <c r="BU38" s="48" t="n"/>
      <c r="BV38" s="49" t="n"/>
      <c r="BW38" s="49" t="n"/>
      <c r="BX38" s="49" t="n"/>
      <c r="BY38" s="49" t="n"/>
      <c r="BZ38" s="48" t="n"/>
      <c r="CA38" s="49" t="n"/>
      <c r="CB38" s="49" t="n"/>
      <c r="CC38" s="49" t="n"/>
      <c r="CD38" s="49" t="n"/>
      <c r="CE38" s="48" t="n"/>
      <c r="CF38" s="49" t="n"/>
      <c r="CG38" s="49" t="n"/>
      <c r="CH38" s="49" t="n"/>
      <c r="CI38" s="49" t="n"/>
      <c r="CJ38" s="48" t="n"/>
      <c r="CK38" s="49" t="n"/>
      <c r="CL38" s="49" t="n"/>
      <c r="CM38" s="49" t="n"/>
      <c r="CN38" s="49" t="n"/>
      <c r="CO38" s="48" t="n"/>
      <c r="CP38" s="49" t="n"/>
      <c r="CQ38" s="49" t="n"/>
      <c r="CR38" s="49" t="n"/>
      <c r="CS38" s="49" t="n"/>
      <c r="CT38" s="48" t="n"/>
      <c r="CU38" s="49" t="n"/>
      <c r="CV38" s="49" t="n"/>
      <c r="CW38" s="49" t="n"/>
      <c r="CX38" s="49" t="n"/>
      <c r="CY38" s="48" t="n"/>
    </row>
    <row r="39" hidden="1" outlineLevel="1">
      <c r="C39" s="50" t="n"/>
      <c r="D39" s="50" t="n"/>
      <c r="E39" s="50" t="n"/>
      <c r="F39" s="50" t="n"/>
      <c r="G39" s="50" t="n"/>
      <c r="H39" s="50" t="n"/>
      <c r="I39" s="50" t="n"/>
      <c r="J39" s="50" t="n"/>
      <c r="K39" s="50" t="n"/>
      <c r="L39" s="50" t="n"/>
      <c r="M39" s="50" t="n"/>
      <c r="N39" s="50" t="n"/>
      <c r="O39" s="50" t="n"/>
      <c r="P39" s="50" t="n"/>
      <c r="Q39" s="50" t="n"/>
      <c r="R39" s="50" t="n"/>
      <c r="S39" s="50" t="n"/>
      <c r="T39" s="50" t="n"/>
      <c r="U39" s="50" t="n"/>
      <c r="V39" s="50" t="n"/>
      <c r="W39" s="50" t="n"/>
      <c r="X39" s="50" t="n"/>
      <c r="Y39" s="50" t="n"/>
      <c r="Z39" s="50" t="n"/>
      <c r="AA39" s="50" t="n"/>
      <c r="AB39" s="50" t="n"/>
      <c r="AC39" s="50" t="n"/>
      <c r="AD39" s="50" t="n"/>
      <c r="AE39" s="50" t="n"/>
      <c r="AF39" s="50" t="n"/>
      <c r="AG39" s="50" t="n"/>
      <c r="AH39" s="50" t="n"/>
      <c r="AI39" s="50" t="n"/>
      <c r="AJ39" s="50" t="n"/>
      <c r="AK39" s="50" t="n"/>
      <c r="AL39" s="50" t="n"/>
      <c r="AM39" s="50" t="n"/>
      <c r="AN39" s="50" t="n"/>
      <c r="AO39" s="50" t="n"/>
      <c r="AP39" s="50" t="n"/>
      <c r="AQ39" s="50" t="n"/>
      <c r="AR39" s="50" t="n"/>
      <c r="AS39" s="50" t="n"/>
      <c r="AT39" s="50" t="n"/>
      <c r="AU39" s="50" t="n"/>
      <c r="AV39" s="50" t="n"/>
      <c r="AW39" s="50" t="n"/>
      <c r="AX39" s="50" t="n"/>
      <c r="AY39" s="50" t="n"/>
      <c r="AZ39" s="50" t="n"/>
      <c r="BA39" s="50" t="n"/>
      <c r="BB39" s="50" t="n"/>
      <c r="BC39" s="50" t="n"/>
      <c r="BD39" s="50" t="n"/>
      <c r="BE39" s="50" t="n"/>
      <c r="BF39" s="50" t="n"/>
      <c r="BG39" s="50" t="n"/>
      <c r="BH39" s="50" t="n"/>
      <c r="BI39" s="50" t="n"/>
      <c r="BJ39" s="50" t="n"/>
      <c r="BK39" s="50" t="n"/>
      <c r="BL39" s="50" t="n"/>
      <c r="BM39" s="50" t="n"/>
      <c r="BN39" s="50" t="n"/>
      <c r="BO39" s="50" t="n"/>
      <c r="BP39" s="50" t="n"/>
      <c r="BQ39" s="50" t="n"/>
      <c r="BR39" s="50" t="n"/>
      <c r="BS39" s="50" t="n"/>
      <c r="BT39" s="50" t="n"/>
      <c r="BU39" s="50" t="n"/>
      <c r="BV39" s="50" t="n"/>
      <c r="BW39" s="50" t="n"/>
      <c r="BX39" s="50" t="n"/>
      <c r="BY39" s="50" t="n"/>
      <c r="BZ39" s="50" t="n"/>
      <c r="CA39" s="50" t="n"/>
      <c r="CB39" s="50" t="n"/>
      <c r="CC39" s="50" t="n"/>
      <c r="CD39" s="50" t="n"/>
      <c r="CE39" s="50" t="n"/>
      <c r="CF39" s="50" t="n"/>
      <c r="CG39" s="50" t="n"/>
      <c r="CH39" s="50" t="n"/>
      <c r="CI39" s="50" t="n"/>
      <c r="CJ39" s="50" t="n"/>
      <c r="CK39" s="50" t="n"/>
      <c r="CL39" s="50" t="n"/>
      <c r="CM39" s="50" t="n"/>
      <c r="CN39" s="50" t="n"/>
      <c r="CO39" s="50" t="n"/>
      <c r="CP39" s="50" t="n"/>
      <c r="CQ39" s="50" t="n"/>
      <c r="CR39" s="50" t="n"/>
      <c r="CS39" s="50" t="n"/>
      <c r="CT39" s="50" t="n"/>
      <c r="CU39" s="50" t="n"/>
      <c r="CV39" s="50" t="n"/>
      <c r="CW39" s="50" t="n"/>
      <c r="CX39" s="50" t="n"/>
      <c r="CY39" s="50" t="n"/>
    </row>
    <row r="40" hidden="1" outlineLevel="1">
      <c r="C40" s="50" t="n"/>
      <c r="D40" s="50" t="n"/>
      <c r="E40" s="50" t="n"/>
      <c r="F40" s="50" t="n"/>
      <c r="G40" s="50" t="n"/>
      <c r="H40" s="50" t="n"/>
      <c r="I40" s="50" t="n"/>
      <c r="J40" s="50" t="n"/>
      <c r="K40" s="50" t="n"/>
      <c r="L40" s="50" t="n"/>
      <c r="M40" s="50" t="n"/>
      <c r="N40" s="50" t="n"/>
      <c r="O40" s="50" t="n"/>
      <c r="P40" s="50" t="n"/>
      <c r="Q40" s="50" t="n"/>
      <c r="R40" s="50" t="n"/>
      <c r="S40" s="50" t="n"/>
      <c r="T40" s="50" t="n"/>
      <c r="U40" s="50" t="n"/>
      <c r="V40" s="50" t="n"/>
      <c r="W40" s="50" t="n"/>
      <c r="X40" s="50" t="n"/>
      <c r="Y40" s="50" t="n"/>
      <c r="Z40" s="50" t="n"/>
      <c r="AA40" s="50" t="n"/>
      <c r="AB40" s="50" t="n"/>
      <c r="AC40" s="50" t="n"/>
      <c r="AD40" s="50" t="n"/>
      <c r="AE40" s="50" t="n"/>
      <c r="AF40" s="50" t="n"/>
      <c r="AG40" s="50" t="n"/>
      <c r="AH40" s="50" t="n"/>
      <c r="AI40" s="50" t="n"/>
      <c r="AJ40" s="50" t="n"/>
      <c r="AK40" s="50" t="n"/>
      <c r="AL40" s="50" t="n"/>
      <c r="AM40" s="50" t="n"/>
      <c r="AN40" s="50" t="n"/>
      <c r="AO40" s="50" t="n"/>
      <c r="AP40" s="50" t="n"/>
      <c r="AQ40" s="50" t="n"/>
      <c r="AR40" s="50" t="n"/>
      <c r="AS40" s="50" t="n"/>
      <c r="AT40" s="50" t="n"/>
      <c r="AU40" s="50" t="n"/>
      <c r="AV40" s="50" t="n"/>
      <c r="AW40" s="50" t="n"/>
      <c r="AX40" s="50" t="n"/>
      <c r="AY40" s="50" t="n"/>
      <c r="AZ40" s="50" t="n"/>
      <c r="BA40" s="50" t="n"/>
      <c r="BB40" s="50" t="n"/>
      <c r="BC40" s="50" t="n"/>
      <c r="BD40" s="50" t="n"/>
      <c r="BE40" s="50" t="n"/>
      <c r="BF40" s="50" t="n"/>
      <c r="BG40" s="50" t="n"/>
      <c r="BH40" s="50" t="n"/>
      <c r="BI40" s="50" t="n"/>
      <c r="BJ40" s="50" t="n"/>
      <c r="BK40" s="50" t="n"/>
      <c r="BL40" s="50" t="n"/>
      <c r="BM40" s="50" t="n"/>
      <c r="BN40" s="50" t="n"/>
      <c r="BO40" s="50" t="n"/>
      <c r="BP40" s="50" t="n"/>
      <c r="BQ40" s="50" t="n"/>
      <c r="BR40" s="50" t="n"/>
      <c r="BS40" s="50" t="n"/>
      <c r="BT40" s="50" t="n"/>
      <c r="BU40" s="50" t="n"/>
      <c r="BV40" s="50" t="n"/>
      <c r="BW40" s="50" t="n"/>
      <c r="BX40" s="50" t="n"/>
      <c r="BY40" s="50" t="n"/>
      <c r="BZ40" s="50" t="n"/>
      <c r="CA40" s="50" t="n"/>
      <c r="CB40" s="50" t="n"/>
      <c r="CC40" s="50" t="n"/>
      <c r="CD40" s="50" t="n"/>
      <c r="CE40" s="50" t="n"/>
      <c r="CF40" s="50" t="n"/>
      <c r="CG40" s="50" t="n"/>
      <c r="CH40" s="50" t="n"/>
      <c r="CI40" s="50" t="n"/>
      <c r="CJ40" s="50" t="n"/>
      <c r="CK40" s="50" t="n"/>
      <c r="CL40" s="50" t="n"/>
      <c r="CM40" s="50" t="n"/>
      <c r="CN40" s="50" t="n"/>
      <c r="CO40" s="50" t="n"/>
      <c r="CP40" s="50" t="n"/>
      <c r="CQ40" s="50" t="n"/>
      <c r="CR40" s="50" t="n"/>
      <c r="CS40" s="50" t="n"/>
      <c r="CT40" s="50" t="n"/>
      <c r="CU40" s="50" t="n"/>
      <c r="CV40" s="50" t="n"/>
      <c r="CW40" s="50" t="n"/>
      <c r="CX40" s="50" t="n"/>
      <c r="CY40" s="50" t="n"/>
    </row>
    <row r="41" collapsed="1">
      <c r="C41" s="13" t="inlineStr">
        <is>
          <t>SG&amp;A and Other (cash)</t>
        </is>
      </c>
      <c r="D41" s="46" t="n"/>
      <c r="E41" s="46" t="n"/>
      <c r="F41" s="46" t="n"/>
      <c r="G41" s="46" t="n"/>
      <c r="H41" s="12" t="n"/>
      <c r="I41" s="46">
        <f>'Inputs (2)'!D6</f>
        <v>-1795</v>
      </c>
      <c r="J41" s="46">
        <f>'Inputs (2)'!E6</f>
        <v>-2001</v>
      </c>
      <c r="K41" s="46">
        <f>'Inputs (2)'!F6</f>
        <v>-2080</v>
      </c>
      <c r="L41" s="46">
        <f>'Inputs (2)'!G6</f>
        <v>-2200</v>
      </c>
      <c r="M41" s="12">
        <f>'Inputs (2)'!H6</f>
        <v>-8076</v>
      </c>
      <c r="N41" s="46">
        <f>'Inputs (2)'!I6</f>
        <v>-2025</v>
      </c>
      <c r="O41" s="46">
        <f>'Inputs (2)'!J6</f>
        <v>-2290</v>
      </c>
      <c r="P41" s="46">
        <f>'Inputs (2)'!K6</f>
        <v>-2459</v>
      </c>
      <c r="Q41" s="46">
        <f>'Inputs (2)'!L6</f>
        <v>-2449</v>
      </c>
      <c r="R41" s="12">
        <f>'Inputs (2)'!M6</f>
        <v>-9223</v>
      </c>
      <c r="S41" s="46">
        <f>'Inputs (2)'!N6</f>
        <v>-2421</v>
      </c>
      <c r="T41" s="46">
        <f>'Inputs (2)'!O6</f>
        <v>-2421</v>
      </c>
      <c r="U41" s="46">
        <f>'Inputs (2)'!P6</f>
        <v>-2478</v>
      </c>
      <c r="V41" s="46">
        <f>'Inputs (2)'!Q6</f>
        <v>-2971</v>
      </c>
      <c r="W41" s="12">
        <f>'Inputs (2)'!R6</f>
        <v>-10291</v>
      </c>
      <c r="X41" s="46">
        <f>'Inputs (2)'!S6</f>
        <v>-2528</v>
      </c>
      <c r="Y41" s="46">
        <f>'Inputs (2)'!T6</f>
        <v>-2700</v>
      </c>
      <c r="Z41" s="46">
        <f>'Inputs (2)'!U6</f>
        <v>-3140</v>
      </c>
      <c r="AA41" s="46">
        <f>'Inputs (2)'!V6</f>
        <v>-3320</v>
      </c>
      <c r="AB41" s="12">
        <f>'Inputs (2)'!W6</f>
        <v>-11688</v>
      </c>
      <c r="AC41" s="46">
        <f>'Inputs (2)'!X6</f>
        <v>-2826</v>
      </c>
      <c r="AD41" s="46">
        <f>'Inputs (2)'!Y6</f>
        <v>-3075</v>
      </c>
      <c r="AE41" s="46">
        <f>'Inputs (2)'!Z6</f>
        <v>-3251</v>
      </c>
      <c r="AF41" s="46">
        <f>'Inputs (2)'!AA6</f>
        <v>-3599</v>
      </c>
      <c r="AG41" s="12">
        <f>'Inputs (2)'!AB6</f>
        <v>-12751</v>
      </c>
      <c r="AH41" s="12">
        <f>'Inputs (2)'!AC6</f>
        <v>-3192</v>
      </c>
      <c r="AI41" s="12">
        <f>'Inputs (2)'!AD6</f>
        <v>-3381</v>
      </c>
      <c r="AJ41" s="12">
        <f>-AJ15*AJ42</f>
        <v>-3819.41346830844</v>
      </c>
      <c r="AK41" s="12">
        <f>-AK15*AK42</f>
        <v>-3909.99244384145</v>
      </c>
      <c r="AL41" s="12">
        <f>SUM(AH41:AK41)</f>
        <v>-14302.4059121499</v>
      </c>
      <c r="AM41" s="12">
        <f>-AM15*AM42</f>
        <v>-3728.83449277544</v>
      </c>
      <c r="AN41" s="12">
        <f>-AN15*AN42</f>
        <v>-4119.12331382207</v>
      </c>
      <c r="AO41" s="12">
        <f>-AO15*AO42</f>
        <v>-4425.83793519584</v>
      </c>
      <c r="AP41" s="12">
        <f>-AP15*AP42</f>
        <v>-4530.79851863922</v>
      </c>
      <c r="AQ41" s="12">
        <f>SUM(AM41:AP41)</f>
        <v>-16804.5942604326</v>
      </c>
      <c r="AR41" s="12">
        <f>-AR15*AR42</f>
        <v>-4302.23317928859</v>
      </c>
      <c r="AS41" s="12">
        <f>-AS15*AS42</f>
        <v>-4752.53836678498</v>
      </c>
      <c r="AT41" s="12">
        <f>-AT15*AT42</f>
        <v>-5106.41779565312</v>
      </c>
      <c r="AU41" s="12">
        <f>-AU15*AU42</f>
        <v>-5227.51861294133</v>
      </c>
      <c r="AV41" s="12">
        <f>SUM(AR41:AU41)</f>
        <v>-19388.707954668</v>
      </c>
      <c r="AW41" s="12">
        <f>-AW15*AW42</f>
        <v>-4942.29464657201</v>
      </c>
      <c r="AX41" s="12">
        <f>-AX15*AX42</f>
        <v>-5459.59364565951</v>
      </c>
      <c r="AY41" s="12">
        <f>-AY15*AY42</f>
        <v>-5866.12121725808</v>
      </c>
      <c r="AZ41" s="12">
        <f>-AZ15*AZ42</f>
        <v>-6005.23871648159</v>
      </c>
      <c r="BA41" s="12">
        <f>SUM(AW41:AZ41)</f>
        <v>-22273.2482259712</v>
      </c>
      <c r="BB41" s="12">
        <f>-BB15*BB42</f>
        <v>-5652.86929833599</v>
      </c>
      <c r="BC41" s="12">
        <f>-BC15*BC42</f>
        <v>-6244.54256735687</v>
      </c>
      <c r="BD41" s="12">
        <f>-BD15*BD42</f>
        <v>-6709.51833119777</v>
      </c>
      <c r="BE41" s="12">
        <f>-BE15*BE42</f>
        <v>-6868.63734300483</v>
      </c>
      <c r="BF41" s="12">
        <f>SUM(BB41:BE41)</f>
        <v>-25475.5675398955</v>
      </c>
      <c r="BG41" s="12" t="n"/>
      <c r="BH41" s="12" t="n"/>
      <c r="BI41" s="12" t="n"/>
      <c r="BJ41" s="12" t="n"/>
      <c r="BK41" s="12" t="n"/>
      <c r="BL41" s="12" t="n"/>
      <c r="BM41" s="12" t="n"/>
      <c r="BN41" s="12" t="n"/>
      <c r="BO41" s="12" t="n"/>
      <c r="BP41" s="12" t="n"/>
      <c r="BQ41" s="12" t="n"/>
      <c r="BR41" s="12" t="n"/>
      <c r="BS41" s="12" t="n"/>
      <c r="BT41" s="12" t="n"/>
      <c r="BU41" s="12" t="n"/>
      <c r="BV41" s="12" t="n"/>
      <c r="BW41" s="12" t="n"/>
      <c r="BX41" s="12" t="n"/>
      <c r="BY41" s="12" t="n"/>
      <c r="BZ41" s="12" t="n"/>
      <c r="CA41" s="12" t="n"/>
      <c r="CB41" s="12" t="n"/>
      <c r="CC41" s="12" t="n"/>
      <c r="CD41" s="12" t="n"/>
      <c r="CE41" s="12" t="n"/>
      <c r="CF41" s="12" t="n"/>
      <c r="CG41" s="12" t="n"/>
      <c r="CH41" s="12" t="n"/>
      <c r="CI41" s="12" t="n"/>
      <c r="CJ41" s="12" t="n"/>
      <c r="CK41" s="12" t="n"/>
      <c r="CL41" s="12" t="n"/>
      <c r="CM41" s="12" t="n"/>
      <c r="CN41" s="12" t="n"/>
      <c r="CO41" s="12" t="n"/>
      <c r="CP41" s="12" t="n"/>
      <c r="CQ41" s="12" t="n"/>
      <c r="CR41" s="12" t="n"/>
      <c r="CS41" s="12" t="n"/>
      <c r="CT41" s="12" t="n"/>
      <c r="CU41" s="12" t="n"/>
      <c r="CV41" s="12" t="n"/>
      <c r="CW41" s="12" t="n"/>
      <c r="CX41" s="12" t="n"/>
      <c r="CY41" s="12" t="n"/>
    </row>
    <row r="42" hidden="1" outlineLevel="1">
      <c r="C42" s="38" t="inlineStr">
        <is>
          <t>% SG&amp;A and Other Margin</t>
        </is>
      </c>
      <c r="D42" s="51" t="n"/>
      <c r="E42" s="51" t="n"/>
      <c r="F42" s="51" t="n"/>
      <c r="G42" s="51" t="n"/>
      <c r="H42" s="51" t="n"/>
      <c r="I42" s="51">
        <f>IFERROR(-(I41/I$15),"")</f>
        <v>0.432009626955475</v>
      </c>
      <c r="J42" s="51">
        <f>IFERROR(-(J41/J$15),"")</f>
        <v>0.441916961130742</v>
      </c>
      <c r="K42" s="51">
        <f>IFERROR(-(K41/K$15),"")</f>
        <v>0.417251755265797</v>
      </c>
      <c r="L42" s="51">
        <f>IFERROR(-(L41/L$15),"")</f>
        <v>0.421779141104295</v>
      </c>
      <c r="M42" s="51">
        <f>IFERROR(-(M41/M$15),"")</f>
        <v>0.42766363058674</v>
      </c>
      <c r="N42" s="51">
        <f>IFERROR(-(N41/N$15),"")</f>
        <v>0.391910199341978</v>
      </c>
      <c r="O42" s="51">
        <f>IFERROR(-(O41/O$15),"")</f>
        <v>0.416590867746043</v>
      </c>
      <c r="P42" s="51">
        <f>IFERROR(-(P41/P$15),"")</f>
        <v>0.427206393328701</v>
      </c>
      <c r="Q42" s="51">
        <f>IFERROR(-(Q41/Q$15),"")</f>
        <v>0.421007392126526</v>
      </c>
      <c r="R42" s="51">
        <f>IFERROR(-(R41/R$15),"")</f>
        <v>0.414759185141881</v>
      </c>
      <c r="S42" s="51">
        <f>IFERROR(-(S41/S$15),"")</f>
        <v>0.421189979123173</v>
      </c>
      <c r="T42" s="51">
        <f>IFERROR(-(T41/T$15),"")</f>
        <v>0.386185994576488</v>
      </c>
      <c r="U42" s="51">
        <f>IFERROR(-(U41/U$15),"")</f>
        <v>0.37930506658503</v>
      </c>
      <c r="V42" s="51">
        <f>IFERROR(-(V41/V$15),"")</f>
        <v>0.45372632864997</v>
      </c>
      <c r="W42" s="51">
        <f>IFERROR(-(W41/W$15),"")</f>
        <v>0.41003267192605</v>
      </c>
      <c r="X42" s="51">
        <f>IFERROR(-(X41/X$15),"")</f>
        <v>0.398235664776308</v>
      </c>
      <c r="Y42" s="51">
        <f>IFERROR(-(Y41/Y$15),"")</f>
        <v>0.387875305272231</v>
      </c>
      <c r="Z42" s="51">
        <f>IFERROR(-(Z41/Z$15),"")</f>
        <v>0.426109377120369</v>
      </c>
      <c r="AA42" s="51">
        <f>IFERROR(-(AA41/AA$15),"")</f>
        <v>0.443316864734945</v>
      </c>
      <c r="AB42" s="51">
        <f>IFERROR(-(AB41/AB$15),"")</f>
        <v>0.414953669187347</v>
      </c>
      <c r="AC42" s="51">
        <f>IFERROR(-(AC41/AC$15),"")</f>
        <v>0.389793103448276</v>
      </c>
      <c r="AD42" s="51">
        <f>IFERROR(-(AD41/AD$15),"")</f>
        <v>0.378089265953523</v>
      </c>
      <c r="AE42" s="51">
        <f>IFERROR(-(AE41/AE$15),"")</f>
        <v>0.377935363868868</v>
      </c>
      <c r="AF42" s="41">
        <f>IFERROR(-(AF41/AF$15),"")</f>
        <v>0.408698614580968</v>
      </c>
      <c r="AG42" s="51">
        <f>IFERROR(-(AG41/AG$15),"")</f>
        <v>0.38885669848434</v>
      </c>
      <c r="AH42" s="52">
        <f>IFERROR(-(AH41/AH$15),"")</f>
        <v>0.380090497737557</v>
      </c>
      <c r="AI42" s="52">
        <f>IFERROR(-(AI41/AI$15),"")</f>
        <v>0.364449714347311</v>
      </c>
      <c r="AJ42" s="52">
        <f>Control!$B$20</f>
        <v>0.38317609332275</v>
      </c>
      <c r="AK42" s="52">
        <f>Control!$B$20</f>
        <v>0.38317609332275</v>
      </c>
      <c r="AL42" s="51">
        <f>IFERROR(-(AL41/AL$15),"")</f>
        <v>0.377901229907646</v>
      </c>
      <c r="AM42" s="52">
        <f>Control!$C$20</f>
        <v>0.38317609332275</v>
      </c>
      <c r="AN42" s="52">
        <f>Control!$C$20</f>
        <v>0.38317609332275</v>
      </c>
      <c r="AO42" s="52">
        <f>Control!$C$20</f>
        <v>0.38317609332275</v>
      </c>
      <c r="AP42" s="52">
        <f>Control!$C$20</f>
        <v>0.38317609332275</v>
      </c>
      <c r="AQ42" s="51">
        <f>IFERROR(-(AQ41/AQ$15),"")</f>
        <v>0.38317609332275</v>
      </c>
      <c r="AR42" s="52">
        <f>Control!$D$20</f>
        <v>0.38317609332275</v>
      </c>
      <c r="AS42" s="52">
        <f>Control!$D$20</f>
        <v>0.38317609332275</v>
      </c>
      <c r="AT42" s="52">
        <f>Control!$D$20</f>
        <v>0.38317609332275</v>
      </c>
      <c r="AU42" s="52">
        <f>Control!$D$20</f>
        <v>0.38317609332275</v>
      </c>
      <c r="AV42" s="51">
        <f>IFERROR(-(AV41/AV$15),"")</f>
        <v>0.38317609332275</v>
      </c>
      <c r="AW42" s="52">
        <f>Control!$E$20</f>
        <v>0.38317609332275</v>
      </c>
      <c r="AX42" s="52">
        <f>Control!$E$20</f>
        <v>0.38317609332275</v>
      </c>
      <c r="AY42" s="52">
        <f>Control!$E$20</f>
        <v>0.38317609332275</v>
      </c>
      <c r="AZ42" s="52">
        <f>Control!$E$20</f>
        <v>0.38317609332275</v>
      </c>
      <c r="BA42" s="51">
        <f>IFERROR(-(BA41/BA$15),"")</f>
        <v>0.38317609332275</v>
      </c>
      <c r="BB42" s="52">
        <f>Control!$F$20</f>
        <v>0.38317609332275</v>
      </c>
      <c r="BC42" s="52">
        <f>Control!$F$20</f>
        <v>0.38317609332275</v>
      </c>
      <c r="BD42" s="52">
        <f>Control!$F$20</f>
        <v>0.38317609332275</v>
      </c>
      <c r="BE42" s="52">
        <f>Control!$F$20</f>
        <v>0.38317609332275</v>
      </c>
      <c r="BF42" s="51">
        <f>IFERROR(-(BF41/BF$15),"")</f>
        <v>0.38317609332275</v>
      </c>
      <c r="BG42" s="52" t="n"/>
      <c r="BH42" s="52" t="n"/>
      <c r="BI42" s="52" t="n"/>
      <c r="BJ42" s="52" t="n"/>
      <c r="BK42" s="51" t="n"/>
      <c r="BL42" s="52" t="n"/>
      <c r="BM42" s="52" t="n"/>
      <c r="BN42" s="52" t="n"/>
      <c r="BO42" s="52" t="n"/>
      <c r="BP42" s="51" t="n"/>
      <c r="BQ42" s="52" t="n"/>
      <c r="BR42" s="52" t="n"/>
      <c r="BS42" s="52" t="n"/>
      <c r="BT42" s="52" t="n"/>
      <c r="BU42" s="51" t="n"/>
      <c r="BV42" s="52" t="n"/>
      <c r="BW42" s="52" t="n"/>
      <c r="BX42" s="52" t="n"/>
      <c r="BY42" s="52" t="n"/>
      <c r="BZ42" s="51" t="n"/>
      <c r="CA42" s="52" t="n"/>
      <c r="CB42" s="52" t="n"/>
      <c r="CC42" s="52" t="n"/>
      <c r="CD42" s="52" t="n"/>
      <c r="CE42" s="51" t="n"/>
      <c r="CF42" s="52" t="n"/>
      <c r="CG42" s="52" t="n"/>
      <c r="CH42" s="52" t="n"/>
      <c r="CI42" s="52" t="n"/>
      <c r="CJ42" s="51" t="n"/>
      <c r="CK42" s="52" t="n"/>
      <c r="CL42" s="52" t="n"/>
      <c r="CM42" s="52" t="n"/>
      <c r="CN42" s="52" t="n"/>
      <c r="CO42" s="51" t="n"/>
      <c r="CP42" s="52" t="n"/>
      <c r="CQ42" s="52" t="n"/>
      <c r="CR42" s="52" t="n"/>
      <c r="CS42" s="52" t="n"/>
      <c r="CT42" s="51" t="n"/>
      <c r="CU42" s="52" t="n"/>
      <c r="CV42" s="52" t="n"/>
      <c r="CW42" s="52" t="n"/>
      <c r="CX42" s="52" t="n"/>
      <c r="CY42" s="51" t="n"/>
    </row>
    <row r="43" hidden="1" outlineLevel="1">
      <c r="C43" s="50" t="n"/>
      <c r="D43" s="50" t="n"/>
      <c r="E43" s="50" t="n"/>
      <c r="F43" s="50" t="n"/>
      <c r="G43" s="50" t="n"/>
      <c r="H43" s="50" t="n"/>
      <c r="I43" s="50" t="n"/>
      <c r="J43" s="50" t="n"/>
      <c r="K43" s="50" t="n"/>
      <c r="L43" s="50" t="n"/>
      <c r="M43" s="50" t="n"/>
      <c r="N43" s="50" t="n"/>
      <c r="O43" s="50" t="n"/>
      <c r="P43" s="50" t="n"/>
      <c r="Q43" s="50" t="n"/>
      <c r="R43" s="50" t="n"/>
      <c r="S43" s="50" t="n"/>
      <c r="T43" s="50" t="n"/>
      <c r="U43" s="50" t="n"/>
      <c r="V43" s="50" t="n"/>
      <c r="W43" s="50" t="n"/>
      <c r="X43" s="50" t="n"/>
      <c r="Y43" s="50" t="n"/>
      <c r="Z43" s="50" t="n"/>
      <c r="AA43" s="50" t="n"/>
      <c r="AB43" s="50" t="n"/>
      <c r="AC43" s="50" t="n"/>
      <c r="AD43" s="50" t="n"/>
      <c r="AE43" s="50" t="n"/>
      <c r="AF43" s="50" t="n"/>
      <c r="AG43" s="50" t="n"/>
      <c r="AH43" s="50" t="n"/>
      <c r="AI43" s="50" t="n"/>
      <c r="AJ43" s="50" t="n"/>
      <c r="AK43" s="50" t="n"/>
      <c r="AL43" s="50" t="n"/>
      <c r="AM43" s="50" t="n"/>
      <c r="AN43" s="50" t="n"/>
      <c r="AO43" s="50" t="n"/>
      <c r="AP43" s="50" t="n"/>
      <c r="AQ43" s="50" t="n"/>
      <c r="AR43" s="50" t="n"/>
      <c r="AS43" s="50" t="n"/>
      <c r="AT43" s="50" t="n"/>
      <c r="AU43" s="50" t="n"/>
      <c r="AV43" s="50" t="n"/>
      <c r="AW43" s="50" t="n"/>
      <c r="AX43" s="50" t="n"/>
      <c r="AY43" s="50" t="n"/>
      <c r="AZ43" s="50" t="n"/>
      <c r="BA43" s="50" t="n"/>
      <c r="BB43" s="50" t="n"/>
      <c r="BC43" s="50" t="n"/>
      <c r="BD43" s="50" t="n"/>
      <c r="BE43" s="50" t="n"/>
      <c r="BF43" s="50" t="n"/>
      <c r="BG43" s="50" t="n"/>
      <c r="BH43" s="50" t="n"/>
      <c r="BI43" s="50" t="n"/>
      <c r="BJ43" s="50" t="n"/>
      <c r="BK43" s="50" t="n"/>
      <c r="BL43" s="50" t="n"/>
      <c r="BM43" s="50" t="n"/>
      <c r="BN43" s="50" t="n"/>
      <c r="BO43" s="50" t="n"/>
      <c r="BP43" s="50" t="n"/>
      <c r="BQ43" s="50" t="n"/>
      <c r="BR43" s="50" t="n"/>
      <c r="BS43" s="50" t="n"/>
      <c r="BT43" s="50" t="n"/>
      <c r="BU43" s="50" t="n"/>
      <c r="BV43" s="50" t="n"/>
      <c r="BW43" s="50" t="n"/>
      <c r="BX43" s="50" t="n"/>
      <c r="BY43" s="50" t="n"/>
      <c r="BZ43" s="50" t="n"/>
      <c r="CA43" s="50" t="n"/>
      <c r="CB43" s="50" t="n"/>
      <c r="CC43" s="50" t="n"/>
      <c r="CD43" s="50" t="n"/>
      <c r="CE43" s="50" t="n"/>
      <c r="CF43" s="50" t="n"/>
      <c r="CG43" s="50" t="n"/>
      <c r="CH43" s="50" t="n"/>
      <c r="CI43" s="50" t="n"/>
      <c r="CJ43" s="50" t="n"/>
      <c r="CK43" s="50" t="n"/>
      <c r="CL43" s="50" t="n"/>
      <c r="CM43" s="50" t="n"/>
      <c r="CN43" s="50" t="n"/>
      <c r="CO43" s="50" t="n"/>
      <c r="CP43" s="50" t="n"/>
      <c r="CQ43" s="50" t="n"/>
      <c r="CR43" s="50" t="n"/>
      <c r="CS43" s="50" t="n"/>
      <c r="CT43" s="50" t="n"/>
      <c r="CU43" s="50" t="n"/>
      <c r="CV43" s="50" t="n"/>
      <c r="CW43" s="50" t="n"/>
      <c r="CX43" s="50" t="n"/>
      <c r="CY43" s="50" t="n"/>
    </row>
    <row r="44" hidden="1" outlineLevel="1">
      <c r="C44" s="50" t="inlineStr">
        <is>
          <t>Com Vendas</t>
        </is>
      </c>
      <c r="D44" s="11" t="n"/>
      <c r="E44" s="11" t="n"/>
      <c r="F44" s="11" t="n"/>
      <c r="G44" s="11" t="n"/>
      <c r="H44" s="50" t="n"/>
      <c r="I44" s="11" t="n"/>
      <c r="J44" s="11" t="n"/>
      <c r="K44" s="11" t="n"/>
      <c r="L44" s="11" t="n"/>
      <c r="M44" s="50" t="n"/>
      <c r="N44" s="11" t="n"/>
      <c r="O44" s="11" t="n"/>
      <c r="P44" s="11" t="n"/>
      <c r="Q44" s="11" t="n"/>
      <c r="R44" s="50" t="n"/>
      <c r="S44" s="11" t="n"/>
      <c r="T44" s="11" t="n"/>
      <c r="U44" s="11" t="n"/>
      <c r="V44" s="11" t="n"/>
      <c r="W44" s="50" t="n"/>
      <c r="X44" s="11" t="n"/>
      <c r="Y44" s="11" t="n"/>
      <c r="Z44" s="11" t="n"/>
      <c r="AA44" s="11" t="n"/>
      <c r="AB44" s="50" t="n"/>
      <c r="AC44" s="11" t="n"/>
      <c r="AD44" s="11" t="n"/>
      <c r="AE44" s="11" t="n"/>
      <c r="AF44" s="11" t="n"/>
      <c r="AG44" s="50" t="n"/>
      <c r="AH44" s="50" t="n"/>
      <c r="AI44" s="50" t="n"/>
      <c r="AJ44" s="50" t="n"/>
      <c r="AK44" s="50" t="n"/>
      <c r="AL44" s="50" t="n"/>
      <c r="AM44" s="50" t="n"/>
      <c r="AN44" s="50" t="n"/>
      <c r="AO44" s="50" t="n"/>
      <c r="AP44" s="50" t="n"/>
      <c r="AQ44" s="50" t="n"/>
      <c r="AR44" s="50" t="n"/>
      <c r="AS44" s="50" t="n"/>
      <c r="AT44" s="50" t="n"/>
      <c r="AU44" s="50" t="n"/>
      <c r="AV44" s="50" t="n"/>
      <c r="AW44" s="50" t="n"/>
      <c r="AX44" s="50" t="n"/>
      <c r="AY44" s="50" t="n"/>
      <c r="AZ44" s="50" t="n"/>
      <c r="BA44" s="50" t="n"/>
      <c r="BB44" s="50" t="n"/>
      <c r="BC44" s="50" t="n"/>
      <c r="BD44" s="50" t="n"/>
      <c r="BE44" s="50" t="n"/>
      <c r="BF44" s="50" t="n"/>
      <c r="BG44" s="50" t="n"/>
      <c r="BH44" s="50" t="n"/>
      <c r="BI44" s="50" t="n"/>
      <c r="BJ44" s="50" t="n"/>
      <c r="BK44" s="50" t="n"/>
      <c r="BL44" s="50" t="n"/>
      <c r="BM44" s="50" t="n"/>
      <c r="BN44" s="50" t="n"/>
      <c r="BO44" s="50" t="n"/>
      <c r="BP44" s="50" t="n"/>
      <c r="BQ44" s="50" t="n"/>
      <c r="BR44" s="50" t="n"/>
      <c r="BS44" s="50" t="n"/>
      <c r="BT44" s="50" t="n"/>
      <c r="BU44" s="50" t="n"/>
      <c r="BV44" s="50" t="n"/>
      <c r="BW44" s="50" t="n"/>
      <c r="BX44" s="50" t="n"/>
      <c r="BY44" s="50" t="n"/>
      <c r="BZ44" s="50" t="n"/>
      <c r="CA44" s="50" t="n"/>
      <c r="CB44" s="50" t="n"/>
      <c r="CC44" s="50" t="n"/>
      <c r="CD44" s="50" t="n"/>
      <c r="CE44" s="50" t="n"/>
      <c r="CF44" s="50" t="n"/>
      <c r="CG44" s="50" t="n"/>
      <c r="CH44" s="50" t="n"/>
      <c r="CI44" s="50" t="n"/>
      <c r="CJ44" s="50" t="n"/>
      <c r="CK44" s="50" t="n"/>
      <c r="CL44" s="50" t="n"/>
      <c r="CM44" s="50" t="n"/>
      <c r="CN44" s="50" t="n"/>
      <c r="CO44" s="50" t="n"/>
      <c r="CP44" s="50" t="n"/>
      <c r="CQ44" s="50" t="n"/>
      <c r="CR44" s="50" t="n"/>
      <c r="CS44" s="50" t="n"/>
      <c r="CT44" s="50" t="n"/>
      <c r="CU44" s="50" t="n"/>
      <c r="CV44" s="50" t="n"/>
      <c r="CW44" s="50" t="n"/>
      <c r="CX44" s="50" t="n"/>
      <c r="CY44" s="50" t="n"/>
    </row>
    <row r="45" hidden="1" outlineLevel="1">
      <c r="C45" s="50" t="inlineStr">
        <is>
          <t>Gerais &amp; Administrativas</t>
        </is>
      </c>
      <c r="D45" s="11" t="n"/>
      <c r="E45" s="11" t="n"/>
      <c r="F45" s="11" t="n"/>
      <c r="G45" s="11" t="n"/>
      <c r="H45" s="50" t="n"/>
      <c r="I45" s="11" t="n"/>
      <c r="J45" s="11" t="n"/>
      <c r="K45" s="11" t="n"/>
      <c r="L45" s="11" t="n"/>
      <c r="M45" s="50" t="n"/>
      <c r="N45" s="11" t="n"/>
      <c r="O45" s="11" t="n"/>
      <c r="P45" s="11" t="n"/>
      <c r="Q45" s="11" t="n"/>
      <c r="R45" s="50" t="n"/>
      <c r="S45" s="11" t="n"/>
      <c r="T45" s="11" t="n"/>
      <c r="U45" s="11" t="n"/>
      <c r="V45" s="11" t="n"/>
      <c r="W45" s="50" t="n"/>
      <c r="X45" s="11" t="n"/>
      <c r="Y45" s="11" t="n"/>
      <c r="Z45" s="11" t="n"/>
      <c r="AA45" s="11" t="n"/>
      <c r="AB45" s="50" t="n"/>
      <c r="AC45" s="11" t="n"/>
      <c r="AD45" s="11" t="n"/>
      <c r="AE45" s="11" t="n"/>
      <c r="AF45" s="11" t="n"/>
      <c r="AG45" s="50" t="n"/>
      <c r="AH45" s="50" t="n"/>
      <c r="AI45" s="50" t="n"/>
      <c r="AJ45" s="50" t="n"/>
      <c r="AK45" s="50" t="n"/>
      <c r="AL45" s="50" t="n"/>
      <c r="AM45" s="50" t="n"/>
      <c r="AN45" s="50" t="n"/>
      <c r="AO45" s="50" t="n"/>
      <c r="AP45" s="50" t="n"/>
      <c r="AQ45" s="50" t="n"/>
      <c r="AR45" s="50" t="n"/>
      <c r="AS45" s="50" t="n"/>
      <c r="AT45" s="50" t="n"/>
      <c r="AU45" s="50" t="n"/>
      <c r="AV45" s="50" t="n"/>
      <c r="AW45" s="50" t="n"/>
      <c r="AX45" s="50" t="n"/>
      <c r="AY45" s="50" t="n"/>
      <c r="AZ45" s="50" t="n"/>
      <c r="BA45" s="50" t="n"/>
      <c r="BB45" s="50" t="n"/>
      <c r="BC45" s="50" t="n"/>
      <c r="BD45" s="50" t="n"/>
      <c r="BE45" s="50" t="n"/>
      <c r="BF45" s="50" t="n"/>
      <c r="BG45" s="50" t="n"/>
      <c r="BH45" s="50" t="n"/>
      <c r="BI45" s="50" t="n"/>
      <c r="BJ45" s="50" t="n"/>
      <c r="BK45" s="50" t="n"/>
      <c r="BL45" s="50" t="n"/>
      <c r="BM45" s="50" t="n"/>
      <c r="BN45" s="50" t="n"/>
      <c r="BO45" s="50" t="n"/>
      <c r="BP45" s="50" t="n"/>
      <c r="BQ45" s="50" t="n"/>
      <c r="BR45" s="50" t="n"/>
      <c r="BS45" s="50" t="n"/>
      <c r="BT45" s="50" t="n"/>
      <c r="BU45" s="50" t="n"/>
      <c r="BV45" s="50" t="n"/>
      <c r="BW45" s="50" t="n"/>
      <c r="BX45" s="50" t="n"/>
      <c r="BY45" s="50" t="n"/>
      <c r="BZ45" s="50" t="n"/>
      <c r="CA45" s="50" t="n"/>
      <c r="CB45" s="50" t="n"/>
      <c r="CC45" s="50" t="n"/>
      <c r="CD45" s="50" t="n"/>
      <c r="CE45" s="50" t="n"/>
      <c r="CF45" s="50" t="n"/>
      <c r="CG45" s="50" t="n"/>
      <c r="CH45" s="50" t="n"/>
      <c r="CI45" s="50" t="n"/>
      <c r="CJ45" s="50" t="n"/>
      <c r="CK45" s="50" t="n"/>
      <c r="CL45" s="50" t="n"/>
      <c r="CM45" s="50" t="n"/>
      <c r="CN45" s="50" t="n"/>
      <c r="CO45" s="50" t="n"/>
      <c r="CP45" s="50" t="n"/>
      <c r="CQ45" s="50" t="n"/>
      <c r="CR45" s="50" t="n"/>
      <c r="CS45" s="50" t="n"/>
      <c r="CT45" s="50" t="n"/>
      <c r="CU45" s="50" t="n"/>
      <c r="CV45" s="50" t="n"/>
      <c r="CW45" s="50" t="n"/>
      <c r="CX45" s="50" t="n"/>
      <c r="CY45" s="50" t="n"/>
    </row>
    <row r="46" hidden="1" outlineLevel="1">
      <c r="C46" s="50" t="inlineStr">
        <is>
          <t>Outras Receitas (Despesas) Operacionais, Líquidas</t>
        </is>
      </c>
      <c r="D46" s="11" t="n"/>
      <c r="E46" s="11" t="n"/>
      <c r="F46" s="11" t="n"/>
      <c r="G46" s="11" t="n"/>
      <c r="H46" s="50" t="n"/>
      <c r="I46" s="11" t="n"/>
      <c r="J46" s="11" t="n"/>
      <c r="K46" s="11" t="n"/>
      <c r="L46" s="11" t="n"/>
      <c r="M46" s="50" t="n"/>
      <c r="N46" s="11" t="n"/>
      <c r="O46" s="11" t="n"/>
      <c r="P46" s="11" t="n"/>
      <c r="Q46" s="11" t="n"/>
      <c r="R46" s="50" t="n"/>
      <c r="S46" s="11" t="n"/>
      <c r="T46" s="11" t="n"/>
      <c r="U46" s="11" t="n"/>
      <c r="V46" s="11" t="n"/>
      <c r="W46" s="50" t="n"/>
      <c r="X46" s="11" t="n"/>
      <c r="Y46" s="11" t="n"/>
      <c r="Z46" s="11" t="n"/>
      <c r="AA46" s="11" t="n"/>
      <c r="AB46" s="50" t="n"/>
      <c r="AC46" s="11" t="n"/>
      <c r="AD46" s="11" t="n"/>
      <c r="AE46" s="11" t="n"/>
      <c r="AF46" s="11" t="n"/>
      <c r="AG46" s="50" t="n"/>
      <c r="AH46" s="50" t="n"/>
      <c r="AI46" s="50" t="n"/>
      <c r="AJ46" s="50" t="n"/>
      <c r="AK46" s="50" t="n"/>
      <c r="AL46" s="50" t="n"/>
      <c r="AM46" s="50" t="n"/>
      <c r="AN46" s="50" t="n"/>
      <c r="AO46" s="50" t="n"/>
      <c r="AP46" s="50" t="n"/>
      <c r="AQ46" s="50" t="n"/>
      <c r="AR46" s="50" t="n"/>
      <c r="AS46" s="50" t="n"/>
      <c r="AT46" s="50" t="n"/>
      <c r="AU46" s="50" t="n"/>
      <c r="AV46" s="50" t="n"/>
      <c r="AW46" s="50" t="n"/>
      <c r="AX46" s="50" t="n"/>
      <c r="AY46" s="50" t="n"/>
      <c r="AZ46" s="50" t="n"/>
      <c r="BA46" s="50" t="n"/>
      <c r="BB46" s="50" t="n"/>
      <c r="BC46" s="50" t="n"/>
      <c r="BD46" s="50" t="n"/>
      <c r="BE46" s="50" t="n"/>
      <c r="BF46" s="50" t="n"/>
      <c r="BG46" s="50" t="n"/>
      <c r="BH46" s="50" t="n"/>
      <c r="BI46" s="50" t="n"/>
      <c r="BJ46" s="50" t="n"/>
      <c r="BK46" s="50" t="n"/>
      <c r="BL46" s="50" t="n"/>
      <c r="BM46" s="50" t="n"/>
      <c r="BN46" s="50" t="n"/>
      <c r="BO46" s="50" t="n"/>
      <c r="BP46" s="50" t="n"/>
      <c r="BQ46" s="50" t="n"/>
      <c r="BR46" s="50" t="n"/>
      <c r="BS46" s="50" t="n"/>
      <c r="BT46" s="50" t="n"/>
      <c r="BU46" s="50" t="n"/>
      <c r="BV46" s="50" t="n"/>
      <c r="BW46" s="50" t="n"/>
      <c r="BX46" s="50" t="n"/>
      <c r="BY46" s="50" t="n"/>
      <c r="BZ46" s="50" t="n"/>
      <c r="CA46" s="50" t="n"/>
      <c r="CB46" s="50" t="n"/>
      <c r="CC46" s="50" t="n"/>
      <c r="CD46" s="50" t="n"/>
      <c r="CE46" s="50" t="n"/>
      <c r="CF46" s="50" t="n"/>
      <c r="CG46" s="50" t="n"/>
      <c r="CH46" s="50" t="n"/>
      <c r="CI46" s="50" t="n"/>
      <c r="CJ46" s="50" t="n"/>
      <c r="CK46" s="50" t="n"/>
      <c r="CL46" s="50" t="n"/>
      <c r="CM46" s="50" t="n"/>
      <c r="CN46" s="50" t="n"/>
      <c r="CO46" s="50" t="n"/>
      <c r="CP46" s="50" t="n"/>
      <c r="CQ46" s="50" t="n"/>
      <c r="CR46" s="50" t="n"/>
      <c r="CS46" s="50" t="n"/>
      <c r="CT46" s="50" t="n"/>
      <c r="CU46" s="50" t="n"/>
      <c r="CV46" s="50" t="n"/>
      <c r="CW46" s="50" t="n"/>
      <c r="CX46" s="50" t="n"/>
      <c r="CY46" s="50" t="n"/>
    </row>
    <row r="47" hidden="1" outlineLevel="1">
      <c r="C47" s="50" t="n"/>
      <c r="D47" s="50" t="n"/>
      <c r="E47" s="50" t="n"/>
      <c r="F47" s="50" t="n"/>
      <c r="G47" s="50" t="n"/>
      <c r="H47" s="50" t="n"/>
      <c r="I47" s="50" t="n"/>
      <c r="J47" s="50" t="n"/>
      <c r="K47" s="50" t="n"/>
      <c r="L47" s="50" t="n"/>
      <c r="M47" s="50" t="n"/>
      <c r="N47" s="50" t="n"/>
      <c r="O47" s="50" t="n"/>
      <c r="P47" s="50" t="n"/>
      <c r="Q47" s="50" t="n"/>
      <c r="R47" s="50" t="n"/>
      <c r="S47" s="50" t="n"/>
      <c r="T47" s="50" t="n"/>
      <c r="U47" s="50" t="n"/>
      <c r="V47" s="50" t="n"/>
      <c r="W47" s="50" t="n"/>
      <c r="X47" s="50" t="n"/>
      <c r="Y47" s="50" t="n"/>
      <c r="Z47" s="50" t="n"/>
      <c r="AA47" s="50" t="n"/>
      <c r="AB47" s="50" t="n"/>
      <c r="AC47" s="50" t="n"/>
      <c r="AD47" s="50" t="n"/>
      <c r="AE47" s="50" t="n"/>
      <c r="AF47" s="50" t="n"/>
      <c r="AG47" s="50" t="n"/>
      <c r="AH47" s="50" t="n"/>
      <c r="AI47" s="50" t="n"/>
      <c r="AJ47" s="50" t="n"/>
      <c r="AK47" s="50" t="n"/>
      <c r="AL47" s="50" t="n"/>
      <c r="AM47" s="50" t="n"/>
      <c r="AN47" s="50" t="n"/>
      <c r="AO47" s="50" t="n"/>
      <c r="AP47" s="50" t="n"/>
      <c r="AQ47" s="50" t="n"/>
      <c r="AR47" s="50" t="n"/>
      <c r="AS47" s="50" t="n"/>
      <c r="AT47" s="50" t="n"/>
      <c r="AU47" s="50" t="n"/>
      <c r="AV47" s="50" t="n"/>
      <c r="AW47" s="50" t="n"/>
      <c r="AX47" s="50" t="n"/>
      <c r="AY47" s="50" t="n"/>
      <c r="AZ47" s="50" t="n"/>
      <c r="BA47" s="50" t="n"/>
      <c r="BB47" s="50" t="n"/>
      <c r="BC47" s="50" t="n"/>
      <c r="BD47" s="50" t="n"/>
      <c r="BE47" s="50" t="n"/>
      <c r="BF47" s="50" t="n"/>
      <c r="BG47" s="50" t="n"/>
      <c r="BH47" s="50" t="n"/>
      <c r="BI47" s="50" t="n"/>
      <c r="BJ47" s="50" t="n"/>
      <c r="BK47" s="50" t="n"/>
      <c r="BL47" s="50" t="n"/>
      <c r="BM47" s="50" t="n"/>
      <c r="BN47" s="50" t="n"/>
      <c r="BO47" s="50" t="n"/>
      <c r="BP47" s="50" t="n"/>
      <c r="BQ47" s="50" t="n"/>
      <c r="BR47" s="50" t="n"/>
      <c r="BS47" s="50" t="n"/>
      <c r="BT47" s="50" t="n"/>
      <c r="BU47" s="50" t="n"/>
      <c r="BV47" s="50" t="n"/>
      <c r="BW47" s="50" t="n"/>
      <c r="BX47" s="50" t="n"/>
      <c r="BY47" s="50" t="n"/>
      <c r="BZ47" s="50" t="n"/>
      <c r="CA47" s="50" t="n"/>
      <c r="CB47" s="50" t="n"/>
      <c r="CC47" s="50" t="n"/>
      <c r="CD47" s="50" t="n"/>
      <c r="CE47" s="50" t="n"/>
      <c r="CF47" s="50" t="n"/>
      <c r="CG47" s="50" t="n"/>
      <c r="CH47" s="50" t="n"/>
      <c r="CI47" s="50" t="n"/>
      <c r="CJ47" s="50" t="n"/>
      <c r="CK47" s="50" t="n"/>
      <c r="CL47" s="50" t="n"/>
      <c r="CM47" s="50" t="n"/>
      <c r="CN47" s="50" t="n"/>
      <c r="CO47" s="50" t="n"/>
      <c r="CP47" s="50" t="n"/>
      <c r="CQ47" s="50" t="n"/>
      <c r="CR47" s="50" t="n"/>
      <c r="CS47" s="50" t="n"/>
      <c r="CT47" s="50" t="n"/>
      <c r="CU47" s="50" t="n"/>
      <c r="CV47" s="50" t="n"/>
      <c r="CW47" s="50" t="n"/>
      <c r="CX47" s="50" t="n"/>
      <c r="CY47" s="50" t="n"/>
    </row>
    <row r="48" hidden="1" outlineLevel="1">
      <c r="C48" s="50" t="inlineStr">
        <is>
          <t>Com Vendas (%)</t>
        </is>
      </c>
      <c r="D48" s="50" t="n"/>
      <c r="E48" s="50" t="n"/>
      <c r="F48" s="50" t="n"/>
      <c r="G48" s="50" t="n"/>
      <c r="H48" s="50" t="n"/>
      <c r="I48" s="50" t="n"/>
      <c r="J48" s="50" t="n"/>
      <c r="K48" s="50" t="n"/>
      <c r="L48" s="50" t="n"/>
      <c r="M48" s="50" t="n"/>
      <c r="N48" s="50" t="n"/>
      <c r="O48" s="50" t="n"/>
      <c r="P48" s="50" t="n"/>
      <c r="Q48" s="50" t="n"/>
      <c r="R48" s="50" t="n"/>
      <c r="S48" s="50" t="n"/>
      <c r="T48" s="50" t="n"/>
      <c r="U48" s="50" t="n"/>
      <c r="V48" s="50" t="n"/>
      <c r="W48" s="50" t="n"/>
      <c r="X48" s="50" t="n"/>
      <c r="Y48" s="50" t="n"/>
      <c r="Z48" s="50" t="n"/>
      <c r="AA48" s="50" t="n"/>
      <c r="AB48" s="50" t="n"/>
      <c r="AC48" s="50" t="n"/>
      <c r="AD48" s="50" t="n"/>
      <c r="AE48" s="50" t="n"/>
      <c r="AF48" s="50" t="n"/>
      <c r="AG48" s="50" t="n"/>
      <c r="AH48" s="50" t="n"/>
      <c r="AI48" s="50" t="n"/>
      <c r="AJ48" s="50" t="n"/>
      <c r="AK48" s="50" t="n"/>
      <c r="AL48" s="50" t="n"/>
      <c r="AM48" s="50" t="n"/>
      <c r="AN48" s="50" t="n"/>
      <c r="AO48" s="50" t="n"/>
      <c r="AP48" s="50" t="n"/>
      <c r="AQ48" s="50" t="n"/>
      <c r="AR48" s="50" t="n"/>
      <c r="AS48" s="50" t="n"/>
      <c r="AT48" s="50" t="n"/>
      <c r="AU48" s="50" t="n"/>
      <c r="AV48" s="50" t="n"/>
      <c r="AW48" s="50" t="n"/>
      <c r="AX48" s="50" t="n"/>
      <c r="AY48" s="50" t="n"/>
      <c r="AZ48" s="50" t="n"/>
      <c r="BA48" s="50" t="n"/>
      <c r="BB48" s="50" t="n"/>
      <c r="BC48" s="50" t="n"/>
      <c r="BD48" s="50" t="n"/>
      <c r="BE48" s="50" t="n"/>
      <c r="BF48" s="50" t="n"/>
      <c r="BG48" s="50" t="n"/>
      <c r="BH48" s="50" t="n"/>
      <c r="BI48" s="50" t="n"/>
      <c r="BJ48" s="50" t="n"/>
      <c r="BK48" s="50" t="n"/>
      <c r="BL48" s="50" t="n"/>
      <c r="BM48" s="50" t="n"/>
      <c r="BN48" s="50" t="n"/>
      <c r="BO48" s="50" t="n"/>
      <c r="BP48" s="50" t="n"/>
      <c r="BQ48" s="50" t="n"/>
      <c r="BR48" s="50" t="n"/>
      <c r="BS48" s="50" t="n"/>
      <c r="BT48" s="50" t="n"/>
      <c r="BU48" s="50" t="n"/>
      <c r="BV48" s="50" t="n"/>
      <c r="BW48" s="50" t="n"/>
      <c r="BX48" s="50" t="n"/>
      <c r="BY48" s="50" t="n"/>
      <c r="BZ48" s="50" t="n"/>
      <c r="CA48" s="50" t="n"/>
      <c r="CB48" s="50" t="n"/>
      <c r="CC48" s="50" t="n"/>
      <c r="CD48" s="50" t="n"/>
      <c r="CE48" s="50" t="n"/>
      <c r="CF48" s="50" t="n"/>
      <c r="CG48" s="50" t="n"/>
      <c r="CH48" s="50" t="n"/>
      <c r="CI48" s="50" t="n"/>
      <c r="CJ48" s="50" t="n"/>
      <c r="CK48" s="50" t="n"/>
      <c r="CL48" s="50" t="n"/>
      <c r="CM48" s="50" t="n"/>
      <c r="CN48" s="50" t="n"/>
      <c r="CO48" s="50" t="n"/>
      <c r="CP48" s="50" t="n"/>
      <c r="CQ48" s="50" t="n"/>
      <c r="CR48" s="50" t="n"/>
      <c r="CS48" s="50" t="n"/>
      <c r="CT48" s="50" t="n"/>
      <c r="CU48" s="50" t="n"/>
      <c r="CV48" s="50" t="n"/>
      <c r="CW48" s="50" t="n"/>
      <c r="CX48" s="50" t="n"/>
      <c r="CY48" s="50" t="n"/>
    </row>
    <row r="49" hidden="1" outlineLevel="1">
      <c r="C49" s="50" t="inlineStr">
        <is>
          <t>Gerais &amp; Administrativas (%)</t>
        </is>
      </c>
      <c r="D49" s="50" t="n"/>
      <c r="E49" s="50" t="n"/>
      <c r="F49" s="50" t="n"/>
      <c r="G49" s="50" t="n"/>
      <c r="H49" s="50" t="n"/>
      <c r="I49" s="50" t="n"/>
      <c r="J49" s="50" t="n"/>
      <c r="K49" s="50" t="n"/>
      <c r="L49" s="50" t="n"/>
      <c r="M49" s="50" t="n"/>
      <c r="N49" s="50" t="n"/>
      <c r="O49" s="50" t="n"/>
      <c r="P49" s="50" t="n"/>
      <c r="Q49" s="50" t="n"/>
      <c r="R49" s="50" t="n"/>
      <c r="S49" s="50" t="n"/>
      <c r="T49" s="50" t="n"/>
      <c r="U49" s="50" t="n"/>
      <c r="V49" s="50" t="n"/>
      <c r="W49" s="50" t="n"/>
      <c r="X49" s="50" t="n"/>
      <c r="Y49" s="50" t="n"/>
      <c r="Z49" s="50" t="n"/>
      <c r="AA49" s="50" t="n"/>
      <c r="AB49" s="50" t="n"/>
      <c r="AC49" s="50" t="n"/>
      <c r="AD49" s="50" t="n"/>
      <c r="AE49" s="50" t="n"/>
      <c r="AF49" s="50" t="n"/>
      <c r="AG49" s="50" t="n"/>
      <c r="AH49" s="50" t="n"/>
      <c r="AI49" s="50" t="n"/>
      <c r="AJ49" s="50" t="n"/>
      <c r="AK49" s="50" t="n"/>
      <c r="AL49" s="50" t="n"/>
      <c r="AM49" s="50" t="n"/>
      <c r="AN49" s="50" t="n"/>
      <c r="AO49" s="50" t="n"/>
      <c r="AP49" s="50" t="n"/>
      <c r="AQ49" s="50" t="n"/>
      <c r="AR49" s="50" t="n"/>
      <c r="AS49" s="50" t="n"/>
      <c r="AT49" s="50" t="n"/>
      <c r="AU49" s="50" t="n"/>
      <c r="AV49" s="50" t="n"/>
      <c r="AW49" s="50" t="n"/>
      <c r="AX49" s="50" t="n"/>
      <c r="AY49" s="50" t="n"/>
      <c r="AZ49" s="50" t="n"/>
      <c r="BA49" s="50" t="n"/>
      <c r="BB49" s="50" t="n"/>
      <c r="BC49" s="50" t="n"/>
      <c r="BD49" s="50" t="n"/>
      <c r="BE49" s="50" t="n"/>
      <c r="BF49" s="50" t="n"/>
      <c r="BG49" s="50" t="n"/>
      <c r="BH49" s="50" t="n"/>
      <c r="BI49" s="50" t="n"/>
      <c r="BJ49" s="50" t="n"/>
      <c r="BK49" s="50" t="n"/>
      <c r="BL49" s="50" t="n"/>
      <c r="BM49" s="50" t="n"/>
      <c r="BN49" s="50" t="n"/>
      <c r="BO49" s="50" t="n"/>
      <c r="BP49" s="50" t="n"/>
      <c r="BQ49" s="50" t="n"/>
      <c r="BR49" s="50" t="n"/>
      <c r="BS49" s="50" t="n"/>
      <c r="BT49" s="50" t="n"/>
      <c r="BU49" s="50" t="n"/>
      <c r="BV49" s="50" t="n"/>
      <c r="BW49" s="50" t="n"/>
      <c r="BX49" s="50" t="n"/>
      <c r="BY49" s="50" t="n"/>
      <c r="BZ49" s="50" t="n"/>
      <c r="CA49" s="50" t="n"/>
      <c r="CB49" s="50" t="n"/>
      <c r="CC49" s="50" t="n"/>
      <c r="CD49" s="50" t="n"/>
      <c r="CE49" s="50" t="n"/>
      <c r="CF49" s="50" t="n"/>
      <c r="CG49" s="50" t="n"/>
      <c r="CH49" s="50" t="n"/>
      <c r="CI49" s="50" t="n"/>
      <c r="CJ49" s="50" t="n"/>
      <c r="CK49" s="50" t="n"/>
      <c r="CL49" s="50" t="n"/>
      <c r="CM49" s="50" t="n"/>
      <c r="CN49" s="50" t="n"/>
      <c r="CO49" s="50" t="n"/>
      <c r="CP49" s="50" t="n"/>
      <c r="CQ49" s="50" t="n"/>
      <c r="CR49" s="50" t="n"/>
      <c r="CS49" s="50" t="n"/>
      <c r="CT49" s="50" t="n"/>
      <c r="CU49" s="50" t="n"/>
      <c r="CV49" s="50" t="n"/>
      <c r="CW49" s="50" t="n"/>
      <c r="CX49" s="50" t="n"/>
      <c r="CY49" s="50" t="n"/>
    </row>
    <row r="50" hidden="1" outlineLevel="1">
      <c r="C50" s="50" t="inlineStr">
        <is>
          <t>Outras Receitas (Despesas) Operacionais, Líquidas (%)</t>
        </is>
      </c>
      <c r="D50" s="50" t="n"/>
      <c r="E50" s="50" t="n"/>
      <c r="F50" s="50" t="n"/>
      <c r="G50" s="50" t="n"/>
      <c r="H50" s="50" t="n"/>
      <c r="I50" s="50" t="n"/>
      <c r="J50" s="50" t="n"/>
      <c r="K50" s="50" t="n"/>
      <c r="L50" s="50" t="n"/>
      <c r="M50" s="50" t="n"/>
      <c r="N50" s="50" t="n"/>
      <c r="O50" s="50" t="n"/>
      <c r="P50" s="50" t="n"/>
      <c r="Q50" s="50" t="n"/>
      <c r="R50" s="50" t="n"/>
      <c r="S50" s="50" t="n"/>
      <c r="T50" s="50" t="n"/>
      <c r="U50" s="50" t="n"/>
      <c r="V50" s="50" t="n"/>
      <c r="W50" s="50" t="n"/>
      <c r="X50" s="50" t="n"/>
      <c r="Y50" s="50" t="n"/>
      <c r="Z50" s="50" t="n"/>
      <c r="AA50" s="50" t="n"/>
      <c r="AB50" s="50" t="n"/>
      <c r="AC50" s="50" t="n"/>
      <c r="AD50" s="50" t="n"/>
      <c r="AE50" s="50" t="n"/>
      <c r="AF50" s="50" t="n"/>
      <c r="AG50" s="50" t="n"/>
      <c r="AH50" s="50" t="n"/>
      <c r="AI50" s="50" t="n"/>
      <c r="AJ50" s="50" t="n"/>
      <c r="AK50" s="50" t="n"/>
      <c r="AL50" s="50" t="n"/>
      <c r="AM50" s="50" t="n"/>
      <c r="AN50" s="50" t="n"/>
      <c r="AO50" s="50" t="n"/>
      <c r="AP50" s="50" t="n"/>
      <c r="AQ50" s="50" t="n"/>
      <c r="AR50" s="50" t="n"/>
      <c r="AS50" s="50" t="n"/>
      <c r="AT50" s="50" t="n"/>
      <c r="AU50" s="50" t="n"/>
      <c r="AV50" s="50" t="n"/>
      <c r="AW50" s="50" t="n"/>
      <c r="AX50" s="50" t="n"/>
      <c r="AY50" s="50" t="n"/>
      <c r="AZ50" s="50" t="n"/>
      <c r="BA50" s="50" t="n"/>
      <c r="BB50" s="50" t="n"/>
      <c r="BC50" s="50" t="n"/>
      <c r="BD50" s="50" t="n"/>
      <c r="BE50" s="50" t="n"/>
      <c r="BF50" s="50" t="n"/>
      <c r="BG50" s="50" t="n"/>
      <c r="BH50" s="50" t="n"/>
      <c r="BI50" s="50" t="n"/>
      <c r="BJ50" s="50" t="n"/>
      <c r="BK50" s="50" t="n"/>
      <c r="BL50" s="50" t="n"/>
      <c r="BM50" s="50" t="n"/>
      <c r="BN50" s="50" t="n"/>
      <c r="BO50" s="50" t="n"/>
      <c r="BP50" s="50" t="n"/>
      <c r="BQ50" s="50" t="n"/>
      <c r="BR50" s="50" t="n"/>
      <c r="BS50" s="50" t="n"/>
      <c r="BT50" s="50" t="n"/>
      <c r="BU50" s="50" t="n"/>
      <c r="BV50" s="50" t="n"/>
      <c r="BW50" s="50" t="n"/>
      <c r="BX50" s="50" t="n"/>
      <c r="BY50" s="50" t="n"/>
      <c r="BZ50" s="50" t="n"/>
      <c r="CA50" s="50" t="n"/>
      <c r="CB50" s="50" t="n"/>
      <c r="CC50" s="50" t="n"/>
      <c r="CD50" s="50" t="n"/>
      <c r="CE50" s="50" t="n"/>
      <c r="CF50" s="50" t="n"/>
      <c r="CG50" s="50" t="n"/>
      <c r="CH50" s="50" t="n"/>
      <c r="CI50" s="50" t="n"/>
      <c r="CJ50" s="50" t="n"/>
      <c r="CK50" s="50" t="n"/>
      <c r="CL50" s="50" t="n"/>
      <c r="CM50" s="50" t="n"/>
      <c r="CN50" s="50" t="n"/>
      <c r="CO50" s="50" t="n"/>
      <c r="CP50" s="50" t="n"/>
      <c r="CQ50" s="50" t="n"/>
      <c r="CR50" s="50" t="n"/>
      <c r="CS50" s="50" t="n"/>
      <c r="CT50" s="50" t="n"/>
      <c r="CU50" s="50" t="n"/>
      <c r="CV50" s="50" t="n"/>
      <c r="CW50" s="50" t="n"/>
      <c r="CX50" s="50" t="n"/>
      <c r="CY50" s="50" t="n"/>
    </row>
    <row r="51" hidden="1" outlineLevel="1">
      <c r="C51" s="50" t="n"/>
      <c r="D51" s="50" t="n"/>
      <c r="E51" s="50" t="n"/>
      <c r="F51" s="50" t="n"/>
      <c r="G51" s="50" t="n"/>
      <c r="H51" s="50" t="n"/>
      <c r="I51" s="50" t="n"/>
      <c r="J51" s="50" t="n"/>
      <c r="K51" s="50" t="n"/>
      <c r="L51" s="50" t="n"/>
      <c r="M51" s="50" t="n"/>
      <c r="N51" s="50" t="n"/>
      <c r="O51" s="50" t="n"/>
      <c r="P51" s="50" t="n"/>
      <c r="Q51" s="50" t="n"/>
      <c r="R51" s="50" t="n"/>
      <c r="S51" s="50" t="n"/>
      <c r="T51" s="50" t="n"/>
      <c r="U51" s="50" t="n"/>
      <c r="V51" s="50" t="n"/>
      <c r="W51" s="50" t="n"/>
      <c r="X51" s="50" t="n"/>
      <c r="Y51" s="50" t="n"/>
      <c r="Z51" s="50" t="n"/>
      <c r="AA51" s="50" t="n"/>
      <c r="AB51" s="50" t="n"/>
      <c r="AC51" s="50" t="n"/>
      <c r="AD51" s="50" t="n"/>
      <c r="AE51" s="50" t="n"/>
      <c r="AF51" s="50" t="n"/>
      <c r="AG51" s="50" t="n"/>
      <c r="AH51" s="50" t="n"/>
      <c r="AI51" s="50" t="n"/>
      <c r="AJ51" s="50" t="n"/>
      <c r="AK51" s="50" t="n"/>
      <c r="AL51" s="50" t="n"/>
      <c r="AM51" s="50" t="n"/>
      <c r="AN51" s="50" t="n"/>
      <c r="AO51" s="50" t="n"/>
      <c r="AP51" s="50" t="n"/>
      <c r="AQ51" s="50" t="n"/>
      <c r="AR51" s="50" t="n"/>
      <c r="AS51" s="50" t="n"/>
      <c r="AT51" s="50" t="n"/>
      <c r="AU51" s="50" t="n"/>
      <c r="AV51" s="50" t="n"/>
      <c r="AW51" s="50" t="n"/>
      <c r="AX51" s="50" t="n"/>
      <c r="AY51" s="50" t="n"/>
      <c r="AZ51" s="50" t="n"/>
      <c r="BA51" s="50" t="n"/>
      <c r="BB51" s="50" t="n"/>
      <c r="BC51" s="50" t="n"/>
      <c r="BD51" s="50" t="n"/>
      <c r="BE51" s="50" t="n"/>
      <c r="BF51" s="50" t="n"/>
      <c r="BG51" s="50" t="n"/>
      <c r="BH51" s="50" t="n"/>
      <c r="BI51" s="50" t="n"/>
      <c r="BJ51" s="50" t="n"/>
      <c r="BK51" s="50" t="n"/>
      <c r="BL51" s="50" t="n"/>
      <c r="BM51" s="50" t="n"/>
      <c r="BN51" s="50" t="n"/>
      <c r="BO51" s="50" t="n"/>
      <c r="BP51" s="50" t="n"/>
      <c r="BQ51" s="50" t="n"/>
      <c r="BR51" s="50" t="n"/>
      <c r="BS51" s="50" t="n"/>
      <c r="BT51" s="50" t="n"/>
      <c r="BU51" s="50" t="n"/>
      <c r="BV51" s="50" t="n"/>
      <c r="BW51" s="50" t="n"/>
      <c r="BX51" s="50" t="n"/>
      <c r="BY51" s="50" t="n"/>
      <c r="BZ51" s="50" t="n"/>
      <c r="CA51" s="50" t="n"/>
      <c r="CB51" s="50" t="n"/>
      <c r="CC51" s="50" t="n"/>
      <c r="CD51" s="50" t="n"/>
      <c r="CE51" s="50" t="n"/>
      <c r="CF51" s="50" t="n"/>
      <c r="CG51" s="50" t="n"/>
      <c r="CH51" s="50" t="n"/>
      <c r="CI51" s="50" t="n"/>
      <c r="CJ51" s="50" t="n"/>
      <c r="CK51" s="50" t="n"/>
      <c r="CL51" s="50" t="n"/>
      <c r="CM51" s="50" t="n"/>
      <c r="CN51" s="50" t="n"/>
      <c r="CO51" s="50" t="n"/>
      <c r="CP51" s="50" t="n"/>
      <c r="CQ51" s="50" t="n"/>
      <c r="CR51" s="50" t="n"/>
      <c r="CS51" s="50" t="n"/>
      <c r="CT51" s="50" t="n"/>
      <c r="CU51" s="50" t="n"/>
      <c r="CV51" s="50" t="n"/>
      <c r="CW51" s="50" t="n"/>
      <c r="CX51" s="50" t="n"/>
      <c r="CY51" s="50" t="n"/>
    </row>
    <row r="52" collapsed="1" customFormat="1" s="32">
      <c r="A52" s="30" t="n"/>
      <c r="B52" s="3" t="n"/>
      <c r="C52" s="33" t="inlineStr">
        <is>
          <t>EBITDA</t>
        </is>
      </c>
      <c r="D52" s="35" t="n"/>
      <c r="E52" s="35" t="n"/>
      <c r="F52" s="35" t="n"/>
      <c r="G52" s="35" t="n"/>
      <c r="H52" s="35" t="n"/>
      <c r="I52" s="35">
        <f>SUM(I15,I37,I41)</f>
        <v>2360</v>
      </c>
      <c r="J52" s="35">
        <f>SUM(J15,J37,J41)</f>
        <v>2527</v>
      </c>
      <c r="K52" s="35">
        <f>SUM(K15,K37,K41)</f>
        <v>2905</v>
      </c>
      <c r="L52" s="35">
        <f>SUM(L15,L37,L41)</f>
        <v>3016</v>
      </c>
      <c r="M52" s="35">
        <f>SUM(I52:L52)</f>
        <v>10808</v>
      </c>
      <c r="N52" s="35">
        <f>SUM(N15,N37,N41)</f>
        <v>3142</v>
      </c>
      <c r="O52" s="35">
        <f>SUM(O15,O37,O41)</f>
        <v>3207</v>
      </c>
      <c r="P52" s="35">
        <f>SUM(P15,P37,P41)</f>
        <v>3297</v>
      </c>
      <c r="Q52" s="35">
        <f>SUM(Q15,Q37,Q41)</f>
        <v>3368</v>
      </c>
      <c r="R52" s="35">
        <f>SUM(N52:Q52)</f>
        <v>13014</v>
      </c>
      <c r="S52" s="35">
        <f>SUM(S15,S37,S41)</f>
        <v>3327</v>
      </c>
      <c r="T52" s="35">
        <f>SUM(T15,T37,T41)</f>
        <v>3848</v>
      </c>
      <c r="U52" s="35">
        <f>SUM(U15,U37,U41)</f>
        <v>4055</v>
      </c>
      <c r="V52" s="35">
        <f>SUM(V15,V37,V41)</f>
        <v>3577</v>
      </c>
      <c r="W52" s="35">
        <f>SUM(S52:V52)</f>
        <v>14807</v>
      </c>
      <c r="X52" s="35">
        <f>SUM(X15,X37,X41)</f>
        <v>3820</v>
      </c>
      <c r="Y52" s="35">
        <f>SUM(Y15,Y37,Y41)</f>
        <v>4261</v>
      </c>
      <c r="Z52" s="35">
        <f>SUM(Z15,Z37,Z41)</f>
        <v>4229</v>
      </c>
      <c r="AA52" s="35">
        <f>SUM(AA15,AA37,AA41)</f>
        <v>4169</v>
      </c>
      <c r="AB52" s="35">
        <f>SUM(X52:AA52)</f>
        <v>16479</v>
      </c>
      <c r="AC52" s="35">
        <f>SUM(AC15,AC37,AC41)</f>
        <v>4424</v>
      </c>
      <c r="AD52" s="35">
        <f>SUM(AD15,AD37,AD41)</f>
        <v>5058</v>
      </c>
      <c r="AE52" s="35">
        <f>SUM(AE15,AE37,AE41)</f>
        <v>5351</v>
      </c>
      <c r="AF52" s="35">
        <f>SUM(AF15,AF37,AF41)</f>
        <v>5207</v>
      </c>
      <c r="AG52" s="35">
        <f>SUM(AC52:AF52)</f>
        <v>20040</v>
      </c>
      <c r="AH52" s="35">
        <f>SUM(AH15,AH37,AH41)</f>
        <v>5206</v>
      </c>
      <c r="AI52" s="35">
        <f>SUM(AI15,AI37,AI41)</f>
        <v>5896</v>
      </c>
      <c r="AJ52" s="35">
        <f>SUM(AJ15,AJ37,AJ41)</f>
        <v>6148.36253563798</v>
      </c>
      <c r="AK52" s="35">
        <f>SUM(AK15,AK37,AK41)</f>
        <v>6294.17350486259</v>
      </c>
      <c r="AL52" s="35">
        <f>SUM(AH52:AK52)</f>
        <v>23544.5360405006</v>
      </c>
      <c r="AM52" s="35">
        <f>SUM(AM15,AM37,AM41)</f>
        <v>6002.55156641336</v>
      </c>
      <c r="AN52" s="35">
        <f>SUM(AN15,AN37,AN41)</f>
        <v>6630.82530145472</v>
      </c>
      <c r="AO52" s="35">
        <f>SUM(AO15,AO37,AO41)</f>
        <v>7124.56411837891</v>
      </c>
      <c r="AP52" s="35">
        <f>SUM(AP15,AP37,AP41)</f>
        <v>7293.52611328117</v>
      </c>
      <c r="AQ52" s="35">
        <f>SUM(AM52:AP52)</f>
        <v>27051.4670995282</v>
      </c>
      <c r="AR52" s="35">
        <f>SUM(AR15,AR37,AR41)</f>
        <v>6925.58936564457</v>
      </c>
      <c r="AS52" s="35">
        <f>SUM(AS15,AS37,AS41)</f>
        <v>7650.4754161806</v>
      </c>
      <c r="AT52" s="35">
        <f>SUM(AT15,AT37,AT41)</f>
        <v>8220.138543946</v>
      </c>
      <c r="AU52" s="35">
        <f>SUM(AU15,AU37,AU41)</f>
        <v>8415.08254103562</v>
      </c>
      <c r="AV52" s="35">
        <f>SUM(AR52:AU52)</f>
        <v>31211.2858668068</v>
      </c>
      <c r="AW52" s="35">
        <f>SUM(AW15,AW37,AW41)</f>
        <v>7955.93865319992</v>
      </c>
      <c r="AX52" s="35">
        <f>SUM(AX15,AX37,AX41)</f>
        <v>8788.66907427193</v>
      </c>
      <c r="AY52" s="35">
        <f>SUM(AY15,AY37,AY41)</f>
        <v>9443.08340036151</v>
      </c>
      <c r="AZ52" s="35">
        <f>SUM(AZ15,AZ37,AZ41)</f>
        <v>9667.03004226731</v>
      </c>
      <c r="BA52" s="35">
        <f>SUM(AW52:AZ52)</f>
        <v>35854.7211701007</v>
      </c>
      <c r="BB52" s="35">
        <f>SUM(BB15,BB37,BB41)</f>
        <v>9099.7976786577</v>
      </c>
      <c r="BC52" s="35">
        <f>SUM(BC15,BC37,BC41)</f>
        <v>10052.2532823181</v>
      </c>
      <c r="BD52" s="35">
        <f>SUM(BD15,BD37,BD41)</f>
        <v>10800.7555301371</v>
      </c>
      <c r="BE52" s="35">
        <f>SUM(BE15,BE37,BE41)</f>
        <v>11056.8999300613</v>
      </c>
      <c r="BF52" s="35">
        <f>SUM(BB52:BE52)</f>
        <v>41009.7064211743</v>
      </c>
      <c r="BG52" s="35" t="n"/>
      <c r="BH52" s="35" t="n"/>
      <c r="BI52" s="35" t="n"/>
      <c r="BJ52" s="35" t="n"/>
      <c r="BK52" s="35" t="n"/>
      <c r="BL52" s="35" t="n"/>
      <c r="BM52" s="35" t="n"/>
      <c r="BN52" s="35" t="n"/>
      <c r="BO52" s="35" t="n"/>
      <c r="BP52" s="35" t="n"/>
      <c r="BQ52" s="35" t="n"/>
      <c r="BR52" s="35" t="n"/>
      <c r="BS52" s="35" t="n"/>
      <c r="BT52" s="35" t="n"/>
      <c r="BU52" s="35" t="n"/>
      <c r="BV52" s="35" t="n"/>
      <c r="BW52" s="35" t="n"/>
      <c r="BX52" s="35" t="n"/>
      <c r="BY52" s="35" t="n"/>
      <c r="BZ52" s="35" t="n"/>
      <c r="CA52" s="35" t="n"/>
      <c r="CB52" s="35" t="n"/>
      <c r="CC52" s="35" t="n"/>
      <c r="CD52" s="35" t="n"/>
      <c r="CE52" s="35" t="n"/>
      <c r="CF52" s="35" t="n"/>
      <c r="CG52" s="35" t="n"/>
      <c r="CH52" s="35" t="n"/>
      <c r="CI52" s="35" t="n"/>
      <c r="CJ52" s="35" t="n"/>
      <c r="CK52" s="35" t="n"/>
      <c r="CL52" s="35" t="n"/>
      <c r="CM52" s="35" t="n"/>
      <c r="CN52" s="35" t="n"/>
      <c r="CO52" s="35" t="n"/>
      <c r="CP52" s="35" t="n"/>
      <c r="CQ52" s="35" t="n"/>
      <c r="CR52" s="35" t="n"/>
      <c r="CS52" s="35" t="n"/>
      <c r="CT52" s="35" t="n"/>
      <c r="CU52" s="35" t="n"/>
      <c r="CV52" s="35" t="n"/>
      <c r="CW52" s="35" t="n"/>
      <c r="CX52" s="35" t="n"/>
      <c r="CY52" s="35" t="n"/>
    </row>
    <row r="53" ht="13.5" customHeight="1">
      <c r="C53" s="13" t="inlineStr">
        <is>
          <t>D&amp;A</t>
        </is>
      </c>
      <c r="D53" s="46" t="n"/>
      <c r="E53" s="46" t="n"/>
      <c r="F53" s="46" t="n"/>
      <c r="G53" s="46" t="n"/>
      <c r="H53" s="12" t="n"/>
      <c r="I53" s="46">
        <f>'Inputs (2)'!D7</f>
        <v>-163</v>
      </c>
      <c r="J53" s="46">
        <f>'Inputs (2)'!E7</f>
        <v>-186</v>
      </c>
      <c r="K53" s="46">
        <f>'Inputs (2)'!F7</f>
        <v>-188</v>
      </c>
      <c r="L53" s="46">
        <f>'Inputs (2)'!G7</f>
        <v>-189</v>
      </c>
      <c r="M53" s="12">
        <f>'Inputs (2)'!H7</f>
        <v>-726</v>
      </c>
      <c r="N53" s="46">
        <f>'Inputs (2)'!I7</f>
        <v>-192</v>
      </c>
      <c r="O53" s="46">
        <f>'Inputs (2)'!J7</f>
        <v>-189</v>
      </c>
      <c r="P53" s="46">
        <f>'Inputs (2)'!K7</f>
        <v>-185</v>
      </c>
      <c r="Q53" s="46">
        <f>'Inputs (2)'!L7</f>
        <v>-184</v>
      </c>
      <c r="R53" s="12">
        <f>'Inputs (2)'!M7</f>
        <v>-750</v>
      </c>
      <c r="S53" s="46">
        <f>'Inputs (2)'!N7</f>
        <v>-191</v>
      </c>
      <c r="T53" s="46">
        <f>'Inputs (2)'!O7</f>
        <v>-192</v>
      </c>
      <c r="U53" s="46">
        <f>'Inputs (2)'!P7</f>
        <v>-211</v>
      </c>
      <c r="V53" s="46">
        <f>'Inputs (2)'!Q7</f>
        <v>-205</v>
      </c>
      <c r="W53" s="12">
        <f>'Inputs (2)'!R7</f>
        <v>-799</v>
      </c>
      <c r="X53" s="46">
        <f>'Inputs (2)'!S7</f>
        <v>-216</v>
      </c>
      <c r="Y53" s="46">
        <f>'Inputs (2)'!T7</f>
        <v>-225</v>
      </c>
      <c r="Z53" s="46">
        <f>'Inputs (2)'!U7</f>
        <v>-225</v>
      </c>
      <c r="AA53" s="46">
        <f>'Inputs (2)'!V7</f>
        <v>-231</v>
      </c>
      <c r="AB53" s="12">
        <f>'Inputs (2)'!W7</f>
        <v>-897</v>
      </c>
      <c r="AC53" s="46">
        <f>'Inputs (2)'!X7</f>
        <v>-275</v>
      </c>
      <c r="AD53" s="46">
        <f>'Inputs (2)'!Y7</f>
        <v>-281</v>
      </c>
      <c r="AE53" s="46">
        <f>'Inputs (2)'!Z7</f>
        <v>-290</v>
      </c>
      <c r="AF53" s="46">
        <f>'Inputs (2)'!AA7</f>
        <v>-297</v>
      </c>
      <c r="AG53" s="12">
        <f>'Inputs (2)'!AB7</f>
        <v>-1143</v>
      </c>
      <c r="AH53" s="12">
        <f>'Inputs (2)'!AC7</f>
        <v>-299</v>
      </c>
      <c r="AI53" s="12">
        <f>'Inputs (2)'!AD7</f>
        <v>-309</v>
      </c>
      <c r="AJ53" s="12">
        <f>-AJ54*AJ15</f>
        <v>-346.934460711614</v>
      </c>
      <c r="AK53" s="12">
        <f>-AK54*AK15</f>
        <v>-355.162155432048</v>
      </c>
      <c r="AL53" s="12">
        <f>SUM(AH53:AK53)</f>
        <v>-1310.09661614366</v>
      </c>
      <c r="AM53" s="12">
        <f>-AM54*AM15</f>
        <v>-338.706765991181</v>
      </c>
      <c r="AN53" s="12">
        <f>-AN54*AN15</f>
        <v>-374.158450595402</v>
      </c>
      <c r="AO53" s="12">
        <f>-AO54*AO15</f>
        <v>-402.018715696736</v>
      </c>
      <c r="AP53" s="12">
        <f>-AP54*AP15</f>
        <v>-411.552756385196</v>
      </c>
      <c r="AQ53" s="12">
        <f>SUM(AM53:AP53)</f>
        <v>-1526.43668866851</v>
      </c>
      <c r="AR53" s="12">
        <f>-AR54*AR15</f>
        <v>-390.79114117832</v>
      </c>
      <c r="AS53" s="12">
        <f>-AS54*AS15</f>
        <v>-431.694381604105</v>
      </c>
      <c r="AT53" s="12">
        <f>-AT54*AT15</f>
        <v>-463.838837769956</v>
      </c>
      <c r="AU53" s="12">
        <f>-AU54*AU15</f>
        <v>-474.838968309955</v>
      </c>
      <c r="AV53" s="12">
        <f>SUM(AR53:AU53)</f>
        <v>-1761.16332886234</v>
      </c>
      <c r="AW53" s="12">
        <f>-AW54*AW15</f>
        <v>-448.930795818174</v>
      </c>
      <c r="AX53" s="12">
        <f>-AX54*AX15</f>
        <v>-495.919384711265</v>
      </c>
      <c r="AY53" s="12">
        <f>-AY54*AY15</f>
        <v>-532.846107881515</v>
      </c>
      <c r="AZ53" s="12">
        <f>-AZ54*AZ15</f>
        <v>-545.482774471591</v>
      </c>
      <c r="BA53" s="12">
        <f>SUM(AW53:AZ53)</f>
        <v>-2023.17906288254</v>
      </c>
      <c r="BB53" s="12">
        <f>-BB54*BB15</f>
        <v>-513.475479354167</v>
      </c>
      <c r="BC53" s="12">
        <f>-BC54*BC15</f>
        <v>-567.219816857419</v>
      </c>
      <c r="BD53" s="12">
        <f>-BD54*BD15</f>
        <v>-609.45565155053</v>
      </c>
      <c r="BE53" s="12">
        <f>-BE54*BE15</f>
        <v>-623.909145263191</v>
      </c>
      <c r="BF53" s="12">
        <f>SUM(BB53:BE53)</f>
        <v>-2314.06009302531</v>
      </c>
      <c r="BG53" s="12" t="n"/>
      <c r="BH53" s="12" t="n"/>
      <c r="BI53" s="12" t="n"/>
      <c r="BJ53" s="12" t="n"/>
      <c r="BK53" s="12" t="n"/>
      <c r="BL53" s="12" t="n"/>
      <c r="BM53" s="12" t="n"/>
      <c r="BN53" s="12" t="n"/>
      <c r="BO53" s="12" t="n"/>
      <c r="BP53" s="12" t="n"/>
      <c r="BQ53" s="12" t="n"/>
      <c r="BR53" s="12" t="n"/>
      <c r="BS53" s="12" t="n"/>
      <c r="BT53" s="12" t="n"/>
      <c r="BU53" s="12" t="n"/>
      <c r="BV53" s="12" t="n"/>
      <c r="BW53" s="12" t="n"/>
      <c r="BX53" s="12" t="n"/>
      <c r="BY53" s="12" t="n"/>
      <c r="BZ53" s="12" t="n"/>
      <c r="CA53" s="12" t="n"/>
      <c r="CB53" s="12" t="n"/>
      <c r="CC53" s="12" t="n"/>
      <c r="CD53" s="12" t="n"/>
      <c r="CE53" s="12" t="n"/>
      <c r="CF53" s="12" t="n"/>
      <c r="CG53" s="12" t="n"/>
      <c r="CH53" s="12" t="n"/>
      <c r="CI53" s="12" t="n"/>
      <c r="CJ53" s="12" t="n"/>
      <c r="CK53" s="12" t="n"/>
      <c r="CL53" s="12" t="n"/>
      <c r="CM53" s="12" t="n"/>
      <c r="CN53" s="12" t="n"/>
      <c r="CO53" s="12" t="n"/>
      <c r="CP53" s="12" t="n"/>
      <c r="CQ53" s="12" t="n"/>
      <c r="CR53" s="12" t="n"/>
      <c r="CS53" s="12" t="n"/>
      <c r="CT53" s="12" t="n"/>
      <c r="CU53" s="12" t="n"/>
      <c r="CV53" s="12" t="n"/>
      <c r="CW53" s="12" t="n"/>
      <c r="CX53" s="12" t="n"/>
      <c r="CY53" s="12" t="n"/>
    </row>
    <row r="54" hidden="1" outlineLevel="1" customFormat="1" s="56">
      <c r="A54" s="53" t="n"/>
      <c r="B54" s="53" t="n"/>
      <c r="C54" s="54" t="inlineStr">
        <is>
          <t>% of Revenue</t>
        </is>
      </c>
      <c r="D54" s="53" t="n"/>
      <c r="E54" s="53" t="n"/>
      <c r="F54" s="53" t="n"/>
      <c r="G54" s="53" t="n"/>
      <c r="H54" s="53" t="n"/>
      <c r="I54" s="53">
        <f>IFERROR(-I53/I15,"")</f>
        <v>0.0392298435619735</v>
      </c>
      <c r="J54" s="53">
        <f>IFERROR(-J53/J15,"")</f>
        <v>0.0410777385159011</v>
      </c>
      <c r="K54" s="53">
        <f>IFERROR(-K53/K15,"")</f>
        <v>0.0377131394182548</v>
      </c>
      <c r="L54" s="53">
        <f>IFERROR(-L53/L15,"")</f>
        <v>0.0362346625766871</v>
      </c>
      <c r="M54" s="53" t="n"/>
      <c r="N54" s="53">
        <f>IFERROR(-N53/N15,"")</f>
        <v>0.0371588929746468</v>
      </c>
      <c r="O54" s="53">
        <f>IFERROR(-O53/O15,"")</f>
        <v>0.0343823903947608</v>
      </c>
      <c r="P54" s="53">
        <f>IFERROR(-P53/P15,"")</f>
        <v>0.0321403752605976</v>
      </c>
      <c r="Q54" s="53">
        <f>IFERROR(-Q53/Q15,"")</f>
        <v>0.0316314251332302</v>
      </c>
      <c r="R54" s="53" t="n"/>
      <c r="S54" s="53">
        <f>IFERROR(-S53/S15,"")</f>
        <v>0.0332289491997216</v>
      </c>
      <c r="T54" s="53">
        <f>IFERROR(-T53/T15,"")</f>
        <v>0.0306268942415058</v>
      </c>
      <c r="U54" s="53">
        <f>IFERROR(-U53/U15,"")</f>
        <v>0.0322975662023573</v>
      </c>
      <c r="V54" s="53">
        <f>IFERROR(-V53/V15,"")</f>
        <v>0.0313072693952352</v>
      </c>
      <c r="W54" s="53" t="n"/>
      <c r="X54" s="53">
        <f>IFERROR(-X53/X15,"")</f>
        <v>0.0340264650283554</v>
      </c>
      <c r="Y54" s="53">
        <f>IFERROR(-Y53/Y15,"")</f>
        <v>0.0323229421060193</v>
      </c>
      <c r="Z54" s="53">
        <f>IFERROR(-Z53/Z15,"")</f>
        <v>0.0305333152395169</v>
      </c>
      <c r="AA54" s="53">
        <f>IFERROR(-AA53/AA15,"")</f>
        <v>0.0308452396848711</v>
      </c>
      <c r="AB54" s="53" t="n"/>
      <c r="AC54" s="53">
        <f>IFERROR(-AC53/AC15,"")</f>
        <v>0.0379310344827586</v>
      </c>
      <c r="AD54" s="53">
        <f>IFERROR(-AD53/AD15,"")</f>
        <v>0.0345505963359154</v>
      </c>
      <c r="AE54" s="53">
        <f>IFERROR(-AE53/AE15,"")</f>
        <v>0.0337130899790746</v>
      </c>
      <c r="AF54" s="55">
        <f>IFERROR(-AF53/AF15,"")</f>
        <v>0.0337270043152396</v>
      </c>
      <c r="AG54" s="53" t="n"/>
      <c r="AH54" s="55">
        <f>IFERROR(-AH53/AH15,"")</f>
        <v>0.0356037151702786</v>
      </c>
      <c r="AI54" s="55">
        <f>IFERROR(-AI53/AI15,"")</f>
        <v>0.0333081815241996</v>
      </c>
      <c r="AJ54" s="55">
        <f>Control!$B$21</f>
        <v>0.0348056036345778</v>
      </c>
      <c r="AK54" s="55">
        <f>Control!$B$21</f>
        <v>0.0348056036345778</v>
      </c>
      <c r="AL54" s="53" t="n"/>
      <c r="AM54" s="55">
        <f>Control!$C$21</f>
        <v>0.0348056036345778</v>
      </c>
      <c r="AN54" s="55">
        <f>Control!$C$21</f>
        <v>0.0348056036345778</v>
      </c>
      <c r="AO54" s="55">
        <f>Control!$C$21</f>
        <v>0.0348056036345778</v>
      </c>
      <c r="AP54" s="55">
        <f>Control!$C$21</f>
        <v>0.0348056036345778</v>
      </c>
      <c r="AQ54" s="53" t="n"/>
      <c r="AR54" s="55">
        <f>Control!$D$21</f>
        <v>0.0348056036345778</v>
      </c>
      <c r="AS54" s="55">
        <f>Control!$D$21</f>
        <v>0.0348056036345778</v>
      </c>
      <c r="AT54" s="55">
        <f>Control!$D$21</f>
        <v>0.0348056036345778</v>
      </c>
      <c r="AU54" s="55">
        <f>Control!$D$21</f>
        <v>0.0348056036345778</v>
      </c>
      <c r="AV54" s="53" t="n"/>
      <c r="AW54" s="55">
        <f>Control!$E$21</f>
        <v>0.0348056036345778</v>
      </c>
      <c r="AX54" s="55">
        <f>Control!$E$21</f>
        <v>0.0348056036345778</v>
      </c>
      <c r="AY54" s="55">
        <f>Control!$E$21</f>
        <v>0.0348056036345778</v>
      </c>
      <c r="AZ54" s="55">
        <f>Control!$E$21</f>
        <v>0.0348056036345778</v>
      </c>
      <c r="BA54" s="53" t="n"/>
      <c r="BB54" s="55">
        <f>Control!$F$21</f>
        <v>0.0348056036345778</v>
      </c>
      <c r="BC54" s="55">
        <f>Control!$F$21</f>
        <v>0.0348056036345778</v>
      </c>
      <c r="BD54" s="55">
        <f>Control!$F$21</f>
        <v>0.0348056036345778</v>
      </c>
      <c r="BE54" s="55">
        <f>Control!$F$21</f>
        <v>0.0348056036345778</v>
      </c>
      <c r="BF54" s="53" t="n"/>
      <c r="BG54" s="55" t="n"/>
      <c r="BH54" s="55" t="n"/>
      <c r="BI54" s="55" t="n"/>
      <c r="BJ54" s="55" t="n"/>
      <c r="BK54" s="53" t="n"/>
      <c r="BL54" s="55" t="n"/>
      <c r="BM54" s="55" t="n"/>
      <c r="BN54" s="55" t="n"/>
      <c r="BO54" s="55" t="n"/>
      <c r="BP54" s="53" t="n"/>
      <c r="BQ54" s="55" t="n"/>
      <c r="BR54" s="55" t="n"/>
      <c r="BS54" s="55" t="n"/>
      <c r="BT54" s="55" t="n"/>
      <c r="BU54" s="53" t="n"/>
      <c r="BV54" s="55" t="n"/>
      <c r="BW54" s="55" t="n"/>
      <c r="BX54" s="55" t="n"/>
      <c r="BY54" s="55" t="n"/>
      <c r="BZ54" s="53" t="n"/>
      <c r="CA54" s="55" t="n"/>
      <c r="CB54" s="55" t="n"/>
      <c r="CC54" s="55" t="n"/>
      <c r="CD54" s="55" t="n"/>
      <c r="CE54" s="53" t="n"/>
      <c r="CF54" s="55" t="n"/>
      <c r="CG54" s="55" t="n"/>
      <c r="CH54" s="55" t="n"/>
      <c r="CI54" s="55" t="n"/>
      <c r="CJ54" s="53" t="n"/>
      <c r="CK54" s="55" t="n"/>
      <c r="CL54" s="55" t="n"/>
      <c r="CM54" s="55" t="n"/>
      <c r="CN54" s="55" t="n"/>
      <c r="CO54" s="53" t="n"/>
      <c r="CP54" s="55" t="n"/>
      <c r="CQ54" s="55" t="n"/>
      <c r="CR54" s="55" t="n"/>
      <c r="CS54" s="55" t="n"/>
      <c r="CT54" s="53" t="n"/>
      <c r="CU54" s="55" t="n"/>
      <c r="CV54" s="55" t="n"/>
      <c r="CW54" s="55" t="n"/>
      <c r="CX54" s="55" t="n"/>
      <c r="CY54" s="53" t="n"/>
    </row>
    <row r="55" hidden="1" outlineLevel="1">
      <c r="C55" s="50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2" t="n"/>
      <c r="M55" s="12" t="n"/>
      <c r="N55" s="12" t="n"/>
      <c r="O55" s="12" t="n"/>
      <c r="P55" s="12" t="n"/>
      <c r="Q55" s="12" t="n"/>
      <c r="R55" s="12" t="n"/>
      <c r="S55" s="12" t="n"/>
      <c r="T55" s="12" t="n"/>
      <c r="U55" s="12" t="n"/>
      <c r="V55" s="12" t="n"/>
      <c r="W55" s="12" t="n"/>
      <c r="X55" s="12" t="n"/>
      <c r="Y55" s="12" t="n"/>
      <c r="Z55" s="12" t="n"/>
      <c r="AA55" s="12" t="n"/>
      <c r="AB55" s="12" t="n"/>
      <c r="AC55" s="12" t="n"/>
      <c r="AD55" s="12" t="n"/>
      <c r="AE55" s="12" t="n"/>
      <c r="AF55" s="12" t="n"/>
      <c r="AG55" s="12" t="n"/>
      <c r="AH55" s="12" t="n"/>
      <c r="AI55" s="12" t="n"/>
      <c r="AJ55" s="12" t="n"/>
      <c r="AK55" s="12" t="n"/>
      <c r="AL55" s="12" t="n"/>
      <c r="AM55" s="12" t="n"/>
      <c r="AN55" s="12" t="n"/>
      <c r="AO55" s="12" t="n"/>
      <c r="AP55" s="12" t="n"/>
      <c r="AQ55" s="12" t="n"/>
      <c r="AR55" s="12" t="n"/>
      <c r="AS55" s="12" t="n"/>
      <c r="AT55" s="12" t="n"/>
      <c r="AU55" s="12" t="n"/>
      <c r="AV55" s="12" t="n"/>
      <c r="AW55" s="12" t="n"/>
      <c r="AX55" s="12" t="n"/>
      <c r="AY55" s="12" t="n"/>
      <c r="AZ55" s="12" t="n"/>
      <c r="BA55" s="12" t="n"/>
      <c r="BB55" s="12" t="n"/>
      <c r="BC55" s="12" t="n"/>
      <c r="BD55" s="12" t="n"/>
      <c r="BE55" s="12" t="n"/>
      <c r="BF55" s="12" t="n"/>
      <c r="BG55" s="12" t="n"/>
      <c r="BH55" s="12" t="n"/>
      <c r="BI55" s="12" t="n"/>
      <c r="BJ55" s="12" t="n"/>
      <c r="BK55" s="12" t="n"/>
      <c r="BL55" s="12" t="n"/>
      <c r="BM55" s="12" t="n"/>
      <c r="BN55" s="12" t="n"/>
      <c r="BO55" s="12" t="n"/>
      <c r="BP55" s="12" t="n"/>
      <c r="BQ55" s="12" t="n"/>
      <c r="BR55" s="12" t="n"/>
      <c r="BS55" s="12" t="n"/>
      <c r="BT55" s="12" t="n"/>
      <c r="BU55" s="12" t="n"/>
      <c r="BV55" s="12" t="n"/>
      <c r="BW55" s="12" t="n"/>
      <c r="BX55" s="12" t="n"/>
      <c r="BY55" s="12" t="n"/>
      <c r="BZ55" s="12" t="n"/>
      <c r="CA55" s="12" t="n"/>
      <c r="CB55" s="12" t="n"/>
      <c r="CC55" s="12" t="n"/>
      <c r="CD55" s="12" t="n"/>
      <c r="CE55" s="12" t="n"/>
      <c r="CF55" s="12" t="n"/>
      <c r="CG55" s="12" t="n"/>
      <c r="CH55" s="12" t="n"/>
      <c r="CI55" s="12" t="n"/>
      <c r="CJ55" s="12" t="n"/>
      <c r="CK55" s="12" t="n"/>
      <c r="CL55" s="12" t="n"/>
      <c r="CM55" s="12" t="n"/>
      <c r="CN55" s="12" t="n"/>
      <c r="CO55" s="12" t="n"/>
      <c r="CP55" s="12" t="n"/>
      <c r="CQ55" s="12" t="n"/>
      <c r="CR55" s="12" t="n"/>
      <c r="CS55" s="12" t="n"/>
      <c r="CT55" s="12" t="n"/>
      <c r="CU55" s="12" t="n"/>
      <c r="CV55" s="12" t="n"/>
      <c r="CW55" s="12" t="n"/>
      <c r="CX55" s="12" t="n"/>
      <c r="CY55" s="12" t="n"/>
    </row>
    <row r="56" collapsed="1" customFormat="1" s="32">
      <c r="A56" s="30" t="n"/>
      <c r="B56" s="3" t="n"/>
      <c r="C56" s="33" t="inlineStr">
        <is>
          <t>Operating Profit - EBIT</t>
        </is>
      </c>
      <c r="D56" s="35" t="n"/>
      <c r="E56" s="35" t="n"/>
      <c r="F56" s="35" t="n"/>
      <c r="G56" s="35" t="n"/>
      <c r="H56" s="35" t="n"/>
      <c r="I56" s="35">
        <f>SUM(I52,I53)</f>
        <v>2197</v>
      </c>
      <c r="J56" s="35">
        <f>SUM(J52,J53)</f>
        <v>2341</v>
      </c>
      <c r="K56" s="35">
        <f>SUM(K52,K53)</f>
        <v>2717</v>
      </c>
      <c r="L56" s="35">
        <f>SUM(L52,L53)</f>
        <v>2827</v>
      </c>
      <c r="M56" s="35">
        <f>SUM(I56:L56)</f>
        <v>10082</v>
      </c>
      <c r="N56" s="35">
        <f>SUM(N52,N53)</f>
        <v>2950</v>
      </c>
      <c r="O56" s="35">
        <f>SUM(O52,O53)</f>
        <v>3018</v>
      </c>
      <c r="P56" s="35">
        <f>SUM(P52,P53)</f>
        <v>3112</v>
      </c>
      <c r="Q56" s="35">
        <f>SUM(Q52,Q53)</f>
        <v>3184</v>
      </c>
      <c r="R56" s="35">
        <f>SUM(N56:Q56)</f>
        <v>12264</v>
      </c>
      <c r="S56" s="35">
        <f>SUM(S52,S53)</f>
        <v>3136</v>
      </c>
      <c r="T56" s="35">
        <f>SUM(T52,T53)</f>
        <v>3656</v>
      </c>
      <c r="U56" s="35">
        <f>SUM(U52,U53)</f>
        <v>3844</v>
      </c>
      <c r="V56" s="35">
        <f>SUM(V52,V53)</f>
        <v>3372</v>
      </c>
      <c r="W56" s="35">
        <f>SUM(S56:V56)</f>
        <v>14008</v>
      </c>
      <c r="X56" s="35">
        <f>SUM(X52,X53)</f>
        <v>3604</v>
      </c>
      <c r="Y56" s="35">
        <f>SUM(Y52,Y53)</f>
        <v>4036</v>
      </c>
      <c r="Z56" s="35">
        <f>SUM(Z52,Z53)</f>
        <v>4004</v>
      </c>
      <c r="AA56" s="35">
        <f>SUM(AA52,AA53)</f>
        <v>3938</v>
      </c>
      <c r="AB56" s="35">
        <f>SUM(X56:AA56)</f>
        <v>15582</v>
      </c>
      <c r="AC56" s="35">
        <f>SUM(AC52,AC53)</f>
        <v>4149</v>
      </c>
      <c r="AD56" s="35">
        <f>SUM(AD52,AD53)</f>
        <v>4777</v>
      </c>
      <c r="AE56" s="35">
        <f>SUM(AE52,AE53)</f>
        <v>5061</v>
      </c>
      <c r="AF56" s="35">
        <f>SUM(AF52,AF53)</f>
        <v>4910</v>
      </c>
      <c r="AG56" s="35">
        <f>SUM(AC56:AF56)</f>
        <v>18897</v>
      </c>
      <c r="AH56" s="35">
        <f>SUM(AH52,AH53)</f>
        <v>4907</v>
      </c>
      <c r="AI56" s="35">
        <f>SUM(AI52,AI53)</f>
        <v>5587</v>
      </c>
      <c r="AJ56" s="35">
        <f>SUM(AJ52,AJ53)</f>
        <v>5801.42807492636</v>
      </c>
      <c r="AK56" s="35">
        <f>SUM(AK52,AK53)</f>
        <v>5939.01134943054</v>
      </c>
      <c r="AL56" s="35">
        <f>SUM(AL52,AL53)</f>
        <v>22234.4394243569</v>
      </c>
      <c r="AM56" s="35">
        <f>SUM(AM52,AM53)</f>
        <v>5663.84480042218</v>
      </c>
      <c r="AN56" s="35">
        <f>SUM(AN52,AN53)</f>
        <v>6256.66685085932</v>
      </c>
      <c r="AO56" s="35">
        <f>SUM(AO52,AO53)</f>
        <v>6722.54540268217</v>
      </c>
      <c r="AP56" s="35">
        <f>SUM(AP52,AP53)</f>
        <v>6881.97335689598</v>
      </c>
      <c r="AQ56" s="35">
        <f>SUM(AQ52,AQ53)</f>
        <v>25525.0304108597</v>
      </c>
      <c r="AR56" s="35">
        <f>SUM(AR52,AR53)</f>
        <v>6534.79822446625</v>
      </c>
      <c r="AS56" s="35">
        <f>SUM(AS52,AS53)</f>
        <v>7218.7810345765</v>
      </c>
      <c r="AT56" s="35">
        <f>SUM(AT52,AT53)</f>
        <v>7756.29970617604</v>
      </c>
      <c r="AU56" s="35">
        <f>SUM(AU52,AU53)</f>
        <v>7940.24357272567</v>
      </c>
      <c r="AV56" s="35">
        <f>SUM(AV52,AV53)</f>
        <v>29450.1225379445</v>
      </c>
      <c r="AW56" s="35">
        <f>SUM(AW52,AW53)</f>
        <v>7507.00785738174</v>
      </c>
      <c r="AX56" s="35">
        <f>SUM(AX52,AX53)</f>
        <v>8292.74968956067</v>
      </c>
      <c r="AY56" s="35">
        <f>SUM(AY52,AY53)</f>
        <v>8910.23729247999</v>
      </c>
      <c r="AZ56" s="35">
        <f>SUM(AZ52,AZ53)</f>
        <v>9121.54726779572</v>
      </c>
      <c r="BA56" s="35">
        <f>SUM(BA52,BA53)</f>
        <v>33831.5421072181</v>
      </c>
      <c r="BB56" s="35">
        <f>SUM(BB52,BB53)</f>
        <v>8586.32219930353</v>
      </c>
      <c r="BC56" s="35">
        <f>SUM(BC52,BC53)</f>
        <v>9485.03346546069</v>
      </c>
      <c r="BD56" s="35">
        <f>SUM(BD52,BD53)</f>
        <v>10191.2998785866</v>
      </c>
      <c r="BE56" s="35">
        <f>SUM(BE52,BE53)</f>
        <v>10432.9907847981</v>
      </c>
      <c r="BF56" s="35">
        <f>SUM(BF52,BF53)</f>
        <v>38695.646328149</v>
      </c>
      <c r="BG56" s="35" t="n"/>
      <c r="BH56" s="35" t="n"/>
      <c r="BI56" s="35" t="n"/>
      <c r="BJ56" s="35" t="n"/>
      <c r="BK56" s="35" t="n"/>
      <c r="BL56" s="35" t="n"/>
      <c r="BM56" s="35" t="n"/>
      <c r="BN56" s="35" t="n"/>
      <c r="BO56" s="35" t="n"/>
      <c r="BP56" s="35" t="n"/>
      <c r="BQ56" s="35" t="n"/>
      <c r="BR56" s="35" t="n"/>
      <c r="BS56" s="35" t="n"/>
      <c r="BT56" s="35" t="n"/>
      <c r="BU56" s="35" t="n"/>
      <c r="BV56" s="35" t="n"/>
      <c r="BW56" s="35" t="n"/>
      <c r="BX56" s="35" t="n"/>
      <c r="BY56" s="35" t="n"/>
      <c r="BZ56" s="35" t="n"/>
      <c r="CA56" s="35" t="n"/>
      <c r="CB56" s="35" t="n"/>
      <c r="CC56" s="35" t="n"/>
      <c r="CD56" s="35" t="n"/>
      <c r="CE56" s="35" t="n"/>
      <c r="CF56" s="35" t="n"/>
      <c r="CG56" s="35" t="n"/>
      <c r="CH56" s="35" t="n"/>
      <c r="CI56" s="35" t="n"/>
      <c r="CJ56" s="35" t="n"/>
      <c r="CK56" s="35" t="n"/>
      <c r="CL56" s="35" t="n"/>
      <c r="CM56" s="35" t="n"/>
      <c r="CN56" s="35" t="n"/>
      <c r="CO56" s="35" t="n"/>
      <c r="CP56" s="35" t="n"/>
      <c r="CQ56" s="35" t="n"/>
      <c r="CR56" s="35" t="n"/>
      <c r="CS56" s="35" t="n"/>
      <c r="CT56" s="35" t="n"/>
      <c r="CU56" s="35" t="n"/>
      <c r="CV56" s="35" t="n"/>
      <c r="CW56" s="35" t="n"/>
      <c r="CX56" s="35" t="n"/>
      <c r="CY56" s="35" t="n"/>
    </row>
    <row r="57">
      <c r="C57" s="14" t="inlineStr">
        <is>
          <t>Interest Expense</t>
        </is>
      </c>
      <c r="D57" s="46" t="n"/>
      <c r="E57" s="46" t="n"/>
      <c r="F57" s="46" t="n"/>
      <c r="G57" s="46" t="n"/>
      <c r="H57" s="12" t="n"/>
      <c r="I57" s="46">
        <f>'Inputs (2)'!D8</f>
        <v>-107</v>
      </c>
      <c r="J57" s="46">
        <f>'Inputs (2)'!E8</f>
        <v>-106</v>
      </c>
      <c r="K57" s="46">
        <f>'Inputs (2)'!F8</f>
        <v>-110</v>
      </c>
      <c r="L57" s="46">
        <f>'Inputs (2)'!G8</f>
        <v>-108</v>
      </c>
      <c r="M57" s="12">
        <f>'Inputs (2)'!H8</f>
        <v>-431</v>
      </c>
      <c r="N57" s="46">
        <f>'Inputs (2)'!I8</f>
        <v>-110</v>
      </c>
      <c r="O57" s="46">
        <f>'Inputs (2)'!J8</f>
        <v>-114</v>
      </c>
      <c r="P57" s="46">
        <f>'Inputs (2)'!K8</f>
        <v>-120</v>
      </c>
      <c r="Q57" s="46">
        <f>'Inputs (2)'!L8</f>
        <v>-127</v>
      </c>
      <c r="R57" s="12">
        <f>'Inputs (2)'!M8</f>
        <v>-471</v>
      </c>
      <c r="S57" s="46">
        <f>'Inputs (2)'!N8</f>
        <v>-132</v>
      </c>
      <c r="T57" s="46">
        <f>'Inputs (2)'!O8</f>
        <v>-144</v>
      </c>
      <c r="U57" s="46">
        <f>'Inputs (2)'!P8</f>
        <v>-151</v>
      </c>
      <c r="V57" s="46">
        <f>'Inputs (2)'!Q8</f>
        <v>-148</v>
      </c>
      <c r="W57" s="12">
        <f>'Inputs (2)'!R8</f>
        <v>-575</v>
      </c>
      <c r="X57" s="46">
        <f>'Inputs (2)'!S8</f>
        <v>-150</v>
      </c>
      <c r="Y57" s="46">
        <f>'Inputs (2)'!T8</f>
        <v>-153</v>
      </c>
      <c r="Z57" s="46">
        <f>'Inputs (2)'!U8</f>
        <v>-159</v>
      </c>
      <c r="AA57" s="46">
        <f>'Inputs (2)'!V8</f>
        <v>-184</v>
      </c>
      <c r="AB57" s="12">
        <f>'Inputs (2)'!W8</f>
        <v>-646</v>
      </c>
      <c r="AC57" s="46">
        <f>'Inputs (2)'!X8</f>
        <v>-182</v>
      </c>
      <c r="AD57" s="46">
        <f>'Inputs (2)'!Y8</f>
        <v>-195</v>
      </c>
      <c r="AE57" s="46">
        <f>'Inputs (2)'!Z8</f>
        <v>-186</v>
      </c>
      <c r="AF57" s="46">
        <f>'Inputs (2)'!AA8</f>
        <v>-159</v>
      </c>
      <c r="AG57" s="12">
        <f>'Inputs (2)'!AB8</f>
        <v>-722</v>
      </c>
      <c r="AH57" s="12">
        <f>'Inputs (2)'!AC8</f>
        <v>-185</v>
      </c>
      <c r="AI57" s="12">
        <f>'Inputs (2)'!AD8</f>
        <v>-218</v>
      </c>
      <c r="AJ57" s="12" t="str">
        <f>IF(Control!$E$9="","",-AI75*Control!$E$9/4)</f>
        <v/>
      </c>
      <c r="AK57" s="12" t="str">
        <f>IF(Control!$E$9="","",-AJ75*Control!$E$9/4)</f>
        <v/>
      </c>
      <c r="AL57" s="12">
        <f>SUM(AH57:AK57)</f>
        <v>-403</v>
      </c>
      <c r="AM57" s="12" t="str">
        <f>IF(Control!$E$9="","",-AL75*Control!$E$9/4)</f>
        <v/>
      </c>
      <c r="AN57" s="12" t="str">
        <f>IF(Control!$E$9="","",-AM75*Control!$E$9/4)</f>
        <v/>
      </c>
      <c r="AO57" s="12" t="str">
        <f>IF(Control!$E$9="","",-AN75*Control!$E$9/4)</f>
        <v/>
      </c>
      <c r="AP57" s="12" t="str">
        <f>IF(Control!$E$9="","",-AO75*Control!$E$9/4)</f>
        <v/>
      </c>
      <c r="AQ57" s="12">
        <f>SUM(AM57:AP57)</f>
        <v>0</v>
      </c>
      <c r="AR57" s="12" t="str">
        <f>IF(Control!$E$9="","",-AQ75*Control!$E$9/4)</f>
        <v/>
      </c>
      <c r="AS57" s="12" t="str">
        <f>IF(Control!$E$9="","",-AR75*Control!$E$9/4)</f>
        <v/>
      </c>
      <c r="AT57" s="12" t="str">
        <f>IF(Control!$E$9="","",-AS75*Control!$E$9/4)</f>
        <v/>
      </c>
      <c r="AU57" s="12" t="str">
        <f>IF(Control!$E$9="","",-AT75*Control!$E$9/4)</f>
        <v/>
      </c>
      <c r="AV57" s="12">
        <f>SUM(AR57:AU57)</f>
        <v>0</v>
      </c>
      <c r="AW57" s="12" t="str">
        <f>IF(Control!$E$9="","",-AV75*Control!$E$9/4)</f>
        <v/>
      </c>
      <c r="AX57" s="12" t="str">
        <f>IF(Control!$E$9="","",-AW75*Control!$E$9/4)</f>
        <v/>
      </c>
      <c r="AY57" s="12" t="str">
        <f>IF(Control!$E$9="","",-AX75*Control!$E$9/4)</f>
        <v/>
      </c>
      <c r="AZ57" s="12" t="str">
        <f>IF(Control!$E$9="","",-AY75*Control!$E$9/4)</f>
        <v/>
      </c>
      <c r="BA57" s="12">
        <f>SUM(AW57:AZ57)</f>
        <v>0</v>
      </c>
      <c r="BB57" s="12" t="str">
        <f>IF(Control!$E$9="","",-BA75*Control!$E$9/4)</f>
        <v/>
      </c>
      <c r="BC57" s="12" t="str">
        <f>IF(Control!$E$9="","",-BB75*Control!$E$9/4)</f>
        <v/>
      </c>
      <c r="BD57" s="12" t="str">
        <f>IF(Control!$E$9="","",-BC75*Control!$E$9/4)</f>
        <v/>
      </c>
      <c r="BE57" s="12" t="str">
        <f>IF(Control!$E$9="","",-BD75*Control!$E$9/4)</f>
        <v/>
      </c>
      <c r="BF57" s="12">
        <f>SUM(BB57:BE57)</f>
        <v>0</v>
      </c>
      <c r="BG57" s="12" t="n"/>
      <c r="BH57" s="12" t="n"/>
      <c r="BI57" s="12" t="n"/>
      <c r="BJ57" s="12" t="n"/>
      <c r="BK57" s="12" t="n"/>
      <c r="BL57" s="12" t="n"/>
      <c r="BM57" s="12" t="n"/>
      <c r="BN57" s="12" t="n"/>
      <c r="BO57" s="12" t="n"/>
      <c r="BP57" s="12" t="n"/>
      <c r="BQ57" s="12" t="n"/>
      <c r="BR57" s="12" t="n"/>
      <c r="BS57" s="12" t="n"/>
      <c r="BT57" s="12" t="n"/>
      <c r="BU57" s="12" t="n"/>
      <c r="BV57" s="12" t="n"/>
      <c r="BW57" s="12" t="n"/>
      <c r="BX57" s="12" t="n"/>
      <c r="BY57" s="12" t="n"/>
      <c r="BZ57" s="12" t="n"/>
      <c r="CA57" s="12" t="n"/>
      <c r="CB57" s="12" t="n"/>
      <c r="CC57" s="12" t="n"/>
      <c r="CD57" s="12" t="n"/>
      <c r="CE57" s="12" t="n"/>
      <c r="CF57" s="12" t="n"/>
      <c r="CG57" s="12" t="n"/>
      <c r="CH57" s="12" t="n"/>
      <c r="CI57" s="12" t="n"/>
      <c r="CJ57" s="12" t="n"/>
      <c r="CK57" s="12" t="n"/>
      <c r="CL57" s="12" t="n"/>
      <c r="CM57" s="12" t="n"/>
      <c r="CN57" s="12" t="n"/>
      <c r="CO57" s="12" t="n"/>
      <c r="CP57" s="12" t="n"/>
      <c r="CQ57" s="12" t="n"/>
      <c r="CR57" s="12" t="n"/>
      <c r="CS57" s="12" t="n"/>
      <c r="CT57" s="12" t="n"/>
      <c r="CU57" s="12" t="n"/>
      <c r="CV57" s="12" t="n"/>
      <c r="CW57" s="12" t="n"/>
      <c r="CX57" s="12" t="n"/>
      <c r="CY57" s="12" t="n"/>
    </row>
    <row r="58" hidden="1" outlineLevel="1">
      <c r="C58" s="50" t="inlineStr">
        <is>
          <t>% of Debt</t>
        </is>
      </c>
      <c r="D58" s="53" t="n"/>
      <c r="E58" s="53" t="n"/>
      <c r="F58" s="53" t="n"/>
      <c r="G58" s="53" t="n"/>
      <c r="H58" s="12" t="n"/>
      <c r="I58" s="53">
        <f>IFERROR(-I57/SUM(I195+I200),"")</f>
        <v>0.00771449170872387</v>
      </c>
      <c r="J58" s="53">
        <f>IFERROR(-J57/SUM(J195+J200),"")</f>
        <v>0.00762644794589539</v>
      </c>
      <c r="K58" s="53">
        <f>IFERROR(-K57/SUM(K195+K200),"")</f>
        <v>0.00793593535819926</v>
      </c>
      <c r="L58" s="53">
        <f>IFERROR(-L57/SUM(L195+L200),"")</f>
        <v>0.00776922523559456</v>
      </c>
      <c r="M58" s="12" t="n"/>
      <c r="N58" s="53">
        <f>IFERROR(-N57/SUM(N195+N200),"")</f>
        <v>0.00751058309436024</v>
      </c>
      <c r="O58" s="53">
        <f>IFERROR(-O57/SUM(O195+O200),"")</f>
        <v>0.00787238450383261</v>
      </c>
      <c r="P58" s="53">
        <f>IFERROR(-P57/SUM(P195+P200),"")</f>
        <v>0.00825650199532132</v>
      </c>
      <c r="Q58" s="53">
        <f>IFERROR(-Q57/SUM(Q195+Q200),"")</f>
        <v>0.00905654995364758</v>
      </c>
      <c r="R58" s="12" t="n"/>
      <c r="S58" s="53">
        <f>IFERROR(-S57/SUM(S195+S200),"")</f>
        <v>0.00847893114080165</v>
      </c>
      <c r="T58" s="53">
        <f>IFERROR(-T57/SUM(T195+T200),"")</f>
        <v>0.00921895006402049</v>
      </c>
      <c r="U58" s="53">
        <f>IFERROR(-U57/SUM(U195+U200),"")</f>
        <v>0.00970062957728382</v>
      </c>
      <c r="V58" s="53">
        <f>IFERROR(-V57/SUM(V195+V200),"")</f>
        <v>0.00943817358586825</v>
      </c>
      <c r="W58" s="12" t="n"/>
      <c r="X58" s="53">
        <f>IFERROR(-X57/SUM(X195+X200),"")</f>
        <v>0.00959754302898458</v>
      </c>
      <c r="Y58" s="53">
        <f>IFERROR(-Y57/SUM(Y195+Y200),"")</f>
        <v>0.00980454982377443</v>
      </c>
      <c r="Z58" s="53">
        <f>IFERROR(-Z57/SUM(Z195+Z200),"")</f>
        <v>0.00866107419108836</v>
      </c>
      <c r="AA58" s="53">
        <f>IFERROR(-AA57/SUM(AA195+AA200),"")</f>
        <v>0.0100954680127291</v>
      </c>
      <c r="AB58" s="12" t="n"/>
      <c r="AC58" s="53">
        <f>IFERROR(-AC57/SUM(AC195+AC200),"")</f>
        <v>0.00967982129560685</v>
      </c>
      <c r="AD58" s="53">
        <f>IFERROR(-AD57/SUM(AD195+AD200),"")</f>
        <v>0.0102793885081708</v>
      </c>
      <c r="AE58" s="53">
        <f>IFERROR(-AE57/SUM(AE195+AE200),"")</f>
        <v>0.00979824053100142</v>
      </c>
      <c r="AF58" s="55">
        <f>IFERROR(-AF57/SUM(AF195+AF200),"")</f>
        <v>0.00836842105263158</v>
      </c>
      <c r="AG58" s="12" t="n"/>
      <c r="AH58" s="11">
        <f>IFERROR(-AH57/SUM(AH195+AH200),"")</f>
        <v>0.00975738396624473</v>
      </c>
      <c r="AI58" s="11">
        <f>IFERROR(-AI57/SUM(AI195+AI200),"")</f>
        <v>0.00884632552854766</v>
      </c>
      <c r="AJ58" s="11" t="str">
        <f>IFERROR(Control!$E$9,0)</f>
        <v/>
      </c>
      <c r="AK58" s="11" t="str">
        <f>IFERROR(Control!$E$9,0)</f>
        <v/>
      </c>
      <c r="AL58" s="12" t="n"/>
      <c r="AM58" s="11" t="str">
        <f>IFERROR(Control!$E$9,0)</f>
        <v/>
      </c>
      <c r="AN58" s="11" t="str">
        <f>IFERROR(Control!$E$9,0)</f>
        <v/>
      </c>
      <c r="AO58" s="11" t="str">
        <f>IFERROR(Control!$E$9,0)</f>
        <v/>
      </c>
      <c r="AP58" s="11" t="str">
        <f>IFERROR(Control!$E$9,0)</f>
        <v/>
      </c>
      <c r="AQ58" s="12" t="n"/>
      <c r="AR58" s="11" t="str">
        <f>IFERROR(Control!$E$9,0)</f>
        <v/>
      </c>
      <c r="AS58" s="11" t="str">
        <f>IFERROR(Control!$E$9,0)</f>
        <v/>
      </c>
      <c r="AT58" s="11" t="str">
        <f>IFERROR(Control!$E$9,0)</f>
        <v/>
      </c>
      <c r="AU58" s="11" t="str">
        <f>IFERROR(Control!$E$9,0)</f>
        <v/>
      </c>
      <c r="AV58" s="12" t="n"/>
      <c r="AW58" s="11" t="str">
        <f>IFERROR(Control!$E$9,0)</f>
        <v/>
      </c>
      <c r="AX58" s="11" t="str">
        <f>IFERROR(Control!$E$9,0)</f>
        <v/>
      </c>
      <c r="AY58" s="11" t="str">
        <f>IFERROR(Control!$E$9,0)</f>
        <v/>
      </c>
      <c r="AZ58" s="11" t="str">
        <f>IFERROR(Control!$E$9,0)</f>
        <v/>
      </c>
      <c r="BA58" s="12" t="n"/>
      <c r="BB58" s="11" t="str">
        <f>IFERROR(Control!$E$9,0)</f>
        <v/>
      </c>
      <c r="BC58" s="11" t="str">
        <f>IFERROR(Control!$E$9,0)</f>
        <v/>
      </c>
      <c r="BD58" s="11" t="str">
        <f>IFERROR(Control!$E$9,0)</f>
        <v/>
      </c>
      <c r="BE58" s="11" t="str">
        <f>IFERROR(Control!$E$9,0)</f>
        <v/>
      </c>
      <c r="BF58" s="12" t="n"/>
      <c r="BG58" s="11" t="n"/>
      <c r="BH58" s="11" t="n"/>
      <c r="BI58" s="11" t="n"/>
      <c r="BJ58" s="11" t="n"/>
      <c r="BK58" s="12" t="n"/>
      <c r="BL58" s="11" t="n"/>
      <c r="BM58" s="11" t="n"/>
      <c r="BN58" s="11" t="n"/>
      <c r="BO58" s="11" t="n"/>
      <c r="BP58" s="12" t="n"/>
      <c r="BQ58" s="11" t="n"/>
      <c r="BR58" s="11" t="n"/>
      <c r="BS58" s="11" t="n"/>
      <c r="BT58" s="11" t="n"/>
      <c r="BU58" s="12" t="n"/>
      <c r="BV58" s="11" t="n"/>
      <c r="BW58" s="11" t="n"/>
      <c r="BX58" s="11" t="n"/>
      <c r="BY58" s="11" t="n"/>
      <c r="BZ58" s="12" t="n"/>
      <c r="CA58" s="11" t="n"/>
      <c r="CB58" s="11" t="n"/>
      <c r="CC58" s="11" t="n"/>
      <c r="CD58" s="11" t="n"/>
      <c r="CE58" s="12" t="n"/>
      <c r="CF58" s="11" t="n"/>
      <c r="CG58" s="11" t="n"/>
      <c r="CH58" s="11" t="n"/>
      <c r="CI58" s="11" t="n"/>
      <c r="CJ58" s="12" t="n"/>
      <c r="CK58" s="11" t="n"/>
      <c r="CL58" s="11" t="n"/>
      <c r="CM58" s="11" t="n"/>
      <c r="CN58" s="11" t="n"/>
      <c r="CO58" s="12" t="n"/>
      <c r="CP58" s="11" t="n"/>
      <c r="CQ58" s="11" t="n"/>
      <c r="CR58" s="11" t="n"/>
      <c r="CS58" s="11" t="n"/>
      <c r="CT58" s="12" t="n"/>
      <c r="CU58" s="11" t="n"/>
      <c r="CV58" s="11" t="n"/>
      <c r="CW58" s="11" t="n"/>
      <c r="CX58" s="11" t="n"/>
      <c r="CY58" s="12" t="n"/>
    </row>
    <row r="59" hidden="1" outlineLevel="1">
      <c r="C59" s="50" t="inlineStr">
        <is>
          <t>%CDI</t>
        </is>
      </c>
      <c r="D59" s="11" t="n"/>
      <c r="E59" s="11" t="n"/>
      <c r="F59" s="11" t="n"/>
      <c r="G59" s="11" t="n"/>
      <c r="H59" s="12" t="n"/>
      <c r="I59" s="11" t="n"/>
      <c r="J59" s="11" t="n"/>
      <c r="K59" s="11" t="n"/>
      <c r="L59" s="11" t="n"/>
      <c r="M59" s="12" t="n"/>
      <c r="N59" s="11" t="n"/>
      <c r="O59" s="11" t="n"/>
      <c r="P59" s="11" t="n"/>
      <c r="Q59" s="11" t="n"/>
      <c r="R59" s="12" t="n"/>
      <c r="S59" s="11" t="n"/>
      <c r="T59" s="11" t="n"/>
      <c r="U59" s="11" t="n"/>
      <c r="V59" s="11" t="n"/>
      <c r="W59" s="12" t="n"/>
      <c r="X59" s="11" t="n"/>
      <c r="Y59" s="11" t="n"/>
      <c r="Z59" s="11" t="n"/>
      <c r="AA59" s="11" t="n"/>
      <c r="AB59" s="12" t="n"/>
      <c r="AC59" s="11" t="n"/>
      <c r="AD59" s="11" t="n"/>
      <c r="AE59" s="11" t="n"/>
      <c r="AF59" s="11" t="n"/>
      <c r="AG59" s="12" t="n"/>
      <c r="AH59" s="11" t="n"/>
      <c r="AI59" s="11" t="n"/>
      <c r="AJ59" s="11" t="n"/>
      <c r="AK59" s="11" t="n"/>
      <c r="AL59" s="12" t="n"/>
      <c r="AM59" s="11" t="n"/>
      <c r="AN59" s="11" t="n"/>
      <c r="AO59" s="11" t="n"/>
      <c r="AP59" s="11" t="n"/>
      <c r="AQ59" s="12" t="n"/>
      <c r="AR59" s="11" t="n"/>
      <c r="AS59" s="11" t="n"/>
      <c r="AT59" s="11" t="n"/>
      <c r="AU59" s="11" t="n"/>
      <c r="AV59" s="12" t="n"/>
      <c r="AW59" s="11" t="n"/>
      <c r="AX59" s="11" t="n"/>
      <c r="AY59" s="11" t="n"/>
      <c r="AZ59" s="11" t="n"/>
      <c r="BA59" s="12" t="n"/>
      <c r="BB59" s="11" t="n"/>
      <c r="BC59" s="11" t="n"/>
      <c r="BD59" s="11" t="n"/>
      <c r="BE59" s="11" t="n"/>
      <c r="BF59" s="12" t="n"/>
      <c r="BG59" s="11" t="n"/>
      <c r="BH59" s="11" t="n"/>
      <c r="BI59" s="11" t="n"/>
      <c r="BJ59" s="11" t="n"/>
      <c r="BK59" s="12" t="n"/>
      <c r="BL59" s="11" t="n"/>
      <c r="BM59" s="11" t="n"/>
      <c r="BN59" s="11" t="n"/>
      <c r="BO59" s="11" t="n"/>
      <c r="BP59" s="12" t="n"/>
      <c r="BQ59" s="11" t="n"/>
      <c r="BR59" s="11" t="n"/>
      <c r="BS59" s="11" t="n"/>
      <c r="BT59" s="11" t="n"/>
      <c r="BU59" s="12" t="n"/>
      <c r="BV59" s="11" t="n"/>
      <c r="BW59" s="11" t="n"/>
      <c r="BX59" s="11" t="n"/>
      <c r="BY59" s="11" t="n"/>
      <c r="BZ59" s="12" t="n"/>
      <c r="CA59" s="11" t="n"/>
      <c r="CB59" s="11" t="n"/>
      <c r="CC59" s="11" t="n"/>
      <c r="CD59" s="11" t="n"/>
      <c r="CE59" s="12" t="n"/>
      <c r="CF59" s="11" t="n"/>
      <c r="CG59" s="11" t="n"/>
      <c r="CH59" s="11" t="n"/>
      <c r="CI59" s="11" t="n"/>
      <c r="CJ59" s="12" t="n"/>
      <c r="CK59" s="11" t="n"/>
      <c r="CL59" s="11" t="n"/>
      <c r="CM59" s="11" t="n"/>
      <c r="CN59" s="11" t="n"/>
      <c r="CO59" s="12" t="n"/>
      <c r="CP59" s="11" t="n"/>
      <c r="CQ59" s="11" t="n"/>
      <c r="CR59" s="11" t="n"/>
      <c r="CS59" s="11" t="n"/>
      <c r="CT59" s="12" t="n"/>
      <c r="CU59" s="11" t="n"/>
      <c r="CV59" s="11" t="n"/>
      <c r="CW59" s="11" t="n"/>
      <c r="CX59" s="11" t="n"/>
      <c r="CY59" s="12" t="n"/>
    </row>
    <row r="60" hidden="1" outlineLevel="1">
      <c r="C60" s="57" t="n"/>
      <c r="D60" s="12" t="n"/>
      <c r="E60" s="12" t="n"/>
      <c r="F60" s="12" t="n"/>
      <c r="G60" s="12" t="n"/>
      <c r="H60" s="12" t="n"/>
      <c r="I60" s="12" t="n"/>
      <c r="J60" s="12" t="n"/>
      <c r="K60" s="12" t="n"/>
      <c r="L60" s="12" t="n"/>
      <c r="M60" s="12" t="n"/>
      <c r="N60" s="12" t="n"/>
      <c r="O60" s="12" t="n"/>
      <c r="P60" s="12" t="n"/>
      <c r="Q60" s="12" t="n"/>
      <c r="R60" s="12" t="n"/>
      <c r="S60" s="12" t="n"/>
      <c r="T60" s="12" t="n"/>
      <c r="U60" s="12" t="n"/>
      <c r="V60" s="12" t="n"/>
      <c r="W60" s="12" t="n"/>
      <c r="X60" s="12" t="n"/>
      <c r="Y60" s="12" t="n"/>
      <c r="Z60" s="12" t="n"/>
      <c r="AA60" s="12" t="n"/>
      <c r="AB60" s="12" t="n"/>
      <c r="AC60" s="12" t="n"/>
      <c r="AD60" s="12" t="n"/>
      <c r="AE60" s="12" t="n"/>
      <c r="AF60" s="12" t="n"/>
      <c r="AG60" s="12" t="n"/>
      <c r="AH60" s="12" t="n"/>
      <c r="AI60" s="12" t="n"/>
      <c r="AJ60" s="12" t="n"/>
      <c r="AK60" s="12" t="n"/>
      <c r="AL60" s="12" t="n"/>
      <c r="AM60" s="12" t="n"/>
      <c r="AN60" s="12" t="n"/>
      <c r="AO60" s="12" t="n"/>
      <c r="AP60" s="12" t="n"/>
      <c r="AQ60" s="12" t="n"/>
      <c r="AR60" s="12" t="n"/>
      <c r="AS60" s="12" t="n"/>
      <c r="AT60" s="12" t="n"/>
      <c r="AU60" s="12" t="n"/>
      <c r="AV60" s="12" t="n"/>
      <c r="AW60" s="12" t="n"/>
      <c r="AX60" s="12" t="n"/>
      <c r="AY60" s="12" t="n"/>
      <c r="AZ60" s="12" t="n"/>
      <c r="BA60" s="12" t="n"/>
      <c r="BB60" s="12" t="n"/>
      <c r="BC60" s="12" t="n"/>
      <c r="BD60" s="12" t="n"/>
      <c r="BE60" s="12" t="n"/>
      <c r="BF60" s="12" t="n"/>
      <c r="BG60" s="12" t="n"/>
      <c r="BH60" s="12" t="n"/>
      <c r="BI60" s="12" t="n"/>
      <c r="BJ60" s="12" t="n"/>
      <c r="BK60" s="12" t="n"/>
      <c r="BL60" s="12" t="n"/>
      <c r="BM60" s="12" t="n"/>
      <c r="BN60" s="12" t="n"/>
      <c r="BO60" s="12" t="n"/>
      <c r="BP60" s="12" t="n"/>
      <c r="BQ60" s="12" t="n"/>
      <c r="BR60" s="12" t="n"/>
      <c r="BS60" s="12" t="n"/>
      <c r="BT60" s="12" t="n"/>
      <c r="BU60" s="12" t="n"/>
      <c r="BV60" s="12" t="n"/>
      <c r="BW60" s="12" t="n"/>
      <c r="BX60" s="12" t="n"/>
      <c r="BY60" s="12" t="n"/>
      <c r="BZ60" s="12" t="n"/>
      <c r="CA60" s="12" t="n"/>
      <c r="CB60" s="12" t="n"/>
      <c r="CC60" s="12" t="n"/>
      <c r="CD60" s="12" t="n"/>
      <c r="CE60" s="12" t="n"/>
      <c r="CF60" s="12" t="n"/>
      <c r="CG60" s="12" t="n"/>
      <c r="CH60" s="12" t="n"/>
      <c r="CI60" s="12" t="n"/>
      <c r="CJ60" s="12" t="n"/>
      <c r="CK60" s="12" t="n"/>
      <c r="CL60" s="12" t="n"/>
      <c r="CM60" s="12" t="n"/>
      <c r="CN60" s="12" t="n"/>
      <c r="CO60" s="12" t="n"/>
      <c r="CP60" s="12" t="n"/>
      <c r="CQ60" s="12" t="n"/>
      <c r="CR60" s="12" t="n"/>
      <c r="CS60" s="12" t="n"/>
      <c r="CT60" s="12" t="n"/>
      <c r="CU60" s="12" t="n"/>
      <c r="CV60" s="12" t="n"/>
      <c r="CW60" s="12" t="n"/>
      <c r="CX60" s="12" t="n"/>
      <c r="CY60" s="12" t="n"/>
    </row>
    <row r="61" hidden="1" outlineLevel="1">
      <c r="C61" s="57" t="n"/>
      <c r="D61" s="12" t="n"/>
      <c r="E61" s="12" t="n"/>
      <c r="F61" s="12" t="n"/>
      <c r="G61" s="12" t="n"/>
      <c r="H61" s="12" t="n"/>
      <c r="I61" s="12" t="n"/>
      <c r="J61" s="12" t="n"/>
      <c r="K61" s="12" t="n"/>
      <c r="L61" s="12" t="n"/>
      <c r="M61" s="12" t="n"/>
      <c r="N61" s="12" t="n"/>
      <c r="O61" s="12" t="n"/>
      <c r="P61" s="12" t="n"/>
      <c r="Q61" s="12" t="n"/>
      <c r="R61" s="12" t="n"/>
      <c r="S61" s="12" t="n"/>
      <c r="T61" s="12" t="n"/>
      <c r="U61" s="12" t="n"/>
      <c r="V61" s="12" t="n"/>
      <c r="W61" s="12" t="n"/>
      <c r="X61" s="12" t="n"/>
      <c r="Y61" s="12" t="n"/>
      <c r="Z61" s="12" t="n"/>
      <c r="AA61" s="12" t="n"/>
      <c r="AB61" s="12" t="n"/>
      <c r="AC61" s="12" t="n"/>
      <c r="AD61" s="12" t="n"/>
      <c r="AE61" s="12" t="n"/>
      <c r="AF61" s="12" t="n"/>
      <c r="AG61" s="12" t="n"/>
      <c r="AH61" s="12" t="n"/>
      <c r="AI61" s="12" t="n"/>
      <c r="AJ61" s="12" t="n"/>
      <c r="AK61" s="12" t="n"/>
      <c r="AL61" s="12" t="n"/>
      <c r="AM61" s="12" t="n"/>
      <c r="AN61" s="12" t="n"/>
      <c r="AO61" s="12" t="n"/>
      <c r="AP61" s="12" t="n"/>
      <c r="AQ61" s="12" t="n"/>
      <c r="AR61" s="12" t="n"/>
      <c r="AS61" s="12" t="n"/>
      <c r="AT61" s="12" t="n"/>
      <c r="AU61" s="12" t="n"/>
      <c r="AV61" s="12" t="n"/>
      <c r="AW61" s="12" t="n"/>
      <c r="AX61" s="12" t="n"/>
      <c r="AY61" s="12" t="n"/>
      <c r="AZ61" s="12" t="n"/>
      <c r="BA61" s="12" t="n"/>
      <c r="BB61" s="12" t="n"/>
      <c r="BC61" s="12" t="n"/>
      <c r="BD61" s="12" t="n"/>
      <c r="BE61" s="12" t="n"/>
      <c r="BF61" s="12" t="n"/>
      <c r="BG61" s="12" t="n"/>
      <c r="BH61" s="12" t="n"/>
      <c r="BI61" s="12" t="n"/>
      <c r="BJ61" s="12" t="n"/>
      <c r="BK61" s="12" t="n"/>
      <c r="BL61" s="12" t="n"/>
      <c r="BM61" s="12" t="n"/>
      <c r="BN61" s="12" t="n"/>
      <c r="BO61" s="12" t="n"/>
      <c r="BP61" s="12" t="n"/>
      <c r="BQ61" s="12" t="n"/>
      <c r="BR61" s="12" t="n"/>
      <c r="BS61" s="12" t="n"/>
      <c r="BT61" s="12" t="n"/>
      <c r="BU61" s="12" t="n"/>
      <c r="BV61" s="12" t="n"/>
      <c r="BW61" s="12" t="n"/>
      <c r="BX61" s="12" t="n"/>
      <c r="BY61" s="12" t="n"/>
      <c r="BZ61" s="12" t="n"/>
      <c r="CA61" s="12" t="n"/>
      <c r="CB61" s="12" t="n"/>
      <c r="CC61" s="12" t="n"/>
      <c r="CD61" s="12" t="n"/>
      <c r="CE61" s="12" t="n"/>
      <c r="CF61" s="12" t="n"/>
      <c r="CG61" s="12" t="n"/>
      <c r="CH61" s="12" t="n"/>
      <c r="CI61" s="12" t="n"/>
      <c r="CJ61" s="12" t="n"/>
      <c r="CK61" s="12" t="n"/>
      <c r="CL61" s="12" t="n"/>
      <c r="CM61" s="12" t="n"/>
      <c r="CN61" s="12" t="n"/>
      <c r="CO61" s="12" t="n"/>
      <c r="CP61" s="12" t="n"/>
      <c r="CQ61" s="12" t="n"/>
      <c r="CR61" s="12" t="n"/>
      <c r="CS61" s="12" t="n"/>
      <c r="CT61" s="12" t="n"/>
      <c r="CU61" s="12" t="n"/>
      <c r="CV61" s="12" t="n"/>
      <c r="CW61" s="12" t="n"/>
      <c r="CX61" s="12" t="n"/>
      <c r="CY61" s="12" t="n"/>
    </row>
    <row r="62" hidden="1" outlineLevel="1">
      <c r="C62" s="57" t="inlineStr">
        <is>
          <t>RECEITA FINANCEIRA</t>
        </is>
      </c>
      <c r="D62" s="12" t="n"/>
      <c r="E62" s="12" t="n"/>
      <c r="F62" s="12" t="n"/>
      <c r="G62" s="12" t="n"/>
      <c r="H62" s="12" t="n"/>
      <c r="I62" s="12" t="n"/>
      <c r="J62" s="12" t="n"/>
      <c r="K62" s="12" t="n"/>
      <c r="L62" s="12" t="n"/>
      <c r="M62" s="12" t="n"/>
      <c r="N62" s="12" t="n"/>
      <c r="O62" s="12" t="n"/>
      <c r="P62" s="12" t="n"/>
      <c r="Q62" s="12" t="n"/>
      <c r="R62" s="12" t="n"/>
      <c r="S62" s="12" t="n"/>
      <c r="T62" s="12" t="n"/>
      <c r="U62" s="12" t="n"/>
      <c r="V62" s="12" t="n"/>
      <c r="W62" s="12" t="n"/>
      <c r="X62" s="12" t="n"/>
      <c r="Y62" s="12" t="n"/>
      <c r="Z62" s="12" t="n"/>
      <c r="AA62" s="12" t="n"/>
      <c r="AB62" s="12" t="n"/>
      <c r="AC62" s="12" t="n"/>
      <c r="AD62" s="12" t="n"/>
      <c r="AE62" s="12" t="n"/>
      <c r="AF62" s="12" t="n"/>
      <c r="AG62" s="12" t="n"/>
      <c r="AH62" s="12" t="n"/>
      <c r="AI62" s="12" t="n"/>
      <c r="AJ62" s="12" t="n"/>
      <c r="AK62" s="12" t="n"/>
      <c r="AL62" s="12" t="n"/>
      <c r="AM62" s="12" t="n"/>
      <c r="AN62" s="12" t="n"/>
      <c r="AO62" s="12" t="n"/>
      <c r="AP62" s="12" t="n"/>
      <c r="AQ62" s="12" t="n"/>
      <c r="AR62" s="12" t="n"/>
      <c r="AS62" s="12" t="n"/>
      <c r="AT62" s="12" t="n"/>
      <c r="AU62" s="12" t="n"/>
      <c r="AV62" s="12" t="n"/>
      <c r="AW62" s="12" t="n"/>
      <c r="AX62" s="12" t="n"/>
      <c r="AY62" s="12" t="n"/>
      <c r="AZ62" s="12" t="n"/>
      <c r="BA62" s="12" t="n"/>
      <c r="BB62" s="12" t="n"/>
      <c r="BC62" s="12" t="n"/>
      <c r="BD62" s="12" t="n"/>
      <c r="BE62" s="12" t="n"/>
      <c r="BF62" s="12" t="n"/>
      <c r="BG62" s="12" t="n"/>
      <c r="BH62" s="12" t="n"/>
      <c r="BI62" s="12" t="n"/>
      <c r="BJ62" s="12" t="n"/>
      <c r="BK62" s="12" t="n"/>
      <c r="BL62" s="12" t="n"/>
      <c r="BM62" s="12" t="n"/>
      <c r="BN62" s="12" t="n"/>
      <c r="BO62" s="12" t="n"/>
      <c r="BP62" s="12" t="n"/>
      <c r="BQ62" s="12" t="n"/>
      <c r="BR62" s="12" t="n"/>
      <c r="BS62" s="12" t="n"/>
      <c r="BT62" s="12" t="n"/>
      <c r="BU62" s="12" t="n"/>
      <c r="BV62" s="12" t="n"/>
      <c r="BW62" s="12" t="n"/>
      <c r="BX62" s="12" t="n"/>
      <c r="BY62" s="12" t="n"/>
      <c r="BZ62" s="12" t="n"/>
      <c r="CA62" s="12" t="n"/>
      <c r="CB62" s="12" t="n"/>
      <c r="CC62" s="12" t="n"/>
      <c r="CD62" s="12" t="n"/>
      <c r="CE62" s="12" t="n"/>
      <c r="CF62" s="12" t="n"/>
      <c r="CG62" s="12" t="n"/>
      <c r="CH62" s="12" t="n"/>
      <c r="CI62" s="12" t="n"/>
      <c r="CJ62" s="12" t="n"/>
      <c r="CK62" s="12" t="n"/>
      <c r="CL62" s="12" t="n"/>
      <c r="CM62" s="12" t="n"/>
      <c r="CN62" s="12" t="n"/>
      <c r="CO62" s="12" t="n"/>
      <c r="CP62" s="12" t="n"/>
      <c r="CQ62" s="12" t="n"/>
      <c r="CR62" s="12" t="n"/>
      <c r="CS62" s="12" t="n"/>
      <c r="CT62" s="12" t="n"/>
      <c r="CU62" s="12" t="n"/>
      <c r="CV62" s="12" t="n"/>
      <c r="CW62" s="12" t="n"/>
      <c r="CX62" s="12" t="n"/>
      <c r="CY62" s="12" t="n"/>
    </row>
    <row r="63" hidden="1" outlineLevel="1">
      <c r="C63" s="57" t="inlineStr">
        <is>
          <t>DESPESA FINANCEIRA</t>
        </is>
      </c>
      <c r="D63" s="12" t="n"/>
      <c r="E63" s="12" t="n"/>
      <c r="F63" s="12" t="n"/>
      <c r="G63" s="12" t="n"/>
      <c r="H63" s="12" t="n"/>
      <c r="I63" s="12" t="n"/>
      <c r="J63" s="12" t="n"/>
      <c r="K63" s="12" t="n"/>
      <c r="L63" s="12" t="n"/>
      <c r="M63" s="12" t="n"/>
      <c r="N63" s="12" t="n"/>
      <c r="O63" s="12" t="n"/>
      <c r="P63" s="12" t="n"/>
      <c r="Q63" s="12" t="n"/>
      <c r="R63" s="12" t="n"/>
      <c r="S63" s="12" t="n"/>
      <c r="T63" s="12" t="n"/>
      <c r="U63" s="12" t="n"/>
      <c r="V63" s="12" t="n"/>
      <c r="W63" s="12" t="n"/>
      <c r="X63" s="12" t="n"/>
      <c r="Y63" s="12" t="n"/>
      <c r="Z63" s="12" t="n"/>
      <c r="AA63" s="12" t="n"/>
      <c r="AB63" s="12" t="n"/>
      <c r="AC63" s="12" t="n"/>
      <c r="AD63" s="12" t="n"/>
      <c r="AE63" s="12" t="n"/>
      <c r="AF63" s="12" t="n"/>
      <c r="AG63" s="12" t="n"/>
      <c r="AH63" s="12" t="n"/>
      <c r="AI63" s="12" t="n"/>
      <c r="AJ63" s="12" t="n"/>
      <c r="AK63" s="12" t="n"/>
      <c r="AL63" s="12" t="n"/>
      <c r="AM63" s="12" t="n"/>
      <c r="AN63" s="12" t="n"/>
      <c r="AO63" s="12" t="n"/>
      <c r="AP63" s="12" t="n"/>
      <c r="AQ63" s="12" t="n"/>
      <c r="AR63" s="12" t="n"/>
      <c r="AS63" s="12" t="n"/>
      <c r="AT63" s="12" t="n"/>
      <c r="AU63" s="12" t="n"/>
      <c r="AV63" s="12" t="n"/>
      <c r="AW63" s="12" t="n"/>
      <c r="AX63" s="12" t="n"/>
      <c r="AY63" s="12" t="n"/>
      <c r="AZ63" s="12" t="n"/>
      <c r="BA63" s="12" t="n"/>
      <c r="BB63" s="12" t="n"/>
      <c r="BC63" s="12" t="n"/>
      <c r="BD63" s="12" t="n"/>
      <c r="BE63" s="12" t="n"/>
      <c r="BF63" s="12" t="n"/>
      <c r="BG63" s="12" t="n"/>
      <c r="BH63" s="12" t="n"/>
      <c r="BI63" s="12" t="n"/>
      <c r="BJ63" s="12" t="n"/>
      <c r="BK63" s="12" t="n"/>
      <c r="BL63" s="12" t="n"/>
      <c r="BM63" s="12" t="n"/>
      <c r="BN63" s="12" t="n"/>
      <c r="BO63" s="12" t="n"/>
      <c r="BP63" s="12" t="n"/>
      <c r="BQ63" s="12" t="n"/>
      <c r="BR63" s="12" t="n"/>
      <c r="BS63" s="12" t="n"/>
      <c r="BT63" s="12" t="n"/>
      <c r="BU63" s="12" t="n"/>
      <c r="BV63" s="12" t="n"/>
      <c r="BW63" s="12" t="n"/>
      <c r="BX63" s="12" t="n"/>
      <c r="BY63" s="12" t="n"/>
      <c r="BZ63" s="12" t="n"/>
      <c r="CA63" s="12" t="n"/>
      <c r="CB63" s="12" t="n"/>
      <c r="CC63" s="12" t="n"/>
      <c r="CD63" s="12" t="n"/>
      <c r="CE63" s="12" t="n"/>
      <c r="CF63" s="12" t="n"/>
      <c r="CG63" s="12" t="n"/>
      <c r="CH63" s="12" t="n"/>
      <c r="CI63" s="12" t="n"/>
      <c r="CJ63" s="12" t="n"/>
      <c r="CK63" s="12" t="n"/>
      <c r="CL63" s="12" t="n"/>
      <c r="CM63" s="12" t="n"/>
      <c r="CN63" s="12" t="n"/>
      <c r="CO63" s="12" t="n"/>
      <c r="CP63" s="12" t="n"/>
      <c r="CQ63" s="12" t="n"/>
      <c r="CR63" s="12" t="n"/>
      <c r="CS63" s="12" t="n"/>
      <c r="CT63" s="12" t="n"/>
      <c r="CU63" s="12" t="n"/>
      <c r="CV63" s="12" t="n"/>
      <c r="CW63" s="12" t="n"/>
      <c r="CX63" s="12" t="n"/>
      <c r="CY63" s="12" t="n"/>
    </row>
    <row r="64" hidden="1" outlineLevel="1">
      <c r="C64" s="57" t="inlineStr">
        <is>
          <t>OUTROS</t>
        </is>
      </c>
      <c r="D64" s="12" t="n"/>
      <c r="E64" s="12" t="n"/>
      <c r="F64" s="12" t="n"/>
      <c r="G64" s="12" t="n"/>
      <c r="H64" s="12" t="n"/>
      <c r="I64" s="12" t="n"/>
      <c r="J64" s="12" t="n"/>
      <c r="K64" s="12" t="n"/>
      <c r="L64" s="12" t="n"/>
      <c r="M64" s="12" t="n"/>
      <c r="N64" s="12" t="n"/>
      <c r="O64" s="12" t="n"/>
      <c r="P64" s="12" t="n"/>
      <c r="Q64" s="12" t="n"/>
      <c r="R64" s="12" t="n"/>
      <c r="S64" s="12" t="n"/>
      <c r="T64" s="12" t="n"/>
      <c r="U64" s="12" t="n"/>
      <c r="V64" s="12" t="n"/>
      <c r="W64" s="12" t="n"/>
      <c r="X64" s="12" t="n"/>
      <c r="Y64" s="12" t="n"/>
      <c r="Z64" s="12" t="n"/>
      <c r="AA64" s="12" t="n"/>
      <c r="AB64" s="12" t="n"/>
      <c r="AC64" s="12" t="n"/>
      <c r="AD64" s="12" t="n"/>
      <c r="AE64" s="12" t="n"/>
      <c r="AF64" s="12" t="n"/>
      <c r="AG64" s="12" t="n"/>
      <c r="AH64" s="12" t="n"/>
      <c r="AI64" s="12" t="n"/>
      <c r="AJ64" s="12" t="n"/>
      <c r="AK64" s="12" t="n"/>
      <c r="AL64" s="12" t="n"/>
      <c r="AM64" s="12" t="n"/>
      <c r="AN64" s="12" t="n"/>
      <c r="AO64" s="12" t="n"/>
      <c r="AP64" s="12" t="n"/>
      <c r="AQ64" s="12" t="n"/>
      <c r="AR64" s="12" t="n"/>
      <c r="AS64" s="12" t="n"/>
      <c r="AT64" s="12" t="n"/>
      <c r="AU64" s="12" t="n"/>
      <c r="AV64" s="12" t="n"/>
      <c r="AW64" s="12" t="n"/>
      <c r="AX64" s="12" t="n"/>
      <c r="AY64" s="12" t="n"/>
      <c r="AZ64" s="12" t="n"/>
      <c r="BA64" s="12" t="n"/>
      <c r="BB64" s="12" t="n"/>
      <c r="BC64" s="12" t="n"/>
      <c r="BD64" s="12" t="n"/>
      <c r="BE64" s="12" t="n"/>
      <c r="BF64" s="12" t="n"/>
      <c r="BG64" s="12" t="n"/>
      <c r="BH64" s="12" t="n"/>
      <c r="BI64" s="12" t="n"/>
      <c r="BJ64" s="12" t="n"/>
      <c r="BK64" s="12" t="n"/>
      <c r="BL64" s="12" t="n"/>
      <c r="BM64" s="12" t="n"/>
      <c r="BN64" s="12" t="n"/>
      <c r="BO64" s="12" t="n"/>
      <c r="BP64" s="12" t="n"/>
      <c r="BQ64" s="12" t="n"/>
      <c r="BR64" s="12" t="n"/>
      <c r="BS64" s="12" t="n"/>
      <c r="BT64" s="12" t="n"/>
      <c r="BU64" s="12" t="n"/>
      <c r="BV64" s="12" t="n"/>
      <c r="BW64" s="12" t="n"/>
      <c r="BX64" s="12" t="n"/>
      <c r="BY64" s="12" t="n"/>
      <c r="BZ64" s="12" t="n"/>
      <c r="CA64" s="12" t="n"/>
      <c r="CB64" s="12" t="n"/>
      <c r="CC64" s="12" t="n"/>
      <c r="CD64" s="12" t="n"/>
      <c r="CE64" s="12" t="n"/>
      <c r="CF64" s="12" t="n"/>
      <c r="CG64" s="12" t="n"/>
      <c r="CH64" s="12" t="n"/>
      <c r="CI64" s="12" t="n"/>
      <c r="CJ64" s="12" t="n"/>
      <c r="CK64" s="12" t="n"/>
      <c r="CL64" s="12" t="n"/>
      <c r="CM64" s="12" t="n"/>
      <c r="CN64" s="12" t="n"/>
      <c r="CO64" s="12" t="n"/>
      <c r="CP64" s="12" t="n"/>
      <c r="CQ64" s="12" t="n"/>
      <c r="CR64" s="12" t="n"/>
      <c r="CS64" s="12" t="n"/>
      <c r="CT64" s="12" t="n"/>
      <c r="CU64" s="12" t="n"/>
      <c r="CV64" s="12" t="n"/>
      <c r="CW64" s="12" t="n"/>
      <c r="CX64" s="12" t="n"/>
      <c r="CY64" s="12" t="n"/>
    </row>
    <row r="65" hidden="1" outlineLevel="1">
      <c r="C65" s="57" t="n"/>
      <c r="D65" s="12" t="n"/>
      <c r="E65" s="12" t="n"/>
      <c r="F65" s="12" t="n"/>
      <c r="G65" s="12" t="n"/>
      <c r="H65" s="12" t="n"/>
      <c r="I65" s="12" t="n"/>
      <c r="J65" s="12" t="n"/>
      <c r="K65" s="12" t="n"/>
      <c r="L65" s="12" t="n"/>
      <c r="M65" s="12" t="n"/>
      <c r="N65" s="12" t="n"/>
      <c r="O65" s="12" t="n"/>
      <c r="P65" s="12" t="n"/>
      <c r="Q65" s="12" t="n"/>
      <c r="R65" s="12" t="n"/>
      <c r="S65" s="12" t="n"/>
      <c r="T65" s="12" t="n"/>
      <c r="U65" s="12" t="n"/>
      <c r="V65" s="12" t="n"/>
      <c r="W65" s="12" t="n"/>
      <c r="X65" s="12" t="n"/>
      <c r="Y65" s="12" t="n"/>
      <c r="Z65" s="12" t="n"/>
      <c r="AA65" s="12" t="n"/>
      <c r="AB65" s="12" t="n"/>
      <c r="AC65" s="12" t="n"/>
      <c r="AD65" s="12" t="n"/>
      <c r="AE65" s="12" t="n"/>
      <c r="AF65" s="12" t="n"/>
      <c r="AG65" s="12" t="n"/>
      <c r="AH65" s="12" t="n"/>
      <c r="AI65" s="12" t="n"/>
      <c r="AJ65" s="12" t="n"/>
      <c r="AK65" s="12" t="n"/>
      <c r="AL65" s="12" t="n"/>
      <c r="AM65" s="12" t="n"/>
      <c r="AN65" s="12" t="n"/>
      <c r="AO65" s="12" t="n"/>
      <c r="AP65" s="12" t="n"/>
      <c r="AQ65" s="12" t="n"/>
      <c r="AR65" s="12" t="n"/>
      <c r="AS65" s="12" t="n"/>
      <c r="AT65" s="12" t="n"/>
      <c r="AU65" s="12" t="n"/>
      <c r="AV65" s="12" t="n"/>
      <c r="AW65" s="12" t="n"/>
      <c r="AX65" s="12" t="n"/>
      <c r="AY65" s="12" t="n"/>
      <c r="AZ65" s="12" t="n"/>
      <c r="BA65" s="12" t="n"/>
      <c r="BB65" s="12" t="n"/>
      <c r="BC65" s="12" t="n"/>
      <c r="BD65" s="12" t="n"/>
      <c r="BE65" s="12" t="n"/>
      <c r="BF65" s="12" t="n"/>
      <c r="BG65" s="12" t="n"/>
      <c r="BH65" s="12" t="n"/>
      <c r="BI65" s="12" t="n"/>
      <c r="BJ65" s="12" t="n"/>
      <c r="BK65" s="12" t="n"/>
      <c r="BL65" s="12" t="n"/>
      <c r="BM65" s="12" t="n"/>
      <c r="BN65" s="12" t="n"/>
      <c r="BO65" s="12" t="n"/>
      <c r="BP65" s="12" t="n"/>
      <c r="BQ65" s="12" t="n"/>
      <c r="BR65" s="12" t="n"/>
      <c r="BS65" s="12" t="n"/>
      <c r="BT65" s="12" t="n"/>
      <c r="BU65" s="12" t="n"/>
      <c r="BV65" s="12" t="n"/>
      <c r="BW65" s="12" t="n"/>
      <c r="BX65" s="12" t="n"/>
      <c r="BY65" s="12" t="n"/>
      <c r="BZ65" s="12" t="n"/>
      <c r="CA65" s="12" t="n"/>
      <c r="CB65" s="12" t="n"/>
      <c r="CC65" s="12" t="n"/>
      <c r="CD65" s="12" t="n"/>
      <c r="CE65" s="12" t="n"/>
      <c r="CF65" s="12" t="n"/>
      <c r="CG65" s="12" t="n"/>
      <c r="CH65" s="12" t="n"/>
      <c r="CI65" s="12" t="n"/>
      <c r="CJ65" s="12" t="n"/>
      <c r="CK65" s="12" t="n"/>
      <c r="CL65" s="12" t="n"/>
      <c r="CM65" s="12" t="n"/>
      <c r="CN65" s="12" t="n"/>
      <c r="CO65" s="12" t="n"/>
      <c r="CP65" s="12" t="n"/>
      <c r="CQ65" s="12" t="n"/>
      <c r="CR65" s="12" t="n"/>
      <c r="CS65" s="12" t="n"/>
      <c r="CT65" s="12" t="n"/>
      <c r="CU65" s="12" t="n"/>
      <c r="CV65" s="12" t="n"/>
      <c r="CW65" s="12" t="n"/>
      <c r="CX65" s="12" t="n"/>
      <c r="CY65" s="12" t="n"/>
    </row>
    <row r="66" hidden="1" outlineLevel="1">
      <c r="C66" s="57" t="inlineStr">
        <is>
          <t>Cash and equivalents (inc. investment securities)</t>
        </is>
      </c>
      <c r="D66" s="12" t="n"/>
      <c r="E66" s="12" t="n"/>
      <c r="F66" s="12" t="n"/>
      <c r="G66" s="12" t="n"/>
      <c r="H66" s="12" t="n"/>
      <c r="I66" s="12" t="n"/>
      <c r="J66" s="12" t="n"/>
      <c r="K66" s="12" t="n"/>
      <c r="L66" s="12" t="n"/>
      <c r="M66" s="12" t="n"/>
      <c r="N66" s="12" t="n"/>
      <c r="O66" s="12" t="n"/>
      <c r="P66" s="12" t="n"/>
      <c r="Q66" s="12" t="n"/>
      <c r="R66" s="12" t="n"/>
      <c r="S66" s="12" t="n"/>
      <c r="T66" s="12" t="n"/>
      <c r="U66" s="12" t="n"/>
      <c r="V66" s="12" t="n"/>
      <c r="W66" s="12" t="n"/>
      <c r="X66" s="12" t="n"/>
      <c r="Y66" s="12" t="n"/>
      <c r="Z66" s="12" t="n"/>
      <c r="AA66" s="12" t="n"/>
      <c r="AB66" s="12" t="n"/>
      <c r="AC66" s="12" t="n"/>
      <c r="AD66" s="12" t="n"/>
      <c r="AE66" s="12" t="n"/>
      <c r="AF66" s="12" t="n"/>
      <c r="AG66" s="12" t="n"/>
      <c r="AH66" s="12" t="n"/>
      <c r="AI66" s="12" t="n"/>
      <c r="AJ66" s="12" t="n"/>
      <c r="AK66" s="12" t="n"/>
      <c r="AL66" s="12" t="n"/>
      <c r="AM66" s="12" t="n"/>
      <c r="AN66" s="12" t="n"/>
      <c r="AO66" s="12" t="n"/>
      <c r="AP66" s="12" t="n"/>
      <c r="AQ66" s="12" t="n"/>
      <c r="AR66" s="12" t="n"/>
      <c r="AS66" s="12" t="n"/>
      <c r="AT66" s="12" t="n"/>
      <c r="AU66" s="12" t="n"/>
      <c r="AV66" s="12" t="n"/>
      <c r="AW66" s="12" t="n"/>
      <c r="AX66" s="12" t="n"/>
      <c r="AY66" s="12" t="n"/>
      <c r="AZ66" s="12" t="n"/>
      <c r="BA66" s="12" t="n"/>
      <c r="BB66" s="12" t="n"/>
      <c r="BC66" s="12" t="n"/>
      <c r="BD66" s="12" t="n"/>
      <c r="BE66" s="12" t="n"/>
      <c r="BF66" s="12" t="n"/>
      <c r="BG66" s="12" t="n"/>
      <c r="BH66" s="12" t="n"/>
      <c r="BI66" s="12" t="n"/>
      <c r="BJ66" s="12" t="n"/>
      <c r="BK66" s="12" t="n"/>
      <c r="BL66" s="12" t="n"/>
      <c r="BM66" s="12" t="n"/>
      <c r="BN66" s="12" t="n"/>
      <c r="BO66" s="12" t="n"/>
      <c r="BP66" s="12" t="n"/>
      <c r="BQ66" s="12" t="n"/>
      <c r="BR66" s="12" t="n"/>
      <c r="BS66" s="12" t="n"/>
      <c r="BT66" s="12" t="n"/>
      <c r="BU66" s="12" t="n"/>
      <c r="BV66" s="12" t="n"/>
      <c r="BW66" s="12" t="n"/>
      <c r="BX66" s="12" t="n"/>
      <c r="BY66" s="12" t="n"/>
      <c r="BZ66" s="12" t="n"/>
      <c r="CA66" s="12" t="n"/>
      <c r="CB66" s="12" t="n"/>
      <c r="CC66" s="12" t="n"/>
      <c r="CD66" s="12" t="n"/>
      <c r="CE66" s="12" t="n"/>
      <c r="CF66" s="12" t="n"/>
      <c r="CG66" s="12" t="n"/>
      <c r="CH66" s="12" t="n"/>
      <c r="CI66" s="12" t="n"/>
      <c r="CJ66" s="12" t="n"/>
      <c r="CK66" s="12" t="n"/>
      <c r="CL66" s="12" t="n"/>
      <c r="CM66" s="12" t="n"/>
      <c r="CN66" s="12" t="n"/>
      <c r="CO66" s="12" t="n"/>
      <c r="CP66" s="12" t="n"/>
      <c r="CQ66" s="12" t="n"/>
      <c r="CR66" s="12" t="n"/>
      <c r="CS66" s="12" t="n"/>
      <c r="CT66" s="12" t="n"/>
      <c r="CU66" s="12" t="n"/>
      <c r="CV66" s="12" t="n"/>
      <c r="CW66" s="12" t="n"/>
      <c r="CX66" s="12" t="n"/>
      <c r="CY66" s="12" t="n"/>
    </row>
    <row r="67" hidden="1" outlineLevel="1">
      <c r="C67" s="57" t="inlineStr">
        <is>
          <t>Interest on cash</t>
        </is>
      </c>
      <c r="D67" s="12" t="n"/>
      <c r="E67" s="12" t="n"/>
      <c r="F67" s="12" t="n"/>
      <c r="G67" s="12" t="n"/>
      <c r="H67" s="12" t="n"/>
      <c r="I67" s="12" t="n"/>
      <c r="J67" s="12" t="n"/>
      <c r="K67" s="12" t="n"/>
      <c r="L67" s="12" t="n"/>
      <c r="M67" s="12" t="n"/>
      <c r="N67" s="12" t="n"/>
      <c r="O67" s="12" t="n"/>
      <c r="P67" s="12" t="n"/>
      <c r="Q67" s="12" t="n"/>
      <c r="R67" s="12" t="n"/>
      <c r="S67" s="12" t="n"/>
      <c r="T67" s="12" t="n"/>
      <c r="U67" s="12" t="n"/>
      <c r="V67" s="12" t="n"/>
      <c r="W67" s="12" t="n"/>
      <c r="X67" s="12" t="n"/>
      <c r="Y67" s="12" t="n"/>
      <c r="Z67" s="12" t="n"/>
      <c r="AA67" s="12" t="n"/>
      <c r="AB67" s="12" t="n"/>
      <c r="AC67" s="12" t="n"/>
      <c r="AD67" s="12" t="n"/>
      <c r="AE67" s="12" t="n"/>
      <c r="AF67" s="12" t="n"/>
      <c r="AG67" s="12" t="n"/>
      <c r="AH67" s="12" t="n"/>
      <c r="AI67" s="12" t="n"/>
      <c r="AJ67" s="12" t="n"/>
      <c r="AK67" s="12" t="n"/>
      <c r="AL67" s="12" t="n"/>
      <c r="AM67" s="12" t="n"/>
      <c r="AN67" s="12" t="n"/>
      <c r="AO67" s="12" t="n"/>
      <c r="AP67" s="12" t="n"/>
      <c r="AQ67" s="12" t="n"/>
      <c r="AR67" s="12" t="n"/>
      <c r="AS67" s="12" t="n"/>
      <c r="AT67" s="12" t="n"/>
      <c r="AU67" s="12" t="n"/>
      <c r="AV67" s="12" t="n"/>
      <c r="AW67" s="12" t="n"/>
      <c r="AX67" s="12" t="n"/>
      <c r="AY67" s="12" t="n"/>
      <c r="AZ67" s="12" t="n"/>
      <c r="BA67" s="12" t="n"/>
      <c r="BB67" s="12" t="n"/>
      <c r="BC67" s="12" t="n"/>
      <c r="BD67" s="12" t="n"/>
      <c r="BE67" s="12" t="n"/>
      <c r="BF67" s="12" t="n"/>
      <c r="BG67" s="12" t="n"/>
      <c r="BH67" s="12" t="n"/>
      <c r="BI67" s="12" t="n"/>
      <c r="BJ67" s="12" t="n"/>
      <c r="BK67" s="12" t="n"/>
      <c r="BL67" s="12" t="n"/>
      <c r="BM67" s="12" t="n"/>
      <c r="BN67" s="12" t="n"/>
      <c r="BO67" s="12" t="n"/>
      <c r="BP67" s="12" t="n"/>
      <c r="BQ67" s="12" t="n"/>
      <c r="BR67" s="12" t="n"/>
      <c r="BS67" s="12" t="n"/>
      <c r="BT67" s="12" t="n"/>
      <c r="BU67" s="12" t="n"/>
      <c r="BV67" s="12" t="n"/>
      <c r="BW67" s="12" t="n"/>
      <c r="BX67" s="12" t="n"/>
      <c r="BY67" s="12" t="n"/>
      <c r="BZ67" s="12" t="n"/>
      <c r="CA67" s="12" t="n"/>
      <c r="CB67" s="12" t="n"/>
      <c r="CC67" s="12" t="n"/>
      <c r="CD67" s="12" t="n"/>
      <c r="CE67" s="12" t="n"/>
      <c r="CF67" s="12" t="n"/>
      <c r="CG67" s="12" t="n"/>
      <c r="CH67" s="12" t="n"/>
      <c r="CI67" s="12" t="n"/>
      <c r="CJ67" s="12" t="n"/>
      <c r="CK67" s="12" t="n"/>
      <c r="CL67" s="12" t="n"/>
      <c r="CM67" s="12" t="n"/>
      <c r="CN67" s="12" t="n"/>
      <c r="CO67" s="12" t="n"/>
      <c r="CP67" s="12" t="n"/>
      <c r="CQ67" s="12" t="n"/>
      <c r="CR67" s="12" t="n"/>
      <c r="CS67" s="12" t="n"/>
      <c r="CT67" s="12" t="n"/>
      <c r="CU67" s="12" t="n"/>
      <c r="CV67" s="12" t="n"/>
      <c r="CW67" s="12" t="n"/>
      <c r="CX67" s="12" t="n"/>
      <c r="CY67" s="12" t="n"/>
    </row>
    <row r="68" hidden="1" outlineLevel="1">
      <c r="C68" s="57" t="inlineStr">
        <is>
          <t>Average interest rate</t>
        </is>
      </c>
      <c r="D68" s="12" t="n"/>
      <c r="E68" s="12" t="n"/>
      <c r="F68" s="12" t="n"/>
      <c r="G68" s="12" t="n"/>
      <c r="H68" s="12" t="n"/>
      <c r="I68" s="12" t="n"/>
      <c r="J68" s="12" t="n"/>
      <c r="K68" s="12" t="n"/>
      <c r="L68" s="12" t="n"/>
      <c r="M68" s="12" t="n"/>
      <c r="N68" s="12" t="n"/>
      <c r="O68" s="12" t="n"/>
      <c r="P68" s="12" t="n"/>
      <c r="Q68" s="12" t="n"/>
      <c r="R68" s="12" t="n"/>
      <c r="S68" s="12" t="n"/>
      <c r="T68" s="12" t="n"/>
      <c r="U68" s="12" t="n"/>
      <c r="V68" s="12" t="n"/>
      <c r="W68" s="12" t="n"/>
      <c r="X68" s="12" t="n"/>
      <c r="Y68" s="12" t="n"/>
      <c r="Z68" s="12" t="n"/>
      <c r="AA68" s="12" t="n"/>
      <c r="AB68" s="12" t="n"/>
      <c r="AC68" s="12" t="n"/>
      <c r="AD68" s="12" t="n"/>
      <c r="AE68" s="12" t="n"/>
      <c r="AF68" s="12" t="n"/>
      <c r="AG68" s="12" t="n"/>
      <c r="AH68" s="12" t="n"/>
      <c r="AI68" s="12" t="n"/>
      <c r="AJ68" s="12" t="n"/>
      <c r="AK68" s="12" t="n"/>
      <c r="AL68" s="12" t="n"/>
      <c r="AM68" s="12" t="n"/>
      <c r="AN68" s="12" t="n"/>
      <c r="AO68" s="12" t="n"/>
      <c r="AP68" s="12" t="n"/>
      <c r="AQ68" s="12" t="n"/>
      <c r="AR68" s="12" t="n"/>
      <c r="AS68" s="12" t="n"/>
      <c r="AT68" s="12" t="n"/>
      <c r="AU68" s="12" t="n"/>
      <c r="AV68" s="12" t="n"/>
      <c r="AW68" s="12" t="n"/>
      <c r="AX68" s="12" t="n"/>
      <c r="AY68" s="12" t="n"/>
      <c r="AZ68" s="12" t="n"/>
      <c r="BA68" s="12" t="n"/>
      <c r="BB68" s="12" t="n"/>
      <c r="BC68" s="12" t="n"/>
      <c r="BD68" s="12" t="n"/>
      <c r="BE68" s="12" t="n"/>
      <c r="BF68" s="12" t="n"/>
      <c r="BG68" s="12" t="n"/>
      <c r="BH68" s="12" t="n"/>
      <c r="BI68" s="12" t="n"/>
      <c r="BJ68" s="12" t="n"/>
      <c r="BK68" s="12" t="n"/>
      <c r="BL68" s="12" t="n"/>
      <c r="BM68" s="12" t="n"/>
      <c r="BN68" s="12" t="n"/>
      <c r="BO68" s="12" t="n"/>
      <c r="BP68" s="12" t="n"/>
      <c r="BQ68" s="12" t="n"/>
      <c r="BR68" s="12" t="n"/>
      <c r="BS68" s="12" t="n"/>
      <c r="BT68" s="12" t="n"/>
      <c r="BU68" s="12" t="n"/>
      <c r="BV68" s="12" t="n"/>
      <c r="BW68" s="12" t="n"/>
      <c r="BX68" s="12" t="n"/>
      <c r="BY68" s="12" t="n"/>
      <c r="BZ68" s="12" t="n"/>
      <c r="CA68" s="12" t="n"/>
      <c r="CB68" s="12" t="n"/>
      <c r="CC68" s="12" t="n"/>
      <c r="CD68" s="12" t="n"/>
      <c r="CE68" s="12" t="n"/>
      <c r="CF68" s="12" t="n"/>
      <c r="CG68" s="12" t="n"/>
      <c r="CH68" s="12" t="n"/>
      <c r="CI68" s="12" t="n"/>
      <c r="CJ68" s="12" t="n"/>
      <c r="CK68" s="12" t="n"/>
      <c r="CL68" s="12" t="n"/>
      <c r="CM68" s="12" t="n"/>
      <c r="CN68" s="12" t="n"/>
      <c r="CO68" s="12" t="n"/>
      <c r="CP68" s="12" t="n"/>
      <c r="CQ68" s="12" t="n"/>
      <c r="CR68" s="12" t="n"/>
      <c r="CS68" s="12" t="n"/>
      <c r="CT68" s="12" t="n"/>
      <c r="CU68" s="12" t="n"/>
      <c r="CV68" s="12" t="n"/>
      <c r="CW68" s="12" t="n"/>
      <c r="CX68" s="12" t="n"/>
      <c r="CY68" s="12" t="n"/>
    </row>
    <row r="69" hidden="1" outlineLevel="1">
      <c r="C69" s="57" t="inlineStr">
        <is>
          <t>% CDI</t>
        </is>
      </c>
      <c r="D69" s="12" t="n"/>
      <c r="E69" s="12" t="n"/>
      <c r="F69" s="12" t="n"/>
      <c r="G69" s="12" t="n"/>
      <c r="H69" s="12" t="n"/>
      <c r="I69" s="12" t="n"/>
      <c r="J69" s="12" t="n"/>
      <c r="K69" s="12" t="n"/>
      <c r="L69" s="12" t="n"/>
      <c r="M69" s="12" t="n"/>
      <c r="N69" s="12" t="n"/>
      <c r="O69" s="12" t="n"/>
      <c r="P69" s="12" t="n"/>
      <c r="Q69" s="12" t="n"/>
      <c r="R69" s="12" t="n"/>
      <c r="S69" s="12" t="n"/>
      <c r="T69" s="12" t="n"/>
      <c r="U69" s="12" t="n"/>
      <c r="V69" s="12" t="n"/>
      <c r="W69" s="12" t="n"/>
      <c r="X69" s="12" t="n"/>
      <c r="Y69" s="12" t="n"/>
      <c r="Z69" s="12" t="n"/>
      <c r="AA69" s="12" t="n"/>
      <c r="AB69" s="12" t="n"/>
      <c r="AC69" s="12" t="n"/>
      <c r="AD69" s="12" t="n"/>
      <c r="AE69" s="12" t="n"/>
      <c r="AF69" s="12" t="n"/>
      <c r="AG69" s="12" t="n"/>
      <c r="AH69" s="12" t="n"/>
      <c r="AI69" s="12" t="n"/>
      <c r="AJ69" s="12" t="n"/>
      <c r="AK69" s="12" t="n"/>
      <c r="AL69" s="12" t="n"/>
      <c r="AM69" s="12" t="n"/>
      <c r="AN69" s="12" t="n"/>
      <c r="AO69" s="12" t="n"/>
      <c r="AP69" s="12" t="n"/>
      <c r="AQ69" s="12" t="n"/>
      <c r="AR69" s="12" t="n"/>
      <c r="AS69" s="12" t="n"/>
      <c r="AT69" s="12" t="n"/>
      <c r="AU69" s="12" t="n"/>
      <c r="AV69" s="12" t="n"/>
      <c r="AW69" s="12" t="n"/>
      <c r="AX69" s="12" t="n"/>
      <c r="AY69" s="12" t="n"/>
      <c r="AZ69" s="12" t="n"/>
      <c r="BA69" s="12" t="n"/>
      <c r="BB69" s="12" t="n"/>
      <c r="BC69" s="12" t="n"/>
      <c r="BD69" s="12" t="n"/>
      <c r="BE69" s="12" t="n"/>
      <c r="BF69" s="12" t="n"/>
      <c r="BG69" s="12" t="n"/>
      <c r="BH69" s="12" t="n"/>
      <c r="BI69" s="12" t="n"/>
      <c r="BJ69" s="12" t="n"/>
      <c r="BK69" s="12" t="n"/>
      <c r="BL69" s="12" t="n"/>
      <c r="BM69" s="12" t="n"/>
      <c r="BN69" s="12" t="n"/>
      <c r="BO69" s="12" t="n"/>
      <c r="BP69" s="12" t="n"/>
      <c r="BQ69" s="12" t="n"/>
      <c r="BR69" s="12" t="n"/>
      <c r="BS69" s="12" t="n"/>
      <c r="BT69" s="12" t="n"/>
      <c r="BU69" s="12" t="n"/>
      <c r="BV69" s="12" t="n"/>
      <c r="BW69" s="12" t="n"/>
      <c r="BX69" s="12" t="n"/>
      <c r="BY69" s="12" t="n"/>
      <c r="BZ69" s="12" t="n"/>
      <c r="CA69" s="12" t="n"/>
      <c r="CB69" s="12" t="n"/>
      <c r="CC69" s="12" t="n"/>
      <c r="CD69" s="12" t="n"/>
      <c r="CE69" s="12" t="n"/>
      <c r="CF69" s="12" t="n"/>
      <c r="CG69" s="12" t="n"/>
      <c r="CH69" s="12" t="n"/>
      <c r="CI69" s="12" t="n"/>
      <c r="CJ69" s="12" t="n"/>
      <c r="CK69" s="12" t="n"/>
      <c r="CL69" s="12" t="n"/>
      <c r="CM69" s="12" t="n"/>
      <c r="CN69" s="12" t="n"/>
      <c r="CO69" s="12" t="n"/>
      <c r="CP69" s="12" t="n"/>
      <c r="CQ69" s="12" t="n"/>
      <c r="CR69" s="12" t="n"/>
      <c r="CS69" s="12" t="n"/>
      <c r="CT69" s="12" t="n"/>
      <c r="CU69" s="12" t="n"/>
      <c r="CV69" s="12" t="n"/>
      <c r="CW69" s="12" t="n"/>
      <c r="CX69" s="12" t="n"/>
      <c r="CY69" s="12" t="n"/>
    </row>
    <row r="70" hidden="1" outlineLevel="1">
      <c r="C70" s="57" t="n"/>
      <c r="D70" s="12" t="n"/>
      <c r="E70" s="12" t="n"/>
      <c r="F70" s="12" t="n"/>
      <c r="G70" s="12" t="n"/>
      <c r="H70" s="12" t="n"/>
      <c r="I70" s="12" t="n"/>
      <c r="J70" s="12" t="n"/>
      <c r="K70" s="12" t="n"/>
      <c r="L70" s="12" t="n"/>
      <c r="M70" s="12" t="n"/>
      <c r="N70" s="12" t="n"/>
      <c r="O70" s="12" t="n"/>
      <c r="P70" s="12" t="n"/>
      <c r="Q70" s="12" t="n"/>
      <c r="R70" s="12" t="n"/>
      <c r="S70" s="12" t="n"/>
      <c r="T70" s="12" t="n"/>
      <c r="U70" s="12" t="n"/>
      <c r="V70" s="12" t="n"/>
      <c r="W70" s="12" t="n"/>
      <c r="X70" s="12" t="n"/>
      <c r="Y70" s="12" t="n"/>
      <c r="Z70" s="12" t="n"/>
      <c r="AA70" s="12" t="n"/>
      <c r="AB70" s="12" t="n"/>
      <c r="AC70" s="12" t="n"/>
      <c r="AD70" s="12" t="n"/>
      <c r="AE70" s="12" t="n"/>
      <c r="AF70" s="12" t="n"/>
      <c r="AG70" s="12" t="n"/>
      <c r="AH70" s="12" t="n"/>
      <c r="AI70" s="12" t="n"/>
      <c r="AJ70" s="12" t="n"/>
      <c r="AK70" s="12" t="n"/>
      <c r="AL70" s="12" t="n"/>
      <c r="AM70" s="12" t="n"/>
      <c r="AN70" s="12" t="n"/>
      <c r="AO70" s="12" t="n"/>
      <c r="AP70" s="12" t="n"/>
      <c r="AQ70" s="12" t="n"/>
      <c r="AR70" s="12" t="n"/>
      <c r="AS70" s="12" t="n"/>
      <c r="AT70" s="12" t="n"/>
      <c r="AU70" s="12" t="n"/>
      <c r="AV70" s="12" t="n"/>
      <c r="AW70" s="12" t="n"/>
      <c r="AX70" s="12" t="n"/>
      <c r="AY70" s="12" t="n"/>
      <c r="AZ70" s="12" t="n"/>
      <c r="BA70" s="12" t="n"/>
      <c r="BB70" s="12" t="n"/>
      <c r="BC70" s="12" t="n"/>
      <c r="BD70" s="12" t="n"/>
      <c r="BE70" s="12" t="n"/>
      <c r="BF70" s="12" t="n"/>
      <c r="BG70" s="12" t="n"/>
      <c r="BH70" s="12" t="n"/>
      <c r="BI70" s="12" t="n"/>
      <c r="BJ70" s="12" t="n"/>
      <c r="BK70" s="12" t="n"/>
      <c r="BL70" s="12" t="n"/>
      <c r="BM70" s="12" t="n"/>
      <c r="BN70" s="12" t="n"/>
      <c r="BO70" s="12" t="n"/>
      <c r="BP70" s="12" t="n"/>
      <c r="BQ70" s="12" t="n"/>
      <c r="BR70" s="12" t="n"/>
      <c r="BS70" s="12" t="n"/>
      <c r="BT70" s="12" t="n"/>
      <c r="BU70" s="12" t="n"/>
      <c r="BV70" s="12" t="n"/>
      <c r="BW70" s="12" t="n"/>
      <c r="BX70" s="12" t="n"/>
      <c r="BY70" s="12" t="n"/>
      <c r="BZ70" s="12" t="n"/>
      <c r="CA70" s="12" t="n"/>
      <c r="CB70" s="12" t="n"/>
      <c r="CC70" s="12" t="n"/>
      <c r="CD70" s="12" t="n"/>
      <c r="CE70" s="12" t="n"/>
      <c r="CF70" s="12" t="n"/>
      <c r="CG70" s="12" t="n"/>
      <c r="CH70" s="12" t="n"/>
      <c r="CI70" s="12" t="n"/>
      <c r="CJ70" s="12" t="n"/>
      <c r="CK70" s="12" t="n"/>
      <c r="CL70" s="12" t="n"/>
      <c r="CM70" s="12" t="n"/>
      <c r="CN70" s="12" t="n"/>
      <c r="CO70" s="12" t="n"/>
      <c r="CP70" s="12" t="n"/>
      <c r="CQ70" s="12" t="n"/>
      <c r="CR70" s="12" t="n"/>
      <c r="CS70" s="12" t="n"/>
      <c r="CT70" s="12" t="n"/>
      <c r="CU70" s="12" t="n"/>
      <c r="CV70" s="12" t="n"/>
      <c r="CW70" s="12" t="n"/>
      <c r="CX70" s="12" t="n"/>
      <c r="CY70" s="12" t="n"/>
    </row>
    <row r="71" hidden="1" outlineLevel="1">
      <c r="C71" s="57" t="inlineStr">
        <is>
          <t>Current portion of long-term debt</t>
        </is>
      </c>
      <c r="D71" s="12" t="n"/>
      <c r="E71" s="12" t="n"/>
      <c r="F71" s="12" t="n"/>
      <c r="G71" s="12" t="n"/>
      <c r="H71" s="12" t="n"/>
      <c r="I71" s="12" t="n"/>
      <c r="J71" s="12" t="n"/>
      <c r="K71" s="12" t="n"/>
      <c r="L71" s="12" t="n"/>
      <c r="M71" s="12" t="n"/>
      <c r="N71" s="12" t="n"/>
      <c r="O71" s="12" t="n"/>
      <c r="P71" s="12" t="n"/>
      <c r="Q71" s="12" t="n"/>
      <c r="R71" s="12" t="n"/>
      <c r="S71" s="12" t="n"/>
      <c r="T71" s="12" t="n"/>
      <c r="U71" s="12" t="n"/>
      <c r="V71" s="12" t="n"/>
      <c r="W71" s="12" t="n"/>
      <c r="X71" s="12" t="n"/>
      <c r="Y71" s="12" t="n"/>
      <c r="Z71" s="12" t="n"/>
      <c r="AA71" s="12" t="n"/>
      <c r="AB71" s="12" t="n"/>
      <c r="AC71" s="12" t="n"/>
      <c r="AD71" s="12" t="n"/>
      <c r="AE71" s="12" t="n"/>
      <c r="AF71" s="12" t="n"/>
      <c r="AG71" s="12" t="n"/>
      <c r="AH71" s="12" t="n"/>
      <c r="AI71" s="12" t="n"/>
      <c r="AJ71" s="12" t="n"/>
      <c r="AK71" s="12" t="n"/>
      <c r="AL71" s="12" t="n"/>
      <c r="AM71" s="12" t="n"/>
      <c r="AN71" s="12" t="n"/>
      <c r="AO71" s="12" t="n"/>
      <c r="AP71" s="12" t="n"/>
      <c r="AQ71" s="12" t="n"/>
      <c r="AR71" s="12" t="n"/>
      <c r="AS71" s="12" t="n"/>
      <c r="AT71" s="12" t="n"/>
      <c r="AU71" s="12" t="n"/>
      <c r="AV71" s="12" t="n"/>
      <c r="AW71" s="12" t="n"/>
      <c r="AX71" s="12" t="n"/>
      <c r="AY71" s="12" t="n"/>
      <c r="AZ71" s="12" t="n"/>
      <c r="BA71" s="12" t="n"/>
      <c r="BB71" s="12" t="n"/>
      <c r="BC71" s="12" t="n"/>
      <c r="BD71" s="12" t="n"/>
      <c r="BE71" s="12" t="n"/>
      <c r="BF71" s="12" t="n"/>
      <c r="BG71" s="12" t="n"/>
      <c r="BH71" s="12" t="n"/>
      <c r="BI71" s="12" t="n"/>
      <c r="BJ71" s="12" t="n"/>
      <c r="BK71" s="12" t="n"/>
      <c r="BL71" s="12" t="n"/>
      <c r="BM71" s="12" t="n"/>
      <c r="BN71" s="12" t="n"/>
      <c r="BO71" s="12" t="n"/>
      <c r="BP71" s="12" t="n"/>
      <c r="BQ71" s="12" t="n"/>
      <c r="BR71" s="12" t="n"/>
      <c r="BS71" s="12" t="n"/>
      <c r="BT71" s="12" t="n"/>
      <c r="BU71" s="12" t="n"/>
      <c r="BV71" s="12" t="n"/>
      <c r="BW71" s="12" t="n"/>
      <c r="BX71" s="12" t="n"/>
      <c r="BY71" s="12" t="n"/>
      <c r="BZ71" s="12" t="n"/>
      <c r="CA71" s="12" t="n"/>
      <c r="CB71" s="12" t="n"/>
      <c r="CC71" s="12" t="n"/>
      <c r="CD71" s="12" t="n"/>
      <c r="CE71" s="12" t="n"/>
      <c r="CF71" s="12" t="n"/>
      <c r="CG71" s="12" t="n"/>
      <c r="CH71" s="12" t="n"/>
      <c r="CI71" s="12" t="n"/>
      <c r="CJ71" s="12" t="n"/>
      <c r="CK71" s="12" t="n"/>
      <c r="CL71" s="12" t="n"/>
      <c r="CM71" s="12" t="n"/>
      <c r="CN71" s="12" t="n"/>
      <c r="CO71" s="12" t="n"/>
      <c r="CP71" s="12" t="n"/>
      <c r="CQ71" s="12" t="n"/>
      <c r="CR71" s="12" t="n"/>
      <c r="CS71" s="12" t="n"/>
      <c r="CT71" s="12" t="n"/>
      <c r="CU71" s="12" t="n"/>
      <c r="CV71" s="12" t="n"/>
      <c r="CW71" s="12" t="n"/>
      <c r="CX71" s="12" t="n"/>
      <c r="CY71" s="12" t="n"/>
    </row>
    <row r="72" hidden="1" outlineLevel="1">
      <c r="C72" s="57" t="inlineStr">
        <is>
          <t>Short term debt (Revolving credit facility)</t>
        </is>
      </c>
      <c r="D72" s="12" t="n"/>
      <c r="E72" s="12" t="n"/>
      <c r="F72" s="12" t="n"/>
      <c r="G72" s="12" t="n"/>
      <c r="H72" s="12" t="n"/>
      <c r="I72" s="12" t="n"/>
      <c r="J72" s="12" t="n"/>
      <c r="K72" s="12" t="n"/>
      <c r="L72" s="12" t="n"/>
      <c r="M72" s="12" t="n"/>
      <c r="N72" s="12" t="n"/>
      <c r="O72" s="12" t="n"/>
      <c r="P72" s="12" t="n"/>
      <c r="Q72" s="12" t="n"/>
      <c r="R72" s="12" t="n"/>
      <c r="S72" s="12" t="n"/>
      <c r="T72" s="12" t="n"/>
      <c r="U72" s="12" t="n"/>
      <c r="V72" s="12" t="n"/>
      <c r="W72" s="12" t="n"/>
      <c r="X72" s="12" t="n"/>
      <c r="Y72" s="12" t="n"/>
      <c r="Z72" s="12" t="n"/>
      <c r="AA72" s="12" t="n"/>
      <c r="AB72" s="12" t="n"/>
      <c r="AC72" s="12" t="n"/>
      <c r="AD72" s="12" t="n"/>
      <c r="AE72" s="12" t="n"/>
      <c r="AF72" s="12" t="n"/>
      <c r="AG72" s="12" t="n"/>
      <c r="AH72" s="12" t="n"/>
      <c r="AI72" s="12" t="n"/>
      <c r="AJ72" s="12" t="n"/>
      <c r="AK72" s="12" t="n"/>
      <c r="AL72" s="12" t="n"/>
      <c r="AM72" s="12" t="n"/>
      <c r="AN72" s="12" t="n"/>
      <c r="AO72" s="12" t="n"/>
      <c r="AP72" s="12" t="n"/>
      <c r="AQ72" s="12" t="n"/>
      <c r="AR72" s="12" t="n"/>
      <c r="AS72" s="12" t="n"/>
      <c r="AT72" s="12" t="n"/>
      <c r="AU72" s="12" t="n"/>
      <c r="AV72" s="12" t="n"/>
      <c r="AW72" s="12" t="n"/>
      <c r="AX72" s="12" t="n"/>
      <c r="AY72" s="12" t="n"/>
      <c r="AZ72" s="12" t="n"/>
      <c r="BA72" s="12" t="n"/>
      <c r="BB72" s="12" t="n"/>
      <c r="BC72" s="12" t="n"/>
      <c r="BD72" s="12" t="n"/>
      <c r="BE72" s="12" t="n"/>
      <c r="BF72" s="12" t="n"/>
      <c r="BG72" s="12" t="n"/>
      <c r="BH72" s="12" t="n"/>
      <c r="BI72" s="12" t="n"/>
      <c r="BJ72" s="12" t="n"/>
      <c r="BK72" s="12" t="n"/>
      <c r="BL72" s="12" t="n"/>
      <c r="BM72" s="12" t="n"/>
      <c r="BN72" s="12" t="n"/>
      <c r="BO72" s="12" t="n"/>
      <c r="BP72" s="12" t="n"/>
      <c r="BQ72" s="12" t="n"/>
      <c r="BR72" s="12" t="n"/>
      <c r="BS72" s="12" t="n"/>
      <c r="BT72" s="12" t="n"/>
      <c r="BU72" s="12" t="n"/>
      <c r="BV72" s="12" t="n"/>
      <c r="BW72" s="12" t="n"/>
      <c r="BX72" s="12" t="n"/>
      <c r="BY72" s="12" t="n"/>
      <c r="BZ72" s="12" t="n"/>
      <c r="CA72" s="12" t="n"/>
      <c r="CB72" s="12" t="n"/>
      <c r="CC72" s="12" t="n"/>
      <c r="CD72" s="12" t="n"/>
      <c r="CE72" s="12" t="n"/>
      <c r="CF72" s="12" t="n"/>
      <c r="CG72" s="12" t="n"/>
      <c r="CH72" s="12" t="n"/>
      <c r="CI72" s="12" t="n"/>
      <c r="CJ72" s="12" t="n"/>
      <c r="CK72" s="12" t="n"/>
      <c r="CL72" s="12" t="n"/>
      <c r="CM72" s="12" t="n"/>
      <c r="CN72" s="12" t="n"/>
      <c r="CO72" s="12" t="n"/>
      <c r="CP72" s="12" t="n"/>
      <c r="CQ72" s="12" t="n"/>
      <c r="CR72" s="12" t="n"/>
      <c r="CS72" s="12" t="n"/>
      <c r="CT72" s="12" t="n"/>
      <c r="CU72" s="12" t="n"/>
      <c r="CV72" s="12" t="n"/>
      <c r="CW72" s="12" t="n"/>
      <c r="CX72" s="12" t="n"/>
      <c r="CY72" s="12" t="n"/>
    </row>
    <row r="73" hidden="1" outlineLevel="1">
      <c r="C73" s="57" t="inlineStr">
        <is>
          <t>Long term debt</t>
        </is>
      </c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2" t="n"/>
      <c r="P73" s="12" t="n"/>
      <c r="Q73" s="12" t="n"/>
      <c r="R73" s="12" t="n"/>
      <c r="S73" s="12" t="n"/>
      <c r="T73" s="12" t="n"/>
      <c r="U73" s="12" t="n"/>
      <c r="V73" s="12" t="n"/>
      <c r="W73" s="12" t="n"/>
      <c r="X73" s="12" t="n"/>
      <c r="Y73" s="12" t="n"/>
      <c r="Z73" s="12" t="n"/>
      <c r="AA73" s="12" t="n"/>
      <c r="AB73" s="12" t="n"/>
      <c r="AC73" s="12" t="n"/>
      <c r="AD73" s="12" t="n"/>
      <c r="AE73" s="12" t="n"/>
      <c r="AF73" s="12" t="n"/>
      <c r="AG73" s="12" t="n"/>
      <c r="AH73" s="12" t="n"/>
      <c r="AI73" s="12" t="n"/>
      <c r="AJ73" s="12" t="n"/>
      <c r="AK73" s="12" t="n"/>
      <c r="AL73" s="12" t="n"/>
      <c r="AM73" s="12" t="n"/>
      <c r="AN73" s="12" t="n"/>
      <c r="AO73" s="12" t="n"/>
      <c r="AP73" s="12" t="n"/>
      <c r="AQ73" s="12" t="n"/>
      <c r="AR73" s="12" t="n"/>
      <c r="AS73" s="12" t="n"/>
      <c r="AT73" s="12" t="n"/>
      <c r="AU73" s="12" t="n"/>
      <c r="AV73" s="12" t="n"/>
      <c r="AW73" s="12" t="n"/>
      <c r="AX73" s="12" t="n"/>
      <c r="AY73" s="12" t="n"/>
      <c r="AZ73" s="12" t="n"/>
      <c r="BA73" s="12" t="n"/>
      <c r="BB73" s="12" t="n"/>
      <c r="BC73" s="12" t="n"/>
      <c r="BD73" s="12" t="n"/>
      <c r="BE73" s="12" t="n"/>
      <c r="BF73" s="12" t="n"/>
      <c r="BG73" s="12" t="n"/>
      <c r="BH73" s="12" t="n"/>
      <c r="BI73" s="12" t="n"/>
      <c r="BJ73" s="12" t="n"/>
      <c r="BK73" s="12" t="n"/>
      <c r="BL73" s="12" t="n"/>
      <c r="BM73" s="12" t="n"/>
      <c r="BN73" s="12" t="n"/>
      <c r="BO73" s="12" t="n"/>
      <c r="BP73" s="12" t="n"/>
      <c r="BQ73" s="12" t="n"/>
      <c r="BR73" s="12" t="n"/>
      <c r="BS73" s="12" t="n"/>
      <c r="BT73" s="12" t="n"/>
      <c r="BU73" s="12" t="n"/>
      <c r="BV73" s="12" t="n"/>
      <c r="BW73" s="12" t="n"/>
      <c r="BX73" s="12" t="n"/>
      <c r="BY73" s="12" t="n"/>
      <c r="BZ73" s="12" t="n"/>
      <c r="CA73" s="12" t="n"/>
      <c r="CB73" s="12" t="n"/>
      <c r="CC73" s="12" t="n"/>
      <c r="CD73" s="12" t="n"/>
      <c r="CE73" s="12" t="n"/>
      <c r="CF73" s="12" t="n"/>
      <c r="CG73" s="12" t="n"/>
      <c r="CH73" s="12" t="n"/>
      <c r="CI73" s="12" t="n"/>
      <c r="CJ73" s="12" t="n"/>
      <c r="CK73" s="12" t="n"/>
      <c r="CL73" s="12" t="n"/>
      <c r="CM73" s="12" t="n"/>
      <c r="CN73" s="12" t="n"/>
      <c r="CO73" s="12" t="n"/>
      <c r="CP73" s="12" t="n"/>
      <c r="CQ73" s="12" t="n"/>
      <c r="CR73" s="12" t="n"/>
      <c r="CS73" s="12" t="n"/>
      <c r="CT73" s="12" t="n"/>
      <c r="CU73" s="12" t="n"/>
      <c r="CV73" s="12" t="n"/>
      <c r="CW73" s="12" t="n"/>
      <c r="CX73" s="12" t="n"/>
      <c r="CY73" s="12" t="n"/>
    </row>
    <row r="74" hidden="1" outlineLevel="1">
      <c r="C74" s="57" t="inlineStr">
        <is>
          <t>Convertible debt</t>
        </is>
      </c>
      <c r="D74" s="12" t="n"/>
      <c r="E74" s="12" t="n"/>
      <c r="F74" s="12" t="n"/>
      <c r="G74" s="12" t="n"/>
      <c r="H74" s="12" t="n"/>
      <c r="I74" s="12" t="n"/>
      <c r="J74" s="12" t="n"/>
      <c r="K74" s="12" t="n"/>
      <c r="L74" s="12" t="n"/>
      <c r="M74" s="12" t="n"/>
      <c r="N74" s="12" t="n"/>
      <c r="O74" s="12" t="n"/>
      <c r="P74" s="12" t="n"/>
      <c r="Q74" s="12" t="n"/>
      <c r="R74" s="12" t="n"/>
      <c r="S74" s="12" t="n"/>
      <c r="T74" s="12" t="n"/>
      <c r="U74" s="12" t="n"/>
      <c r="V74" s="12" t="n"/>
      <c r="W74" s="12" t="n"/>
      <c r="X74" s="12" t="n"/>
      <c r="Y74" s="12" t="n"/>
      <c r="Z74" s="12" t="n"/>
      <c r="AA74" s="12" t="n"/>
      <c r="AB74" s="12" t="n"/>
      <c r="AC74" s="12" t="n"/>
      <c r="AD74" s="12" t="n"/>
      <c r="AE74" s="12" t="n"/>
      <c r="AF74" s="12" t="n"/>
      <c r="AG74" s="12" t="n"/>
      <c r="AH74" s="12" t="n"/>
      <c r="AI74" s="12" t="n"/>
      <c r="AJ74" s="12" t="n"/>
      <c r="AK74" s="12" t="n"/>
      <c r="AL74" s="12" t="n"/>
      <c r="AM74" s="12" t="n"/>
      <c r="AN74" s="12" t="n"/>
      <c r="AO74" s="12" t="n"/>
      <c r="AP74" s="12" t="n"/>
      <c r="AQ74" s="12" t="n"/>
      <c r="AR74" s="12" t="n"/>
      <c r="AS74" s="12" t="n"/>
      <c r="AT74" s="12" t="n"/>
      <c r="AU74" s="12" t="n"/>
      <c r="AV74" s="12" t="n"/>
      <c r="AW74" s="12" t="n"/>
      <c r="AX74" s="12" t="n"/>
      <c r="AY74" s="12" t="n"/>
      <c r="AZ74" s="12" t="n"/>
      <c r="BA74" s="12" t="n"/>
      <c r="BB74" s="12" t="n"/>
      <c r="BC74" s="12" t="n"/>
      <c r="BD74" s="12" t="n"/>
      <c r="BE74" s="12" t="n"/>
      <c r="BF74" s="12" t="n"/>
      <c r="BG74" s="12" t="n"/>
      <c r="BH74" s="12" t="n"/>
      <c r="BI74" s="12" t="n"/>
      <c r="BJ74" s="12" t="n"/>
      <c r="BK74" s="12" t="n"/>
      <c r="BL74" s="12" t="n"/>
      <c r="BM74" s="12" t="n"/>
      <c r="BN74" s="12" t="n"/>
      <c r="BO74" s="12" t="n"/>
      <c r="BP74" s="12" t="n"/>
      <c r="BQ74" s="12" t="n"/>
      <c r="BR74" s="12" t="n"/>
      <c r="BS74" s="12" t="n"/>
      <c r="BT74" s="12" t="n"/>
      <c r="BU74" s="12" t="n"/>
      <c r="BV74" s="12" t="n"/>
      <c r="BW74" s="12" t="n"/>
      <c r="BX74" s="12" t="n"/>
      <c r="BY74" s="12" t="n"/>
      <c r="BZ74" s="12" t="n"/>
      <c r="CA74" s="12" t="n"/>
      <c r="CB74" s="12" t="n"/>
      <c r="CC74" s="12" t="n"/>
      <c r="CD74" s="12" t="n"/>
      <c r="CE74" s="12" t="n"/>
      <c r="CF74" s="12" t="n"/>
      <c r="CG74" s="12" t="n"/>
      <c r="CH74" s="12" t="n"/>
      <c r="CI74" s="12" t="n"/>
      <c r="CJ74" s="12" t="n"/>
      <c r="CK74" s="12" t="n"/>
      <c r="CL74" s="12" t="n"/>
      <c r="CM74" s="12" t="n"/>
      <c r="CN74" s="12" t="n"/>
      <c r="CO74" s="12" t="n"/>
      <c r="CP74" s="12" t="n"/>
      <c r="CQ74" s="12" t="n"/>
      <c r="CR74" s="12" t="n"/>
      <c r="CS74" s="12" t="n"/>
      <c r="CT74" s="12" t="n"/>
      <c r="CU74" s="12" t="n"/>
      <c r="CV74" s="12" t="n"/>
      <c r="CW74" s="12" t="n"/>
      <c r="CX74" s="12" t="n"/>
      <c r="CY74" s="12" t="n"/>
    </row>
    <row r="75" hidden="1" outlineLevel="1">
      <c r="C75" s="57" t="inlineStr">
        <is>
          <t>Total debt</t>
        </is>
      </c>
      <c r="D75" s="12" t="n"/>
      <c r="E75" s="12" t="n"/>
      <c r="F75" s="12" t="n"/>
      <c r="G75" s="12" t="n"/>
      <c r="H75" s="12" t="n"/>
      <c r="I75" s="12" t="n"/>
      <c r="J75" s="12" t="n"/>
      <c r="K75" s="12" t="n"/>
      <c r="L75" s="12" t="n"/>
      <c r="M75" s="12" t="n"/>
      <c r="N75" s="12" t="n"/>
      <c r="O75" s="12" t="n"/>
      <c r="P75" s="12" t="n"/>
      <c r="Q75" s="12" t="n"/>
      <c r="R75" s="12" t="n"/>
      <c r="S75" s="12" t="n"/>
      <c r="T75" s="12" t="n"/>
      <c r="U75" s="12" t="n"/>
      <c r="V75" s="12" t="n"/>
      <c r="W75" s="12" t="n"/>
      <c r="X75" s="12" t="n"/>
      <c r="Y75" s="12" t="n"/>
      <c r="Z75" s="12" t="n"/>
      <c r="AA75" s="12" t="n"/>
      <c r="AB75" s="12" t="n"/>
      <c r="AC75" s="12" t="n"/>
      <c r="AD75" s="12" t="n"/>
      <c r="AE75" s="12" t="n"/>
      <c r="AF75" s="12" t="n"/>
      <c r="AG75" s="12" t="n"/>
      <c r="AH75" s="12" t="n"/>
      <c r="AI75" s="12" t="n"/>
      <c r="AJ75" s="12" t="n"/>
      <c r="AK75" s="12" t="n"/>
      <c r="AL75" s="12" t="n"/>
      <c r="AM75" s="12" t="n"/>
      <c r="AN75" s="12" t="n"/>
      <c r="AO75" s="12" t="n"/>
      <c r="AP75" s="12" t="n"/>
      <c r="AQ75" s="12" t="n"/>
      <c r="AR75" s="12" t="n"/>
      <c r="AS75" s="12" t="n"/>
      <c r="AT75" s="12" t="n"/>
      <c r="AU75" s="12" t="n"/>
      <c r="AV75" s="12" t="n"/>
      <c r="AW75" s="12" t="n"/>
      <c r="AX75" s="12" t="n"/>
      <c r="AY75" s="12" t="n"/>
      <c r="AZ75" s="12" t="n"/>
      <c r="BA75" s="12" t="n"/>
      <c r="BB75" s="12" t="n"/>
      <c r="BC75" s="12" t="n"/>
      <c r="BD75" s="12" t="n"/>
      <c r="BE75" s="12" t="n"/>
      <c r="BF75" s="12" t="n"/>
      <c r="BG75" s="12" t="n"/>
      <c r="BH75" s="12" t="n"/>
      <c r="BI75" s="12" t="n"/>
      <c r="BJ75" s="12" t="n"/>
      <c r="BK75" s="12" t="n"/>
      <c r="BL75" s="12" t="n"/>
      <c r="BM75" s="12" t="n"/>
      <c r="BN75" s="12" t="n"/>
      <c r="BO75" s="12" t="n"/>
      <c r="BP75" s="12" t="n"/>
      <c r="BQ75" s="12" t="n"/>
      <c r="BR75" s="12" t="n"/>
      <c r="BS75" s="12" t="n"/>
      <c r="BT75" s="12" t="n"/>
      <c r="BU75" s="12" t="n"/>
      <c r="BV75" s="12" t="n"/>
      <c r="BW75" s="12" t="n"/>
      <c r="BX75" s="12" t="n"/>
      <c r="BY75" s="12" t="n"/>
      <c r="BZ75" s="12" t="n"/>
      <c r="CA75" s="12" t="n"/>
      <c r="CB75" s="12" t="n"/>
      <c r="CC75" s="12" t="n"/>
      <c r="CD75" s="12" t="n"/>
      <c r="CE75" s="12" t="n"/>
      <c r="CF75" s="12" t="n"/>
      <c r="CG75" s="12" t="n"/>
      <c r="CH75" s="12" t="n"/>
      <c r="CI75" s="12" t="n"/>
      <c r="CJ75" s="12" t="n"/>
      <c r="CK75" s="12" t="n"/>
      <c r="CL75" s="12" t="n"/>
      <c r="CM75" s="12" t="n"/>
      <c r="CN75" s="12" t="n"/>
      <c r="CO75" s="12" t="n"/>
      <c r="CP75" s="12" t="n"/>
      <c r="CQ75" s="12" t="n"/>
      <c r="CR75" s="12" t="n"/>
      <c r="CS75" s="12" t="n"/>
      <c r="CT75" s="12" t="n"/>
      <c r="CU75" s="12" t="n"/>
      <c r="CV75" s="12" t="n"/>
      <c r="CW75" s="12" t="n"/>
      <c r="CX75" s="12" t="n"/>
      <c r="CY75" s="12" t="n"/>
    </row>
    <row r="76" hidden="1" outlineLevel="1">
      <c r="C76" s="57" t="inlineStr">
        <is>
          <t>Interest expense</t>
        </is>
      </c>
      <c r="D76" s="12" t="n"/>
      <c r="E76" s="12" t="n"/>
      <c r="F76" s="12" t="n"/>
      <c r="G76" s="12" t="n"/>
      <c r="H76" s="12" t="n"/>
      <c r="I76" s="12" t="n"/>
      <c r="J76" s="12" t="n"/>
      <c r="K76" s="12" t="n"/>
      <c r="L76" s="12" t="n"/>
      <c r="M76" s="12" t="n"/>
      <c r="N76" s="12" t="n"/>
      <c r="O76" s="12" t="n"/>
      <c r="P76" s="12" t="n"/>
      <c r="Q76" s="12" t="n"/>
      <c r="R76" s="12" t="n"/>
      <c r="S76" s="12" t="n"/>
      <c r="T76" s="12" t="n"/>
      <c r="U76" s="12" t="n"/>
      <c r="V76" s="12" t="n"/>
      <c r="W76" s="12" t="n"/>
      <c r="X76" s="12" t="n"/>
      <c r="Y76" s="12" t="n"/>
      <c r="Z76" s="12" t="n"/>
      <c r="AA76" s="12" t="n"/>
      <c r="AB76" s="12" t="n"/>
      <c r="AC76" s="12" t="n"/>
      <c r="AD76" s="12" t="n"/>
      <c r="AE76" s="12" t="n"/>
      <c r="AF76" s="12" t="n"/>
      <c r="AG76" s="12" t="n"/>
      <c r="AH76" s="12" t="n"/>
      <c r="AI76" s="12" t="n"/>
      <c r="AJ76" s="12" t="n"/>
      <c r="AK76" s="12" t="n"/>
      <c r="AL76" s="12" t="n"/>
      <c r="AM76" s="12" t="n"/>
      <c r="AN76" s="12" t="n"/>
      <c r="AO76" s="12" t="n"/>
      <c r="AP76" s="12" t="n"/>
      <c r="AQ76" s="12" t="n"/>
      <c r="AR76" s="12" t="n"/>
      <c r="AS76" s="12" t="n"/>
      <c r="AT76" s="12" t="n"/>
      <c r="AU76" s="12" t="n"/>
      <c r="AV76" s="12" t="n"/>
      <c r="AW76" s="12" t="n"/>
      <c r="AX76" s="12" t="n"/>
      <c r="AY76" s="12" t="n"/>
      <c r="AZ76" s="12" t="n"/>
      <c r="BA76" s="12" t="n"/>
      <c r="BB76" s="12" t="n"/>
      <c r="BC76" s="12" t="n"/>
      <c r="BD76" s="12" t="n"/>
      <c r="BE76" s="12" t="n"/>
      <c r="BF76" s="12" t="n"/>
      <c r="BG76" s="12" t="n"/>
      <c r="BH76" s="12" t="n"/>
      <c r="BI76" s="12" t="n"/>
      <c r="BJ76" s="12" t="n"/>
      <c r="BK76" s="12" t="n"/>
      <c r="BL76" s="12" t="n"/>
      <c r="BM76" s="12" t="n"/>
      <c r="BN76" s="12" t="n"/>
      <c r="BO76" s="12" t="n"/>
      <c r="BP76" s="12" t="n"/>
      <c r="BQ76" s="12" t="n"/>
      <c r="BR76" s="12" t="n"/>
      <c r="BS76" s="12" t="n"/>
      <c r="BT76" s="12" t="n"/>
      <c r="BU76" s="12" t="n"/>
      <c r="BV76" s="12" t="n"/>
      <c r="BW76" s="12" t="n"/>
      <c r="BX76" s="12" t="n"/>
      <c r="BY76" s="12" t="n"/>
      <c r="BZ76" s="12" t="n"/>
      <c r="CA76" s="12" t="n"/>
      <c r="CB76" s="12" t="n"/>
      <c r="CC76" s="12" t="n"/>
      <c r="CD76" s="12" t="n"/>
      <c r="CE76" s="12" t="n"/>
      <c r="CF76" s="12" t="n"/>
      <c r="CG76" s="12" t="n"/>
      <c r="CH76" s="12" t="n"/>
      <c r="CI76" s="12" t="n"/>
      <c r="CJ76" s="12" t="n"/>
      <c r="CK76" s="12" t="n"/>
      <c r="CL76" s="12" t="n"/>
      <c r="CM76" s="12" t="n"/>
      <c r="CN76" s="12" t="n"/>
      <c r="CO76" s="12" t="n"/>
      <c r="CP76" s="12" t="n"/>
      <c r="CQ76" s="12" t="n"/>
      <c r="CR76" s="12" t="n"/>
      <c r="CS76" s="12" t="n"/>
      <c r="CT76" s="12" t="n"/>
      <c r="CU76" s="12" t="n"/>
      <c r="CV76" s="12" t="n"/>
      <c r="CW76" s="12" t="n"/>
      <c r="CX76" s="12" t="n"/>
      <c r="CY76" s="12" t="n"/>
    </row>
    <row r="77" hidden="1" outlineLevel="1">
      <c r="C77" s="57" t="inlineStr">
        <is>
          <t>Average interest rate</t>
        </is>
      </c>
      <c r="D77" s="12" t="n"/>
      <c r="E77" s="12" t="n"/>
      <c r="F77" s="12" t="n"/>
      <c r="G77" s="12" t="n"/>
      <c r="H77" s="12" t="n"/>
      <c r="I77" s="12" t="n"/>
      <c r="J77" s="12" t="n"/>
      <c r="K77" s="12" t="n"/>
      <c r="L77" s="12" t="n"/>
      <c r="M77" s="12" t="n"/>
      <c r="N77" s="12" t="n"/>
      <c r="O77" s="12" t="n"/>
      <c r="P77" s="12" t="n"/>
      <c r="Q77" s="12" t="n"/>
      <c r="R77" s="12" t="n"/>
      <c r="S77" s="12" t="n"/>
      <c r="T77" s="12" t="n"/>
      <c r="U77" s="12" t="n"/>
      <c r="V77" s="12" t="n"/>
      <c r="W77" s="12" t="n"/>
      <c r="X77" s="12" t="n"/>
      <c r="Y77" s="12" t="n"/>
      <c r="Z77" s="12" t="n"/>
      <c r="AA77" s="12" t="n"/>
      <c r="AB77" s="12" t="n"/>
      <c r="AC77" s="12" t="n"/>
      <c r="AD77" s="12" t="n"/>
      <c r="AE77" s="12" t="n"/>
      <c r="AF77" s="12" t="n"/>
      <c r="AG77" s="12" t="n"/>
      <c r="AH77" s="12" t="n"/>
      <c r="AI77" s="12" t="n"/>
      <c r="AJ77" s="12" t="n"/>
      <c r="AK77" s="12" t="n"/>
      <c r="AL77" s="12" t="n"/>
      <c r="AM77" s="12" t="n"/>
      <c r="AN77" s="12" t="n"/>
      <c r="AO77" s="12" t="n"/>
      <c r="AP77" s="12" t="n"/>
      <c r="AQ77" s="12" t="n"/>
      <c r="AR77" s="12" t="n"/>
      <c r="AS77" s="12" t="n"/>
      <c r="AT77" s="12" t="n"/>
      <c r="AU77" s="12" t="n"/>
      <c r="AV77" s="12" t="n"/>
      <c r="AW77" s="12" t="n"/>
      <c r="AX77" s="12" t="n"/>
      <c r="AY77" s="12" t="n"/>
      <c r="AZ77" s="12" t="n"/>
      <c r="BA77" s="12" t="n"/>
      <c r="BB77" s="12" t="n"/>
      <c r="BC77" s="12" t="n"/>
      <c r="BD77" s="12" t="n"/>
      <c r="BE77" s="12" t="n"/>
      <c r="BF77" s="12" t="n"/>
      <c r="BG77" s="12" t="n"/>
      <c r="BH77" s="12" t="n"/>
      <c r="BI77" s="12" t="n"/>
      <c r="BJ77" s="12" t="n"/>
      <c r="BK77" s="12" t="n"/>
      <c r="BL77" s="12" t="n"/>
      <c r="BM77" s="12" t="n"/>
      <c r="BN77" s="12" t="n"/>
      <c r="BO77" s="12" t="n"/>
      <c r="BP77" s="12" t="n"/>
      <c r="BQ77" s="12" t="n"/>
      <c r="BR77" s="12" t="n"/>
      <c r="BS77" s="12" t="n"/>
      <c r="BT77" s="12" t="n"/>
      <c r="BU77" s="12" t="n"/>
      <c r="BV77" s="12" t="n"/>
      <c r="BW77" s="12" t="n"/>
      <c r="BX77" s="12" t="n"/>
      <c r="BY77" s="12" t="n"/>
      <c r="BZ77" s="12" t="n"/>
      <c r="CA77" s="12" t="n"/>
      <c r="CB77" s="12" t="n"/>
      <c r="CC77" s="12" t="n"/>
      <c r="CD77" s="12" t="n"/>
      <c r="CE77" s="12" t="n"/>
      <c r="CF77" s="12" t="n"/>
      <c r="CG77" s="12" t="n"/>
      <c r="CH77" s="12" t="n"/>
      <c r="CI77" s="12" t="n"/>
      <c r="CJ77" s="12" t="n"/>
      <c r="CK77" s="12" t="n"/>
      <c r="CL77" s="12" t="n"/>
      <c r="CM77" s="12" t="n"/>
      <c r="CN77" s="12" t="n"/>
      <c r="CO77" s="12" t="n"/>
      <c r="CP77" s="12" t="n"/>
      <c r="CQ77" s="12" t="n"/>
      <c r="CR77" s="12" t="n"/>
      <c r="CS77" s="12" t="n"/>
      <c r="CT77" s="12" t="n"/>
      <c r="CU77" s="12" t="n"/>
      <c r="CV77" s="12" t="n"/>
      <c r="CW77" s="12" t="n"/>
      <c r="CX77" s="12" t="n"/>
      <c r="CY77" s="12" t="n"/>
    </row>
    <row r="78" hidden="1" outlineLevel="1">
      <c r="C78" s="57" t="n"/>
      <c r="D78" s="12" t="n"/>
      <c r="E78" s="12" t="n"/>
      <c r="F78" s="12" t="n"/>
      <c r="G78" s="12" t="n"/>
      <c r="H78" s="12" t="n"/>
      <c r="I78" s="12" t="n"/>
      <c r="J78" s="12" t="n"/>
      <c r="K78" s="12" t="n"/>
      <c r="L78" s="12" t="n"/>
      <c r="M78" s="12" t="n"/>
      <c r="N78" s="12" t="n"/>
      <c r="O78" s="12" t="n"/>
      <c r="P78" s="12" t="n"/>
      <c r="Q78" s="12" t="n"/>
      <c r="R78" s="12" t="n"/>
      <c r="S78" s="12" t="n"/>
      <c r="T78" s="12" t="n"/>
      <c r="U78" s="12" t="n"/>
      <c r="V78" s="12" t="n"/>
      <c r="W78" s="12" t="n"/>
      <c r="X78" s="12" t="n"/>
      <c r="Y78" s="12" t="n"/>
      <c r="Z78" s="12" t="n"/>
      <c r="AA78" s="12" t="n"/>
      <c r="AB78" s="12" t="n"/>
      <c r="AC78" s="12" t="n"/>
      <c r="AD78" s="12" t="n"/>
      <c r="AE78" s="12" t="n"/>
      <c r="AF78" s="12" t="n"/>
      <c r="AG78" s="12" t="n"/>
      <c r="AH78" s="12" t="n"/>
      <c r="AI78" s="12" t="n"/>
      <c r="AJ78" s="12" t="n"/>
      <c r="AK78" s="12" t="n"/>
      <c r="AL78" s="12" t="n"/>
      <c r="AM78" s="12" t="n"/>
      <c r="AN78" s="12" t="n"/>
      <c r="AO78" s="12" t="n"/>
      <c r="AP78" s="12" t="n"/>
      <c r="AQ78" s="12" t="n"/>
      <c r="AR78" s="12" t="n"/>
      <c r="AS78" s="12" t="n"/>
      <c r="AT78" s="12" t="n"/>
      <c r="AU78" s="12" t="n"/>
      <c r="AV78" s="12" t="n"/>
      <c r="AW78" s="12" t="n"/>
      <c r="AX78" s="12" t="n"/>
      <c r="AY78" s="12" t="n"/>
      <c r="AZ78" s="12" t="n"/>
      <c r="BA78" s="12" t="n"/>
      <c r="BB78" s="12" t="n"/>
      <c r="BC78" s="12" t="n"/>
      <c r="BD78" s="12" t="n"/>
      <c r="BE78" s="12" t="n"/>
      <c r="BF78" s="12" t="n"/>
      <c r="BG78" s="12" t="n"/>
      <c r="BH78" s="12" t="n"/>
      <c r="BI78" s="12" t="n"/>
      <c r="BJ78" s="12" t="n"/>
      <c r="BK78" s="12" t="n"/>
      <c r="BL78" s="12" t="n"/>
      <c r="BM78" s="12" t="n"/>
      <c r="BN78" s="12" t="n"/>
      <c r="BO78" s="12" t="n"/>
      <c r="BP78" s="12" t="n"/>
      <c r="BQ78" s="12" t="n"/>
      <c r="BR78" s="12" t="n"/>
      <c r="BS78" s="12" t="n"/>
      <c r="BT78" s="12" t="n"/>
      <c r="BU78" s="12" t="n"/>
      <c r="BV78" s="12" t="n"/>
      <c r="BW78" s="12" t="n"/>
      <c r="BX78" s="12" t="n"/>
      <c r="BY78" s="12" t="n"/>
      <c r="BZ78" s="12" t="n"/>
      <c r="CA78" s="12" t="n"/>
      <c r="CB78" s="12" t="n"/>
      <c r="CC78" s="12" t="n"/>
      <c r="CD78" s="12" t="n"/>
      <c r="CE78" s="12" t="n"/>
      <c r="CF78" s="12" t="n"/>
      <c r="CG78" s="12" t="n"/>
      <c r="CH78" s="12" t="n"/>
      <c r="CI78" s="12" t="n"/>
      <c r="CJ78" s="12" t="n"/>
      <c r="CK78" s="12" t="n"/>
      <c r="CL78" s="12" t="n"/>
      <c r="CM78" s="12" t="n"/>
      <c r="CN78" s="12" t="n"/>
      <c r="CO78" s="12" t="n"/>
      <c r="CP78" s="12" t="n"/>
      <c r="CQ78" s="12" t="n"/>
      <c r="CR78" s="12" t="n"/>
      <c r="CS78" s="12" t="n"/>
      <c r="CT78" s="12" t="n"/>
      <c r="CU78" s="12" t="n"/>
      <c r="CV78" s="12" t="n"/>
      <c r="CW78" s="12" t="n"/>
      <c r="CX78" s="12" t="n"/>
      <c r="CY78" s="12" t="n"/>
    </row>
    <row r="79" hidden="1" outlineLevel="1">
      <c r="C79" s="57" t="inlineStr">
        <is>
          <t>Stake</t>
        </is>
      </c>
      <c r="D79" s="12" t="n"/>
      <c r="E79" s="12" t="n"/>
      <c r="F79" s="12" t="n"/>
      <c r="G79" s="12" t="n"/>
      <c r="H79" s="12" t="n"/>
      <c r="I79" s="12" t="n"/>
      <c r="J79" s="12" t="n"/>
      <c r="K79" s="12" t="n"/>
      <c r="L79" s="12" t="n"/>
      <c r="M79" s="12" t="n"/>
      <c r="N79" s="12" t="n"/>
      <c r="O79" s="12" t="n"/>
      <c r="P79" s="12" t="n"/>
      <c r="Q79" s="12" t="n"/>
      <c r="R79" s="12" t="n"/>
      <c r="S79" s="12" t="n"/>
      <c r="T79" s="12" t="n"/>
      <c r="U79" s="12" t="n"/>
      <c r="V79" s="12" t="n"/>
      <c r="W79" s="12" t="n"/>
      <c r="X79" s="12" t="n"/>
      <c r="Y79" s="12" t="n"/>
      <c r="Z79" s="12" t="n"/>
      <c r="AA79" s="12" t="n"/>
      <c r="AB79" s="12" t="n"/>
      <c r="AC79" s="12" t="n"/>
      <c r="AD79" s="12" t="n"/>
      <c r="AE79" s="12" t="n"/>
      <c r="AF79" s="12" t="n"/>
      <c r="AG79" s="12" t="n"/>
      <c r="AH79" s="12" t="n"/>
      <c r="AI79" s="12" t="n"/>
      <c r="AJ79" s="12" t="n"/>
      <c r="AK79" s="12" t="n"/>
      <c r="AL79" s="12" t="n"/>
      <c r="AM79" s="12" t="n"/>
      <c r="AN79" s="12" t="n"/>
      <c r="AO79" s="12" t="n"/>
      <c r="AP79" s="12" t="n"/>
      <c r="AQ79" s="12" t="n"/>
      <c r="AR79" s="12" t="n"/>
      <c r="AS79" s="12" t="n"/>
      <c r="AT79" s="12" t="n"/>
      <c r="AU79" s="12" t="n"/>
      <c r="AV79" s="12" t="n"/>
      <c r="AW79" s="12" t="n"/>
      <c r="AX79" s="12" t="n"/>
      <c r="AY79" s="12" t="n"/>
      <c r="AZ79" s="12" t="n"/>
      <c r="BA79" s="12" t="n"/>
      <c r="BB79" s="12" t="n"/>
      <c r="BC79" s="12" t="n"/>
      <c r="BD79" s="12" t="n"/>
      <c r="BE79" s="12" t="n"/>
      <c r="BF79" s="12" t="n"/>
      <c r="BG79" s="12" t="n"/>
      <c r="BH79" s="12" t="n"/>
      <c r="BI79" s="12" t="n"/>
      <c r="BJ79" s="12" t="n"/>
      <c r="BK79" s="12" t="n"/>
      <c r="BL79" s="12" t="n"/>
      <c r="BM79" s="12" t="n"/>
      <c r="BN79" s="12" t="n"/>
      <c r="BO79" s="12" t="n"/>
      <c r="BP79" s="12" t="n"/>
      <c r="BQ79" s="12" t="n"/>
      <c r="BR79" s="12" t="n"/>
      <c r="BS79" s="12" t="n"/>
      <c r="BT79" s="12" t="n"/>
      <c r="BU79" s="12" t="n"/>
      <c r="BV79" s="12" t="n"/>
      <c r="BW79" s="12" t="n"/>
      <c r="BX79" s="12" t="n"/>
      <c r="BY79" s="12" t="n"/>
      <c r="BZ79" s="12" t="n"/>
      <c r="CA79" s="12" t="n"/>
      <c r="CB79" s="12" t="n"/>
      <c r="CC79" s="12" t="n"/>
      <c r="CD79" s="12" t="n"/>
      <c r="CE79" s="12" t="n"/>
      <c r="CF79" s="12" t="n"/>
      <c r="CG79" s="12" t="n"/>
      <c r="CH79" s="12" t="n"/>
      <c r="CI79" s="12" t="n"/>
      <c r="CJ79" s="12" t="n"/>
      <c r="CK79" s="12" t="n"/>
      <c r="CL79" s="12" t="n"/>
      <c r="CM79" s="12" t="n"/>
      <c r="CN79" s="12" t="n"/>
      <c r="CO79" s="12" t="n"/>
      <c r="CP79" s="12" t="n"/>
      <c r="CQ79" s="12" t="n"/>
      <c r="CR79" s="12" t="n"/>
      <c r="CS79" s="12" t="n"/>
      <c r="CT79" s="12" t="n"/>
      <c r="CU79" s="12" t="n"/>
      <c r="CV79" s="12" t="n"/>
      <c r="CW79" s="12" t="n"/>
      <c r="CX79" s="12" t="n"/>
      <c r="CY79" s="12" t="n"/>
    </row>
    <row r="80" hidden="1" outlineLevel="1">
      <c r="C80" s="57" t="inlineStr">
        <is>
          <t>PRE</t>
        </is>
      </c>
      <c r="D80" s="12" t="n"/>
      <c r="E80" s="12" t="n"/>
      <c r="F80" s="12" t="n"/>
      <c r="G80" s="12" t="n"/>
      <c r="H80" s="12" t="n"/>
      <c r="I80" s="12" t="n"/>
      <c r="J80" s="12" t="n"/>
      <c r="K80" s="12" t="n"/>
      <c r="L80" s="12" t="n"/>
      <c r="M80" s="12" t="n"/>
      <c r="N80" s="12" t="n"/>
      <c r="O80" s="12" t="n"/>
      <c r="P80" s="12" t="n"/>
      <c r="Q80" s="12" t="n"/>
      <c r="R80" s="12" t="n"/>
      <c r="S80" s="12" t="n"/>
      <c r="T80" s="12" t="n"/>
      <c r="U80" s="12" t="n"/>
      <c r="V80" s="12" t="n"/>
      <c r="W80" s="12" t="n"/>
      <c r="X80" s="12" t="n"/>
      <c r="Y80" s="12" t="n"/>
      <c r="Z80" s="12" t="n"/>
      <c r="AA80" s="12" t="n"/>
      <c r="AB80" s="12" t="n"/>
      <c r="AC80" s="12" t="n"/>
      <c r="AD80" s="12" t="n"/>
      <c r="AE80" s="12" t="n"/>
      <c r="AF80" s="12" t="n"/>
      <c r="AG80" s="12" t="n"/>
      <c r="AH80" s="12" t="n"/>
      <c r="AI80" s="12" t="n"/>
      <c r="AJ80" s="12" t="n"/>
      <c r="AK80" s="12" t="n"/>
      <c r="AL80" s="12" t="n"/>
      <c r="AM80" s="12" t="n"/>
      <c r="AN80" s="12" t="n"/>
      <c r="AO80" s="12" t="n"/>
      <c r="AP80" s="12" t="n"/>
      <c r="AQ80" s="12" t="n"/>
      <c r="AR80" s="12" t="n"/>
      <c r="AS80" s="12" t="n"/>
      <c r="AT80" s="12" t="n"/>
      <c r="AU80" s="12" t="n"/>
      <c r="AV80" s="12" t="n"/>
      <c r="AW80" s="12" t="n"/>
      <c r="AX80" s="12" t="n"/>
      <c r="AY80" s="12" t="n"/>
      <c r="AZ80" s="12" t="n"/>
      <c r="BA80" s="12" t="n"/>
      <c r="BB80" s="12" t="n"/>
      <c r="BC80" s="12" t="n"/>
      <c r="BD80" s="12" t="n"/>
      <c r="BE80" s="12" t="n"/>
      <c r="BF80" s="12" t="n"/>
      <c r="BG80" s="12" t="n"/>
      <c r="BH80" s="12" t="n"/>
      <c r="BI80" s="12" t="n"/>
      <c r="BJ80" s="12" t="n"/>
      <c r="BK80" s="12" t="n"/>
      <c r="BL80" s="12" t="n"/>
      <c r="BM80" s="12" t="n"/>
      <c r="BN80" s="12" t="n"/>
      <c r="BO80" s="12" t="n"/>
      <c r="BP80" s="12" t="n"/>
      <c r="BQ80" s="12" t="n"/>
      <c r="BR80" s="12" t="n"/>
      <c r="BS80" s="12" t="n"/>
      <c r="BT80" s="12" t="n"/>
      <c r="BU80" s="12" t="n"/>
      <c r="BV80" s="12" t="n"/>
      <c r="BW80" s="12" t="n"/>
      <c r="BX80" s="12" t="n"/>
      <c r="BY80" s="12" t="n"/>
      <c r="BZ80" s="12" t="n"/>
      <c r="CA80" s="12" t="n"/>
      <c r="CB80" s="12" t="n"/>
      <c r="CC80" s="12" t="n"/>
      <c r="CD80" s="12" t="n"/>
      <c r="CE80" s="12" t="n"/>
      <c r="CF80" s="12" t="n"/>
      <c r="CG80" s="12" t="n"/>
      <c r="CH80" s="12" t="n"/>
      <c r="CI80" s="12" t="n"/>
      <c r="CJ80" s="12" t="n"/>
      <c r="CK80" s="12" t="n"/>
      <c r="CL80" s="12" t="n"/>
      <c r="CM80" s="12" t="n"/>
      <c r="CN80" s="12" t="n"/>
      <c r="CO80" s="12" t="n"/>
      <c r="CP80" s="12" t="n"/>
      <c r="CQ80" s="12" t="n"/>
      <c r="CR80" s="12" t="n"/>
      <c r="CS80" s="12" t="n"/>
      <c r="CT80" s="12" t="n"/>
      <c r="CU80" s="12" t="n"/>
      <c r="CV80" s="12" t="n"/>
      <c r="CW80" s="12" t="n"/>
      <c r="CX80" s="12" t="n"/>
      <c r="CY80" s="12" t="n"/>
    </row>
    <row r="81" hidden="1" outlineLevel="1">
      <c r="C81" s="57" t="inlineStr">
        <is>
          <t>CDI+</t>
        </is>
      </c>
      <c r="D81" s="12" t="n"/>
      <c r="E81" s="12" t="n"/>
      <c r="F81" s="12" t="n"/>
      <c r="G81" s="12" t="n"/>
      <c r="H81" s="12" t="n"/>
      <c r="I81" s="12" t="n"/>
      <c r="J81" s="12" t="n"/>
      <c r="K81" s="12" t="n"/>
      <c r="L81" s="12" t="n"/>
      <c r="M81" s="12" t="n"/>
      <c r="N81" s="12" t="n"/>
      <c r="O81" s="12" t="n"/>
      <c r="P81" s="12" t="n"/>
      <c r="Q81" s="12" t="n"/>
      <c r="R81" s="12" t="n"/>
      <c r="S81" s="12" t="n"/>
      <c r="T81" s="12" t="n"/>
      <c r="U81" s="12" t="n"/>
      <c r="V81" s="12" t="n"/>
      <c r="W81" s="12" t="n"/>
      <c r="X81" s="12" t="n"/>
      <c r="Y81" s="12" t="n"/>
      <c r="Z81" s="12" t="n"/>
      <c r="AA81" s="12" t="n"/>
      <c r="AB81" s="12" t="n"/>
      <c r="AC81" s="12" t="n"/>
      <c r="AD81" s="12" t="n"/>
      <c r="AE81" s="12" t="n"/>
      <c r="AF81" s="12" t="n"/>
      <c r="AG81" s="12" t="n"/>
      <c r="AH81" s="12" t="n"/>
      <c r="AI81" s="12" t="n"/>
      <c r="AJ81" s="12" t="n"/>
      <c r="AK81" s="12" t="n"/>
      <c r="AL81" s="12" t="n"/>
      <c r="AM81" s="12" t="n"/>
      <c r="AN81" s="12" t="n"/>
      <c r="AO81" s="12" t="n"/>
      <c r="AP81" s="12" t="n"/>
      <c r="AQ81" s="12" t="n"/>
      <c r="AR81" s="12" t="n"/>
      <c r="AS81" s="12" t="n"/>
      <c r="AT81" s="12" t="n"/>
      <c r="AU81" s="12" t="n"/>
      <c r="AV81" s="12" t="n"/>
      <c r="AW81" s="12" t="n"/>
      <c r="AX81" s="12" t="n"/>
      <c r="AY81" s="12" t="n"/>
      <c r="AZ81" s="12" t="n"/>
      <c r="BA81" s="12" t="n"/>
      <c r="BB81" s="12" t="n"/>
      <c r="BC81" s="12" t="n"/>
      <c r="BD81" s="12" t="n"/>
      <c r="BE81" s="12" t="n"/>
      <c r="BF81" s="12" t="n"/>
      <c r="BG81" s="12" t="n"/>
      <c r="BH81" s="12" t="n"/>
      <c r="BI81" s="12" t="n"/>
      <c r="BJ81" s="12" t="n"/>
      <c r="BK81" s="12" t="n"/>
      <c r="BL81" s="12" t="n"/>
      <c r="BM81" s="12" t="n"/>
      <c r="BN81" s="12" t="n"/>
      <c r="BO81" s="12" t="n"/>
      <c r="BP81" s="12" t="n"/>
      <c r="BQ81" s="12" t="n"/>
      <c r="BR81" s="12" t="n"/>
      <c r="BS81" s="12" t="n"/>
      <c r="BT81" s="12" t="n"/>
      <c r="BU81" s="12" t="n"/>
      <c r="BV81" s="12" t="n"/>
      <c r="BW81" s="12" t="n"/>
      <c r="BX81" s="12" t="n"/>
      <c r="BY81" s="12" t="n"/>
      <c r="BZ81" s="12" t="n"/>
      <c r="CA81" s="12" t="n"/>
      <c r="CB81" s="12" t="n"/>
      <c r="CC81" s="12" t="n"/>
      <c r="CD81" s="12" t="n"/>
      <c r="CE81" s="12" t="n"/>
      <c r="CF81" s="12" t="n"/>
      <c r="CG81" s="12" t="n"/>
      <c r="CH81" s="12" t="n"/>
      <c r="CI81" s="12" t="n"/>
      <c r="CJ81" s="12" t="n"/>
      <c r="CK81" s="12" t="n"/>
      <c r="CL81" s="12" t="n"/>
      <c r="CM81" s="12" t="n"/>
      <c r="CN81" s="12" t="n"/>
      <c r="CO81" s="12" t="n"/>
      <c r="CP81" s="12" t="n"/>
      <c r="CQ81" s="12" t="n"/>
      <c r="CR81" s="12" t="n"/>
      <c r="CS81" s="12" t="n"/>
      <c r="CT81" s="12" t="n"/>
      <c r="CU81" s="12" t="n"/>
      <c r="CV81" s="12" t="n"/>
      <c r="CW81" s="12" t="n"/>
      <c r="CX81" s="12" t="n"/>
      <c r="CY81" s="12" t="n"/>
    </row>
    <row r="82" hidden="1" outlineLevel="1">
      <c r="C82" s="57" t="n"/>
      <c r="D82" s="12" t="n"/>
      <c r="E82" s="12" t="n"/>
      <c r="F82" s="12" t="n"/>
      <c r="G82" s="12" t="n"/>
      <c r="H82" s="12" t="n"/>
      <c r="I82" s="12" t="n"/>
      <c r="J82" s="12" t="n"/>
      <c r="K82" s="12" t="n"/>
      <c r="L82" s="12" t="n"/>
      <c r="M82" s="12" t="n"/>
      <c r="N82" s="12" t="n"/>
      <c r="O82" s="12" t="n"/>
      <c r="P82" s="12" t="n"/>
      <c r="Q82" s="12" t="n"/>
      <c r="R82" s="12" t="n"/>
      <c r="S82" s="12" t="n"/>
      <c r="T82" s="12" t="n"/>
      <c r="U82" s="12" t="n"/>
      <c r="V82" s="12" t="n"/>
      <c r="W82" s="12" t="n"/>
      <c r="X82" s="12" t="n"/>
      <c r="Y82" s="12" t="n"/>
      <c r="Z82" s="12" t="n"/>
      <c r="AA82" s="12" t="n"/>
      <c r="AB82" s="12" t="n"/>
      <c r="AC82" s="12" t="n"/>
      <c r="AD82" s="12" t="n"/>
      <c r="AE82" s="12" t="n"/>
      <c r="AF82" s="12" t="n"/>
      <c r="AG82" s="12" t="n"/>
      <c r="AH82" s="12" t="n"/>
      <c r="AI82" s="12" t="n"/>
      <c r="AJ82" s="12" t="n"/>
      <c r="AK82" s="12" t="n"/>
      <c r="AL82" s="12" t="n"/>
      <c r="AM82" s="12" t="n"/>
      <c r="AN82" s="12" t="n"/>
      <c r="AO82" s="12" t="n"/>
      <c r="AP82" s="12" t="n"/>
      <c r="AQ82" s="12" t="n"/>
      <c r="AR82" s="12" t="n"/>
      <c r="AS82" s="12" t="n"/>
      <c r="AT82" s="12" t="n"/>
      <c r="AU82" s="12" t="n"/>
      <c r="AV82" s="12" t="n"/>
      <c r="AW82" s="12" t="n"/>
      <c r="AX82" s="12" t="n"/>
      <c r="AY82" s="12" t="n"/>
      <c r="AZ82" s="12" t="n"/>
      <c r="BA82" s="12" t="n"/>
      <c r="BB82" s="12" t="n"/>
      <c r="BC82" s="12" t="n"/>
      <c r="BD82" s="12" t="n"/>
      <c r="BE82" s="12" t="n"/>
      <c r="BF82" s="12" t="n"/>
      <c r="BG82" s="12" t="n"/>
      <c r="BH82" s="12" t="n"/>
      <c r="BI82" s="12" t="n"/>
      <c r="BJ82" s="12" t="n"/>
      <c r="BK82" s="12" t="n"/>
      <c r="BL82" s="12" t="n"/>
      <c r="BM82" s="12" t="n"/>
      <c r="BN82" s="12" t="n"/>
      <c r="BO82" s="12" t="n"/>
      <c r="BP82" s="12" t="n"/>
      <c r="BQ82" s="12" t="n"/>
      <c r="BR82" s="12" t="n"/>
      <c r="BS82" s="12" t="n"/>
      <c r="BT82" s="12" t="n"/>
      <c r="BU82" s="12" t="n"/>
      <c r="BV82" s="12" t="n"/>
      <c r="BW82" s="12" t="n"/>
      <c r="BX82" s="12" t="n"/>
      <c r="BY82" s="12" t="n"/>
      <c r="BZ82" s="12" t="n"/>
      <c r="CA82" s="12" t="n"/>
      <c r="CB82" s="12" t="n"/>
      <c r="CC82" s="12" t="n"/>
      <c r="CD82" s="12" t="n"/>
      <c r="CE82" s="12" t="n"/>
      <c r="CF82" s="12" t="n"/>
      <c r="CG82" s="12" t="n"/>
      <c r="CH82" s="12" t="n"/>
      <c r="CI82" s="12" t="n"/>
      <c r="CJ82" s="12" t="n"/>
      <c r="CK82" s="12" t="n"/>
      <c r="CL82" s="12" t="n"/>
      <c r="CM82" s="12" t="n"/>
      <c r="CN82" s="12" t="n"/>
      <c r="CO82" s="12" t="n"/>
      <c r="CP82" s="12" t="n"/>
      <c r="CQ82" s="12" t="n"/>
      <c r="CR82" s="12" t="n"/>
      <c r="CS82" s="12" t="n"/>
      <c r="CT82" s="12" t="n"/>
      <c r="CU82" s="12" t="n"/>
      <c r="CV82" s="12" t="n"/>
      <c r="CW82" s="12" t="n"/>
      <c r="CX82" s="12" t="n"/>
      <c r="CY82" s="12" t="n"/>
    </row>
    <row r="83" hidden="1" outlineLevel="1">
      <c r="C83" s="57" t="inlineStr">
        <is>
          <t>Spread</t>
        </is>
      </c>
      <c r="D83" s="12" t="n"/>
      <c r="E83" s="12" t="n"/>
      <c r="F83" s="12" t="n"/>
      <c r="G83" s="12" t="n"/>
      <c r="H83" s="12" t="n"/>
      <c r="I83" s="12" t="n"/>
      <c r="J83" s="12" t="n"/>
      <c r="K83" s="12" t="n"/>
      <c r="L83" s="12" t="n"/>
      <c r="M83" s="12" t="n"/>
      <c r="N83" s="12" t="n"/>
      <c r="O83" s="12" t="n"/>
      <c r="P83" s="12" t="n"/>
      <c r="Q83" s="12" t="n"/>
      <c r="R83" s="12" t="n"/>
      <c r="S83" s="12" t="n"/>
      <c r="T83" s="12" t="n"/>
      <c r="U83" s="12" t="n"/>
      <c r="V83" s="12" t="n"/>
      <c r="W83" s="12" t="n"/>
      <c r="X83" s="12" t="n"/>
      <c r="Y83" s="12" t="n"/>
      <c r="Z83" s="12" t="n"/>
      <c r="AA83" s="12" t="n"/>
      <c r="AB83" s="12" t="n"/>
      <c r="AC83" s="12" t="n"/>
      <c r="AD83" s="12" t="n"/>
      <c r="AE83" s="12" t="n"/>
      <c r="AF83" s="12" t="n"/>
      <c r="AG83" s="12" t="n"/>
      <c r="AH83" s="12" t="n"/>
      <c r="AI83" s="12" t="n"/>
      <c r="AJ83" s="12" t="n"/>
      <c r="AK83" s="12" t="n"/>
      <c r="AL83" s="12" t="n"/>
      <c r="AM83" s="12" t="n"/>
      <c r="AN83" s="12" t="n"/>
      <c r="AO83" s="12" t="n"/>
      <c r="AP83" s="12" t="n"/>
      <c r="AQ83" s="12" t="n"/>
      <c r="AR83" s="12" t="n"/>
      <c r="AS83" s="12" t="n"/>
      <c r="AT83" s="12" t="n"/>
      <c r="AU83" s="12" t="n"/>
      <c r="AV83" s="12" t="n"/>
      <c r="AW83" s="12" t="n"/>
      <c r="AX83" s="12" t="n"/>
      <c r="AY83" s="12" t="n"/>
      <c r="AZ83" s="12" t="n"/>
      <c r="BA83" s="12" t="n"/>
      <c r="BB83" s="12" t="n"/>
      <c r="BC83" s="12" t="n"/>
      <c r="BD83" s="12" t="n"/>
      <c r="BE83" s="12" t="n"/>
      <c r="BF83" s="12" t="n"/>
      <c r="BG83" s="12" t="n"/>
      <c r="BH83" s="12" t="n"/>
      <c r="BI83" s="12" t="n"/>
      <c r="BJ83" s="12" t="n"/>
      <c r="BK83" s="12" t="n"/>
      <c r="BL83" s="12" t="n"/>
      <c r="BM83" s="12" t="n"/>
      <c r="BN83" s="12" t="n"/>
      <c r="BO83" s="12" t="n"/>
      <c r="BP83" s="12" t="n"/>
      <c r="BQ83" s="12" t="n"/>
      <c r="BR83" s="12" t="n"/>
      <c r="BS83" s="12" t="n"/>
      <c r="BT83" s="12" t="n"/>
      <c r="BU83" s="12" t="n"/>
      <c r="BV83" s="12" t="n"/>
      <c r="BW83" s="12" t="n"/>
      <c r="BX83" s="12" t="n"/>
      <c r="BY83" s="12" t="n"/>
      <c r="BZ83" s="12" t="n"/>
      <c r="CA83" s="12" t="n"/>
      <c r="CB83" s="12" t="n"/>
      <c r="CC83" s="12" t="n"/>
      <c r="CD83" s="12" t="n"/>
      <c r="CE83" s="12" t="n"/>
      <c r="CF83" s="12" t="n"/>
      <c r="CG83" s="12" t="n"/>
      <c r="CH83" s="12" t="n"/>
      <c r="CI83" s="12" t="n"/>
      <c r="CJ83" s="12" t="n"/>
      <c r="CK83" s="12" t="n"/>
      <c r="CL83" s="12" t="n"/>
      <c r="CM83" s="12" t="n"/>
      <c r="CN83" s="12" t="n"/>
      <c r="CO83" s="12" t="n"/>
      <c r="CP83" s="12" t="n"/>
      <c r="CQ83" s="12" t="n"/>
      <c r="CR83" s="12" t="n"/>
      <c r="CS83" s="12" t="n"/>
      <c r="CT83" s="12" t="n"/>
      <c r="CU83" s="12" t="n"/>
      <c r="CV83" s="12" t="n"/>
      <c r="CW83" s="12" t="n"/>
      <c r="CX83" s="12" t="n"/>
      <c r="CY83" s="12" t="n"/>
    </row>
    <row r="84" hidden="1" outlineLevel="1">
      <c r="C84" s="57" t="inlineStr">
        <is>
          <t>PRE</t>
        </is>
      </c>
      <c r="D84" s="12" t="n"/>
      <c r="E84" s="12" t="n"/>
      <c r="F84" s="12" t="n"/>
      <c r="G84" s="12" t="n"/>
      <c r="H84" s="12" t="n"/>
      <c r="I84" s="12" t="n"/>
      <c r="J84" s="12" t="n"/>
      <c r="K84" s="12" t="n"/>
      <c r="L84" s="12" t="n"/>
      <c r="M84" s="12" t="n"/>
      <c r="N84" s="12" t="n"/>
      <c r="O84" s="12" t="n"/>
      <c r="P84" s="12" t="n"/>
      <c r="Q84" s="12" t="n"/>
      <c r="R84" s="12" t="n"/>
      <c r="S84" s="12" t="n"/>
      <c r="T84" s="12" t="n"/>
      <c r="U84" s="12" t="n"/>
      <c r="V84" s="12" t="n"/>
      <c r="W84" s="12" t="n"/>
      <c r="X84" s="12" t="n"/>
      <c r="Y84" s="12" t="n"/>
      <c r="Z84" s="12" t="n"/>
      <c r="AA84" s="12" t="n"/>
      <c r="AB84" s="12" t="n"/>
      <c r="AC84" s="12" t="n"/>
      <c r="AD84" s="12" t="n"/>
      <c r="AE84" s="12" t="n"/>
      <c r="AF84" s="12" t="n"/>
      <c r="AG84" s="12" t="n"/>
      <c r="AH84" s="12" t="n"/>
      <c r="AI84" s="12" t="n"/>
      <c r="AJ84" s="12" t="n"/>
      <c r="AK84" s="12" t="n"/>
      <c r="AL84" s="12" t="n"/>
      <c r="AM84" s="12" t="n"/>
      <c r="AN84" s="12" t="n"/>
      <c r="AO84" s="12" t="n"/>
      <c r="AP84" s="12" t="n"/>
      <c r="AQ84" s="12" t="n"/>
      <c r="AR84" s="12" t="n"/>
      <c r="AS84" s="12" t="n"/>
      <c r="AT84" s="12" t="n"/>
      <c r="AU84" s="12" t="n"/>
      <c r="AV84" s="12" t="n"/>
      <c r="AW84" s="12" t="n"/>
      <c r="AX84" s="12" t="n"/>
      <c r="AY84" s="12" t="n"/>
      <c r="AZ84" s="12" t="n"/>
      <c r="BA84" s="12" t="n"/>
      <c r="BB84" s="12" t="n"/>
      <c r="BC84" s="12" t="n"/>
      <c r="BD84" s="12" t="n"/>
      <c r="BE84" s="12" t="n"/>
      <c r="BF84" s="12" t="n"/>
      <c r="BG84" s="12" t="n"/>
      <c r="BH84" s="12" t="n"/>
      <c r="BI84" s="12" t="n"/>
      <c r="BJ84" s="12" t="n"/>
      <c r="BK84" s="12" t="n"/>
      <c r="BL84" s="12" t="n"/>
      <c r="BM84" s="12" t="n"/>
      <c r="BN84" s="12" t="n"/>
      <c r="BO84" s="12" t="n"/>
      <c r="BP84" s="12" t="n"/>
      <c r="BQ84" s="12" t="n"/>
      <c r="BR84" s="12" t="n"/>
      <c r="BS84" s="12" t="n"/>
      <c r="BT84" s="12" t="n"/>
      <c r="BU84" s="12" t="n"/>
      <c r="BV84" s="12" t="n"/>
      <c r="BW84" s="12" t="n"/>
      <c r="BX84" s="12" t="n"/>
      <c r="BY84" s="12" t="n"/>
      <c r="BZ84" s="12" t="n"/>
      <c r="CA84" s="12" t="n"/>
      <c r="CB84" s="12" t="n"/>
      <c r="CC84" s="12" t="n"/>
      <c r="CD84" s="12" t="n"/>
      <c r="CE84" s="12" t="n"/>
      <c r="CF84" s="12" t="n"/>
      <c r="CG84" s="12" t="n"/>
      <c r="CH84" s="12" t="n"/>
      <c r="CI84" s="12" t="n"/>
      <c r="CJ84" s="12" t="n"/>
      <c r="CK84" s="12" t="n"/>
      <c r="CL84" s="12" t="n"/>
      <c r="CM84" s="12" t="n"/>
      <c r="CN84" s="12" t="n"/>
      <c r="CO84" s="12" t="n"/>
      <c r="CP84" s="12" t="n"/>
      <c r="CQ84" s="12" t="n"/>
      <c r="CR84" s="12" t="n"/>
      <c r="CS84" s="12" t="n"/>
      <c r="CT84" s="12" t="n"/>
      <c r="CU84" s="12" t="n"/>
      <c r="CV84" s="12" t="n"/>
      <c r="CW84" s="12" t="n"/>
      <c r="CX84" s="12" t="n"/>
      <c r="CY84" s="12" t="n"/>
    </row>
    <row r="85" hidden="1" outlineLevel="1">
      <c r="C85" s="57" t="inlineStr">
        <is>
          <t>CDI+</t>
        </is>
      </c>
      <c r="D85" s="12" t="n"/>
      <c r="E85" s="12" t="n"/>
      <c r="F85" s="12" t="n"/>
      <c r="G85" s="12" t="n"/>
      <c r="H85" s="12" t="n"/>
      <c r="I85" s="12" t="n"/>
      <c r="J85" s="12" t="n"/>
      <c r="K85" s="12" t="n"/>
      <c r="L85" s="12" t="n"/>
      <c r="M85" s="12" t="n"/>
      <c r="N85" s="12" t="n"/>
      <c r="O85" s="12" t="n"/>
      <c r="P85" s="12" t="n"/>
      <c r="Q85" s="12" t="n"/>
      <c r="R85" s="12" t="n"/>
      <c r="S85" s="12" t="n"/>
      <c r="T85" s="12" t="n"/>
      <c r="U85" s="12" t="n"/>
      <c r="V85" s="12" t="n"/>
      <c r="W85" s="12" t="n"/>
      <c r="X85" s="12" t="n"/>
      <c r="Y85" s="12" t="n"/>
      <c r="Z85" s="12" t="n"/>
      <c r="AA85" s="12" t="n"/>
      <c r="AB85" s="12" t="n"/>
      <c r="AC85" s="12" t="n"/>
      <c r="AD85" s="12" t="n"/>
      <c r="AE85" s="12" t="n"/>
      <c r="AF85" s="12" t="n"/>
      <c r="AG85" s="12" t="n"/>
      <c r="AH85" s="12" t="n"/>
      <c r="AI85" s="12" t="n"/>
      <c r="AJ85" s="12" t="n"/>
      <c r="AK85" s="12" t="n"/>
      <c r="AL85" s="12" t="n"/>
      <c r="AM85" s="12" t="n"/>
      <c r="AN85" s="12" t="n"/>
      <c r="AO85" s="12" t="n"/>
      <c r="AP85" s="12" t="n"/>
      <c r="AQ85" s="12" t="n"/>
      <c r="AR85" s="12" t="n"/>
      <c r="AS85" s="12" t="n"/>
      <c r="AT85" s="12" t="n"/>
      <c r="AU85" s="12" t="n"/>
      <c r="AV85" s="12" t="n"/>
      <c r="AW85" s="12" t="n"/>
      <c r="AX85" s="12" t="n"/>
      <c r="AY85" s="12" t="n"/>
      <c r="AZ85" s="12" t="n"/>
      <c r="BA85" s="12" t="n"/>
      <c r="BB85" s="12" t="n"/>
      <c r="BC85" s="12" t="n"/>
      <c r="BD85" s="12" t="n"/>
      <c r="BE85" s="12" t="n"/>
      <c r="BF85" s="12" t="n"/>
      <c r="BG85" s="12" t="n"/>
      <c r="BH85" s="12" t="n"/>
      <c r="BI85" s="12" t="n"/>
      <c r="BJ85" s="12" t="n"/>
      <c r="BK85" s="12" t="n"/>
      <c r="BL85" s="12" t="n"/>
      <c r="BM85" s="12" t="n"/>
      <c r="BN85" s="12" t="n"/>
      <c r="BO85" s="12" t="n"/>
      <c r="BP85" s="12" t="n"/>
      <c r="BQ85" s="12" t="n"/>
      <c r="BR85" s="12" t="n"/>
      <c r="BS85" s="12" t="n"/>
      <c r="BT85" s="12" t="n"/>
      <c r="BU85" s="12" t="n"/>
      <c r="BV85" s="12" t="n"/>
      <c r="BW85" s="12" t="n"/>
      <c r="BX85" s="12" t="n"/>
      <c r="BY85" s="12" t="n"/>
      <c r="BZ85" s="12" t="n"/>
      <c r="CA85" s="12" t="n"/>
      <c r="CB85" s="12" t="n"/>
      <c r="CC85" s="12" t="n"/>
      <c r="CD85" s="12" t="n"/>
      <c r="CE85" s="12" t="n"/>
      <c r="CF85" s="12" t="n"/>
      <c r="CG85" s="12" t="n"/>
      <c r="CH85" s="12" t="n"/>
      <c r="CI85" s="12" t="n"/>
      <c r="CJ85" s="12" t="n"/>
      <c r="CK85" s="12" t="n"/>
      <c r="CL85" s="12" t="n"/>
      <c r="CM85" s="12" t="n"/>
      <c r="CN85" s="12" t="n"/>
      <c r="CO85" s="12" t="n"/>
      <c r="CP85" s="12" t="n"/>
      <c r="CQ85" s="12" t="n"/>
      <c r="CR85" s="12" t="n"/>
      <c r="CS85" s="12" t="n"/>
      <c r="CT85" s="12" t="n"/>
      <c r="CU85" s="12" t="n"/>
      <c r="CV85" s="12" t="n"/>
      <c r="CW85" s="12" t="n"/>
      <c r="CX85" s="12" t="n"/>
      <c r="CY85" s="12" t="n"/>
    </row>
    <row r="86" hidden="1" outlineLevel="1">
      <c r="C86" s="57" t="n"/>
      <c r="D86" s="12" t="n"/>
      <c r="E86" s="12" t="n"/>
      <c r="F86" s="12" t="n"/>
      <c r="G86" s="12" t="n"/>
      <c r="H86" s="12" t="n"/>
      <c r="I86" s="12" t="n"/>
      <c r="J86" s="12" t="n"/>
      <c r="K86" s="12" t="n"/>
      <c r="L86" s="12" t="n"/>
      <c r="M86" s="12" t="n"/>
      <c r="N86" s="12" t="n"/>
      <c r="O86" s="12" t="n"/>
      <c r="P86" s="12" t="n"/>
      <c r="Q86" s="12" t="n"/>
      <c r="R86" s="12" t="n"/>
      <c r="S86" s="12" t="n"/>
      <c r="T86" s="12" t="n"/>
      <c r="U86" s="12" t="n"/>
      <c r="V86" s="12" t="n"/>
      <c r="W86" s="12" t="n"/>
      <c r="X86" s="12" t="n"/>
      <c r="Y86" s="12" t="n"/>
      <c r="Z86" s="12" t="n"/>
      <c r="AA86" s="12" t="n"/>
      <c r="AB86" s="12" t="n"/>
      <c r="AC86" s="12" t="n"/>
      <c r="AD86" s="12" t="n"/>
      <c r="AE86" s="12" t="n"/>
      <c r="AF86" s="12" t="n"/>
      <c r="AG86" s="12" t="n"/>
      <c r="AH86" s="12" t="n"/>
      <c r="AI86" s="12" t="n"/>
      <c r="AJ86" s="12" t="n"/>
      <c r="AK86" s="12" t="n"/>
      <c r="AL86" s="12" t="n"/>
      <c r="AM86" s="12" t="n"/>
      <c r="AN86" s="12" t="n"/>
      <c r="AO86" s="12" t="n"/>
      <c r="AP86" s="12" t="n"/>
      <c r="AQ86" s="12" t="n"/>
      <c r="AR86" s="12" t="n"/>
      <c r="AS86" s="12" t="n"/>
      <c r="AT86" s="12" t="n"/>
      <c r="AU86" s="12" t="n"/>
      <c r="AV86" s="12" t="n"/>
      <c r="AW86" s="12" t="n"/>
      <c r="AX86" s="12" t="n"/>
      <c r="AY86" s="12" t="n"/>
      <c r="AZ86" s="12" t="n"/>
      <c r="BA86" s="12" t="n"/>
      <c r="BB86" s="12" t="n"/>
      <c r="BC86" s="12" t="n"/>
      <c r="BD86" s="12" t="n"/>
      <c r="BE86" s="12" t="n"/>
      <c r="BF86" s="12" t="n"/>
      <c r="BG86" s="12" t="n"/>
      <c r="BH86" s="12" t="n"/>
      <c r="BI86" s="12" t="n"/>
      <c r="BJ86" s="12" t="n"/>
      <c r="BK86" s="12" t="n"/>
      <c r="BL86" s="12" t="n"/>
      <c r="BM86" s="12" t="n"/>
      <c r="BN86" s="12" t="n"/>
      <c r="BO86" s="12" t="n"/>
      <c r="BP86" s="12" t="n"/>
      <c r="BQ86" s="12" t="n"/>
      <c r="BR86" s="12" t="n"/>
      <c r="BS86" s="12" t="n"/>
      <c r="BT86" s="12" t="n"/>
      <c r="BU86" s="12" t="n"/>
      <c r="BV86" s="12" t="n"/>
      <c r="BW86" s="12" t="n"/>
      <c r="BX86" s="12" t="n"/>
      <c r="BY86" s="12" t="n"/>
      <c r="BZ86" s="12" t="n"/>
      <c r="CA86" s="12" t="n"/>
      <c r="CB86" s="12" t="n"/>
      <c r="CC86" s="12" t="n"/>
      <c r="CD86" s="12" t="n"/>
      <c r="CE86" s="12" t="n"/>
      <c r="CF86" s="12" t="n"/>
      <c r="CG86" s="12" t="n"/>
      <c r="CH86" s="12" t="n"/>
      <c r="CI86" s="12" t="n"/>
      <c r="CJ86" s="12" t="n"/>
      <c r="CK86" s="12" t="n"/>
      <c r="CL86" s="12" t="n"/>
      <c r="CM86" s="12" t="n"/>
      <c r="CN86" s="12" t="n"/>
      <c r="CO86" s="12" t="n"/>
      <c r="CP86" s="12" t="n"/>
      <c r="CQ86" s="12" t="n"/>
      <c r="CR86" s="12" t="n"/>
      <c r="CS86" s="12" t="n"/>
      <c r="CT86" s="12" t="n"/>
      <c r="CU86" s="12" t="n"/>
      <c r="CV86" s="12" t="n"/>
      <c r="CW86" s="12" t="n"/>
      <c r="CX86" s="12" t="n"/>
      <c r="CY86" s="12" t="n"/>
    </row>
    <row r="87" hidden="1" outlineLevel="1">
      <c r="C87" s="57" t="inlineStr">
        <is>
          <t>RECEITAS FINANCEIRAS - Rendimentos de aplicações financeiras</t>
        </is>
      </c>
      <c r="D87" s="12" t="n"/>
      <c r="E87" s="12" t="n"/>
      <c r="F87" s="12" t="n"/>
      <c r="G87" s="12" t="n"/>
      <c r="H87" s="12" t="n"/>
      <c r="I87" s="12" t="n"/>
      <c r="J87" s="12" t="n"/>
      <c r="K87" s="12" t="n"/>
      <c r="L87" s="12" t="n"/>
      <c r="M87" s="12" t="n"/>
      <c r="N87" s="12" t="n"/>
      <c r="O87" s="12" t="n"/>
      <c r="P87" s="12" t="n"/>
      <c r="Q87" s="12" t="n"/>
      <c r="R87" s="12" t="n"/>
      <c r="S87" s="12" t="n"/>
      <c r="T87" s="12" t="n"/>
      <c r="U87" s="12" t="n"/>
      <c r="V87" s="12" t="n"/>
      <c r="W87" s="12" t="n"/>
      <c r="X87" s="12" t="n"/>
      <c r="Y87" s="12" t="n"/>
      <c r="Z87" s="12" t="n"/>
      <c r="AA87" s="12" t="n"/>
      <c r="AB87" s="12" t="n"/>
      <c r="AC87" s="12" t="n"/>
      <c r="AD87" s="12" t="n"/>
      <c r="AE87" s="12" t="n"/>
      <c r="AF87" s="12" t="n"/>
      <c r="AG87" s="12" t="n"/>
      <c r="AH87" s="12" t="n"/>
      <c r="AI87" s="12" t="n"/>
      <c r="AJ87" s="12" t="n"/>
      <c r="AK87" s="12" t="n"/>
      <c r="AL87" s="12" t="n"/>
      <c r="AM87" s="12" t="n"/>
      <c r="AN87" s="12" t="n"/>
      <c r="AO87" s="12" t="n"/>
      <c r="AP87" s="12" t="n"/>
      <c r="AQ87" s="12" t="n"/>
      <c r="AR87" s="12" t="n"/>
      <c r="AS87" s="12" t="n"/>
      <c r="AT87" s="12" t="n"/>
      <c r="AU87" s="12" t="n"/>
      <c r="AV87" s="12" t="n"/>
      <c r="AW87" s="12" t="n"/>
      <c r="AX87" s="12" t="n"/>
      <c r="AY87" s="12" t="n"/>
      <c r="AZ87" s="12" t="n"/>
      <c r="BA87" s="12" t="n"/>
      <c r="BB87" s="12" t="n"/>
      <c r="BC87" s="12" t="n"/>
      <c r="BD87" s="12" t="n"/>
      <c r="BE87" s="12" t="n"/>
      <c r="BF87" s="12" t="n"/>
      <c r="BG87" s="12" t="n"/>
      <c r="BH87" s="12" t="n"/>
      <c r="BI87" s="12" t="n"/>
      <c r="BJ87" s="12" t="n"/>
      <c r="BK87" s="12" t="n"/>
      <c r="BL87" s="12" t="n"/>
      <c r="BM87" s="12" t="n"/>
      <c r="BN87" s="12" t="n"/>
      <c r="BO87" s="12" t="n"/>
      <c r="BP87" s="12" t="n"/>
      <c r="BQ87" s="12" t="n"/>
      <c r="BR87" s="12" t="n"/>
      <c r="BS87" s="12" t="n"/>
      <c r="BT87" s="12" t="n"/>
      <c r="BU87" s="12" t="n"/>
      <c r="BV87" s="12" t="n"/>
      <c r="BW87" s="12" t="n"/>
      <c r="BX87" s="12" t="n"/>
      <c r="BY87" s="12" t="n"/>
      <c r="BZ87" s="12" t="n"/>
      <c r="CA87" s="12" t="n"/>
      <c r="CB87" s="12" t="n"/>
      <c r="CC87" s="12" t="n"/>
      <c r="CD87" s="12" t="n"/>
      <c r="CE87" s="12" t="n"/>
      <c r="CF87" s="12" t="n"/>
      <c r="CG87" s="12" t="n"/>
      <c r="CH87" s="12" t="n"/>
      <c r="CI87" s="12" t="n"/>
      <c r="CJ87" s="12" t="n"/>
      <c r="CK87" s="12" t="n"/>
      <c r="CL87" s="12" t="n"/>
      <c r="CM87" s="12" t="n"/>
      <c r="CN87" s="12" t="n"/>
      <c r="CO87" s="12" t="n"/>
      <c r="CP87" s="12" t="n"/>
      <c r="CQ87" s="12" t="n"/>
      <c r="CR87" s="12" t="n"/>
      <c r="CS87" s="12" t="n"/>
      <c r="CT87" s="12" t="n"/>
      <c r="CU87" s="12" t="n"/>
      <c r="CV87" s="12" t="n"/>
      <c r="CW87" s="12" t="n"/>
      <c r="CX87" s="12" t="n"/>
      <c r="CY87" s="12" t="n"/>
    </row>
    <row r="88" hidden="1" outlineLevel="1">
      <c r="C88" s="57" t="inlineStr">
        <is>
          <t>RECEITAS FINANCEIRAS - Variação cambial ativa</t>
        </is>
      </c>
      <c r="D88" s="12" t="n"/>
      <c r="E88" s="12" t="n"/>
      <c r="F88" s="12" t="n"/>
      <c r="G88" s="12" t="n"/>
      <c r="H88" s="12" t="n"/>
      <c r="I88" s="12" t="n"/>
      <c r="J88" s="12" t="n"/>
      <c r="K88" s="12" t="n"/>
      <c r="L88" s="12" t="n"/>
      <c r="M88" s="12" t="n"/>
      <c r="N88" s="12" t="n"/>
      <c r="O88" s="12" t="n"/>
      <c r="P88" s="12" t="n"/>
      <c r="Q88" s="12" t="n"/>
      <c r="R88" s="12" t="n"/>
      <c r="S88" s="12" t="n"/>
      <c r="T88" s="12" t="n"/>
      <c r="U88" s="12" t="n"/>
      <c r="V88" s="12" t="n"/>
      <c r="W88" s="12" t="n"/>
      <c r="X88" s="12" t="n"/>
      <c r="Y88" s="12" t="n"/>
      <c r="Z88" s="12" t="n"/>
      <c r="AA88" s="12" t="n"/>
      <c r="AB88" s="12" t="n"/>
      <c r="AC88" s="12" t="n"/>
      <c r="AD88" s="12" t="n"/>
      <c r="AE88" s="12" t="n"/>
      <c r="AF88" s="12" t="n"/>
      <c r="AG88" s="12" t="n"/>
      <c r="AH88" s="12" t="n"/>
      <c r="AI88" s="12" t="n"/>
      <c r="AJ88" s="12" t="n"/>
      <c r="AK88" s="12" t="n"/>
      <c r="AL88" s="12" t="n"/>
      <c r="AM88" s="12" t="n"/>
      <c r="AN88" s="12" t="n"/>
      <c r="AO88" s="12" t="n"/>
      <c r="AP88" s="12" t="n"/>
      <c r="AQ88" s="12" t="n"/>
      <c r="AR88" s="12" t="n"/>
      <c r="AS88" s="12" t="n"/>
      <c r="AT88" s="12" t="n"/>
      <c r="AU88" s="12" t="n"/>
      <c r="AV88" s="12" t="n"/>
      <c r="AW88" s="12" t="n"/>
      <c r="AX88" s="12" t="n"/>
      <c r="AY88" s="12" t="n"/>
      <c r="AZ88" s="12" t="n"/>
      <c r="BA88" s="12" t="n"/>
      <c r="BB88" s="12" t="n"/>
      <c r="BC88" s="12" t="n"/>
      <c r="BD88" s="12" t="n"/>
      <c r="BE88" s="12" t="n"/>
      <c r="BF88" s="12" t="n"/>
      <c r="BG88" s="12" t="n"/>
      <c r="BH88" s="12" t="n"/>
      <c r="BI88" s="12" t="n"/>
      <c r="BJ88" s="12" t="n"/>
      <c r="BK88" s="12" t="n"/>
      <c r="BL88" s="12" t="n"/>
      <c r="BM88" s="12" t="n"/>
      <c r="BN88" s="12" t="n"/>
      <c r="BO88" s="12" t="n"/>
      <c r="BP88" s="12" t="n"/>
      <c r="BQ88" s="12" t="n"/>
      <c r="BR88" s="12" t="n"/>
      <c r="BS88" s="12" t="n"/>
      <c r="BT88" s="12" t="n"/>
      <c r="BU88" s="12" t="n"/>
      <c r="BV88" s="12" t="n"/>
      <c r="BW88" s="12" t="n"/>
      <c r="BX88" s="12" t="n"/>
      <c r="BY88" s="12" t="n"/>
      <c r="BZ88" s="12" t="n"/>
      <c r="CA88" s="12" t="n"/>
      <c r="CB88" s="12" t="n"/>
      <c r="CC88" s="12" t="n"/>
      <c r="CD88" s="12" t="n"/>
      <c r="CE88" s="12" t="n"/>
      <c r="CF88" s="12" t="n"/>
      <c r="CG88" s="12" t="n"/>
      <c r="CH88" s="12" t="n"/>
      <c r="CI88" s="12" t="n"/>
      <c r="CJ88" s="12" t="n"/>
      <c r="CK88" s="12" t="n"/>
      <c r="CL88" s="12" t="n"/>
      <c r="CM88" s="12" t="n"/>
      <c r="CN88" s="12" t="n"/>
      <c r="CO88" s="12" t="n"/>
      <c r="CP88" s="12" t="n"/>
      <c r="CQ88" s="12" t="n"/>
      <c r="CR88" s="12" t="n"/>
      <c r="CS88" s="12" t="n"/>
      <c r="CT88" s="12" t="n"/>
      <c r="CU88" s="12" t="n"/>
      <c r="CV88" s="12" t="n"/>
      <c r="CW88" s="12" t="n"/>
      <c r="CX88" s="12" t="n"/>
      <c r="CY88" s="12" t="n"/>
    </row>
    <row r="89" hidden="1" outlineLevel="1">
      <c r="C89" s="57" t="inlineStr">
        <is>
          <t>RECEITAS FINANCEIRAS - Atualização de contas a pagar por aquisição de empresas</t>
        </is>
      </c>
      <c r="D89" s="12" t="n"/>
      <c r="E89" s="12" t="n"/>
      <c r="F89" s="12" t="n"/>
      <c r="G89" s="12" t="n"/>
      <c r="H89" s="12" t="n"/>
      <c r="I89" s="12" t="n"/>
      <c r="J89" s="12" t="n"/>
      <c r="K89" s="12" t="n"/>
      <c r="L89" s="12" t="n"/>
      <c r="M89" s="12" t="n"/>
      <c r="N89" s="12" t="n"/>
      <c r="O89" s="12" t="n"/>
      <c r="P89" s="12" t="n"/>
      <c r="Q89" s="12" t="n"/>
      <c r="R89" s="12" t="n"/>
      <c r="S89" s="12" t="n"/>
      <c r="T89" s="12" t="n"/>
      <c r="U89" s="12" t="n"/>
      <c r="V89" s="12" t="n"/>
      <c r="W89" s="12" t="n"/>
      <c r="X89" s="12" t="n"/>
      <c r="Y89" s="12" t="n"/>
      <c r="Z89" s="12" t="n"/>
      <c r="AA89" s="12" t="n"/>
      <c r="AB89" s="12" t="n"/>
      <c r="AC89" s="12" t="n"/>
      <c r="AD89" s="12" t="n"/>
      <c r="AE89" s="12" t="n"/>
      <c r="AF89" s="12" t="n"/>
      <c r="AG89" s="12" t="n"/>
      <c r="AH89" s="12" t="n"/>
      <c r="AI89" s="12" t="n"/>
      <c r="AJ89" s="12" t="n"/>
      <c r="AK89" s="12" t="n"/>
      <c r="AL89" s="12" t="n"/>
      <c r="AM89" s="12" t="n"/>
      <c r="AN89" s="12" t="n"/>
      <c r="AO89" s="12" t="n"/>
      <c r="AP89" s="12" t="n"/>
      <c r="AQ89" s="12" t="n"/>
      <c r="AR89" s="12" t="n"/>
      <c r="AS89" s="12" t="n"/>
      <c r="AT89" s="12" t="n"/>
      <c r="AU89" s="12" t="n"/>
      <c r="AV89" s="12" t="n"/>
      <c r="AW89" s="12" t="n"/>
      <c r="AX89" s="12" t="n"/>
      <c r="AY89" s="12" t="n"/>
      <c r="AZ89" s="12" t="n"/>
      <c r="BA89" s="12" t="n"/>
      <c r="BB89" s="12" t="n"/>
      <c r="BC89" s="12" t="n"/>
      <c r="BD89" s="12" t="n"/>
      <c r="BE89" s="12" t="n"/>
      <c r="BF89" s="12" t="n"/>
      <c r="BG89" s="12" t="n"/>
      <c r="BH89" s="12" t="n"/>
      <c r="BI89" s="12" t="n"/>
      <c r="BJ89" s="12" t="n"/>
      <c r="BK89" s="12" t="n"/>
      <c r="BL89" s="12" t="n"/>
      <c r="BM89" s="12" t="n"/>
      <c r="BN89" s="12" t="n"/>
      <c r="BO89" s="12" t="n"/>
      <c r="BP89" s="12" t="n"/>
      <c r="BQ89" s="12" t="n"/>
      <c r="BR89" s="12" t="n"/>
      <c r="BS89" s="12" t="n"/>
      <c r="BT89" s="12" t="n"/>
      <c r="BU89" s="12" t="n"/>
      <c r="BV89" s="12" t="n"/>
      <c r="BW89" s="12" t="n"/>
      <c r="BX89" s="12" t="n"/>
      <c r="BY89" s="12" t="n"/>
      <c r="BZ89" s="12" t="n"/>
      <c r="CA89" s="12" t="n"/>
      <c r="CB89" s="12" t="n"/>
      <c r="CC89" s="12" t="n"/>
      <c r="CD89" s="12" t="n"/>
      <c r="CE89" s="12" t="n"/>
      <c r="CF89" s="12" t="n"/>
      <c r="CG89" s="12" t="n"/>
      <c r="CH89" s="12" t="n"/>
      <c r="CI89" s="12" t="n"/>
      <c r="CJ89" s="12" t="n"/>
      <c r="CK89" s="12" t="n"/>
      <c r="CL89" s="12" t="n"/>
      <c r="CM89" s="12" t="n"/>
      <c r="CN89" s="12" t="n"/>
      <c r="CO89" s="12" t="n"/>
      <c r="CP89" s="12" t="n"/>
      <c r="CQ89" s="12" t="n"/>
      <c r="CR89" s="12" t="n"/>
      <c r="CS89" s="12" t="n"/>
      <c r="CT89" s="12" t="n"/>
      <c r="CU89" s="12" t="n"/>
      <c r="CV89" s="12" t="n"/>
      <c r="CW89" s="12" t="n"/>
      <c r="CX89" s="12" t="n"/>
      <c r="CY89" s="12" t="n"/>
    </row>
    <row r="90" hidden="1" outlineLevel="1">
      <c r="C90" s="57" t="inlineStr">
        <is>
          <t>RECEITAS FINANCEIRAS - Resultado positivo com instrumentos derivativos</t>
        </is>
      </c>
      <c r="D90" s="12" t="n"/>
      <c r="E90" s="12" t="n"/>
      <c r="F90" s="12" t="n"/>
      <c r="G90" s="12" t="n"/>
      <c r="H90" s="12" t="n"/>
      <c r="I90" s="12" t="n"/>
      <c r="J90" s="12" t="n"/>
      <c r="K90" s="12" t="n"/>
      <c r="L90" s="12" t="n"/>
      <c r="M90" s="12" t="n"/>
      <c r="N90" s="12" t="n"/>
      <c r="O90" s="12" t="n"/>
      <c r="P90" s="12" t="n"/>
      <c r="Q90" s="12" t="n"/>
      <c r="R90" s="12" t="n"/>
      <c r="S90" s="12" t="n"/>
      <c r="T90" s="12" t="n"/>
      <c r="U90" s="12" t="n"/>
      <c r="V90" s="12" t="n"/>
      <c r="W90" s="12" t="n"/>
      <c r="X90" s="12" t="n"/>
      <c r="Y90" s="12" t="n"/>
      <c r="Z90" s="12" t="n"/>
      <c r="AA90" s="12" t="n"/>
      <c r="AB90" s="12" t="n"/>
      <c r="AC90" s="12" t="n"/>
      <c r="AD90" s="12" t="n"/>
      <c r="AE90" s="12" t="n"/>
      <c r="AF90" s="12" t="n"/>
      <c r="AG90" s="12" t="n"/>
      <c r="AH90" s="12" t="n"/>
      <c r="AI90" s="12" t="n"/>
      <c r="AJ90" s="12" t="n"/>
      <c r="AK90" s="12" t="n"/>
      <c r="AL90" s="12" t="n"/>
      <c r="AM90" s="12" t="n"/>
      <c r="AN90" s="12" t="n"/>
      <c r="AO90" s="12" t="n"/>
      <c r="AP90" s="12" t="n"/>
      <c r="AQ90" s="12" t="n"/>
      <c r="AR90" s="12" t="n"/>
      <c r="AS90" s="12" t="n"/>
      <c r="AT90" s="12" t="n"/>
      <c r="AU90" s="12" t="n"/>
      <c r="AV90" s="12" t="n"/>
      <c r="AW90" s="12" t="n"/>
      <c r="AX90" s="12" t="n"/>
      <c r="AY90" s="12" t="n"/>
      <c r="AZ90" s="12" t="n"/>
      <c r="BA90" s="12" t="n"/>
      <c r="BB90" s="12" t="n"/>
      <c r="BC90" s="12" t="n"/>
      <c r="BD90" s="12" t="n"/>
      <c r="BE90" s="12" t="n"/>
      <c r="BF90" s="12" t="n"/>
      <c r="BG90" s="12" t="n"/>
      <c r="BH90" s="12" t="n"/>
      <c r="BI90" s="12" t="n"/>
      <c r="BJ90" s="12" t="n"/>
      <c r="BK90" s="12" t="n"/>
      <c r="BL90" s="12" t="n"/>
      <c r="BM90" s="12" t="n"/>
      <c r="BN90" s="12" t="n"/>
      <c r="BO90" s="12" t="n"/>
      <c r="BP90" s="12" t="n"/>
      <c r="BQ90" s="12" t="n"/>
      <c r="BR90" s="12" t="n"/>
      <c r="BS90" s="12" t="n"/>
      <c r="BT90" s="12" t="n"/>
      <c r="BU90" s="12" t="n"/>
      <c r="BV90" s="12" t="n"/>
      <c r="BW90" s="12" t="n"/>
      <c r="BX90" s="12" t="n"/>
      <c r="BY90" s="12" t="n"/>
      <c r="BZ90" s="12" t="n"/>
      <c r="CA90" s="12" t="n"/>
      <c r="CB90" s="12" t="n"/>
      <c r="CC90" s="12" t="n"/>
      <c r="CD90" s="12" t="n"/>
      <c r="CE90" s="12" t="n"/>
      <c r="CF90" s="12" t="n"/>
      <c r="CG90" s="12" t="n"/>
      <c r="CH90" s="12" t="n"/>
      <c r="CI90" s="12" t="n"/>
      <c r="CJ90" s="12" t="n"/>
      <c r="CK90" s="12" t="n"/>
      <c r="CL90" s="12" t="n"/>
      <c r="CM90" s="12" t="n"/>
      <c r="CN90" s="12" t="n"/>
      <c r="CO90" s="12" t="n"/>
      <c r="CP90" s="12" t="n"/>
      <c r="CQ90" s="12" t="n"/>
      <c r="CR90" s="12" t="n"/>
      <c r="CS90" s="12" t="n"/>
      <c r="CT90" s="12" t="n"/>
      <c r="CU90" s="12" t="n"/>
      <c r="CV90" s="12" t="n"/>
      <c r="CW90" s="12" t="n"/>
      <c r="CX90" s="12" t="n"/>
      <c r="CY90" s="12" t="n"/>
    </row>
    <row r="91" hidden="1" outlineLevel="1">
      <c r="C91" s="57" t="inlineStr">
        <is>
          <t>RECEITAS FINANCEIRAS - Descontos obtidos de fornecedores por antecipação</t>
        </is>
      </c>
      <c r="D91" s="12" t="n"/>
      <c r="E91" s="12" t="n"/>
      <c r="F91" s="12" t="n"/>
      <c r="G91" s="12" t="n"/>
      <c r="H91" s="12" t="n"/>
      <c r="I91" s="12" t="n"/>
      <c r="J91" s="12" t="n"/>
      <c r="K91" s="12" t="n"/>
      <c r="L91" s="12" t="n"/>
      <c r="M91" s="12" t="n"/>
      <c r="N91" s="12" t="n"/>
      <c r="O91" s="12" t="n"/>
      <c r="P91" s="12" t="n"/>
      <c r="Q91" s="12" t="n"/>
      <c r="R91" s="12" t="n"/>
      <c r="S91" s="12" t="n"/>
      <c r="T91" s="12" t="n"/>
      <c r="U91" s="12" t="n"/>
      <c r="V91" s="12" t="n"/>
      <c r="W91" s="12" t="n"/>
      <c r="X91" s="12" t="n"/>
      <c r="Y91" s="12" t="n"/>
      <c r="Z91" s="12" t="n"/>
      <c r="AA91" s="12" t="n"/>
      <c r="AB91" s="12" t="n"/>
      <c r="AC91" s="12" t="n"/>
      <c r="AD91" s="12" t="n"/>
      <c r="AE91" s="12" t="n"/>
      <c r="AF91" s="12" t="n"/>
      <c r="AG91" s="12" t="n"/>
      <c r="AH91" s="12" t="n"/>
      <c r="AI91" s="12" t="n"/>
      <c r="AJ91" s="12" t="n"/>
      <c r="AK91" s="12" t="n"/>
      <c r="AL91" s="12" t="n"/>
      <c r="AM91" s="12" t="n"/>
      <c r="AN91" s="12" t="n"/>
      <c r="AO91" s="12" t="n"/>
      <c r="AP91" s="12" t="n"/>
      <c r="AQ91" s="12" t="n"/>
      <c r="AR91" s="12" t="n"/>
      <c r="AS91" s="12" t="n"/>
      <c r="AT91" s="12" t="n"/>
      <c r="AU91" s="12" t="n"/>
      <c r="AV91" s="12" t="n"/>
      <c r="AW91" s="12" t="n"/>
      <c r="AX91" s="12" t="n"/>
      <c r="AY91" s="12" t="n"/>
      <c r="AZ91" s="12" t="n"/>
      <c r="BA91" s="12" t="n"/>
      <c r="BB91" s="12" t="n"/>
      <c r="BC91" s="12" t="n"/>
      <c r="BD91" s="12" t="n"/>
      <c r="BE91" s="12" t="n"/>
      <c r="BF91" s="12" t="n"/>
      <c r="BG91" s="12" t="n"/>
      <c r="BH91" s="12" t="n"/>
      <c r="BI91" s="12" t="n"/>
      <c r="BJ91" s="12" t="n"/>
      <c r="BK91" s="12" t="n"/>
      <c r="BL91" s="12" t="n"/>
      <c r="BM91" s="12" t="n"/>
      <c r="BN91" s="12" t="n"/>
      <c r="BO91" s="12" t="n"/>
      <c r="BP91" s="12" t="n"/>
      <c r="BQ91" s="12" t="n"/>
      <c r="BR91" s="12" t="n"/>
      <c r="BS91" s="12" t="n"/>
      <c r="BT91" s="12" t="n"/>
      <c r="BU91" s="12" t="n"/>
      <c r="BV91" s="12" t="n"/>
      <c r="BW91" s="12" t="n"/>
      <c r="BX91" s="12" t="n"/>
      <c r="BY91" s="12" t="n"/>
      <c r="BZ91" s="12" t="n"/>
      <c r="CA91" s="12" t="n"/>
      <c r="CB91" s="12" t="n"/>
      <c r="CC91" s="12" t="n"/>
      <c r="CD91" s="12" t="n"/>
      <c r="CE91" s="12" t="n"/>
      <c r="CF91" s="12" t="n"/>
      <c r="CG91" s="12" t="n"/>
      <c r="CH91" s="12" t="n"/>
      <c r="CI91" s="12" t="n"/>
      <c r="CJ91" s="12" t="n"/>
      <c r="CK91" s="12" t="n"/>
      <c r="CL91" s="12" t="n"/>
      <c r="CM91" s="12" t="n"/>
      <c r="CN91" s="12" t="n"/>
      <c r="CO91" s="12" t="n"/>
      <c r="CP91" s="12" t="n"/>
      <c r="CQ91" s="12" t="n"/>
      <c r="CR91" s="12" t="n"/>
      <c r="CS91" s="12" t="n"/>
      <c r="CT91" s="12" t="n"/>
      <c r="CU91" s="12" t="n"/>
      <c r="CV91" s="12" t="n"/>
      <c r="CW91" s="12" t="n"/>
      <c r="CX91" s="12" t="n"/>
      <c r="CY91" s="12" t="n"/>
    </row>
    <row r="92" hidden="1" outlineLevel="1">
      <c r="C92" s="57" t="inlineStr">
        <is>
          <t>RECEITAS FINANCEIRAS - Atualização monetária sobre Exclusão ICMS da base de PIS/COFINS (nota explicativa nº 7)</t>
        </is>
      </c>
      <c r="D92" s="12" t="n"/>
      <c r="E92" s="12" t="n"/>
      <c r="F92" s="12" t="n"/>
      <c r="G92" s="12" t="n"/>
      <c r="H92" s="12" t="n"/>
      <c r="I92" s="12" t="n"/>
      <c r="J92" s="12" t="n"/>
      <c r="K92" s="12" t="n"/>
      <c r="L92" s="12" t="n"/>
      <c r="M92" s="12" t="n"/>
      <c r="N92" s="12" t="n"/>
      <c r="O92" s="12" t="n"/>
      <c r="P92" s="12" t="n"/>
      <c r="Q92" s="12" t="n"/>
      <c r="R92" s="12" t="n"/>
      <c r="S92" s="12" t="n"/>
      <c r="T92" s="12" t="n"/>
      <c r="U92" s="12" t="n"/>
      <c r="V92" s="12" t="n"/>
      <c r="W92" s="12" t="n"/>
      <c r="X92" s="12" t="n"/>
      <c r="Y92" s="12" t="n"/>
      <c r="Z92" s="12" t="n"/>
      <c r="AA92" s="12" t="n"/>
      <c r="AB92" s="12" t="n"/>
      <c r="AC92" s="12" t="n"/>
      <c r="AD92" s="12" t="n"/>
      <c r="AE92" s="12" t="n"/>
      <c r="AF92" s="12" t="n"/>
      <c r="AG92" s="12" t="n"/>
      <c r="AH92" s="12" t="n"/>
      <c r="AI92" s="12" t="n"/>
      <c r="AJ92" s="12" t="n"/>
      <c r="AK92" s="12" t="n"/>
      <c r="AL92" s="12" t="n"/>
      <c r="AM92" s="12" t="n"/>
      <c r="AN92" s="12" t="n"/>
      <c r="AO92" s="12" t="n"/>
      <c r="AP92" s="12" t="n"/>
      <c r="AQ92" s="12" t="n"/>
      <c r="AR92" s="12" t="n"/>
      <c r="AS92" s="12" t="n"/>
      <c r="AT92" s="12" t="n"/>
      <c r="AU92" s="12" t="n"/>
      <c r="AV92" s="12" t="n"/>
      <c r="AW92" s="12" t="n"/>
      <c r="AX92" s="12" t="n"/>
      <c r="AY92" s="12" t="n"/>
      <c r="AZ92" s="12" t="n"/>
      <c r="BA92" s="12" t="n"/>
      <c r="BB92" s="12" t="n"/>
      <c r="BC92" s="12" t="n"/>
      <c r="BD92" s="12" t="n"/>
      <c r="BE92" s="12" t="n"/>
      <c r="BF92" s="12" t="n"/>
      <c r="BG92" s="12" t="n"/>
      <c r="BH92" s="12" t="n"/>
      <c r="BI92" s="12" t="n"/>
      <c r="BJ92" s="12" t="n"/>
      <c r="BK92" s="12" t="n"/>
      <c r="BL92" s="12" t="n"/>
      <c r="BM92" s="12" t="n"/>
      <c r="BN92" s="12" t="n"/>
      <c r="BO92" s="12" t="n"/>
      <c r="BP92" s="12" t="n"/>
      <c r="BQ92" s="12" t="n"/>
      <c r="BR92" s="12" t="n"/>
      <c r="BS92" s="12" t="n"/>
      <c r="BT92" s="12" t="n"/>
      <c r="BU92" s="12" t="n"/>
      <c r="BV92" s="12" t="n"/>
      <c r="BW92" s="12" t="n"/>
      <c r="BX92" s="12" t="n"/>
      <c r="BY92" s="12" t="n"/>
      <c r="BZ92" s="12" t="n"/>
      <c r="CA92" s="12" t="n"/>
      <c r="CB92" s="12" t="n"/>
      <c r="CC92" s="12" t="n"/>
      <c r="CD92" s="12" t="n"/>
      <c r="CE92" s="12" t="n"/>
      <c r="CF92" s="12" t="n"/>
      <c r="CG92" s="12" t="n"/>
      <c r="CH92" s="12" t="n"/>
      <c r="CI92" s="12" t="n"/>
      <c r="CJ92" s="12" t="n"/>
      <c r="CK92" s="12" t="n"/>
      <c r="CL92" s="12" t="n"/>
      <c r="CM92" s="12" t="n"/>
      <c r="CN92" s="12" t="n"/>
      <c r="CO92" s="12" t="n"/>
      <c r="CP92" s="12" t="n"/>
      <c r="CQ92" s="12" t="n"/>
      <c r="CR92" s="12" t="n"/>
      <c r="CS92" s="12" t="n"/>
      <c r="CT92" s="12" t="n"/>
      <c r="CU92" s="12" t="n"/>
      <c r="CV92" s="12" t="n"/>
      <c r="CW92" s="12" t="n"/>
      <c r="CX92" s="12" t="n"/>
      <c r="CY92" s="12" t="n"/>
    </row>
    <row r="93" hidden="1" outlineLevel="1">
      <c r="C93" s="57" t="inlineStr">
        <is>
          <t>RECEITAS FINANCEIRAS - Outras</t>
        </is>
      </c>
      <c r="D93" s="12" t="n"/>
      <c r="E93" s="12" t="n"/>
      <c r="F93" s="12" t="n"/>
      <c r="G93" s="12" t="n"/>
      <c r="H93" s="12" t="n"/>
      <c r="I93" s="12" t="n"/>
      <c r="J93" s="12" t="n"/>
      <c r="K93" s="12" t="n"/>
      <c r="L93" s="12" t="n"/>
      <c r="M93" s="12" t="n"/>
      <c r="N93" s="12" t="n"/>
      <c r="O93" s="12" t="n"/>
      <c r="P93" s="12" t="n"/>
      <c r="Q93" s="12" t="n"/>
      <c r="R93" s="12" t="n"/>
      <c r="S93" s="12" t="n"/>
      <c r="T93" s="12" t="n"/>
      <c r="U93" s="12" t="n"/>
      <c r="V93" s="12" t="n"/>
      <c r="W93" s="12" t="n"/>
      <c r="X93" s="12" t="n"/>
      <c r="Y93" s="12" t="n"/>
      <c r="Z93" s="12" t="n"/>
      <c r="AA93" s="12" t="n"/>
      <c r="AB93" s="12" t="n"/>
      <c r="AC93" s="12" t="n"/>
      <c r="AD93" s="12" t="n"/>
      <c r="AE93" s="12" t="n"/>
      <c r="AF93" s="12" t="n"/>
      <c r="AG93" s="12" t="n"/>
      <c r="AH93" s="12" t="n"/>
      <c r="AI93" s="12" t="n"/>
      <c r="AJ93" s="12" t="n"/>
      <c r="AK93" s="12" t="n"/>
      <c r="AL93" s="12" t="n"/>
      <c r="AM93" s="12" t="n"/>
      <c r="AN93" s="12" t="n"/>
      <c r="AO93" s="12" t="n"/>
      <c r="AP93" s="12" t="n"/>
      <c r="AQ93" s="12" t="n"/>
      <c r="AR93" s="12" t="n"/>
      <c r="AS93" s="12" t="n"/>
      <c r="AT93" s="12" t="n"/>
      <c r="AU93" s="12" t="n"/>
      <c r="AV93" s="12" t="n"/>
      <c r="AW93" s="12" t="n"/>
      <c r="AX93" s="12" t="n"/>
      <c r="AY93" s="12" t="n"/>
      <c r="AZ93" s="12" t="n"/>
      <c r="BA93" s="12" t="n"/>
      <c r="BB93" s="12" t="n"/>
      <c r="BC93" s="12" t="n"/>
      <c r="BD93" s="12" t="n"/>
      <c r="BE93" s="12" t="n"/>
      <c r="BF93" s="12" t="n"/>
      <c r="BG93" s="12" t="n"/>
      <c r="BH93" s="12" t="n"/>
      <c r="BI93" s="12" t="n"/>
      <c r="BJ93" s="12" t="n"/>
      <c r="BK93" s="12" t="n"/>
      <c r="BL93" s="12" t="n"/>
      <c r="BM93" s="12" t="n"/>
      <c r="BN93" s="12" t="n"/>
      <c r="BO93" s="12" t="n"/>
      <c r="BP93" s="12" t="n"/>
      <c r="BQ93" s="12" t="n"/>
      <c r="BR93" s="12" t="n"/>
      <c r="BS93" s="12" t="n"/>
      <c r="BT93" s="12" t="n"/>
      <c r="BU93" s="12" t="n"/>
      <c r="BV93" s="12" t="n"/>
      <c r="BW93" s="12" t="n"/>
      <c r="BX93" s="12" t="n"/>
      <c r="BY93" s="12" t="n"/>
      <c r="BZ93" s="12" t="n"/>
      <c r="CA93" s="12" t="n"/>
      <c r="CB93" s="12" t="n"/>
      <c r="CC93" s="12" t="n"/>
      <c r="CD93" s="12" t="n"/>
      <c r="CE93" s="12" t="n"/>
      <c r="CF93" s="12" t="n"/>
      <c r="CG93" s="12" t="n"/>
      <c r="CH93" s="12" t="n"/>
      <c r="CI93" s="12" t="n"/>
      <c r="CJ93" s="12" t="n"/>
      <c r="CK93" s="12" t="n"/>
      <c r="CL93" s="12" t="n"/>
      <c r="CM93" s="12" t="n"/>
      <c r="CN93" s="12" t="n"/>
      <c r="CO93" s="12" t="n"/>
      <c r="CP93" s="12" t="n"/>
      <c r="CQ93" s="12" t="n"/>
      <c r="CR93" s="12" t="n"/>
      <c r="CS93" s="12" t="n"/>
      <c r="CT93" s="12" t="n"/>
      <c r="CU93" s="12" t="n"/>
      <c r="CV93" s="12" t="n"/>
      <c r="CW93" s="12" t="n"/>
      <c r="CX93" s="12" t="n"/>
      <c r="CY93" s="12" t="n"/>
    </row>
    <row r="94" hidden="1" outlineLevel="1">
      <c r="C94" s="57" t="n"/>
      <c r="D94" s="12" t="n"/>
      <c r="E94" s="12" t="n"/>
      <c r="F94" s="12" t="n"/>
      <c r="G94" s="12" t="n"/>
      <c r="H94" s="12" t="n"/>
      <c r="I94" s="12" t="n"/>
      <c r="J94" s="12" t="n"/>
      <c r="K94" s="12" t="n"/>
      <c r="L94" s="12" t="n"/>
      <c r="M94" s="12" t="n"/>
      <c r="N94" s="12" t="n"/>
      <c r="O94" s="12" t="n"/>
      <c r="P94" s="12" t="n"/>
      <c r="Q94" s="12" t="n"/>
      <c r="R94" s="12" t="n"/>
      <c r="S94" s="12" t="n"/>
      <c r="T94" s="12" t="n"/>
      <c r="U94" s="12" t="n"/>
      <c r="V94" s="12" t="n"/>
      <c r="W94" s="12" t="n"/>
      <c r="X94" s="12" t="n"/>
      <c r="Y94" s="12" t="n"/>
      <c r="Z94" s="12" t="n"/>
      <c r="AA94" s="12" t="n"/>
      <c r="AB94" s="12" t="n"/>
      <c r="AC94" s="12" t="n"/>
      <c r="AD94" s="12" t="n"/>
      <c r="AE94" s="12" t="n"/>
      <c r="AF94" s="12" t="n"/>
      <c r="AG94" s="12" t="n"/>
      <c r="AH94" s="12" t="n"/>
      <c r="AI94" s="12" t="n"/>
      <c r="AJ94" s="12" t="n"/>
      <c r="AK94" s="12" t="n"/>
      <c r="AL94" s="12" t="n"/>
      <c r="AM94" s="12" t="n"/>
      <c r="AN94" s="12" t="n"/>
      <c r="AO94" s="12" t="n"/>
      <c r="AP94" s="12" t="n"/>
      <c r="AQ94" s="12" t="n"/>
      <c r="AR94" s="12" t="n"/>
      <c r="AS94" s="12" t="n"/>
      <c r="AT94" s="12" t="n"/>
      <c r="AU94" s="12" t="n"/>
      <c r="AV94" s="12" t="n"/>
      <c r="AW94" s="12" t="n"/>
      <c r="AX94" s="12" t="n"/>
      <c r="AY94" s="12" t="n"/>
      <c r="AZ94" s="12" t="n"/>
      <c r="BA94" s="12" t="n"/>
      <c r="BB94" s="12" t="n"/>
      <c r="BC94" s="12" t="n"/>
      <c r="BD94" s="12" t="n"/>
      <c r="BE94" s="12" t="n"/>
      <c r="BF94" s="12" t="n"/>
      <c r="BG94" s="12" t="n"/>
      <c r="BH94" s="12" t="n"/>
      <c r="BI94" s="12" t="n"/>
      <c r="BJ94" s="12" t="n"/>
      <c r="BK94" s="12" t="n"/>
      <c r="BL94" s="12" t="n"/>
      <c r="BM94" s="12" t="n"/>
      <c r="BN94" s="12" t="n"/>
      <c r="BO94" s="12" t="n"/>
      <c r="BP94" s="12" t="n"/>
      <c r="BQ94" s="12" t="n"/>
      <c r="BR94" s="12" t="n"/>
      <c r="BS94" s="12" t="n"/>
      <c r="BT94" s="12" t="n"/>
      <c r="BU94" s="12" t="n"/>
      <c r="BV94" s="12" t="n"/>
      <c r="BW94" s="12" t="n"/>
      <c r="BX94" s="12" t="n"/>
      <c r="BY94" s="12" t="n"/>
      <c r="BZ94" s="12" t="n"/>
      <c r="CA94" s="12" t="n"/>
      <c r="CB94" s="12" t="n"/>
      <c r="CC94" s="12" t="n"/>
      <c r="CD94" s="12" t="n"/>
      <c r="CE94" s="12" t="n"/>
      <c r="CF94" s="12" t="n"/>
      <c r="CG94" s="12" t="n"/>
      <c r="CH94" s="12" t="n"/>
      <c r="CI94" s="12" t="n"/>
      <c r="CJ94" s="12" t="n"/>
      <c r="CK94" s="12" t="n"/>
      <c r="CL94" s="12" t="n"/>
      <c r="CM94" s="12" t="n"/>
      <c r="CN94" s="12" t="n"/>
      <c r="CO94" s="12" t="n"/>
      <c r="CP94" s="12" t="n"/>
      <c r="CQ94" s="12" t="n"/>
      <c r="CR94" s="12" t="n"/>
      <c r="CS94" s="12" t="n"/>
      <c r="CT94" s="12" t="n"/>
      <c r="CU94" s="12" t="n"/>
      <c r="CV94" s="12" t="n"/>
      <c r="CW94" s="12" t="n"/>
      <c r="CX94" s="12" t="n"/>
      <c r="CY94" s="12" t="n"/>
    </row>
    <row r="95" hidden="1" outlineLevel="1">
      <c r="C95" s="57" t="inlineStr">
        <is>
          <t>DESPESAS FINANCEIRAS - Encargos sobre empréstimos, financiamentos e debêntures</t>
        </is>
      </c>
      <c r="D95" s="12" t="n"/>
      <c r="E95" s="12" t="n"/>
      <c r="F95" s="12" t="n"/>
      <c r="G95" s="12" t="n"/>
      <c r="H95" s="12" t="n"/>
      <c r="I95" s="12" t="n"/>
      <c r="J95" s="12" t="n"/>
      <c r="K95" s="12" t="n"/>
      <c r="L95" s="12" t="n"/>
      <c r="M95" s="12" t="n"/>
      <c r="N95" s="12" t="n"/>
      <c r="O95" s="12" t="n"/>
      <c r="P95" s="12" t="n"/>
      <c r="Q95" s="12" t="n"/>
      <c r="R95" s="12" t="n"/>
      <c r="S95" s="12" t="n"/>
      <c r="T95" s="12" t="n"/>
      <c r="U95" s="12" t="n"/>
      <c r="V95" s="12" t="n"/>
      <c r="W95" s="12" t="n"/>
      <c r="X95" s="12" t="n"/>
      <c r="Y95" s="12" t="n"/>
      <c r="Z95" s="12" t="n"/>
      <c r="AA95" s="12" t="n"/>
      <c r="AB95" s="12" t="n"/>
      <c r="AC95" s="12" t="n"/>
      <c r="AD95" s="12" t="n"/>
      <c r="AE95" s="12" t="n"/>
      <c r="AF95" s="12" t="n"/>
      <c r="AG95" s="12" t="n"/>
      <c r="AH95" s="12" t="n"/>
      <c r="AI95" s="12" t="n"/>
      <c r="AJ95" s="12" t="n"/>
      <c r="AK95" s="12" t="n"/>
      <c r="AL95" s="12" t="n"/>
      <c r="AM95" s="12" t="n"/>
      <c r="AN95" s="12" t="n"/>
      <c r="AO95" s="12" t="n"/>
      <c r="AP95" s="12" t="n"/>
      <c r="AQ95" s="12" t="n"/>
      <c r="AR95" s="12" t="n"/>
      <c r="AS95" s="12" t="n"/>
      <c r="AT95" s="12" t="n"/>
      <c r="AU95" s="12" t="n"/>
      <c r="AV95" s="12" t="n"/>
      <c r="AW95" s="12" t="n"/>
      <c r="AX95" s="12" t="n"/>
      <c r="AY95" s="12" t="n"/>
      <c r="AZ95" s="12" t="n"/>
      <c r="BA95" s="12" t="n"/>
      <c r="BB95" s="12" t="n"/>
      <c r="BC95" s="12" t="n"/>
      <c r="BD95" s="12" t="n"/>
      <c r="BE95" s="12" t="n"/>
      <c r="BF95" s="12" t="n"/>
      <c r="BG95" s="12" t="n"/>
      <c r="BH95" s="12" t="n"/>
      <c r="BI95" s="12" t="n"/>
      <c r="BJ95" s="12" t="n"/>
      <c r="BK95" s="12" t="n"/>
      <c r="BL95" s="12" t="n"/>
      <c r="BM95" s="12" t="n"/>
      <c r="BN95" s="12" t="n"/>
      <c r="BO95" s="12" t="n"/>
      <c r="BP95" s="12" t="n"/>
      <c r="BQ95" s="12" t="n"/>
      <c r="BR95" s="12" t="n"/>
      <c r="BS95" s="12" t="n"/>
      <c r="BT95" s="12" t="n"/>
      <c r="BU95" s="12" t="n"/>
      <c r="BV95" s="12" t="n"/>
      <c r="BW95" s="12" t="n"/>
      <c r="BX95" s="12" t="n"/>
      <c r="BY95" s="12" t="n"/>
      <c r="BZ95" s="12" t="n"/>
      <c r="CA95" s="12" t="n"/>
      <c r="CB95" s="12" t="n"/>
      <c r="CC95" s="12" t="n"/>
      <c r="CD95" s="12" t="n"/>
      <c r="CE95" s="12" t="n"/>
      <c r="CF95" s="12" t="n"/>
      <c r="CG95" s="12" t="n"/>
      <c r="CH95" s="12" t="n"/>
      <c r="CI95" s="12" t="n"/>
      <c r="CJ95" s="12" t="n"/>
      <c r="CK95" s="12" t="n"/>
      <c r="CL95" s="12" t="n"/>
      <c r="CM95" s="12" t="n"/>
      <c r="CN95" s="12" t="n"/>
      <c r="CO95" s="12" t="n"/>
      <c r="CP95" s="12" t="n"/>
      <c r="CQ95" s="12" t="n"/>
      <c r="CR95" s="12" t="n"/>
      <c r="CS95" s="12" t="n"/>
      <c r="CT95" s="12" t="n"/>
      <c r="CU95" s="12" t="n"/>
      <c r="CV95" s="12" t="n"/>
      <c r="CW95" s="12" t="n"/>
      <c r="CX95" s="12" t="n"/>
      <c r="CY95" s="12" t="n"/>
    </row>
    <row r="96" hidden="1" outlineLevel="1">
      <c r="C96" s="57" t="inlineStr">
        <is>
          <t>DESPESAS FINANCEIRAS - Variação cambial passiva</t>
        </is>
      </c>
      <c r="D96" s="12" t="n"/>
      <c r="E96" s="12" t="n"/>
      <c r="F96" s="12" t="n"/>
      <c r="G96" s="12" t="n"/>
      <c r="H96" s="12" t="n"/>
      <c r="I96" s="12" t="n"/>
      <c r="J96" s="12" t="n"/>
      <c r="K96" s="12" t="n"/>
      <c r="L96" s="12" t="n"/>
      <c r="M96" s="12" t="n"/>
      <c r="N96" s="12" t="n"/>
      <c r="O96" s="12" t="n"/>
      <c r="P96" s="12" t="n"/>
      <c r="Q96" s="12" t="n"/>
      <c r="R96" s="12" t="n"/>
      <c r="S96" s="12" t="n"/>
      <c r="T96" s="12" t="n"/>
      <c r="U96" s="12" t="n"/>
      <c r="V96" s="12" t="n"/>
      <c r="W96" s="12" t="n"/>
      <c r="X96" s="12" t="n"/>
      <c r="Y96" s="12" t="n"/>
      <c r="Z96" s="12" t="n"/>
      <c r="AA96" s="12" t="n"/>
      <c r="AB96" s="12" t="n"/>
      <c r="AC96" s="12" t="n"/>
      <c r="AD96" s="12" t="n"/>
      <c r="AE96" s="12" t="n"/>
      <c r="AF96" s="12" t="n"/>
      <c r="AG96" s="12" t="n"/>
      <c r="AH96" s="12" t="n"/>
      <c r="AI96" s="12" t="n"/>
      <c r="AJ96" s="12" t="n"/>
      <c r="AK96" s="12" t="n"/>
      <c r="AL96" s="12" t="n"/>
      <c r="AM96" s="12" t="n"/>
      <c r="AN96" s="12" t="n"/>
      <c r="AO96" s="12" t="n"/>
      <c r="AP96" s="12" t="n"/>
      <c r="AQ96" s="12" t="n"/>
      <c r="AR96" s="12" t="n"/>
      <c r="AS96" s="12" t="n"/>
      <c r="AT96" s="12" t="n"/>
      <c r="AU96" s="12" t="n"/>
      <c r="AV96" s="12" t="n"/>
      <c r="AW96" s="12" t="n"/>
      <c r="AX96" s="12" t="n"/>
      <c r="AY96" s="12" t="n"/>
      <c r="AZ96" s="12" t="n"/>
      <c r="BA96" s="12" t="n"/>
      <c r="BB96" s="12" t="n"/>
      <c r="BC96" s="12" t="n"/>
      <c r="BD96" s="12" t="n"/>
      <c r="BE96" s="12" t="n"/>
      <c r="BF96" s="12" t="n"/>
      <c r="BG96" s="12" t="n"/>
      <c r="BH96" s="12" t="n"/>
      <c r="BI96" s="12" t="n"/>
      <c r="BJ96" s="12" t="n"/>
      <c r="BK96" s="12" t="n"/>
      <c r="BL96" s="12" t="n"/>
      <c r="BM96" s="12" t="n"/>
      <c r="BN96" s="12" t="n"/>
      <c r="BO96" s="12" t="n"/>
      <c r="BP96" s="12" t="n"/>
      <c r="BQ96" s="12" t="n"/>
      <c r="BR96" s="12" t="n"/>
      <c r="BS96" s="12" t="n"/>
      <c r="BT96" s="12" t="n"/>
      <c r="BU96" s="12" t="n"/>
      <c r="BV96" s="12" t="n"/>
      <c r="BW96" s="12" t="n"/>
      <c r="BX96" s="12" t="n"/>
      <c r="BY96" s="12" t="n"/>
      <c r="BZ96" s="12" t="n"/>
      <c r="CA96" s="12" t="n"/>
      <c r="CB96" s="12" t="n"/>
      <c r="CC96" s="12" t="n"/>
      <c r="CD96" s="12" t="n"/>
      <c r="CE96" s="12" t="n"/>
      <c r="CF96" s="12" t="n"/>
      <c r="CG96" s="12" t="n"/>
      <c r="CH96" s="12" t="n"/>
      <c r="CI96" s="12" t="n"/>
      <c r="CJ96" s="12" t="n"/>
      <c r="CK96" s="12" t="n"/>
      <c r="CL96" s="12" t="n"/>
      <c r="CM96" s="12" t="n"/>
      <c r="CN96" s="12" t="n"/>
      <c r="CO96" s="12" t="n"/>
      <c r="CP96" s="12" t="n"/>
      <c r="CQ96" s="12" t="n"/>
      <c r="CR96" s="12" t="n"/>
      <c r="CS96" s="12" t="n"/>
      <c r="CT96" s="12" t="n"/>
      <c r="CU96" s="12" t="n"/>
      <c r="CV96" s="12" t="n"/>
      <c r="CW96" s="12" t="n"/>
      <c r="CX96" s="12" t="n"/>
      <c r="CY96" s="12" t="n"/>
    </row>
    <row r="97" hidden="1" outlineLevel="1">
      <c r="C97" s="57" t="inlineStr">
        <is>
          <t>DESPESAS FINANCEIRAS - Resultado negativo com instrumentos derivativos</t>
        </is>
      </c>
      <c r="D97" s="12" t="n"/>
      <c r="E97" s="12" t="n"/>
      <c r="F97" s="12" t="n"/>
      <c r="G97" s="12" t="n"/>
      <c r="H97" s="12" t="n"/>
      <c r="I97" s="12" t="n"/>
      <c r="J97" s="12" t="n"/>
      <c r="K97" s="12" t="n"/>
      <c r="L97" s="12" t="n"/>
      <c r="M97" s="12" t="n"/>
      <c r="N97" s="12" t="n"/>
      <c r="O97" s="12" t="n"/>
      <c r="P97" s="12" t="n"/>
      <c r="Q97" s="12" t="n"/>
      <c r="R97" s="12" t="n"/>
      <c r="S97" s="12" t="n"/>
      <c r="T97" s="12" t="n"/>
      <c r="U97" s="12" t="n"/>
      <c r="V97" s="12" t="n"/>
      <c r="W97" s="12" t="n"/>
      <c r="X97" s="12" t="n"/>
      <c r="Y97" s="12" t="n"/>
      <c r="Z97" s="12" t="n"/>
      <c r="AA97" s="12" t="n"/>
      <c r="AB97" s="12" t="n"/>
      <c r="AC97" s="12" t="n"/>
      <c r="AD97" s="12" t="n"/>
      <c r="AE97" s="12" t="n"/>
      <c r="AF97" s="12" t="n"/>
      <c r="AG97" s="12" t="n"/>
      <c r="AH97" s="12" t="n"/>
      <c r="AI97" s="12" t="n"/>
      <c r="AJ97" s="12" t="n"/>
      <c r="AK97" s="12" t="n"/>
      <c r="AL97" s="12" t="n"/>
      <c r="AM97" s="12" t="n"/>
      <c r="AN97" s="12" t="n"/>
      <c r="AO97" s="12" t="n"/>
      <c r="AP97" s="12" t="n"/>
      <c r="AQ97" s="12" t="n"/>
      <c r="AR97" s="12" t="n"/>
      <c r="AS97" s="12" t="n"/>
      <c r="AT97" s="12" t="n"/>
      <c r="AU97" s="12" t="n"/>
      <c r="AV97" s="12" t="n"/>
      <c r="AW97" s="12" t="n"/>
      <c r="AX97" s="12" t="n"/>
      <c r="AY97" s="12" t="n"/>
      <c r="AZ97" s="12" t="n"/>
      <c r="BA97" s="12" t="n"/>
      <c r="BB97" s="12" t="n"/>
      <c r="BC97" s="12" t="n"/>
      <c r="BD97" s="12" t="n"/>
      <c r="BE97" s="12" t="n"/>
      <c r="BF97" s="12" t="n"/>
      <c r="BG97" s="12" t="n"/>
      <c r="BH97" s="12" t="n"/>
      <c r="BI97" s="12" t="n"/>
      <c r="BJ97" s="12" t="n"/>
      <c r="BK97" s="12" t="n"/>
      <c r="BL97" s="12" t="n"/>
      <c r="BM97" s="12" t="n"/>
      <c r="BN97" s="12" t="n"/>
      <c r="BO97" s="12" t="n"/>
      <c r="BP97" s="12" t="n"/>
      <c r="BQ97" s="12" t="n"/>
      <c r="BR97" s="12" t="n"/>
      <c r="BS97" s="12" t="n"/>
      <c r="BT97" s="12" t="n"/>
      <c r="BU97" s="12" t="n"/>
      <c r="BV97" s="12" t="n"/>
      <c r="BW97" s="12" t="n"/>
      <c r="BX97" s="12" t="n"/>
      <c r="BY97" s="12" t="n"/>
      <c r="BZ97" s="12" t="n"/>
      <c r="CA97" s="12" t="n"/>
      <c r="CB97" s="12" t="n"/>
      <c r="CC97" s="12" t="n"/>
      <c r="CD97" s="12" t="n"/>
      <c r="CE97" s="12" t="n"/>
      <c r="CF97" s="12" t="n"/>
      <c r="CG97" s="12" t="n"/>
      <c r="CH97" s="12" t="n"/>
      <c r="CI97" s="12" t="n"/>
      <c r="CJ97" s="12" t="n"/>
      <c r="CK97" s="12" t="n"/>
      <c r="CL97" s="12" t="n"/>
      <c r="CM97" s="12" t="n"/>
      <c r="CN97" s="12" t="n"/>
      <c r="CO97" s="12" t="n"/>
      <c r="CP97" s="12" t="n"/>
      <c r="CQ97" s="12" t="n"/>
      <c r="CR97" s="12" t="n"/>
      <c r="CS97" s="12" t="n"/>
      <c r="CT97" s="12" t="n"/>
      <c r="CU97" s="12" t="n"/>
      <c r="CV97" s="12" t="n"/>
      <c r="CW97" s="12" t="n"/>
      <c r="CX97" s="12" t="n"/>
      <c r="CY97" s="12" t="n"/>
    </row>
    <row r="98" hidden="1" outlineLevel="1">
      <c r="C98" s="57" t="inlineStr">
        <is>
          <t>DESPESAS FINANCEIRAS - Juros sobre arrendamento - IFRS16</t>
        </is>
      </c>
      <c r="D98" s="12" t="n"/>
      <c r="E98" s="12" t="n"/>
      <c r="F98" s="12" t="n"/>
      <c r="G98" s="12" t="n"/>
      <c r="H98" s="12" t="n"/>
      <c r="I98" s="12" t="n"/>
      <c r="J98" s="12" t="n"/>
      <c r="K98" s="12" t="n"/>
      <c r="L98" s="12" t="n"/>
      <c r="M98" s="12" t="n"/>
      <c r="N98" s="12" t="n"/>
      <c r="O98" s="12" t="n"/>
      <c r="P98" s="12" t="n"/>
      <c r="Q98" s="12" t="n"/>
      <c r="R98" s="12" t="n"/>
      <c r="S98" s="12" t="n"/>
      <c r="T98" s="12" t="n"/>
      <c r="U98" s="12" t="n"/>
      <c r="V98" s="12" t="n"/>
      <c r="W98" s="12" t="n"/>
      <c r="X98" s="12" t="n"/>
      <c r="Y98" s="12" t="n"/>
      <c r="Z98" s="12" t="n"/>
      <c r="AA98" s="12" t="n"/>
      <c r="AB98" s="12" t="n"/>
      <c r="AC98" s="12" t="n"/>
      <c r="AD98" s="12" t="n"/>
      <c r="AE98" s="12" t="n"/>
      <c r="AF98" s="12" t="n"/>
      <c r="AG98" s="12" t="n"/>
      <c r="AH98" s="12" t="n"/>
      <c r="AI98" s="12" t="n"/>
      <c r="AJ98" s="12" t="n"/>
      <c r="AK98" s="12" t="n"/>
      <c r="AL98" s="12" t="n"/>
      <c r="AM98" s="12" t="n"/>
      <c r="AN98" s="12" t="n"/>
      <c r="AO98" s="12" t="n"/>
      <c r="AP98" s="12" t="n"/>
      <c r="AQ98" s="12" t="n"/>
      <c r="AR98" s="12" t="n"/>
      <c r="AS98" s="12" t="n"/>
      <c r="AT98" s="12" t="n"/>
      <c r="AU98" s="12" t="n"/>
      <c r="AV98" s="12" t="n"/>
      <c r="AW98" s="12" t="n"/>
      <c r="AX98" s="12" t="n"/>
      <c r="AY98" s="12" t="n"/>
      <c r="AZ98" s="12" t="n"/>
      <c r="BA98" s="12" t="n"/>
      <c r="BB98" s="12" t="n"/>
      <c r="BC98" s="12" t="n"/>
      <c r="BD98" s="12" t="n"/>
      <c r="BE98" s="12" t="n"/>
      <c r="BF98" s="12" t="n"/>
      <c r="BG98" s="12" t="n"/>
      <c r="BH98" s="12" t="n"/>
      <c r="BI98" s="12" t="n"/>
      <c r="BJ98" s="12" t="n"/>
      <c r="BK98" s="12" t="n"/>
      <c r="BL98" s="12" t="n"/>
      <c r="BM98" s="12" t="n"/>
      <c r="BN98" s="12" t="n"/>
      <c r="BO98" s="12" t="n"/>
      <c r="BP98" s="12" t="n"/>
      <c r="BQ98" s="12" t="n"/>
      <c r="BR98" s="12" t="n"/>
      <c r="BS98" s="12" t="n"/>
      <c r="BT98" s="12" t="n"/>
      <c r="BU98" s="12" t="n"/>
      <c r="BV98" s="12" t="n"/>
      <c r="BW98" s="12" t="n"/>
      <c r="BX98" s="12" t="n"/>
      <c r="BY98" s="12" t="n"/>
      <c r="BZ98" s="12" t="n"/>
      <c r="CA98" s="12" t="n"/>
      <c r="CB98" s="12" t="n"/>
      <c r="CC98" s="12" t="n"/>
      <c r="CD98" s="12" t="n"/>
      <c r="CE98" s="12" t="n"/>
      <c r="CF98" s="12" t="n"/>
      <c r="CG98" s="12" t="n"/>
      <c r="CH98" s="12" t="n"/>
      <c r="CI98" s="12" t="n"/>
      <c r="CJ98" s="12" t="n"/>
      <c r="CK98" s="12" t="n"/>
      <c r="CL98" s="12" t="n"/>
      <c r="CM98" s="12" t="n"/>
      <c r="CN98" s="12" t="n"/>
      <c r="CO98" s="12" t="n"/>
      <c r="CP98" s="12" t="n"/>
      <c r="CQ98" s="12" t="n"/>
      <c r="CR98" s="12" t="n"/>
      <c r="CS98" s="12" t="n"/>
      <c r="CT98" s="12" t="n"/>
      <c r="CU98" s="12" t="n"/>
      <c r="CV98" s="12" t="n"/>
      <c r="CW98" s="12" t="n"/>
      <c r="CX98" s="12" t="n"/>
      <c r="CY98" s="12" t="n"/>
    </row>
    <row r="99" hidden="1" outlineLevel="1">
      <c r="C99" s="57" t="inlineStr">
        <is>
          <t>DESPESAS FINANCEIRAS - Despesas bancárias</t>
        </is>
      </c>
      <c r="D99" s="12" t="n"/>
      <c r="E99" s="12" t="n"/>
      <c r="F99" s="12" t="n"/>
      <c r="G99" s="12" t="n"/>
      <c r="H99" s="12" t="n"/>
      <c r="I99" s="12" t="n"/>
      <c r="J99" s="12" t="n"/>
      <c r="K99" s="12" t="n"/>
      <c r="L99" s="12" t="n"/>
      <c r="M99" s="12" t="n"/>
      <c r="N99" s="12" t="n"/>
      <c r="O99" s="12" t="n"/>
      <c r="P99" s="12" t="n"/>
      <c r="Q99" s="12" t="n"/>
      <c r="R99" s="12" t="n"/>
      <c r="S99" s="12" t="n"/>
      <c r="T99" s="12" t="n"/>
      <c r="U99" s="12" t="n"/>
      <c r="V99" s="12" t="n"/>
      <c r="W99" s="12" t="n"/>
      <c r="X99" s="12" t="n"/>
      <c r="Y99" s="12" t="n"/>
      <c r="Z99" s="12" t="n"/>
      <c r="AA99" s="12" t="n"/>
      <c r="AB99" s="12" t="n"/>
      <c r="AC99" s="12" t="n"/>
      <c r="AD99" s="12" t="n"/>
      <c r="AE99" s="12" t="n"/>
      <c r="AF99" s="12" t="n"/>
      <c r="AG99" s="12" t="n"/>
      <c r="AH99" s="12" t="n"/>
      <c r="AI99" s="12" t="n"/>
      <c r="AJ99" s="12" t="n"/>
      <c r="AK99" s="12" t="n"/>
      <c r="AL99" s="12" t="n"/>
      <c r="AM99" s="12" t="n"/>
      <c r="AN99" s="12" t="n"/>
      <c r="AO99" s="12" t="n"/>
      <c r="AP99" s="12" t="n"/>
      <c r="AQ99" s="12" t="n"/>
      <c r="AR99" s="12" t="n"/>
      <c r="AS99" s="12" t="n"/>
      <c r="AT99" s="12" t="n"/>
      <c r="AU99" s="12" t="n"/>
      <c r="AV99" s="12" t="n"/>
      <c r="AW99" s="12" t="n"/>
      <c r="AX99" s="12" t="n"/>
      <c r="AY99" s="12" t="n"/>
      <c r="AZ99" s="12" t="n"/>
      <c r="BA99" s="12" t="n"/>
      <c r="BB99" s="12" t="n"/>
      <c r="BC99" s="12" t="n"/>
      <c r="BD99" s="12" t="n"/>
      <c r="BE99" s="12" t="n"/>
      <c r="BF99" s="12" t="n"/>
      <c r="BG99" s="12" t="n"/>
      <c r="BH99" s="12" t="n"/>
      <c r="BI99" s="12" t="n"/>
      <c r="BJ99" s="12" t="n"/>
      <c r="BK99" s="12" t="n"/>
      <c r="BL99" s="12" t="n"/>
      <c r="BM99" s="12" t="n"/>
      <c r="BN99" s="12" t="n"/>
      <c r="BO99" s="12" t="n"/>
      <c r="BP99" s="12" t="n"/>
      <c r="BQ99" s="12" t="n"/>
      <c r="BR99" s="12" t="n"/>
      <c r="BS99" s="12" t="n"/>
      <c r="BT99" s="12" t="n"/>
      <c r="BU99" s="12" t="n"/>
      <c r="BV99" s="12" t="n"/>
      <c r="BW99" s="12" t="n"/>
      <c r="BX99" s="12" t="n"/>
      <c r="BY99" s="12" t="n"/>
      <c r="BZ99" s="12" t="n"/>
      <c r="CA99" s="12" t="n"/>
      <c r="CB99" s="12" t="n"/>
      <c r="CC99" s="12" t="n"/>
      <c r="CD99" s="12" t="n"/>
      <c r="CE99" s="12" t="n"/>
      <c r="CF99" s="12" t="n"/>
      <c r="CG99" s="12" t="n"/>
      <c r="CH99" s="12" t="n"/>
      <c r="CI99" s="12" t="n"/>
      <c r="CJ99" s="12" t="n"/>
      <c r="CK99" s="12" t="n"/>
      <c r="CL99" s="12" t="n"/>
      <c r="CM99" s="12" t="n"/>
      <c r="CN99" s="12" t="n"/>
      <c r="CO99" s="12" t="n"/>
      <c r="CP99" s="12" t="n"/>
      <c r="CQ99" s="12" t="n"/>
      <c r="CR99" s="12" t="n"/>
      <c r="CS99" s="12" t="n"/>
      <c r="CT99" s="12" t="n"/>
      <c r="CU99" s="12" t="n"/>
      <c r="CV99" s="12" t="n"/>
      <c r="CW99" s="12" t="n"/>
      <c r="CX99" s="12" t="n"/>
      <c r="CY99" s="12" t="n"/>
    </row>
    <row r="100" hidden="1" outlineLevel="1">
      <c r="C100" s="57" t="inlineStr">
        <is>
          <t>DESPESAS FINANCEIRAS - Despesas com obtenção de empréstimos e financiamentos</t>
        </is>
      </c>
      <c r="D100" s="12" t="n"/>
      <c r="E100" s="12" t="n"/>
      <c r="F100" s="12" t="n"/>
      <c r="G100" s="12" t="n"/>
      <c r="H100" s="12" t="n"/>
      <c r="I100" s="12" t="n"/>
      <c r="J100" s="12" t="n"/>
      <c r="K100" s="12" t="n"/>
      <c r="L100" s="12" t="n"/>
      <c r="M100" s="12" t="n"/>
      <c r="N100" s="12" t="n"/>
      <c r="O100" s="12" t="n"/>
      <c r="P100" s="12" t="n"/>
      <c r="Q100" s="12" t="n"/>
      <c r="R100" s="12" t="n"/>
      <c r="S100" s="12" t="n"/>
      <c r="T100" s="12" t="n"/>
      <c r="U100" s="12" t="n"/>
      <c r="V100" s="12" t="n"/>
      <c r="W100" s="12" t="n"/>
      <c r="X100" s="12" t="n"/>
      <c r="Y100" s="12" t="n"/>
      <c r="Z100" s="12" t="n"/>
      <c r="AA100" s="12" t="n"/>
      <c r="AB100" s="12" t="n"/>
      <c r="AC100" s="12" t="n"/>
      <c r="AD100" s="12" t="n"/>
      <c r="AE100" s="12" t="n"/>
      <c r="AF100" s="12" t="n"/>
      <c r="AG100" s="12" t="n"/>
      <c r="AH100" s="12" t="n"/>
      <c r="AI100" s="12" t="n"/>
      <c r="AJ100" s="12" t="n"/>
      <c r="AK100" s="12" t="n"/>
      <c r="AL100" s="12" t="n"/>
      <c r="AM100" s="12" t="n"/>
      <c r="AN100" s="12" t="n"/>
      <c r="AO100" s="12" t="n"/>
      <c r="AP100" s="12" t="n"/>
      <c r="AQ100" s="12" t="n"/>
      <c r="AR100" s="12" t="n"/>
      <c r="AS100" s="12" t="n"/>
      <c r="AT100" s="12" t="n"/>
      <c r="AU100" s="12" t="n"/>
      <c r="AV100" s="12" t="n"/>
      <c r="AW100" s="12" t="n"/>
      <c r="AX100" s="12" t="n"/>
      <c r="AY100" s="12" t="n"/>
      <c r="AZ100" s="12" t="n"/>
      <c r="BA100" s="12" t="n"/>
      <c r="BB100" s="12" t="n"/>
      <c r="BC100" s="12" t="n"/>
      <c r="BD100" s="12" t="n"/>
      <c r="BE100" s="12" t="n"/>
      <c r="BF100" s="12" t="n"/>
      <c r="BG100" s="12" t="n"/>
      <c r="BH100" s="12" t="n"/>
      <c r="BI100" s="12" t="n"/>
      <c r="BJ100" s="12" t="n"/>
      <c r="BK100" s="12" t="n"/>
      <c r="BL100" s="12" t="n"/>
      <c r="BM100" s="12" t="n"/>
      <c r="BN100" s="12" t="n"/>
      <c r="BO100" s="12" t="n"/>
      <c r="BP100" s="12" t="n"/>
      <c r="BQ100" s="12" t="n"/>
      <c r="BR100" s="12" t="n"/>
      <c r="BS100" s="12" t="n"/>
      <c r="BT100" s="12" t="n"/>
      <c r="BU100" s="12" t="n"/>
      <c r="BV100" s="12" t="n"/>
      <c r="BW100" s="12" t="n"/>
      <c r="BX100" s="12" t="n"/>
      <c r="BY100" s="12" t="n"/>
      <c r="BZ100" s="12" t="n"/>
      <c r="CA100" s="12" t="n"/>
      <c r="CB100" s="12" t="n"/>
      <c r="CC100" s="12" t="n"/>
      <c r="CD100" s="12" t="n"/>
      <c r="CE100" s="12" t="n"/>
      <c r="CF100" s="12" t="n"/>
      <c r="CG100" s="12" t="n"/>
      <c r="CH100" s="12" t="n"/>
      <c r="CI100" s="12" t="n"/>
      <c r="CJ100" s="12" t="n"/>
      <c r="CK100" s="12" t="n"/>
      <c r="CL100" s="12" t="n"/>
      <c r="CM100" s="12" t="n"/>
      <c r="CN100" s="12" t="n"/>
      <c r="CO100" s="12" t="n"/>
      <c r="CP100" s="12" t="n"/>
      <c r="CQ100" s="12" t="n"/>
      <c r="CR100" s="12" t="n"/>
      <c r="CS100" s="12" t="n"/>
      <c r="CT100" s="12" t="n"/>
      <c r="CU100" s="12" t="n"/>
      <c r="CV100" s="12" t="n"/>
      <c r="CW100" s="12" t="n"/>
      <c r="CX100" s="12" t="n"/>
      <c r="CY100" s="12" t="n"/>
    </row>
    <row r="101" hidden="1" outlineLevel="1">
      <c r="C101" s="57" t="inlineStr">
        <is>
          <t>DESPESAS FINANCEIRAS - Atualização de contas a pagar por aquisição de empresas</t>
        </is>
      </c>
      <c r="D101" s="12" t="n"/>
      <c r="E101" s="12" t="n"/>
      <c r="F101" s="12" t="n"/>
      <c r="G101" s="12" t="n"/>
      <c r="H101" s="12" t="n"/>
      <c r="I101" s="12" t="n"/>
      <c r="J101" s="12" t="n"/>
      <c r="K101" s="12" t="n"/>
      <c r="L101" s="12" t="n"/>
      <c r="M101" s="12" t="n"/>
      <c r="N101" s="12" t="n"/>
      <c r="O101" s="12" t="n"/>
      <c r="P101" s="12" t="n"/>
      <c r="Q101" s="12" t="n"/>
      <c r="R101" s="12" t="n"/>
      <c r="S101" s="12" t="n"/>
      <c r="T101" s="12" t="n"/>
      <c r="U101" s="12" t="n"/>
      <c r="V101" s="12" t="n"/>
      <c r="W101" s="12" t="n"/>
      <c r="X101" s="12" t="n"/>
      <c r="Y101" s="12" t="n"/>
      <c r="Z101" s="12" t="n"/>
      <c r="AA101" s="12" t="n"/>
      <c r="AB101" s="12" t="n"/>
      <c r="AC101" s="12" t="n"/>
      <c r="AD101" s="12" t="n"/>
      <c r="AE101" s="12" t="n"/>
      <c r="AF101" s="12" t="n"/>
      <c r="AG101" s="12" t="n"/>
      <c r="AH101" s="12" t="n"/>
      <c r="AI101" s="12" t="n"/>
      <c r="AJ101" s="12" t="n"/>
      <c r="AK101" s="12" t="n"/>
      <c r="AL101" s="12" t="n"/>
      <c r="AM101" s="12" t="n"/>
      <c r="AN101" s="12" t="n"/>
      <c r="AO101" s="12" t="n"/>
      <c r="AP101" s="12" t="n"/>
      <c r="AQ101" s="12" t="n"/>
      <c r="AR101" s="12" t="n"/>
      <c r="AS101" s="12" t="n"/>
      <c r="AT101" s="12" t="n"/>
      <c r="AU101" s="12" t="n"/>
      <c r="AV101" s="12" t="n"/>
      <c r="AW101" s="12" t="n"/>
      <c r="AX101" s="12" t="n"/>
      <c r="AY101" s="12" t="n"/>
      <c r="AZ101" s="12" t="n"/>
      <c r="BA101" s="12" t="n"/>
      <c r="BB101" s="12" t="n"/>
      <c r="BC101" s="12" t="n"/>
      <c r="BD101" s="12" t="n"/>
      <c r="BE101" s="12" t="n"/>
      <c r="BF101" s="12" t="n"/>
      <c r="BG101" s="12" t="n"/>
      <c r="BH101" s="12" t="n"/>
      <c r="BI101" s="12" t="n"/>
      <c r="BJ101" s="12" t="n"/>
      <c r="BK101" s="12" t="n"/>
      <c r="BL101" s="12" t="n"/>
      <c r="BM101" s="12" t="n"/>
      <c r="BN101" s="12" t="n"/>
      <c r="BO101" s="12" t="n"/>
      <c r="BP101" s="12" t="n"/>
      <c r="BQ101" s="12" t="n"/>
      <c r="BR101" s="12" t="n"/>
      <c r="BS101" s="12" t="n"/>
      <c r="BT101" s="12" t="n"/>
      <c r="BU101" s="12" t="n"/>
      <c r="BV101" s="12" t="n"/>
      <c r="BW101" s="12" t="n"/>
      <c r="BX101" s="12" t="n"/>
      <c r="BY101" s="12" t="n"/>
      <c r="BZ101" s="12" t="n"/>
      <c r="CA101" s="12" t="n"/>
      <c r="CB101" s="12" t="n"/>
      <c r="CC101" s="12" t="n"/>
      <c r="CD101" s="12" t="n"/>
      <c r="CE101" s="12" t="n"/>
      <c r="CF101" s="12" t="n"/>
      <c r="CG101" s="12" t="n"/>
      <c r="CH101" s="12" t="n"/>
      <c r="CI101" s="12" t="n"/>
      <c r="CJ101" s="12" t="n"/>
      <c r="CK101" s="12" t="n"/>
      <c r="CL101" s="12" t="n"/>
      <c r="CM101" s="12" t="n"/>
      <c r="CN101" s="12" t="n"/>
      <c r="CO101" s="12" t="n"/>
      <c r="CP101" s="12" t="n"/>
      <c r="CQ101" s="12" t="n"/>
      <c r="CR101" s="12" t="n"/>
      <c r="CS101" s="12" t="n"/>
      <c r="CT101" s="12" t="n"/>
      <c r="CU101" s="12" t="n"/>
      <c r="CV101" s="12" t="n"/>
      <c r="CW101" s="12" t="n"/>
      <c r="CX101" s="12" t="n"/>
      <c r="CY101" s="12" t="n"/>
    </row>
    <row r="102" hidden="1" outlineLevel="1">
      <c r="C102" s="57" t="inlineStr">
        <is>
          <t>DESPESAS FINANCEIRAS - Outras</t>
        </is>
      </c>
      <c r="D102" s="12" t="n"/>
      <c r="E102" s="12" t="n"/>
      <c r="F102" s="12" t="n"/>
      <c r="G102" s="12" t="n"/>
      <c r="H102" s="12" t="n"/>
      <c r="I102" s="12" t="n"/>
      <c r="J102" s="12" t="n"/>
      <c r="K102" s="12" t="n"/>
      <c r="L102" s="12" t="n"/>
      <c r="M102" s="12" t="n"/>
      <c r="N102" s="12" t="n"/>
      <c r="O102" s="12" t="n"/>
      <c r="P102" s="12" t="n"/>
      <c r="Q102" s="12" t="n"/>
      <c r="R102" s="12" t="n"/>
      <c r="S102" s="12" t="n"/>
      <c r="T102" s="12" t="n"/>
      <c r="U102" s="12" t="n"/>
      <c r="V102" s="12" t="n"/>
      <c r="W102" s="12" t="n"/>
      <c r="X102" s="12" t="n"/>
      <c r="Y102" s="12" t="n"/>
      <c r="Z102" s="12" t="n"/>
      <c r="AA102" s="12" t="n"/>
      <c r="AB102" s="12" t="n"/>
      <c r="AC102" s="12" t="n"/>
      <c r="AD102" s="12" t="n"/>
      <c r="AE102" s="12" t="n"/>
      <c r="AF102" s="12" t="n"/>
      <c r="AG102" s="12" t="n"/>
      <c r="AH102" s="12" t="n"/>
      <c r="AI102" s="12" t="n"/>
      <c r="AJ102" s="12" t="n"/>
      <c r="AK102" s="12" t="n"/>
      <c r="AL102" s="12" t="n"/>
      <c r="AM102" s="12" t="n"/>
      <c r="AN102" s="12" t="n"/>
      <c r="AO102" s="12" t="n"/>
      <c r="AP102" s="12" t="n"/>
      <c r="AQ102" s="12" t="n"/>
      <c r="AR102" s="12" t="n"/>
      <c r="AS102" s="12" t="n"/>
      <c r="AT102" s="12" t="n"/>
      <c r="AU102" s="12" t="n"/>
      <c r="AV102" s="12" t="n"/>
      <c r="AW102" s="12" t="n"/>
      <c r="AX102" s="12" t="n"/>
      <c r="AY102" s="12" t="n"/>
      <c r="AZ102" s="12" t="n"/>
      <c r="BA102" s="12" t="n"/>
      <c r="BB102" s="12" t="n"/>
      <c r="BC102" s="12" t="n"/>
      <c r="BD102" s="12" t="n"/>
      <c r="BE102" s="12" t="n"/>
      <c r="BF102" s="12" t="n"/>
      <c r="BG102" s="12" t="n"/>
      <c r="BH102" s="12" t="n"/>
      <c r="BI102" s="12" t="n"/>
      <c r="BJ102" s="12" t="n"/>
      <c r="BK102" s="12" t="n"/>
      <c r="BL102" s="12" t="n"/>
      <c r="BM102" s="12" t="n"/>
      <c r="BN102" s="12" t="n"/>
      <c r="BO102" s="12" t="n"/>
      <c r="BP102" s="12" t="n"/>
      <c r="BQ102" s="12" t="n"/>
      <c r="BR102" s="12" t="n"/>
      <c r="BS102" s="12" t="n"/>
      <c r="BT102" s="12" t="n"/>
      <c r="BU102" s="12" t="n"/>
      <c r="BV102" s="12" t="n"/>
      <c r="BW102" s="12" t="n"/>
      <c r="BX102" s="12" t="n"/>
      <c r="BY102" s="12" t="n"/>
      <c r="BZ102" s="12" t="n"/>
      <c r="CA102" s="12" t="n"/>
      <c r="CB102" s="12" t="n"/>
      <c r="CC102" s="12" t="n"/>
      <c r="CD102" s="12" t="n"/>
      <c r="CE102" s="12" t="n"/>
      <c r="CF102" s="12" t="n"/>
      <c r="CG102" s="12" t="n"/>
      <c r="CH102" s="12" t="n"/>
      <c r="CI102" s="12" t="n"/>
      <c r="CJ102" s="12" t="n"/>
      <c r="CK102" s="12" t="n"/>
      <c r="CL102" s="12" t="n"/>
      <c r="CM102" s="12" t="n"/>
      <c r="CN102" s="12" t="n"/>
      <c r="CO102" s="12" t="n"/>
      <c r="CP102" s="12" t="n"/>
      <c r="CQ102" s="12" t="n"/>
      <c r="CR102" s="12" t="n"/>
      <c r="CS102" s="12" t="n"/>
      <c r="CT102" s="12" t="n"/>
      <c r="CU102" s="12" t="n"/>
      <c r="CV102" s="12" t="n"/>
      <c r="CW102" s="12" t="n"/>
      <c r="CX102" s="12" t="n"/>
      <c r="CY102" s="12" t="n"/>
    </row>
    <row r="103" hidden="1" outlineLevel="1">
      <c r="C103" s="57" t="n"/>
      <c r="D103" s="12" t="n"/>
      <c r="E103" s="12" t="n"/>
      <c r="F103" s="12" t="n"/>
      <c r="G103" s="12" t="n"/>
      <c r="H103" s="12" t="n"/>
      <c r="I103" s="12" t="n"/>
      <c r="J103" s="12" t="n"/>
      <c r="K103" s="12" t="n"/>
      <c r="L103" s="12" t="n"/>
      <c r="M103" s="12" t="n"/>
      <c r="N103" s="12" t="n"/>
      <c r="O103" s="12" t="n"/>
      <c r="P103" s="12" t="n"/>
      <c r="Q103" s="12" t="n"/>
      <c r="R103" s="12" t="n"/>
      <c r="S103" s="12" t="n"/>
      <c r="T103" s="12" t="n"/>
      <c r="U103" s="12" t="n"/>
      <c r="V103" s="12" t="n"/>
      <c r="W103" s="12" t="n"/>
      <c r="X103" s="12" t="n"/>
      <c r="Y103" s="12" t="n"/>
      <c r="Z103" s="12" t="n"/>
      <c r="AA103" s="12" t="n"/>
      <c r="AB103" s="12" t="n"/>
      <c r="AC103" s="12" t="n"/>
      <c r="AD103" s="12" t="n"/>
      <c r="AE103" s="12" t="n"/>
      <c r="AF103" s="12" t="n"/>
      <c r="AG103" s="12" t="n"/>
      <c r="AH103" s="12" t="n"/>
      <c r="AI103" s="12" t="n"/>
      <c r="AJ103" s="12" t="n"/>
      <c r="AK103" s="12" t="n"/>
      <c r="AL103" s="12" t="n"/>
      <c r="AM103" s="12" t="n"/>
      <c r="AN103" s="12" t="n"/>
      <c r="AO103" s="12" t="n"/>
      <c r="AP103" s="12" t="n"/>
      <c r="AQ103" s="12" t="n"/>
      <c r="AR103" s="12" t="n"/>
      <c r="AS103" s="12" t="n"/>
      <c r="AT103" s="12" t="n"/>
      <c r="AU103" s="12" t="n"/>
      <c r="AV103" s="12" t="n"/>
      <c r="AW103" s="12" t="n"/>
      <c r="AX103" s="12" t="n"/>
      <c r="AY103" s="12" t="n"/>
      <c r="AZ103" s="12" t="n"/>
      <c r="BA103" s="12" t="n"/>
      <c r="BB103" s="12" t="n"/>
      <c r="BC103" s="12" t="n"/>
      <c r="BD103" s="12" t="n"/>
      <c r="BE103" s="12" t="n"/>
      <c r="BF103" s="12" t="n"/>
      <c r="BG103" s="12" t="n"/>
      <c r="BH103" s="12" t="n"/>
      <c r="BI103" s="12" t="n"/>
      <c r="BJ103" s="12" t="n"/>
      <c r="BK103" s="12" t="n"/>
      <c r="BL103" s="12" t="n"/>
      <c r="BM103" s="12" t="n"/>
      <c r="BN103" s="12" t="n"/>
      <c r="BO103" s="12" t="n"/>
      <c r="BP103" s="12" t="n"/>
      <c r="BQ103" s="12" t="n"/>
      <c r="BR103" s="12" t="n"/>
      <c r="BS103" s="12" t="n"/>
      <c r="BT103" s="12" t="n"/>
      <c r="BU103" s="12" t="n"/>
      <c r="BV103" s="12" t="n"/>
      <c r="BW103" s="12" t="n"/>
      <c r="BX103" s="12" t="n"/>
      <c r="BY103" s="12" t="n"/>
      <c r="BZ103" s="12" t="n"/>
      <c r="CA103" s="12" t="n"/>
      <c r="CB103" s="12" t="n"/>
      <c r="CC103" s="12" t="n"/>
      <c r="CD103" s="12" t="n"/>
      <c r="CE103" s="12" t="n"/>
      <c r="CF103" s="12" t="n"/>
      <c r="CG103" s="12" t="n"/>
      <c r="CH103" s="12" t="n"/>
      <c r="CI103" s="12" t="n"/>
      <c r="CJ103" s="12" t="n"/>
      <c r="CK103" s="12" t="n"/>
      <c r="CL103" s="12" t="n"/>
      <c r="CM103" s="12" t="n"/>
      <c r="CN103" s="12" t="n"/>
      <c r="CO103" s="12" t="n"/>
      <c r="CP103" s="12" t="n"/>
      <c r="CQ103" s="12" t="n"/>
      <c r="CR103" s="12" t="n"/>
      <c r="CS103" s="12" t="n"/>
      <c r="CT103" s="12" t="n"/>
      <c r="CU103" s="12" t="n"/>
      <c r="CV103" s="12" t="n"/>
      <c r="CW103" s="12" t="n"/>
      <c r="CX103" s="12" t="n"/>
      <c r="CY103" s="12" t="n"/>
    </row>
    <row r="104" hidden="1" outlineLevel="1">
      <c r="C104" s="57" t="inlineStr">
        <is>
          <t>CHECK [EX IFRS-16]</t>
        </is>
      </c>
      <c r="D104" s="12" t="n"/>
      <c r="E104" s="12" t="n"/>
      <c r="F104" s="12" t="n"/>
      <c r="G104" s="12" t="n"/>
      <c r="H104" s="12" t="n"/>
      <c r="I104" s="12" t="n"/>
      <c r="J104" s="12" t="n"/>
      <c r="K104" s="12" t="n"/>
      <c r="L104" s="12" t="n"/>
      <c r="M104" s="12" t="n"/>
      <c r="N104" s="12" t="n"/>
      <c r="O104" s="12" t="n"/>
      <c r="P104" s="12" t="n"/>
      <c r="Q104" s="12" t="n"/>
      <c r="R104" s="12" t="n"/>
      <c r="S104" s="12" t="n"/>
      <c r="T104" s="12" t="n"/>
      <c r="U104" s="12" t="n"/>
      <c r="V104" s="12" t="n"/>
      <c r="W104" s="12" t="n"/>
      <c r="X104" s="12" t="n"/>
      <c r="Y104" s="12" t="n"/>
      <c r="Z104" s="12" t="n"/>
      <c r="AA104" s="12" t="n"/>
      <c r="AB104" s="12" t="n"/>
      <c r="AC104" s="12" t="n"/>
      <c r="AD104" s="12" t="n"/>
      <c r="AE104" s="12" t="n"/>
      <c r="AF104" s="12" t="n"/>
      <c r="AG104" s="12" t="n"/>
      <c r="AH104" s="12" t="n"/>
      <c r="AI104" s="12" t="n"/>
      <c r="AJ104" s="12" t="n"/>
      <c r="AK104" s="12" t="n"/>
      <c r="AL104" s="12" t="n"/>
      <c r="AM104" s="12" t="n"/>
      <c r="AN104" s="12" t="n"/>
      <c r="AO104" s="12" t="n"/>
      <c r="AP104" s="12" t="n"/>
      <c r="AQ104" s="12" t="n"/>
      <c r="AR104" s="12" t="n"/>
      <c r="AS104" s="12" t="n"/>
      <c r="AT104" s="12" t="n"/>
      <c r="AU104" s="12" t="n"/>
      <c r="AV104" s="12" t="n"/>
      <c r="AW104" s="12" t="n"/>
      <c r="AX104" s="12" t="n"/>
      <c r="AY104" s="12" t="n"/>
      <c r="AZ104" s="12" t="n"/>
      <c r="BA104" s="12" t="n"/>
      <c r="BB104" s="12" t="n"/>
      <c r="BC104" s="12" t="n"/>
      <c r="BD104" s="12" t="n"/>
      <c r="BE104" s="12" t="n"/>
      <c r="BF104" s="12" t="n"/>
      <c r="BG104" s="12" t="n"/>
      <c r="BH104" s="12" t="n"/>
      <c r="BI104" s="12" t="n"/>
      <c r="BJ104" s="12" t="n"/>
      <c r="BK104" s="12" t="n"/>
      <c r="BL104" s="12" t="n"/>
      <c r="BM104" s="12" t="n"/>
      <c r="BN104" s="12" t="n"/>
      <c r="BO104" s="12" t="n"/>
      <c r="BP104" s="12" t="n"/>
      <c r="BQ104" s="12" t="n"/>
      <c r="BR104" s="12" t="n"/>
      <c r="BS104" s="12" t="n"/>
      <c r="BT104" s="12" t="n"/>
      <c r="BU104" s="12" t="n"/>
      <c r="BV104" s="12" t="n"/>
      <c r="BW104" s="12" t="n"/>
      <c r="BX104" s="12" t="n"/>
      <c r="BY104" s="12" t="n"/>
      <c r="BZ104" s="12" t="n"/>
      <c r="CA104" s="12" t="n"/>
      <c r="CB104" s="12" t="n"/>
      <c r="CC104" s="12" t="n"/>
      <c r="CD104" s="12" t="n"/>
      <c r="CE104" s="12" t="n"/>
      <c r="CF104" s="12" t="n"/>
      <c r="CG104" s="12" t="n"/>
      <c r="CH104" s="12" t="n"/>
      <c r="CI104" s="12" t="n"/>
      <c r="CJ104" s="12" t="n"/>
      <c r="CK104" s="12" t="n"/>
      <c r="CL104" s="12" t="n"/>
      <c r="CM104" s="12" t="n"/>
      <c r="CN104" s="12" t="n"/>
      <c r="CO104" s="12" t="n"/>
      <c r="CP104" s="12" t="n"/>
      <c r="CQ104" s="12" t="n"/>
      <c r="CR104" s="12" t="n"/>
      <c r="CS104" s="12" t="n"/>
      <c r="CT104" s="12" t="n"/>
      <c r="CU104" s="12" t="n"/>
      <c r="CV104" s="12" t="n"/>
      <c r="CW104" s="12" t="n"/>
      <c r="CX104" s="12" t="n"/>
      <c r="CY104" s="12" t="n"/>
    </row>
    <row r="105" hidden="1" outlineLevel="1">
      <c r="C105" s="57" t="n"/>
      <c r="D105" s="12" t="n"/>
      <c r="E105" s="12" t="n"/>
      <c r="F105" s="12" t="n"/>
      <c r="G105" s="12" t="n"/>
      <c r="H105" s="12" t="n"/>
      <c r="I105" s="12" t="n"/>
      <c r="J105" s="12" t="n"/>
      <c r="K105" s="12" t="n"/>
      <c r="L105" s="12" t="n"/>
      <c r="M105" s="12" t="n"/>
      <c r="N105" s="12" t="n"/>
      <c r="O105" s="12" t="n"/>
      <c r="P105" s="12" t="n"/>
      <c r="Q105" s="12" t="n"/>
      <c r="R105" s="12" t="n"/>
      <c r="S105" s="12" t="n"/>
      <c r="T105" s="12" t="n"/>
      <c r="U105" s="12" t="n"/>
      <c r="V105" s="12" t="n"/>
      <c r="W105" s="12" t="n"/>
      <c r="X105" s="12" t="n"/>
      <c r="Y105" s="12" t="n"/>
      <c r="Z105" s="12" t="n"/>
      <c r="AA105" s="12" t="n"/>
      <c r="AB105" s="12" t="n"/>
      <c r="AC105" s="12" t="n"/>
      <c r="AD105" s="12" t="n"/>
      <c r="AE105" s="12" t="n"/>
      <c r="AF105" s="12" t="n"/>
      <c r="AG105" s="12" t="n"/>
      <c r="AH105" s="12" t="n"/>
      <c r="AI105" s="12" t="n"/>
      <c r="AJ105" s="12" t="n"/>
      <c r="AK105" s="12" t="n"/>
      <c r="AL105" s="12" t="n"/>
      <c r="AM105" s="12" t="n"/>
      <c r="AN105" s="12" t="n"/>
      <c r="AO105" s="12" t="n"/>
      <c r="AP105" s="12" t="n"/>
      <c r="AQ105" s="12" t="n"/>
      <c r="AR105" s="12" t="n"/>
      <c r="AS105" s="12" t="n"/>
      <c r="AT105" s="12" t="n"/>
      <c r="AU105" s="12" t="n"/>
      <c r="AV105" s="12" t="n"/>
      <c r="AW105" s="12" t="n"/>
      <c r="AX105" s="12" t="n"/>
      <c r="AY105" s="12" t="n"/>
      <c r="AZ105" s="12" t="n"/>
      <c r="BA105" s="12" t="n"/>
      <c r="BB105" s="12" t="n"/>
      <c r="BC105" s="12" t="n"/>
      <c r="BD105" s="12" t="n"/>
      <c r="BE105" s="12" t="n"/>
      <c r="BF105" s="12" t="n"/>
      <c r="BG105" s="12" t="n"/>
      <c r="BH105" s="12" t="n"/>
      <c r="BI105" s="12" t="n"/>
      <c r="BJ105" s="12" t="n"/>
      <c r="BK105" s="12" t="n"/>
      <c r="BL105" s="12" t="n"/>
      <c r="BM105" s="12" t="n"/>
      <c r="BN105" s="12" t="n"/>
      <c r="BO105" s="12" t="n"/>
      <c r="BP105" s="12" t="n"/>
      <c r="BQ105" s="12" t="n"/>
      <c r="BR105" s="12" t="n"/>
      <c r="BS105" s="12" t="n"/>
      <c r="BT105" s="12" t="n"/>
      <c r="BU105" s="12" t="n"/>
      <c r="BV105" s="12" t="n"/>
      <c r="BW105" s="12" t="n"/>
      <c r="BX105" s="12" t="n"/>
      <c r="BY105" s="12" t="n"/>
      <c r="BZ105" s="12" t="n"/>
      <c r="CA105" s="12" t="n"/>
      <c r="CB105" s="12" t="n"/>
      <c r="CC105" s="12" t="n"/>
      <c r="CD105" s="12" t="n"/>
      <c r="CE105" s="12" t="n"/>
      <c r="CF105" s="12" t="n"/>
      <c r="CG105" s="12" t="n"/>
      <c r="CH105" s="12" t="n"/>
      <c r="CI105" s="12" t="n"/>
      <c r="CJ105" s="12" t="n"/>
      <c r="CK105" s="12" t="n"/>
      <c r="CL105" s="12" t="n"/>
      <c r="CM105" s="12" t="n"/>
      <c r="CN105" s="12" t="n"/>
      <c r="CO105" s="12" t="n"/>
      <c r="CP105" s="12" t="n"/>
      <c r="CQ105" s="12" t="n"/>
      <c r="CR105" s="12" t="n"/>
      <c r="CS105" s="12" t="n"/>
      <c r="CT105" s="12" t="n"/>
      <c r="CU105" s="12" t="n"/>
      <c r="CV105" s="12" t="n"/>
      <c r="CW105" s="12" t="n"/>
      <c r="CX105" s="12" t="n"/>
      <c r="CY105" s="12" t="n"/>
    </row>
    <row r="106" collapsed="1">
      <c r="C106" s="14" t="inlineStr">
        <is>
          <t>Nonoperating Income / (Loss)</t>
        </is>
      </c>
      <c r="D106" s="46" t="n"/>
      <c r="E106" s="46" t="n"/>
      <c r="F106" s="46" t="n"/>
      <c r="G106" s="46" t="n"/>
      <c r="H106" s="12" t="n"/>
      <c r="I106" s="46">
        <f>'Inputs (2)'!D9</f>
        <v>100</v>
      </c>
      <c r="J106" s="46">
        <f>'Inputs (2)'!E9</f>
        <v>243</v>
      </c>
      <c r="K106" s="46">
        <f>'Inputs (2)'!F9</f>
        <v>209</v>
      </c>
      <c r="L106" s="46">
        <f>'Inputs (2)'!G9</f>
        <v>104</v>
      </c>
      <c r="M106" s="12">
        <f>'Inputs (2)'!H9</f>
        <v>656</v>
      </c>
      <c r="N106" s="46">
        <f>'Inputs (2)'!I9</f>
        <v>-67</v>
      </c>
      <c r="O106" s="46">
        <f>'Inputs (2)'!J9</f>
        <v>-106</v>
      </c>
      <c r="P106" s="46">
        <f>'Inputs (2)'!K9</f>
        <v>80</v>
      </c>
      <c r="Q106" s="46">
        <f>'Inputs (2)'!L9</f>
        <v>32</v>
      </c>
      <c r="R106" s="12">
        <f>'Inputs (2)'!M9</f>
        <v>-61</v>
      </c>
      <c r="S106" s="46">
        <f>'Inputs (2)'!N9</f>
        <v>-151</v>
      </c>
      <c r="T106" s="46">
        <f>'Inputs (2)'!O9</f>
        <v>192</v>
      </c>
      <c r="U106" s="46">
        <f>'Inputs (2)'!P9</f>
        <v>68</v>
      </c>
      <c r="V106" s="46">
        <f>'Inputs (2)'!Q9</f>
        <v>97</v>
      </c>
      <c r="W106" s="12">
        <f>'Inputs (2)'!R9</f>
        <v>206</v>
      </c>
      <c r="X106" s="46">
        <f>'Inputs (2)'!S9</f>
        <v>104</v>
      </c>
      <c r="Y106" s="46">
        <f>'Inputs (2)'!T9</f>
        <v>56</v>
      </c>
      <c r="Z106" s="46">
        <f>'Inputs (2)'!U9</f>
        <v>21</v>
      </c>
      <c r="AA106" s="46">
        <f>'Inputs (2)'!V9</f>
        <v>137</v>
      </c>
      <c r="AB106" s="12">
        <f>'Inputs (2)'!W9</f>
        <v>318</v>
      </c>
      <c r="AC106" s="46">
        <f>'Inputs (2)'!X9</f>
        <v>64</v>
      </c>
      <c r="AD106" s="46">
        <f>'Inputs (2)'!Y9</f>
        <v>90</v>
      </c>
      <c r="AE106" s="46">
        <f>'Inputs (2)'!Z9</f>
        <v>124</v>
      </c>
      <c r="AF106" s="46">
        <f>'Inputs (2)'!AA9</f>
        <v>125</v>
      </c>
      <c r="AG106" s="12">
        <f>'Inputs (2)'!AB9</f>
        <v>403</v>
      </c>
      <c r="AH106" s="12">
        <f>'Inputs (2)'!AC9</f>
        <v>90</v>
      </c>
      <c r="AI106" s="12">
        <f>'Inputs (2)'!AD9</f>
        <v>117</v>
      </c>
      <c r="AJ106" s="12">
        <f>AJ15*Control!$B$23</f>
        <v>120.48395677104</v>
      </c>
      <c r="AK106" s="12">
        <f>AK15*Control!$B$23</f>
        <v>123.341283809089</v>
      </c>
      <c r="AL106" s="12">
        <f>SUM(AH106:AK106)</f>
        <v>450.825240580129</v>
      </c>
      <c r="AM106" s="12">
        <f>AM15*Control!$C$23</f>
        <v>117.626629732992</v>
      </c>
      <c r="AN106" s="12">
        <f>AN15*Control!$C$23</f>
        <v>129.938347705759</v>
      </c>
      <c r="AO106" s="12">
        <f>AO15*Control!$C$23</f>
        <v>139.613705320029</v>
      </c>
      <c r="AP106" s="12">
        <f>AP15*Control!$C$23</f>
        <v>142.924702284141</v>
      </c>
      <c r="AQ106" s="12">
        <f>SUM(AM106:AP106)</f>
        <v>530.103385042921</v>
      </c>
      <c r="AR106" s="12">
        <f>AR15*Control!$D$23</f>
        <v>135.714575207253</v>
      </c>
      <c r="AS106" s="12">
        <f>AS15*Control!$D$23</f>
        <v>149.919518242163</v>
      </c>
      <c r="AT106" s="12">
        <f>AT15*Control!$D$23</f>
        <v>161.082696610697</v>
      </c>
      <c r="AU106" s="12">
        <f>AU15*Control!$D$23</f>
        <v>164.902839613323</v>
      </c>
      <c r="AV106" s="12">
        <f>SUM(AR106:AU106)</f>
        <v>611.619629673436</v>
      </c>
      <c r="AW106" s="12">
        <f>AW15*Control!$E$23</f>
        <v>155.905407856</v>
      </c>
      <c r="AX106" s="12">
        <f>AX15*Control!$E$23</f>
        <v>172.22368048108</v>
      </c>
      <c r="AY106" s="12">
        <f>AY15*Control!$E$23</f>
        <v>185.047652216303</v>
      </c>
      <c r="AZ106" s="12">
        <f>AZ15*Control!$E$23</f>
        <v>189.436134087045</v>
      </c>
      <c r="BA106" s="12">
        <f>SUM(AW106:AZ106)</f>
        <v>702.612874640428</v>
      </c>
      <c r="BB106" s="12">
        <f>BB15*Control!$F$23</f>
        <v>178.320589227721</v>
      </c>
      <c r="BC106" s="12">
        <f>BC15*Control!$F$23</f>
        <v>196.985009081396</v>
      </c>
      <c r="BD106" s="12">
        <f>BD15*Control!$F$23</f>
        <v>211.65273759391</v>
      </c>
      <c r="BE106" s="12">
        <f>BE15*Control!$F$23</f>
        <v>216.672170106019</v>
      </c>
      <c r="BF106" s="12">
        <f>SUM(BB106:BE106)</f>
        <v>803.630506009046</v>
      </c>
      <c r="BG106" s="12" t="n"/>
      <c r="BH106" s="12" t="n"/>
      <c r="BI106" s="12" t="n"/>
      <c r="BJ106" s="12" t="n"/>
      <c r="BK106" s="12" t="n"/>
      <c r="BL106" s="12" t="n"/>
      <c r="BM106" s="12" t="n"/>
      <c r="BN106" s="12" t="n"/>
      <c r="BO106" s="12" t="n"/>
      <c r="BP106" s="12" t="n"/>
      <c r="BQ106" s="12" t="n"/>
      <c r="BR106" s="12" t="n"/>
      <c r="BS106" s="12" t="n"/>
      <c r="BT106" s="12" t="n"/>
      <c r="BU106" s="12" t="n"/>
      <c r="BV106" s="12" t="n"/>
      <c r="BW106" s="12" t="n"/>
      <c r="BX106" s="12" t="n"/>
      <c r="BY106" s="12" t="n"/>
      <c r="BZ106" s="12" t="n"/>
      <c r="CA106" s="12" t="n"/>
      <c r="CB106" s="12" t="n"/>
      <c r="CC106" s="12" t="n"/>
      <c r="CD106" s="12" t="n"/>
      <c r="CE106" s="12" t="n"/>
      <c r="CF106" s="12" t="n"/>
      <c r="CG106" s="12" t="n"/>
      <c r="CH106" s="12" t="n"/>
      <c r="CI106" s="12" t="n"/>
      <c r="CJ106" s="12" t="n"/>
      <c r="CK106" s="12" t="n"/>
      <c r="CL106" s="12" t="n"/>
      <c r="CM106" s="12" t="n"/>
      <c r="CN106" s="12" t="n"/>
      <c r="CO106" s="12" t="n"/>
      <c r="CP106" s="12" t="n"/>
      <c r="CQ106" s="12" t="n"/>
      <c r="CR106" s="12" t="n"/>
      <c r="CS106" s="12" t="n"/>
      <c r="CT106" s="12" t="n"/>
      <c r="CU106" s="12" t="n"/>
      <c r="CV106" s="12" t="n"/>
      <c r="CW106" s="12" t="n"/>
      <c r="CX106" s="12" t="n"/>
      <c r="CY106" s="12" t="n"/>
    </row>
    <row r="107" hidden="1" outlineLevel="1">
      <c r="C107" s="57" t="n"/>
      <c r="D107" s="12" t="n"/>
      <c r="E107" s="12" t="n"/>
      <c r="F107" s="12" t="n"/>
      <c r="G107" s="12" t="n"/>
      <c r="H107" s="12" t="n"/>
      <c r="I107" s="12" t="n"/>
      <c r="J107" s="12" t="n"/>
      <c r="K107" s="12" t="n"/>
      <c r="L107" s="12" t="n"/>
      <c r="M107" s="12" t="n"/>
      <c r="N107" s="12" t="n"/>
      <c r="O107" s="12" t="n"/>
      <c r="P107" s="12" t="n"/>
      <c r="Q107" s="12" t="n"/>
      <c r="R107" s="12" t="n"/>
      <c r="S107" s="12" t="n"/>
      <c r="T107" s="12" t="n"/>
      <c r="U107" s="12" t="n"/>
      <c r="V107" s="12" t="n"/>
      <c r="W107" s="12" t="n"/>
      <c r="X107" s="12" t="n"/>
      <c r="Y107" s="12" t="n"/>
      <c r="Z107" s="12" t="n"/>
      <c r="AA107" s="12" t="n"/>
      <c r="AB107" s="12" t="n"/>
      <c r="AC107" s="12" t="n"/>
      <c r="AD107" s="12" t="n"/>
      <c r="AE107" s="12" t="n"/>
      <c r="AF107" s="12" t="n"/>
      <c r="AG107" s="12" t="n"/>
      <c r="AH107" s="12" t="n"/>
      <c r="AI107" s="12" t="n"/>
      <c r="AJ107" s="12" t="n"/>
      <c r="AK107" s="12" t="n"/>
      <c r="AL107" s="12" t="n"/>
      <c r="AM107" s="12" t="n"/>
      <c r="AN107" s="12" t="n"/>
      <c r="AO107" s="12" t="n"/>
      <c r="AP107" s="12" t="n"/>
      <c r="AQ107" s="12" t="n"/>
      <c r="AR107" s="12" t="n"/>
      <c r="AS107" s="12" t="n"/>
      <c r="AT107" s="12" t="n"/>
      <c r="AU107" s="12" t="n"/>
      <c r="AV107" s="12" t="n"/>
      <c r="AW107" s="12" t="n"/>
      <c r="AX107" s="12" t="n"/>
      <c r="AY107" s="12" t="n"/>
      <c r="AZ107" s="12" t="n"/>
      <c r="BA107" s="12" t="n"/>
      <c r="BB107" s="12" t="n"/>
      <c r="BC107" s="12" t="n"/>
      <c r="BD107" s="12" t="n"/>
      <c r="BE107" s="12" t="n"/>
      <c r="BF107" s="12" t="n"/>
      <c r="BG107" s="12" t="n"/>
      <c r="BH107" s="12" t="n"/>
      <c r="BI107" s="12" t="n"/>
      <c r="BJ107" s="12" t="n"/>
      <c r="BK107" s="12" t="n"/>
      <c r="BL107" s="12" t="n"/>
      <c r="BM107" s="12" t="n"/>
      <c r="BN107" s="12" t="n"/>
      <c r="BO107" s="12" t="n"/>
      <c r="BP107" s="12" t="n"/>
      <c r="BQ107" s="12" t="n"/>
      <c r="BR107" s="12" t="n"/>
      <c r="BS107" s="12" t="n"/>
      <c r="BT107" s="12" t="n"/>
      <c r="BU107" s="12" t="n"/>
      <c r="BV107" s="12" t="n"/>
      <c r="BW107" s="12" t="n"/>
      <c r="BX107" s="12" t="n"/>
      <c r="BY107" s="12" t="n"/>
      <c r="BZ107" s="12" t="n"/>
      <c r="CA107" s="12" t="n"/>
      <c r="CB107" s="12" t="n"/>
      <c r="CC107" s="12" t="n"/>
      <c r="CD107" s="12" t="n"/>
      <c r="CE107" s="12" t="n"/>
      <c r="CF107" s="12" t="n"/>
      <c r="CG107" s="12" t="n"/>
      <c r="CH107" s="12" t="n"/>
      <c r="CI107" s="12" t="n"/>
      <c r="CJ107" s="12" t="n"/>
      <c r="CK107" s="12" t="n"/>
      <c r="CL107" s="12" t="n"/>
      <c r="CM107" s="12" t="n"/>
      <c r="CN107" s="12" t="n"/>
      <c r="CO107" s="12" t="n"/>
      <c r="CP107" s="12" t="n"/>
      <c r="CQ107" s="12" t="n"/>
      <c r="CR107" s="12" t="n"/>
      <c r="CS107" s="12" t="n"/>
      <c r="CT107" s="12" t="n"/>
      <c r="CU107" s="12" t="n"/>
      <c r="CV107" s="12" t="n"/>
      <c r="CW107" s="12" t="n"/>
      <c r="CX107" s="12" t="n"/>
      <c r="CY107" s="12" t="n"/>
    </row>
    <row r="108" hidden="1" outlineLevel="1">
      <c r="C108" s="50" t="inlineStr">
        <is>
          <t>Resultado Não Recorrente</t>
        </is>
      </c>
      <c r="D108" s="11" t="n"/>
      <c r="E108" s="11" t="n"/>
      <c r="F108" s="11" t="n"/>
      <c r="G108" s="11" t="n"/>
      <c r="H108" s="12" t="n"/>
      <c r="I108" s="11" t="n"/>
      <c r="J108" s="11" t="n"/>
      <c r="K108" s="11" t="n"/>
      <c r="L108" s="11" t="n"/>
      <c r="M108" s="12" t="n"/>
      <c r="N108" s="11" t="n"/>
      <c r="O108" s="11" t="n"/>
      <c r="P108" s="11" t="n"/>
      <c r="Q108" s="11" t="n"/>
      <c r="R108" s="12" t="n"/>
      <c r="S108" s="11" t="n"/>
      <c r="T108" s="11" t="n"/>
      <c r="U108" s="11" t="n"/>
      <c r="V108" s="11" t="n"/>
      <c r="W108" s="12" t="n"/>
      <c r="X108" s="11" t="n"/>
      <c r="Y108" s="11" t="n"/>
      <c r="Z108" s="11" t="n"/>
      <c r="AA108" s="11" t="n"/>
      <c r="AB108" s="12" t="n"/>
      <c r="AC108" s="11" t="n"/>
      <c r="AD108" s="11" t="n"/>
      <c r="AE108" s="11" t="n"/>
      <c r="AF108" s="11" t="n"/>
      <c r="AG108" s="12" t="n"/>
      <c r="AH108" s="12" t="n"/>
      <c r="AI108" s="12" t="n"/>
      <c r="AJ108" s="12" t="n"/>
      <c r="AK108" s="12" t="n"/>
      <c r="AL108" s="12" t="n"/>
      <c r="AM108" s="12" t="n"/>
      <c r="AN108" s="12" t="n"/>
      <c r="AO108" s="12" t="n"/>
      <c r="AP108" s="12" t="n"/>
      <c r="AQ108" s="12" t="n"/>
      <c r="AR108" s="12" t="n"/>
      <c r="AS108" s="12" t="n"/>
      <c r="AT108" s="12" t="n"/>
      <c r="AU108" s="12" t="n"/>
      <c r="AV108" s="12" t="n"/>
      <c r="AW108" s="12" t="n"/>
      <c r="AX108" s="12" t="n"/>
      <c r="AY108" s="12" t="n"/>
      <c r="AZ108" s="12" t="n"/>
      <c r="BA108" s="12" t="n"/>
      <c r="BB108" s="12" t="n"/>
      <c r="BC108" s="12" t="n"/>
      <c r="BD108" s="12" t="n"/>
      <c r="BE108" s="12" t="n"/>
      <c r="BF108" s="12" t="n"/>
      <c r="BG108" s="12" t="n"/>
      <c r="BH108" s="12" t="n"/>
      <c r="BI108" s="12" t="n"/>
      <c r="BJ108" s="12" t="n"/>
      <c r="BK108" s="12" t="n"/>
      <c r="BL108" s="12" t="n"/>
      <c r="BM108" s="12" t="n"/>
      <c r="BN108" s="12" t="n"/>
      <c r="BO108" s="12" t="n"/>
      <c r="BP108" s="12" t="n"/>
      <c r="BQ108" s="12" t="n"/>
      <c r="BR108" s="12" t="n"/>
      <c r="BS108" s="12" t="n"/>
      <c r="BT108" s="12" t="n"/>
      <c r="BU108" s="12" t="n"/>
      <c r="BV108" s="12" t="n"/>
      <c r="BW108" s="12" t="n"/>
      <c r="BX108" s="12" t="n"/>
      <c r="BY108" s="12" t="n"/>
      <c r="BZ108" s="12" t="n"/>
      <c r="CA108" s="12" t="n"/>
      <c r="CB108" s="12" t="n"/>
      <c r="CC108" s="12" t="n"/>
      <c r="CD108" s="12" t="n"/>
      <c r="CE108" s="12" t="n"/>
      <c r="CF108" s="12" t="n"/>
      <c r="CG108" s="12" t="n"/>
      <c r="CH108" s="12" t="n"/>
      <c r="CI108" s="12" t="n"/>
      <c r="CJ108" s="12" t="n"/>
      <c r="CK108" s="12" t="n"/>
      <c r="CL108" s="12" t="n"/>
      <c r="CM108" s="12" t="n"/>
      <c r="CN108" s="12" t="n"/>
      <c r="CO108" s="12" t="n"/>
      <c r="CP108" s="12" t="n"/>
      <c r="CQ108" s="12" t="n"/>
      <c r="CR108" s="12" t="n"/>
      <c r="CS108" s="12" t="n"/>
      <c r="CT108" s="12" t="n"/>
      <c r="CU108" s="12" t="n"/>
      <c r="CV108" s="12" t="n"/>
      <c r="CW108" s="12" t="n"/>
      <c r="CX108" s="12" t="n"/>
      <c r="CY108" s="12" t="n"/>
    </row>
    <row r="109" hidden="1" outlineLevel="1">
      <c r="C109" s="50" t="inlineStr">
        <is>
          <t>Plano de Opção de Compra de Ações</t>
        </is>
      </c>
      <c r="D109" s="11" t="n"/>
      <c r="E109" s="11" t="n"/>
      <c r="F109" s="11" t="n"/>
      <c r="G109" s="11" t="n"/>
      <c r="H109" s="12" t="n"/>
      <c r="I109" s="11" t="n"/>
      <c r="J109" s="11" t="n"/>
      <c r="K109" s="11" t="n"/>
      <c r="L109" s="11" t="n"/>
      <c r="M109" s="12" t="n"/>
      <c r="N109" s="11" t="n"/>
      <c r="O109" s="11" t="n"/>
      <c r="P109" s="11" t="n"/>
      <c r="Q109" s="11" t="n"/>
      <c r="R109" s="12" t="n"/>
      <c r="S109" s="11" t="n"/>
      <c r="T109" s="11" t="n"/>
      <c r="U109" s="11" t="n"/>
      <c r="V109" s="11" t="n"/>
      <c r="W109" s="12" t="n"/>
      <c r="X109" s="11" t="n"/>
      <c r="Y109" s="11" t="n"/>
      <c r="Z109" s="11" t="n"/>
      <c r="AA109" s="11" t="n"/>
      <c r="AB109" s="12" t="n"/>
      <c r="AC109" s="11" t="n"/>
      <c r="AD109" s="11" t="n"/>
      <c r="AE109" s="11" t="n"/>
      <c r="AF109" s="11" t="n"/>
      <c r="AG109" s="12" t="n"/>
      <c r="AH109" s="12" t="n"/>
      <c r="AI109" s="12" t="n"/>
      <c r="AJ109" s="12" t="n"/>
      <c r="AK109" s="12" t="n"/>
      <c r="AL109" s="12" t="n"/>
      <c r="AM109" s="12" t="n"/>
      <c r="AN109" s="12" t="n"/>
      <c r="AO109" s="12" t="n"/>
      <c r="AP109" s="12" t="n"/>
      <c r="AQ109" s="12" t="n"/>
      <c r="AR109" s="12" t="n"/>
      <c r="AS109" s="12" t="n"/>
      <c r="AT109" s="12" t="n"/>
      <c r="AU109" s="12" t="n"/>
      <c r="AV109" s="12" t="n"/>
      <c r="AW109" s="12" t="n"/>
      <c r="AX109" s="12" t="n"/>
      <c r="AY109" s="12" t="n"/>
      <c r="AZ109" s="12" t="n"/>
      <c r="BA109" s="12" t="n"/>
      <c r="BB109" s="12" t="n"/>
      <c r="BC109" s="12" t="n"/>
      <c r="BD109" s="12" t="n"/>
      <c r="BE109" s="12" t="n"/>
      <c r="BF109" s="12" t="n"/>
      <c r="BG109" s="12" t="n"/>
      <c r="BH109" s="12" t="n"/>
      <c r="BI109" s="12" t="n"/>
      <c r="BJ109" s="12" t="n"/>
      <c r="BK109" s="12" t="n"/>
      <c r="BL109" s="12" t="n"/>
      <c r="BM109" s="12" t="n"/>
      <c r="BN109" s="12" t="n"/>
      <c r="BO109" s="12" t="n"/>
      <c r="BP109" s="12" t="n"/>
      <c r="BQ109" s="12" t="n"/>
      <c r="BR109" s="12" t="n"/>
      <c r="BS109" s="12" t="n"/>
      <c r="BT109" s="12" t="n"/>
      <c r="BU109" s="12" t="n"/>
      <c r="BV109" s="12" t="n"/>
      <c r="BW109" s="12" t="n"/>
      <c r="BX109" s="12" t="n"/>
      <c r="BY109" s="12" t="n"/>
      <c r="BZ109" s="12" t="n"/>
      <c r="CA109" s="12" t="n"/>
      <c r="CB109" s="12" t="n"/>
      <c r="CC109" s="12" t="n"/>
      <c r="CD109" s="12" t="n"/>
      <c r="CE109" s="12" t="n"/>
      <c r="CF109" s="12" t="n"/>
      <c r="CG109" s="12" t="n"/>
      <c r="CH109" s="12" t="n"/>
      <c r="CI109" s="12" t="n"/>
      <c r="CJ109" s="12" t="n"/>
      <c r="CK109" s="12" t="n"/>
      <c r="CL109" s="12" t="n"/>
      <c r="CM109" s="12" t="n"/>
      <c r="CN109" s="12" t="n"/>
      <c r="CO109" s="12" t="n"/>
      <c r="CP109" s="12" t="n"/>
      <c r="CQ109" s="12" t="n"/>
      <c r="CR109" s="12" t="n"/>
      <c r="CS109" s="12" t="n"/>
      <c r="CT109" s="12" t="n"/>
      <c r="CU109" s="12" t="n"/>
      <c r="CV109" s="12" t="n"/>
      <c r="CW109" s="12" t="n"/>
      <c r="CX109" s="12" t="n"/>
      <c r="CY109" s="12" t="n"/>
    </row>
    <row r="110" hidden="1" outlineLevel="1">
      <c r="C110" s="50" t="inlineStr">
        <is>
          <t>Baixa Imobilizado</t>
        </is>
      </c>
      <c r="D110" s="11" t="n"/>
      <c r="E110" s="11" t="n"/>
      <c r="F110" s="11" t="n"/>
      <c r="G110" s="11" t="n"/>
      <c r="H110" s="12" t="n"/>
      <c r="I110" s="11" t="n"/>
      <c r="J110" s="11" t="n"/>
      <c r="K110" s="11" t="n"/>
      <c r="L110" s="11" t="n"/>
      <c r="M110" s="12" t="n"/>
      <c r="N110" s="11" t="n"/>
      <c r="O110" s="11" t="n"/>
      <c r="P110" s="11" t="n"/>
      <c r="Q110" s="11" t="n"/>
      <c r="R110" s="12" t="n"/>
      <c r="S110" s="11" t="n"/>
      <c r="T110" s="11" t="n"/>
      <c r="U110" s="11" t="n"/>
      <c r="V110" s="11" t="n"/>
      <c r="W110" s="12" t="n"/>
      <c r="X110" s="11" t="n"/>
      <c r="Y110" s="11" t="n"/>
      <c r="Z110" s="11" t="n"/>
      <c r="AA110" s="11" t="n"/>
      <c r="AB110" s="12" t="n"/>
      <c r="AC110" s="11" t="n"/>
      <c r="AD110" s="11" t="n"/>
      <c r="AE110" s="11" t="n"/>
      <c r="AF110" s="11" t="n"/>
      <c r="AG110" s="12" t="n"/>
      <c r="AH110" s="12" t="n"/>
      <c r="AI110" s="12" t="n"/>
      <c r="AJ110" s="12" t="n"/>
      <c r="AK110" s="12" t="n"/>
      <c r="AL110" s="12" t="n"/>
      <c r="AM110" s="12" t="n"/>
      <c r="AN110" s="12" t="n"/>
      <c r="AO110" s="12" t="n"/>
      <c r="AP110" s="12" t="n"/>
      <c r="AQ110" s="12" t="n"/>
      <c r="AR110" s="12" t="n"/>
      <c r="AS110" s="12" t="n"/>
      <c r="AT110" s="12" t="n"/>
      <c r="AU110" s="12" t="n"/>
      <c r="AV110" s="12" t="n"/>
      <c r="AW110" s="12" t="n"/>
      <c r="AX110" s="12" t="n"/>
      <c r="AY110" s="12" t="n"/>
      <c r="AZ110" s="12" t="n"/>
      <c r="BA110" s="12" t="n"/>
      <c r="BB110" s="12" t="n"/>
      <c r="BC110" s="12" t="n"/>
      <c r="BD110" s="12" t="n"/>
      <c r="BE110" s="12" t="n"/>
      <c r="BF110" s="12" t="n"/>
      <c r="BG110" s="12" t="n"/>
      <c r="BH110" s="12" t="n"/>
      <c r="BI110" s="12" t="n"/>
      <c r="BJ110" s="12" t="n"/>
      <c r="BK110" s="12" t="n"/>
      <c r="BL110" s="12" t="n"/>
      <c r="BM110" s="12" t="n"/>
      <c r="BN110" s="12" t="n"/>
      <c r="BO110" s="12" t="n"/>
      <c r="BP110" s="12" t="n"/>
      <c r="BQ110" s="12" t="n"/>
      <c r="BR110" s="12" t="n"/>
      <c r="BS110" s="12" t="n"/>
      <c r="BT110" s="12" t="n"/>
      <c r="BU110" s="12" t="n"/>
      <c r="BV110" s="12" t="n"/>
      <c r="BW110" s="12" t="n"/>
      <c r="BX110" s="12" t="n"/>
      <c r="BY110" s="12" t="n"/>
      <c r="BZ110" s="12" t="n"/>
      <c r="CA110" s="12" t="n"/>
      <c r="CB110" s="12" t="n"/>
      <c r="CC110" s="12" t="n"/>
      <c r="CD110" s="12" t="n"/>
      <c r="CE110" s="12" t="n"/>
      <c r="CF110" s="12" t="n"/>
      <c r="CG110" s="12" t="n"/>
      <c r="CH110" s="12" t="n"/>
      <c r="CI110" s="12" t="n"/>
      <c r="CJ110" s="12" t="n"/>
      <c r="CK110" s="12" t="n"/>
      <c r="CL110" s="12" t="n"/>
      <c r="CM110" s="12" t="n"/>
      <c r="CN110" s="12" t="n"/>
      <c r="CO110" s="12" t="n"/>
      <c r="CP110" s="12" t="n"/>
      <c r="CQ110" s="12" t="n"/>
      <c r="CR110" s="12" t="n"/>
      <c r="CS110" s="12" t="n"/>
      <c r="CT110" s="12" t="n"/>
      <c r="CU110" s="12" t="n"/>
      <c r="CV110" s="12" t="n"/>
      <c r="CW110" s="12" t="n"/>
      <c r="CX110" s="12" t="n"/>
      <c r="CY110" s="12" t="n"/>
    </row>
    <row r="111" hidden="1" outlineLevel="1">
      <c r="C111" s="57" t="n"/>
      <c r="D111" s="12" t="n"/>
      <c r="E111" s="12" t="n"/>
      <c r="F111" s="12" t="n"/>
      <c r="G111" s="12" t="n"/>
      <c r="H111" s="12" t="n"/>
      <c r="I111" s="12" t="n"/>
      <c r="J111" s="12" t="n"/>
      <c r="K111" s="12" t="n"/>
      <c r="L111" s="12" t="n"/>
      <c r="M111" s="12" t="n"/>
      <c r="N111" s="12" t="n"/>
      <c r="O111" s="12" t="n"/>
      <c r="P111" s="12" t="n"/>
      <c r="Q111" s="12" t="n"/>
      <c r="R111" s="12" t="n"/>
      <c r="S111" s="12" t="n"/>
      <c r="T111" s="12" t="n"/>
      <c r="U111" s="12" t="n"/>
      <c r="V111" s="12" t="n"/>
      <c r="W111" s="12" t="n"/>
      <c r="X111" s="12" t="n"/>
      <c r="Y111" s="12" t="n"/>
      <c r="Z111" s="12" t="n"/>
      <c r="AA111" s="12" t="n"/>
      <c r="AB111" s="12" t="n"/>
      <c r="AC111" s="12" t="n"/>
      <c r="AD111" s="12" t="n"/>
      <c r="AE111" s="12" t="n"/>
      <c r="AF111" s="12" t="n"/>
      <c r="AG111" s="12" t="n"/>
      <c r="AH111" s="12" t="n"/>
      <c r="AI111" s="12" t="n"/>
      <c r="AJ111" s="12" t="n"/>
      <c r="AK111" s="12" t="n"/>
      <c r="AL111" s="12" t="n"/>
      <c r="AM111" s="12" t="n"/>
      <c r="AN111" s="12" t="n"/>
      <c r="AO111" s="12" t="n"/>
      <c r="AP111" s="12" t="n"/>
      <c r="AQ111" s="12" t="n"/>
      <c r="AR111" s="12" t="n"/>
      <c r="AS111" s="12" t="n"/>
      <c r="AT111" s="12" t="n"/>
      <c r="AU111" s="12" t="n"/>
      <c r="AV111" s="12" t="n"/>
      <c r="AW111" s="12" t="n"/>
      <c r="AX111" s="12" t="n"/>
      <c r="AY111" s="12" t="n"/>
      <c r="AZ111" s="12" t="n"/>
      <c r="BA111" s="12" t="n"/>
      <c r="BB111" s="12" t="n"/>
      <c r="BC111" s="12" t="n"/>
      <c r="BD111" s="12" t="n"/>
      <c r="BE111" s="12" t="n"/>
      <c r="BF111" s="12" t="n"/>
      <c r="BG111" s="12" t="n"/>
      <c r="BH111" s="12" t="n"/>
      <c r="BI111" s="12" t="n"/>
      <c r="BJ111" s="12" t="n"/>
      <c r="BK111" s="12" t="n"/>
      <c r="BL111" s="12" t="n"/>
      <c r="BM111" s="12" t="n"/>
      <c r="BN111" s="12" t="n"/>
      <c r="BO111" s="12" t="n"/>
      <c r="BP111" s="12" t="n"/>
      <c r="BQ111" s="12" t="n"/>
      <c r="BR111" s="12" t="n"/>
      <c r="BS111" s="12" t="n"/>
      <c r="BT111" s="12" t="n"/>
      <c r="BU111" s="12" t="n"/>
      <c r="BV111" s="12" t="n"/>
      <c r="BW111" s="12" t="n"/>
      <c r="BX111" s="12" t="n"/>
      <c r="BY111" s="12" t="n"/>
      <c r="BZ111" s="12" t="n"/>
      <c r="CA111" s="12" t="n"/>
      <c r="CB111" s="12" t="n"/>
      <c r="CC111" s="12" t="n"/>
      <c r="CD111" s="12" t="n"/>
      <c r="CE111" s="12" t="n"/>
      <c r="CF111" s="12" t="n"/>
      <c r="CG111" s="12" t="n"/>
      <c r="CH111" s="12" t="n"/>
      <c r="CI111" s="12" t="n"/>
      <c r="CJ111" s="12" t="n"/>
      <c r="CK111" s="12" t="n"/>
      <c r="CL111" s="12" t="n"/>
      <c r="CM111" s="12" t="n"/>
      <c r="CN111" s="12" t="n"/>
      <c r="CO111" s="12" t="n"/>
      <c r="CP111" s="12" t="n"/>
      <c r="CQ111" s="12" t="n"/>
      <c r="CR111" s="12" t="n"/>
      <c r="CS111" s="12" t="n"/>
      <c r="CT111" s="12" t="n"/>
      <c r="CU111" s="12" t="n"/>
      <c r="CV111" s="12" t="n"/>
      <c r="CW111" s="12" t="n"/>
      <c r="CX111" s="12" t="n"/>
      <c r="CY111" s="12" t="n"/>
    </row>
    <row r="112" hidden="1" outlineLevel="1">
      <c r="C112" s="57" t="n"/>
      <c r="D112" s="12" t="n"/>
      <c r="E112" s="12" t="n"/>
      <c r="F112" s="12" t="n"/>
      <c r="G112" s="12" t="n"/>
      <c r="H112" s="12" t="n"/>
      <c r="I112" s="12" t="n"/>
      <c r="J112" s="12" t="n"/>
      <c r="K112" s="12" t="n"/>
      <c r="L112" s="12" t="n"/>
      <c r="M112" s="12" t="n"/>
      <c r="N112" s="12" t="n"/>
      <c r="O112" s="12" t="n"/>
      <c r="P112" s="12" t="n"/>
      <c r="Q112" s="12" t="n"/>
      <c r="R112" s="12" t="n"/>
      <c r="S112" s="12" t="n"/>
      <c r="T112" s="12" t="n"/>
      <c r="U112" s="12" t="n"/>
      <c r="V112" s="12" t="n"/>
      <c r="W112" s="12" t="n"/>
      <c r="X112" s="12" t="n"/>
      <c r="Y112" s="12" t="n"/>
      <c r="Z112" s="12" t="n"/>
      <c r="AA112" s="12" t="n"/>
      <c r="AB112" s="12" t="n"/>
      <c r="AC112" s="12" t="n"/>
      <c r="AD112" s="12" t="n"/>
      <c r="AE112" s="12" t="n"/>
      <c r="AF112" s="12" t="n"/>
      <c r="AG112" s="12" t="n"/>
      <c r="AH112" s="12" t="n"/>
      <c r="AI112" s="12" t="n"/>
      <c r="AJ112" s="12" t="n"/>
      <c r="AK112" s="12" t="n"/>
      <c r="AL112" s="12" t="n"/>
      <c r="AM112" s="12" t="n"/>
      <c r="AN112" s="12" t="n"/>
      <c r="AO112" s="12" t="n"/>
      <c r="AP112" s="12" t="n"/>
      <c r="AQ112" s="12" t="n"/>
      <c r="AR112" s="12" t="n"/>
      <c r="AS112" s="12" t="n"/>
      <c r="AT112" s="12" t="n"/>
      <c r="AU112" s="12" t="n"/>
      <c r="AV112" s="12" t="n"/>
      <c r="AW112" s="12" t="n"/>
      <c r="AX112" s="12" t="n"/>
      <c r="AY112" s="12" t="n"/>
      <c r="AZ112" s="12" t="n"/>
      <c r="BA112" s="12" t="n"/>
      <c r="BB112" s="12" t="n"/>
      <c r="BC112" s="12" t="n"/>
      <c r="BD112" s="12" t="n"/>
      <c r="BE112" s="12" t="n"/>
      <c r="BF112" s="12" t="n"/>
      <c r="BG112" s="12" t="n"/>
      <c r="BH112" s="12" t="n"/>
      <c r="BI112" s="12" t="n"/>
      <c r="BJ112" s="12" t="n"/>
      <c r="BK112" s="12" t="n"/>
      <c r="BL112" s="12" t="n"/>
      <c r="BM112" s="12" t="n"/>
      <c r="BN112" s="12" t="n"/>
      <c r="BO112" s="12" t="n"/>
      <c r="BP112" s="12" t="n"/>
      <c r="BQ112" s="12" t="n"/>
      <c r="BR112" s="12" t="n"/>
      <c r="BS112" s="12" t="n"/>
      <c r="BT112" s="12" t="n"/>
      <c r="BU112" s="12" t="n"/>
      <c r="BV112" s="12" t="n"/>
      <c r="BW112" s="12" t="n"/>
      <c r="BX112" s="12" t="n"/>
      <c r="BY112" s="12" t="n"/>
      <c r="BZ112" s="12" t="n"/>
      <c r="CA112" s="12" t="n"/>
      <c r="CB112" s="12" t="n"/>
      <c r="CC112" s="12" t="n"/>
      <c r="CD112" s="12" t="n"/>
      <c r="CE112" s="12" t="n"/>
      <c r="CF112" s="12" t="n"/>
      <c r="CG112" s="12" t="n"/>
      <c r="CH112" s="12" t="n"/>
      <c r="CI112" s="12" t="n"/>
      <c r="CJ112" s="12" t="n"/>
      <c r="CK112" s="12" t="n"/>
      <c r="CL112" s="12" t="n"/>
      <c r="CM112" s="12" t="n"/>
      <c r="CN112" s="12" t="n"/>
      <c r="CO112" s="12" t="n"/>
      <c r="CP112" s="12" t="n"/>
      <c r="CQ112" s="12" t="n"/>
      <c r="CR112" s="12" t="n"/>
      <c r="CS112" s="12" t="n"/>
      <c r="CT112" s="12" t="n"/>
      <c r="CU112" s="12" t="n"/>
      <c r="CV112" s="12" t="n"/>
      <c r="CW112" s="12" t="n"/>
      <c r="CX112" s="12" t="n"/>
      <c r="CY112" s="12" t="n"/>
    </row>
    <row r="113" collapsed="1" customFormat="1" s="32">
      <c r="A113" s="30" t="n"/>
      <c r="B113" s="3" t="n"/>
      <c r="C113" s="33" t="inlineStr">
        <is>
          <t>Pretax Income - EBT</t>
        </is>
      </c>
      <c r="D113" s="35" t="n"/>
      <c r="E113" s="35" t="n"/>
      <c r="F113" s="35" t="n"/>
      <c r="G113" s="35" t="n"/>
      <c r="H113" s="35" t="n"/>
      <c r="I113" s="35">
        <f>SUM(I56,I57,I106)</f>
        <v>2190</v>
      </c>
      <c r="J113" s="35">
        <f>SUM(J56,J57,J106)</f>
        <v>2478</v>
      </c>
      <c r="K113" s="35">
        <f>SUM(K56,K57,K106)</f>
        <v>2816</v>
      </c>
      <c r="L113" s="35">
        <f>SUM(L56,L57,L106)</f>
        <v>2823</v>
      </c>
      <c r="M113" s="35">
        <f>SUM(I113:L113)</f>
        <v>10307</v>
      </c>
      <c r="N113" s="35">
        <f>SUM(N56,N57,N106)</f>
        <v>2773</v>
      </c>
      <c r="O113" s="35">
        <f>SUM(O56,O57,O106)</f>
        <v>2798</v>
      </c>
      <c r="P113" s="35">
        <f>SUM(P56,P57,P106)</f>
        <v>3072</v>
      </c>
      <c r="Q113" s="35">
        <f>SUM(Q56,Q57,Q106)</f>
        <v>3089</v>
      </c>
      <c r="R113" s="35">
        <f>SUM(N113:Q113)</f>
        <v>11732</v>
      </c>
      <c r="S113" s="35">
        <f>SUM(S56,S57,S106)</f>
        <v>2853</v>
      </c>
      <c r="T113" s="35">
        <f>SUM(T56,T57,T106)</f>
        <v>3704</v>
      </c>
      <c r="U113" s="35">
        <f>SUM(U56,U57,U106)</f>
        <v>3761</v>
      </c>
      <c r="V113" s="35">
        <f>SUM(V56,V57,V106)</f>
        <v>3321</v>
      </c>
      <c r="W113" s="35">
        <f>SUM(S113:V113)</f>
        <v>13639</v>
      </c>
      <c r="X113" s="35">
        <f>SUM(X56,X57,X106)</f>
        <v>3558</v>
      </c>
      <c r="Y113" s="35">
        <f>SUM(Y56,Y57,Y106)</f>
        <v>3939</v>
      </c>
      <c r="Z113" s="35">
        <f>SUM(Z56,Z57,Z106)</f>
        <v>3866</v>
      </c>
      <c r="AA113" s="35">
        <f>SUM(AA56,AA57,AA106)</f>
        <v>3891</v>
      </c>
      <c r="AB113" s="35">
        <f>SUM(X113:AA113)</f>
        <v>15254</v>
      </c>
      <c r="AC113" s="35">
        <f>SUM(AC56,AC57,AC106)</f>
        <v>4031</v>
      </c>
      <c r="AD113" s="35">
        <f>SUM(AD56,AD57,AD106)</f>
        <v>4672</v>
      </c>
      <c r="AE113" s="35">
        <f>SUM(AE56,AE57,AE106)</f>
        <v>4999</v>
      </c>
      <c r="AF113" s="35">
        <f>SUM(AF56,AF57,AF106)</f>
        <v>4876</v>
      </c>
      <c r="AG113" s="35">
        <f>SUM(AC113:AF113)</f>
        <v>18578</v>
      </c>
      <c r="AH113" s="35">
        <f>SUM(AH56,AH57,AH106)</f>
        <v>4812</v>
      </c>
      <c r="AI113" s="35">
        <f>SUM(AI56,AI57,AI106)</f>
        <v>5486</v>
      </c>
      <c r="AJ113" s="35">
        <f>SUM(AJ56,AJ57,AJ106:AJ111)</f>
        <v>5921.9120316974</v>
      </c>
      <c r="AK113" s="35">
        <f>SUM(AK56,AK57,AK106:AK111)</f>
        <v>6062.35263323963</v>
      </c>
      <c r="AL113" s="35">
        <f>SUM(AH113:AK113)</f>
        <v>22282.264664937</v>
      </c>
      <c r="AM113" s="35">
        <f>SUM(AM56,AM57,AM106:AM111)</f>
        <v>5781.47143015517</v>
      </c>
      <c r="AN113" s="35">
        <f>SUM(AN56,AN57,AN106:AN111)</f>
        <v>6386.60519856508</v>
      </c>
      <c r="AO113" s="35">
        <f>SUM(AO56,AO57,AO106:AO111)</f>
        <v>6862.1591080022</v>
      </c>
      <c r="AP113" s="35">
        <f>SUM(AP56,AP57,AP106:AP111)</f>
        <v>7024.89805918012</v>
      </c>
      <c r="AQ113" s="35">
        <f>SUM(AM113:AP113)</f>
        <v>26055.1337959026</v>
      </c>
      <c r="AR113" s="35">
        <f>SUM(AR56,AR57,AR106:AR111)</f>
        <v>6670.51279967351</v>
      </c>
      <c r="AS113" s="35">
        <f>SUM(AS56,AS57,AS106:AS111)</f>
        <v>7368.70055281866</v>
      </c>
      <c r="AT113" s="35">
        <f>SUM(AT56,AT57,AT106:AT111)</f>
        <v>7917.38240278674</v>
      </c>
      <c r="AU113" s="35">
        <f>SUM(AU56,AU57,AU106:AU111)</f>
        <v>8105.14641233899</v>
      </c>
      <c r="AV113" s="35">
        <f>SUM(AR113:AU113)</f>
        <v>30061.7421676179</v>
      </c>
      <c r="AW113" s="35">
        <f>SUM(AW56,AW57,AW106:AW111)</f>
        <v>7662.91326523774</v>
      </c>
      <c r="AX113" s="35">
        <f>SUM(AX56,AX57,AX106:AX111)</f>
        <v>8464.97337004175</v>
      </c>
      <c r="AY113" s="35">
        <f>SUM(AY56,AY57,AY106:AY111)</f>
        <v>9095.28494469629</v>
      </c>
      <c r="AZ113" s="35">
        <f>SUM(AZ56,AZ57,AZ106:AZ111)</f>
        <v>9310.98340188277</v>
      </c>
      <c r="BA113" s="35">
        <f>SUM(AW113:AZ113)</f>
        <v>34534.1549818586</v>
      </c>
      <c r="BB113" s="35">
        <f>SUM(BB56,BB57,BB106:BB111)</f>
        <v>8764.64278853125</v>
      </c>
      <c r="BC113" s="35">
        <f>SUM(BC56,BC57,BC106:BC111)</f>
        <v>9682.01847454209</v>
      </c>
      <c r="BD113" s="35">
        <f>SUM(BD56,BD57,BD106:BD111)</f>
        <v>10402.9526161805</v>
      </c>
      <c r="BE113" s="35">
        <f>SUM(BE56,BE57,BE106:BE111)</f>
        <v>10649.6629549042</v>
      </c>
      <c r="BF113" s="35">
        <f>SUM(BB113:BE113)</f>
        <v>39499.276834158</v>
      </c>
      <c r="BG113" s="35" t="n"/>
      <c r="BH113" s="35" t="n"/>
      <c r="BI113" s="35" t="n"/>
      <c r="BJ113" s="35" t="n"/>
      <c r="BK113" s="35" t="n"/>
      <c r="BL113" s="35" t="n"/>
      <c r="BM113" s="35" t="n"/>
      <c r="BN113" s="35" t="n"/>
      <c r="BO113" s="35" t="n"/>
      <c r="BP113" s="35" t="n"/>
      <c r="BQ113" s="35" t="n"/>
      <c r="BR113" s="35" t="n"/>
      <c r="BS113" s="35" t="n"/>
      <c r="BT113" s="35" t="n"/>
      <c r="BU113" s="35" t="n"/>
      <c r="BV113" s="35" t="n"/>
      <c r="BW113" s="35" t="n"/>
      <c r="BX113" s="35" t="n"/>
      <c r="BY113" s="35" t="n"/>
      <c r="BZ113" s="35" t="n"/>
      <c r="CA113" s="35" t="n"/>
      <c r="CB113" s="35" t="n"/>
      <c r="CC113" s="35" t="n"/>
      <c r="CD113" s="35" t="n"/>
      <c r="CE113" s="35" t="n"/>
      <c r="CF113" s="35" t="n"/>
      <c r="CG113" s="35" t="n"/>
      <c r="CH113" s="35" t="n"/>
      <c r="CI113" s="35" t="n"/>
      <c r="CJ113" s="35" t="n"/>
      <c r="CK113" s="35" t="n"/>
      <c r="CL113" s="35" t="n"/>
      <c r="CM113" s="35" t="n"/>
      <c r="CN113" s="35" t="n"/>
      <c r="CO113" s="35" t="n"/>
      <c r="CP113" s="35" t="n"/>
      <c r="CQ113" s="35" t="n"/>
      <c r="CR113" s="35" t="n"/>
      <c r="CS113" s="35" t="n"/>
      <c r="CT113" s="35" t="n"/>
      <c r="CU113" s="35" t="n"/>
      <c r="CV113" s="35" t="n"/>
      <c r="CW113" s="35" t="n"/>
      <c r="CX113" s="35" t="n"/>
      <c r="CY113" s="35" t="n"/>
    </row>
    <row r="114">
      <c r="C114" s="14" t="inlineStr">
        <is>
          <t>Taxes</t>
        </is>
      </c>
      <c r="D114" s="46" t="n"/>
      <c r="E114" s="46" t="n"/>
      <c r="F114" s="46" t="n"/>
      <c r="G114" s="46" t="n"/>
      <c r="H114" s="12" t="n"/>
      <c r="I114" s="46">
        <f>'Inputs (2)'!D10</f>
        <v>-362</v>
      </c>
      <c r="J114" s="46">
        <f>'Inputs (2)'!E10</f>
        <v>-412</v>
      </c>
      <c r="K114" s="46">
        <f>'Inputs (2)'!F10</f>
        <v>-402</v>
      </c>
      <c r="L114" s="46">
        <f>'Inputs (2)'!G10</f>
        <v>-444</v>
      </c>
      <c r="M114" s="12">
        <f>'Inputs (2)'!H10</f>
        <v>-1620</v>
      </c>
      <c r="N114" s="46">
        <f>'Inputs (2)'!I10</f>
        <v>-142</v>
      </c>
      <c r="O114" s="46">
        <f>'Inputs (2)'!J10</f>
        <v>-523</v>
      </c>
      <c r="P114" s="46">
        <f>'Inputs (2)'!K10</f>
        <v>-573</v>
      </c>
      <c r="Q114" s="46">
        <f>'Inputs (2)'!L10</f>
        <v>-564</v>
      </c>
      <c r="R114" s="12">
        <f>'Inputs (2)'!M10</f>
        <v>-1802</v>
      </c>
      <c r="S114" s="46">
        <f>'Inputs (2)'!N10</f>
        <v>-492</v>
      </c>
      <c r="T114" s="46">
        <f>'Inputs (2)'!O10</f>
        <v>-859</v>
      </c>
      <c r="U114" s="46">
        <f>'Inputs (2)'!P10</f>
        <v>-563</v>
      </c>
      <c r="V114" s="46">
        <f>'Inputs (2)'!Q10</f>
        <v>-530</v>
      </c>
      <c r="W114" s="12">
        <f>'Inputs (2)'!R10</f>
        <v>-2444</v>
      </c>
      <c r="X114" s="46">
        <f>'Inputs (2)'!S10</f>
        <v>-547</v>
      </c>
      <c r="Y114" s="46">
        <f>'Inputs (2)'!T10</f>
        <v>-681</v>
      </c>
      <c r="Z114" s="46">
        <f>'Inputs (2)'!U10</f>
        <v>-603</v>
      </c>
      <c r="AA114" s="46">
        <f>'Inputs (2)'!V10</f>
        <v>-549</v>
      </c>
      <c r="AB114" s="12">
        <f>'Inputs (2)'!W10</f>
        <v>-2380</v>
      </c>
      <c r="AC114" s="46">
        <f>'Inputs (2)'!X10</f>
        <v>-751</v>
      </c>
      <c r="AD114" s="46">
        <f>'Inputs (2)'!Y10</f>
        <v>-971</v>
      </c>
      <c r="AE114" s="46">
        <f>'Inputs (2)'!Z10</f>
        <v>-1072</v>
      </c>
      <c r="AF114" s="46">
        <f>'Inputs (2)'!AA10</f>
        <v>-816</v>
      </c>
      <c r="AG114" s="12">
        <f>'Inputs (2)'!AB10</f>
        <v>-3610</v>
      </c>
      <c r="AH114" s="12">
        <f>'Inputs (2)'!AC10</f>
        <v>-930</v>
      </c>
      <c r="AI114" s="12">
        <f>'Inputs (2)'!AD10</f>
        <v>-1098</v>
      </c>
      <c r="AJ114" s="12">
        <f>-AJ113*AJ115</f>
        <v>-1154.12722548945</v>
      </c>
      <c r="AK114" s="12">
        <f>-AK113*AK115</f>
        <v>-1181.49783162754</v>
      </c>
      <c r="AL114" s="12">
        <f>SUM(AH114:AK114)</f>
        <v>-4363.62505711698</v>
      </c>
      <c r="AM114" s="12">
        <f>-AM113*AM115</f>
        <v>-1126.75661935136</v>
      </c>
      <c r="AN114" s="12">
        <f>-AN113*AN115</f>
        <v>-1244.69173109342</v>
      </c>
      <c r="AO114" s="12">
        <f>-AO113*AO115</f>
        <v>-1337.3728974349</v>
      </c>
      <c r="AP114" s="12">
        <f>-AP113*AP115</f>
        <v>-1369.08925073375</v>
      </c>
      <c r="AQ114" s="12">
        <f>SUM(AM114:AP114)</f>
        <v>-5077.91049861342</v>
      </c>
      <c r="AR114" s="12">
        <f>-AR113*AR115</f>
        <v>-1300.02276103929</v>
      </c>
      <c r="AS114" s="12">
        <f>-AS113*AS115</f>
        <v>-1436.0932548418</v>
      </c>
      <c r="AT114" s="12">
        <f>-AT113*AT115</f>
        <v>-1543.02639700781</v>
      </c>
      <c r="AU114" s="12">
        <f>-AU113*AU115</f>
        <v>-1579.6199083993</v>
      </c>
      <c r="AV114" s="12">
        <f>SUM(AR114:AU114)</f>
        <v>-5858.7623212882</v>
      </c>
      <c r="AW114" s="12">
        <f>-AW113*AW115</f>
        <v>-1493.43265800593</v>
      </c>
      <c r="AX114" s="12">
        <f>-AX113*AX115</f>
        <v>-1649.74693597535</v>
      </c>
      <c r="AY114" s="12">
        <f>-AY113*AY115</f>
        <v>-1772.58897499183</v>
      </c>
      <c r="AZ114" s="12">
        <f>-AZ113*AZ115</f>
        <v>-1814.62665819322</v>
      </c>
      <c r="BA114" s="12">
        <f>SUM(AW114:AZ114)</f>
        <v>-6730.39522716632</v>
      </c>
      <c r="BB114" s="12">
        <f>-BB113*BB115</f>
        <v>-1708.14980192035</v>
      </c>
      <c r="BC114" s="12">
        <f>-BC113*BC115</f>
        <v>-1886.93804625091</v>
      </c>
      <c r="BD114" s="12">
        <f>-BD113*BD115</f>
        <v>-2027.44160594517</v>
      </c>
      <c r="BE114" s="12">
        <f>-BE113*BE115</f>
        <v>-2075.52322505849</v>
      </c>
      <c r="BF114" s="12">
        <f>SUM(BB114:BE114)</f>
        <v>-7698.05267917492</v>
      </c>
      <c r="BG114" s="12" t="n"/>
      <c r="BH114" s="12" t="n"/>
      <c r="BI114" s="12" t="n"/>
      <c r="BJ114" s="12" t="n"/>
      <c r="BK114" s="12" t="n"/>
      <c r="BL114" s="12" t="n"/>
      <c r="BM114" s="12" t="n"/>
      <c r="BN114" s="12" t="n"/>
      <c r="BO114" s="12" t="n"/>
      <c r="BP114" s="12" t="n"/>
      <c r="BQ114" s="12" t="n"/>
      <c r="BR114" s="12" t="n"/>
      <c r="BS114" s="12" t="n"/>
      <c r="BT114" s="12" t="n"/>
      <c r="BU114" s="12" t="n"/>
      <c r="BV114" s="12" t="n"/>
      <c r="BW114" s="12" t="n"/>
      <c r="BX114" s="12" t="n"/>
      <c r="BY114" s="12" t="n"/>
      <c r="BZ114" s="12" t="n"/>
      <c r="CA114" s="12" t="n"/>
      <c r="CB114" s="12" t="n"/>
      <c r="CC114" s="12" t="n"/>
      <c r="CD114" s="12" t="n"/>
      <c r="CE114" s="12" t="n"/>
      <c r="CF114" s="12" t="n"/>
      <c r="CG114" s="12" t="n"/>
      <c r="CH114" s="12" t="n"/>
      <c r="CI114" s="12" t="n"/>
      <c r="CJ114" s="12" t="n"/>
      <c r="CK114" s="12" t="n"/>
      <c r="CL114" s="12" t="n"/>
      <c r="CM114" s="12" t="n"/>
      <c r="CN114" s="12" t="n"/>
      <c r="CO114" s="12" t="n"/>
      <c r="CP114" s="12" t="n"/>
      <c r="CQ114" s="12" t="n"/>
      <c r="CR114" s="12" t="n"/>
      <c r="CS114" s="12" t="n"/>
      <c r="CT114" s="12" t="n"/>
      <c r="CU114" s="12" t="n"/>
      <c r="CV114" s="12" t="n"/>
      <c r="CW114" s="12" t="n"/>
      <c r="CX114" s="12" t="n"/>
      <c r="CY114" s="12" t="n"/>
    </row>
    <row r="115" hidden="1" outlineLevel="1">
      <c r="C115" s="57" t="inlineStr">
        <is>
          <t>% ETR</t>
        </is>
      </c>
      <c r="D115" s="53" t="n"/>
      <c r="E115" s="53" t="n"/>
      <c r="F115" s="53" t="n"/>
      <c r="G115" s="53" t="n"/>
      <c r="H115" s="53" t="n"/>
      <c r="I115" s="53">
        <f>IFERROR(-I114/I113,"")</f>
        <v>0.165296803652968</v>
      </c>
      <c r="J115" s="53">
        <f>IFERROR(-J114/J113,"")</f>
        <v>0.166263115415658</v>
      </c>
      <c r="K115" s="53">
        <f>IFERROR(-K114/K113,"")</f>
        <v>0.142755681818182</v>
      </c>
      <c r="L115" s="53">
        <f>IFERROR(-L114/L113,"")</f>
        <v>0.157279489904357</v>
      </c>
      <c r="M115" s="53">
        <f>IFERROR(-M114/M113,"")</f>
        <v>0.157174735616571</v>
      </c>
      <c r="N115" s="53">
        <f>IFERROR(-N114/N113,"")</f>
        <v>0.0512080778939776</v>
      </c>
      <c r="O115" s="53">
        <f>IFERROR(-O114/O113,"")</f>
        <v>0.186919228020014</v>
      </c>
      <c r="P115" s="53">
        <f>IFERROR(-P114/P113,"")</f>
        <v>0.1865234375</v>
      </c>
      <c r="Q115" s="53">
        <f>IFERROR(-Q114/Q113,"")</f>
        <v>0.18258336031078</v>
      </c>
      <c r="R115" s="53">
        <f>IFERROR(-R114/R113,"")</f>
        <v>0.153596999659052</v>
      </c>
      <c r="S115" s="53">
        <f>IFERROR(-S114/S113,"")</f>
        <v>0.172450052576236</v>
      </c>
      <c r="T115" s="53">
        <f>IFERROR(-T114/T113,"")</f>
        <v>0.231911447084233</v>
      </c>
      <c r="U115" s="53">
        <f>IFERROR(-U114/U113,"")</f>
        <v>0.14969423025791</v>
      </c>
      <c r="V115" s="53">
        <f>IFERROR(-V114/V113,"")</f>
        <v>0.159590484793737</v>
      </c>
      <c r="W115" s="53">
        <f>IFERROR(-W114/W113,"")</f>
        <v>0.179192022875577</v>
      </c>
      <c r="X115" s="53">
        <f>IFERROR(-X114/X113,"")</f>
        <v>0.153738055087128</v>
      </c>
      <c r="Y115" s="53">
        <f>IFERROR(-Y114/Y113,"")</f>
        <v>0.172886519421173</v>
      </c>
      <c r="Z115" s="53">
        <f>IFERROR(-Z114/Z113,"")</f>
        <v>0.155975168132437</v>
      </c>
      <c r="AA115" s="53">
        <f>IFERROR(-AA114/AA113,"")</f>
        <v>0.141094834232845</v>
      </c>
      <c r="AB115" s="53">
        <f>IFERROR(-AB114/AB113,"")</f>
        <v>0.156024649272322</v>
      </c>
      <c r="AC115" s="53">
        <f>IFERROR(-AC114/AC113,"")</f>
        <v>0.186306127511784</v>
      </c>
      <c r="AD115" s="53">
        <f>IFERROR(-AD114/AD113,"")</f>
        <v>0.207833904109589</v>
      </c>
      <c r="AE115" s="53">
        <f>IFERROR(-AE114/AE113,"")</f>
        <v>0.214442888577716</v>
      </c>
      <c r="AF115" s="41">
        <f>IFERROR(-AF114/AF113,"")</f>
        <v>0.167350287120591</v>
      </c>
      <c r="AG115" s="53">
        <f>IFERROR(-AG114/AG113,"")</f>
        <v>0.19431585746582</v>
      </c>
      <c r="AH115" s="41">
        <f>IFERROR(-AH114/AH113,"")</f>
        <v>0.193266832917706</v>
      </c>
      <c r="AI115" s="41">
        <f>IFERROR(-AI114/AI113,"")</f>
        <v>0.200145825738243</v>
      </c>
      <c r="AJ115" s="41">
        <f>Control!$B$22</f>
        <v>0.194890977662605</v>
      </c>
      <c r="AK115" s="41">
        <f>Control!$B$22</f>
        <v>0.194890977662605</v>
      </c>
      <c r="AL115" s="53">
        <f>IFERROR(-AL114/AL113,"")</f>
        <v>0.195834001737871</v>
      </c>
      <c r="AM115" s="41">
        <f>Control!$C$22</f>
        <v>0.194890977662605</v>
      </c>
      <c r="AN115" s="41">
        <f>Control!$C$22</f>
        <v>0.194890977662605</v>
      </c>
      <c r="AO115" s="41">
        <f>Control!$C$22</f>
        <v>0.194890977662605</v>
      </c>
      <c r="AP115" s="41">
        <f>Control!$C$22</f>
        <v>0.194890977662605</v>
      </c>
      <c r="AQ115" s="53">
        <f>IFERROR(-AQ114/AQ113,"")</f>
        <v>0.194890977662605</v>
      </c>
      <c r="AR115" s="41">
        <f>Control!$D$22</f>
        <v>0.194890977662605</v>
      </c>
      <c r="AS115" s="41">
        <f>Control!$D$22</f>
        <v>0.194890977662605</v>
      </c>
      <c r="AT115" s="41">
        <f>Control!$D$22</f>
        <v>0.194890977662605</v>
      </c>
      <c r="AU115" s="41">
        <f>Control!$D$22</f>
        <v>0.194890977662605</v>
      </c>
      <c r="AV115" s="53">
        <f>IFERROR(-AV114/AV113,"")</f>
        <v>0.194890977662605</v>
      </c>
      <c r="AW115" s="41">
        <f>Control!$E$22</f>
        <v>0.194890977662605</v>
      </c>
      <c r="AX115" s="41">
        <f>Control!$E$22</f>
        <v>0.194890977662605</v>
      </c>
      <c r="AY115" s="41">
        <f>Control!$E$22</f>
        <v>0.194890977662605</v>
      </c>
      <c r="AZ115" s="41">
        <f>Control!$E$22</f>
        <v>0.194890977662605</v>
      </c>
      <c r="BA115" s="53">
        <f>IFERROR(-BA114/BA113,"")</f>
        <v>0.194890977662605</v>
      </c>
      <c r="BB115" s="41">
        <f>Control!$F$22</f>
        <v>0.194890977662605</v>
      </c>
      <c r="BC115" s="41">
        <f>Control!$F$22</f>
        <v>0.194890977662605</v>
      </c>
      <c r="BD115" s="41">
        <f>Control!$F$22</f>
        <v>0.194890977662605</v>
      </c>
      <c r="BE115" s="41">
        <f>Control!$F$22</f>
        <v>0.194890977662605</v>
      </c>
      <c r="BF115" s="53">
        <f>IFERROR(-BF114/BF113,"")</f>
        <v>0.194890977662605</v>
      </c>
      <c r="BG115" s="41" t="n"/>
      <c r="BH115" s="41" t="n"/>
      <c r="BI115" s="41" t="n"/>
      <c r="BJ115" s="41" t="n"/>
      <c r="BK115" s="53" t="n"/>
      <c r="BL115" s="41" t="n"/>
      <c r="BM115" s="41" t="n"/>
      <c r="BN115" s="41" t="n"/>
      <c r="BO115" s="41" t="n"/>
      <c r="BP115" s="53" t="n"/>
      <c r="BQ115" s="41" t="n"/>
      <c r="BR115" s="41" t="n"/>
      <c r="BS115" s="41" t="n"/>
      <c r="BT115" s="41" t="n"/>
      <c r="BU115" s="53" t="n"/>
      <c r="BV115" s="41" t="n"/>
      <c r="BW115" s="41" t="n"/>
      <c r="BX115" s="41" t="n"/>
      <c r="BY115" s="41" t="n"/>
      <c r="BZ115" s="53" t="n"/>
      <c r="CA115" s="41" t="n"/>
      <c r="CB115" s="41" t="n"/>
      <c r="CC115" s="41" t="n"/>
      <c r="CD115" s="41" t="n"/>
      <c r="CE115" s="53" t="n"/>
      <c r="CF115" s="41" t="n"/>
      <c r="CG115" s="41" t="n"/>
      <c r="CH115" s="41" t="n"/>
      <c r="CI115" s="41" t="n"/>
      <c r="CJ115" s="53" t="n"/>
      <c r="CK115" s="41" t="n"/>
      <c r="CL115" s="41" t="n"/>
      <c r="CM115" s="41" t="n"/>
      <c r="CN115" s="41" t="n"/>
      <c r="CO115" s="53" t="n"/>
      <c r="CP115" s="41" t="n"/>
      <c r="CQ115" s="41" t="n"/>
      <c r="CR115" s="41" t="n"/>
      <c r="CS115" s="41" t="n"/>
      <c r="CT115" s="53" t="n"/>
      <c r="CU115" s="41" t="n"/>
      <c r="CV115" s="41" t="n"/>
      <c r="CW115" s="41" t="n"/>
      <c r="CX115" s="41" t="n"/>
      <c r="CY115" s="53" t="n"/>
    </row>
    <row r="116" hidden="1" outlineLevel="1">
      <c r="C116" s="57" t="n"/>
      <c r="D116" s="12" t="n"/>
      <c r="E116" s="12" t="n"/>
      <c r="F116" s="12" t="n"/>
      <c r="G116" s="12" t="n"/>
      <c r="H116" s="12" t="n"/>
      <c r="I116" s="12" t="n"/>
      <c r="J116" s="12" t="n"/>
      <c r="K116" s="12" t="n"/>
      <c r="L116" s="12" t="n"/>
      <c r="M116" s="12" t="n"/>
      <c r="N116" s="12" t="n"/>
      <c r="O116" s="12" t="n"/>
      <c r="P116" s="12" t="n"/>
      <c r="Q116" s="12" t="n"/>
      <c r="R116" s="12" t="n"/>
      <c r="S116" s="12" t="n"/>
      <c r="T116" s="12" t="n"/>
      <c r="U116" s="12" t="n"/>
      <c r="V116" s="12" t="n"/>
      <c r="W116" s="12" t="n"/>
      <c r="X116" s="12" t="n"/>
      <c r="Y116" s="12" t="n"/>
      <c r="Z116" s="12" t="n"/>
      <c r="AA116" s="12" t="n"/>
      <c r="AB116" s="12" t="n"/>
      <c r="AC116" s="12" t="n"/>
      <c r="AD116" s="12" t="n"/>
      <c r="AE116" s="12" t="n"/>
      <c r="AF116" s="12" t="n"/>
      <c r="AG116" s="12" t="n"/>
      <c r="AH116" s="12" t="n"/>
      <c r="AI116" s="12" t="n"/>
      <c r="AJ116" s="12" t="n"/>
      <c r="AK116" s="12" t="n"/>
      <c r="AL116" s="12" t="n"/>
      <c r="AM116" s="12" t="n"/>
      <c r="AN116" s="12" t="n"/>
      <c r="AO116" s="12" t="n"/>
      <c r="AP116" s="12" t="n"/>
      <c r="AQ116" s="12" t="n"/>
      <c r="AR116" s="12" t="n"/>
      <c r="AS116" s="12" t="n"/>
      <c r="AT116" s="12" t="n"/>
      <c r="AU116" s="12" t="n"/>
      <c r="AV116" s="12" t="n"/>
      <c r="AW116" s="12" t="n"/>
      <c r="AX116" s="12" t="n"/>
      <c r="AY116" s="12" t="n"/>
      <c r="AZ116" s="12" t="n"/>
      <c r="BA116" s="12" t="n"/>
      <c r="BB116" s="12" t="n"/>
      <c r="BC116" s="12" t="n"/>
      <c r="BD116" s="12" t="n"/>
      <c r="BE116" s="12" t="n"/>
      <c r="BF116" s="12" t="n"/>
      <c r="BG116" s="12" t="n"/>
      <c r="BH116" s="12" t="n"/>
      <c r="BI116" s="12" t="n"/>
      <c r="BJ116" s="12" t="n"/>
      <c r="BK116" s="12" t="n"/>
      <c r="BL116" s="12" t="n"/>
      <c r="BM116" s="12" t="n"/>
      <c r="BN116" s="12" t="n"/>
      <c r="BO116" s="12" t="n"/>
      <c r="BP116" s="12" t="n"/>
      <c r="BQ116" s="12" t="n"/>
      <c r="BR116" s="12" t="n"/>
      <c r="BS116" s="12" t="n"/>
      <c r="BT116" s="12" t="n"/>
      <c r="BU116" s="12" t="n"/>
      <c r="BV116" s="12" t="n"/>
      <c r="BW116" s="12" t="n"/>
      <c r="BX116" s="12" t="n"/>
      <c r="BY116" s="12" t="n"/>
      <c r="BZ116" s="12" t="n"/>
      <c r="CA116" s="12" t="n"/>
      <c r="CB116" s="12" t="n"/>
      <c r="CC116" s="12" t="n"/>
      <c r="CD116" s="12" t="n"/>
      <c r="CE116" s="12" t="n"/>
      <c r="CF116" s="12" t="n"/>
      <c r="CG116" s="12" t="n"/>
      <c r="CH116" s="12" t="n"/>
      <c r="CI116" s="12" t="n"/>
      <c r="CJ116" s="12" t="n"/>
      <c r="CK116" s="12" t="n"/>
      <c r="CL116" s="12" t="n"/>
      <c r="CM116" s="12" t="n"/>
      <c r="CN116" s="12" t="n"/>
      <c r="CO116" s="12" t="n"/>
      <c r="CP116" s="12" t="n"/>
      <c r="CQ116" s="12" t="n"/>
      <c r="CR116" s="12" t="n"/>
      <c r="CS116" s="12" t="n"/>
      <c r="CT116" s="12" t="n"/>
      <c r="CU116" s="12" t="n"/>
      <c r="CV116" s="12" t="n"/>
      <c r="CW116" s="12" t="n"/>
      <c r="CX116" s="12" t="n"/>
      <c r="CY116" s="12" t="n"/>
    </row>
    <row r="117" hidden="1" outlineLevel="1">
      <c r="C117" s="57" t="n"/>
      <c r="D117" s="12" t="n"/>
      <c r="E117" s="12" t="n"/>
      <c r="F117" s="12" t="n"/>
      <c r="G117" s="12" t="n"/>
      <c r="H117" s="12" t="n"/>
      <c r="I117" s="12" t="n"/>
      <c r="J117" s="12" t="n"/>
      <c r="K117" s="12" t="n"/>
      <c r="L117" s="12" t="n"/>
      <c r="M117" s="12" t="n"/>
      <c r="N117" s="12" t="n"/>
      <c r="O117" s="12" t="n"/>
      <c r="P117" s="12" t="n"/>
      <c r="Q117" s="12" t="n"/>
      <c r="R117" s="12" t="n"/>
      <c r="S117" s="12" t="n"/>
      <c r="T117" s="12" t="n"/>
      <c r="U117" s="12" t="n"/>
      <c r="V117" s="12" t="n"/>
      <c r="W117" s="12" t="n"/>
      <c r="X117" s="12" t="n"/>
      <c r="Y117" s="12" t="n"/>
      <c r="Z117" s="12" t="n"/>
      <c r="AA117" s="12" t="n"/>
      <c r="AB117" s="12" t="n"/>
      <c r="AC117" s="12" t="n"/>
      <c r="AD117" s="12" t="n"/>
      <c r="AE117" s="12" t="n"/>
      <c r="AF117" s="12" t="n"/>
      <c r="AG117" s="12" t="n"/>
      <c r="AH117" s="12" t="n"/>
      <c r="AI117" s="12" t="n"/>
      <c r="AJ117" s="12" t="n"/>
      <c r="AK117" s="12" t="n"/>
      <c r="AL117" s="12" t="n"/>
      <c r="AM117" s="12" t="n"/>
      <c r="AN117" s="12" t="n"/>
      <c r="AO117" s="12" t="n"/>
      <c r="AP117" s="12" t="n"/>
      <c r="AQ117" s="12" t="n"/>
      <c r="AR117" s="12" t="n"/>
      <c r="AS117" s="12" t="n"/>
      <c r="AT117" s="12" t="n"/>
      <c r="AU117" s="12" t="n"/>
      <c r="AV117" s="12" t="n"/>
      <c r="AW117" s="12" t="n"/>
      <c r="AX117" s="12" t="n"/>
      <c r="AY117" s="12" t="n"/>
      <c r="AZ117" s="12" t="n"/>
      <c r="BA117" s="12" t="n"/>
      <c r="BB117" s="12" t="n"/>
      <c r="BC117" s="12" t="n"/>
      <c r="BD117" s="12" t="n"/>
      <c r="BE117" s="12" t="n"/>
      <c r="BF117" s="12" t="n"/>
      <c r="BG117" s="12" t="n"/>
      <c r="BH117" s="12" t="n"/>
      <c r="BI117" s="12" t="n"/>
      <c r="BJ117" s="12" t="n"/>
      <c r="BK117" s="12" t="n"/>
      <c r="BL117" s="12" t="n"/>
      <c r="BM117" s="12" t="n"/>
      <c r="BN117" s="12" t="n"/>
      <c r="BO117" s="12" t="n"/>
      <c r="BP117" s="12" t="n"/>
      <c r="BQ117" s="12" t="n"/>
      <c r="BR117" s="12" t="n"/>
      <c r="BS117" s="12" t="n"/>
      <c r="BT117" s="12" t="n"/>
      <c r="BU117" s="12" t="n"/>
      <c r="BV117" s="12" t="n"/>
      <c r="BW117" s="12" t="n"/>
      <c r="BX117" s="12" t="n"/>
      <c r="BY117" s="12" t="n"/>
      <c r="BZ117" s="12" t="n"/>
      <c r="CA117" s="12" t="n"/>
      <c r="CB117" s="12" t="n"/>
      <c r="CC117" s="12" t="n"/>
      <c r="CD117" s="12" t="n"/>
      <c r="CE117" s="12" t="n"/>
      <c r="CF117" s="12" t="n"/>
      <c r="CG117" s="12" t="n"/>
      <c r="CH117" s="12" t="n"/>
      <c r="CI117" s="12" t="n"/>
      <c r="CJ117" s="12" t="n"/>
      <c r="CK117" s="12" t="n"/>
      <c r="CL117" s="12" t="n"/>
      <c r="CM117" s="12" t="n"/>
      <c r="CN117" s="12" t="n"/>
      <c r="CO117" s="12" t="n"/>
      <c r="CP117" s="12" t="n"/>
      <c r="CQ117" s="12" t="n"/>
      <c r="CR117" s="12" t="n"/>
      <c r="CS117" s="12" t="n"/>
      <c r="CT117" s="12" t="n"/>
      <c r="CU117" s="12" t="n"/>
      <c r="CV117" s="12" t="n"/>
      <c r="CW117" s="12" t="n"/>
      <c r="CX117" s="12" t="n"/>
      <c r="CY117" s="12" t="n"/>
    </row>
    <row r="118" collapsed="1">
      <c r="C118" s="14" t="inlineStr">
        <is>
          <t>Equity in Income of Affiliates, after tax (enter as +)</t>
        </is>
      </c>
      <c r="D118" s="46" t="n"/>
      <c r="E118" s="46" t="n"/>
      <c r="F118" s="46" t="n"/>
      <c r="G118" s="46" t="n"/>
      <c r="H118" s="12" t="n"/>
      <c r="I118" s="46">
        <f>'Inputs (2)'!D11</f>
        <v>-1</v>
      </c>
      <c r="J118" s="46">
        <f>'Inputs (2)'!E11</f>
        <v>0</v>
      </c>
      <c r="K118" s="46">
        <f>'Inputs (2)'!F11</f>
        <v>11</v>
      </c>
      <c r="L118" s="46">
        <f>'Inputs (2)'!G11</f>
        <v>-1</v>
      </c>
      <c r="M118" s="12">
        <f>'Inputs (2)'!H11</f>
        <v>9</v>
      </c>
      <c r="N118" s="46">
        <f>'Inputs (2)'!I11</f>
        <v>3</v>
      </c>
      <c r="O118" s="46">
        <f>'Inputs (2)'!J11</f>
        <v>3</v>
      </c>
      <c r="P118" s="46">
        <f>'Inputs (2)'!K11</f>
        <v>3</v>
      </c>
      <c r="Q118" s="46">
        <f>'Inputs (2)'!L11</f>
        <v>4</v>
      </c>
      <c r="R118" s="12">
        <f>'Inputs (2)'!M11</f>
        <v>13</v>
      </c>
      <c r="S118" s="46">
        <f>'Inputs (2)'!N11</f>
        <v>2</v>
      </c>
      <c r="T118" s="46">
        <f>'Inputs (2)'!O11</f>
        <v>3</v>
      </c>
      <c r="U118" s="46">
        <f>'Inputs (2)'!P11</f>
        <v>4</v>
      </c>
      <c r="V118" s="46">
        <f>'Inputs (2)'!Q11</f>
        <v>3</v>
      </c>
      <c r="W118" s="12">
        <f>'Inputs (2)'!R11</f>
        <v>12</v>
      </c>
      <c r="X118" s="46">
        <f>'Inputs (2)'!S11</f>
        <v>3</v>
      </c>
      <c r="Y118" s="46">
        <f>'Inputs (2)'!T11</f>
        <v>4</v>
      </c>
      <c r="Z118" s="46">
        <f>'Inputs (2)'!U11</f>
        <v>4</v>
      </c>
      <c r="AA118" s="46">
        <f>'Inputs (2)'!V11</f>
        <v>5</v>
      </c>
      <c r="AB118" s="12">
        <f>'Inputs (2)'!W11</f>
        <v>16</v>
      </c>
      <c r="AC118" s="46">
        <f>'Inputs (2)'!X11</f>
        <v>5</v>
      </c>
      <c r="AD118" s="46">
        <f>'Inputs (2)'!Y11</f>
        <v>4</v>
      </c>
      <c r="AE118" s="46">
        <f>'Inputs (2)'!Z11</f>
        <v>6</v>
      </c>
      <c r="AF118" s="46">
        <f>'Inputs (2)'!AA11</f>
        <v>6</v>
      </c>
      <c r="AG118" s="12">
        <f>'Inputs (2)'!AB11</f>
        <v>21</v>
      </c>
      <c r="AH118" s="12">
        <f>'Inputs (2)'!AC11</f>
        <v>6</v>
      </c>
      <c r="AI118" s="12">
        <f>'Inputs (2)'!AD11</f>
        <v>8</v>
      </c>
      <c r="AJ118" s="12">
        <f>0</f>
        <v>0</v>
      </c>
      <c r="AK118" s="12">
        <f>0</f>
        <v>0</v>
      </c>
      <c r="AL118" s="12">
        <f>SUM(AH118:AK118)</f>
        <v>14</v>
      </c>
      <c r="AM118" s="12">
        <f>0</f>
        <v>0</v>
      </c>
      <c r="AN118" s="12">
        <f>0</f>
        <v>0</v>
      </c>
      <c r="AO118" s="12">
        <f>0</f>
        <v>0</v>
      </c>
      <c r="AP118" s="12">
        <f>0</f>
        <v>0</v>
      </c>
      <c r="AQ118" s="12">
        <f>SUM(AM118:AP118)</f>
        <v>0</v>
      </c>
      <c r="AR118" s="12">
        <f>0</f>
        <v>0</v>
      </c>
      <c r="AS118" s="12">
        <f>0</f>
        <v>0</v>
      </c>
      <c r="AT118" s="12">
        <f>0</f>
        <v>0</v>
      </c>
      <c r="AU118" s="12">
        <f>0</f>
        <v>0</v>
      </c>
      <c r="AV118" s="12">
        <f>SUM(AR118:AU118)</f>
        <v>0</v>
      </c>
      <c r="AW118" s="12">
        <f>0</f>
        <v>0</v>
      </c>
      <c r="AX118" s="12">
        <f>0</f>
        <v>0</v>
      </c>
      <c r="AY118" s="12">
        <f>0</f>
        <v>0</v>
      </c>
      <c r="AZ118" s="12">
        <f>0</f>
        <v>0</v>
      </c>
      <c r="BA118" s="12">
        <f>SUM(AW118:AZ118)</f>
        <v>0</v>
      </c>
      <c r="BB118" s="12">
        <f>0</f>
        <v>0</v>
      </c>
      <c r="BC118" s="12">
        <f>0</f>
        <v>0</v>
      </c>
      <c r="BD118" s="12">
        <f>0</f>
        <v>0</v>
      </c>
      <c r="BE118" s="12">
        <f>0</f>
        <v>0</v>
      </c>
      <c r="BF118" s="12">
        <f>SUM(BB118:BE118)</f>
        <v>0</v>
      </c>
      <c r="BG118" s="12" t="n"/>
      <c r="BH118" s="12" t="n"/>
      <c r="BI118" s="12" t="n"/>
      <c r="BJ118" s="12" t="n"/>
      <c r="BK118" s="12" t="n"/>
      <c r="BL118" s="12" t="n"/>
      <c r="BM118" s="12" t="n"/>
      <c r="BN118" s="12" t="n"/>
      <c r="BO118" s="12" t="n"/>
      <c r="BP118" s="12" t="n"/>
      <c r="BQ118" s="12" t="n"/>
      <c r="BR118" s="12" t="n"/>
      <c r="BS118" s="12" t="n"/>
      <c r="BT118" s="12" t="n"/>
      <c r="BU118" s="12" t="n"/>
      <c r="BV118" s="12" t="n"/>
      <c r="BW118" s="12" t="n"/>
      <c r="BX118" s="12" t="n"/>
      <c r="BY118" s="12" t="n"/>
      <c r="BZ118" s="12" t="n"/>
      <c r="CA118" s="12" t="n"/>
      <c r="CB118" s="12" t="n"/>
      <c r="CC118" s="12" t="n"/>
      <c r="CD118" s="12" t="n"/>
      <c r="CE118" s="12" t="n"/>
      <c r="CF118" s="12" t="n"/>
      <c r="CG118" s="12" t="n"/>
      <c r="CH118" s="12" t="n"/>
      <c r="CI118" s="12" t="n"/>
      <c r="CJ118" s="12" t="n"/>
      <c r="CK118" s="12" t="n"/>
      <c r="CL118" s="12" t="n"/>
      <c r="CM118" s="12" t="n"/>
      <c r="CN118" s="12" t="n"/>
      <c r="CO118" s="12" t="n"/>
      <c r="CP118" s="12" t="n"/>
      <c r="CQ118" s="12" t="n"/>
      <c r="CR118" s="12" t="n"/>
      <c r="CS118" s="12" t="n"/>
      <c r="CT118" s="12" t="n"/>
      <c r="CU118" s="12" t="n"/>
      <c r="CV118" s="12" t="n"/>
      <c r="CW118" s="12" t="n"/>
      <c r="CX118" s="12" t="n"/>
      <c r="CY118" s="12" t="n"/>
    </row>
    <row r="119">
      <c r="C119" s="14" t="inlineStr">
        <is>
          <t>Minority Interest Expense, after tax (enter as - )</t>
        </is>
      </c>
      <c r="D119" s="46" t="n"/>
      <c r="E119" s="46" t="n"/>
      <c r="F119" s="46" t="n"/>
      <c r="G119" s="46" t="n"/>
      <c r="H119" s="12" t="n"/>
      <c r="I119" s="46">
        <f>'Inputs (2)'!D12</f>
        <v>1</v>
      </c>
      <c r="J119" s="46">
        <f>'Inputs (2)'!E12</f>
        <v>0</v>
      </c>
      <c r="K119" s="46">
        <f>'Inputs (2)'!F12</f>
        <v>-11</v>
      </c>
      <c r="L119" s="46">
        <f>'Inputs (2)'!G12</f>
        <v>1</v>
      </c>
      <c r="M119" s="12">
        <f>'Inputs (2)'!H12</f>
        <v>-9</v>
      </c>
      <c r="N119" s="46">
        <f>'Inputs (2)'!I12</f>
        <v>-3</v>
      </c>
      <c r="O119" s="46">
        <f>'Inputs (2)'!J12</f>
        <v>-3</v>
      </c>
      <c r="P119" s="46">
        <f>'Inputs (2)'!K12</f>
        <v>-3</v>
      </c>
      <c r="Q119" s="46">
        <f>'Inputs (2)'!L12</f>
        <v>-4</v>
      </c>
      <c r="R119" s="12">
        <f>'Inputs (2)'!M12</f>
        <v>-13</v>
      </c>
      <c r="S119" s="46">
        <f>'Inputs (2)'!N12</f>
        <v>-2</v>
      </c>
      <c r="T119" s="46">
        <f>'Inputs (2)'!O12</f>
        <v>-3</v>
      </c>
      <c r="U119" s="46">
        <f>'Inputs (2)'!P12</f>
        <v>-4</v>
      </c>
      <c r="V119" s="46">
        <f>'Inputs (2)'!Q12</f>
        <v>-3</v>
      </c>
      <c r="W119" s="12">
        <f>'Inputs (2)'!R12</f>
        <v>-12</v>
      </c>
      <c r="X119" s="46">
        <f>'Inputs (2)'!S12</f>
        <v>-3</v>
      </c>
      <c r="Y119" s="46">
        <f>'Inputs (2)'!T12</f>
        <v>-4</v>
      </c>
      <c r="Z119" s="46">
        <f>'Inputs (2)'!U12</f>
        <v>-4</v>
      </c>
      <c r="AA119" s="46">
        <f>'Inputs (2)'!V12</f>
        <v>-5</v>
      </c>
      <c r="AB119" s="12">
        <f>'Inputs (2)'!W12</f>
        <v>-16</v>
      </c>
      <c r="AC119" s="46">
        <f>'Inputs (2)'!X12</f>
        <v>-5</v>
      </c>
      <c r="AD119" s="46">
        <f>'Inputs (2)'!Y12</f>
        <v>-4</v>
      </c>
      <c r="AE119" s="46">
        <f>'Inputs (2)'!Z12</f>
        <v>-6</v>
      </c>
      <c r="AF119" s="46">
        <f>'Inputs (2)'!AA12</f>
        <v>-6</v>
      </c>
      <c r="AG119" s="12">
        <f>'Inputs (2)'!AB12</f>
        <v>-21</v>
      </c>
      <c r="AH119" s="12">
        <f>'Inputs (2)'!AC12</f>
        <v>-6</v>
      </c>
      <c r="AI119" s="12">
        <f>'Inputs (2)'!AD12</f>
        <v>-8</v>
      </c>
      <c r="AJ119" s="12">
        <f>0</f>
        <v>0</v>
      </c>
      <c r="AK119" s="12">
        <f>0</f>
        <v>0</v>
      </c>
      <c r="AL119" s="12">
        <f>SUM(AH119:AK119)</f>
        <v>-14</v>
      </c>
      <c r="AM119" s="12">
        <f>0</f>
        <v>0</v>
      </c>
      <c r="AN119" s="12">
        <f>0</f>
        <v>0</v>
      </c>
      <c r="AO119" s="12">
        <f>0</f>
        <v>0</v>
      </c>
      <c r="AP119" s="12">
        <f>0</f>
        <v>0</v>
      </c>
      <c r="AQ119" s="12">
        <f>SUM(AM119:AP119)</f>
        <v>0</v>
      </c>
      <c r="AR119" s="12">
        <f>0</f>
        <v>0</v>
      </c>
      <c r="AS119" s="12">
        <f>0</f>
        <v>0</v>
      </c>
      <c r="AT119" s="12">
        <f>0</f>
        <v>0</v>
      </c>
      <c r="AU119" s="12">
        <f>0</f>
        <v>0</v>
      </c>
      <c r="AV119" s="12">
        <f>SUM(AR119:AU119)</f>
        <v>0</v>
      </c>
      <c r="AW119" s="12">
        <f>0</f>
        <v>0</v>
      </c>
      <c r="AX119" s="12">
        <f>0</f>
        <v>0</v>
      </c>
      <c r="AY119" s="12">
        <f>0</f>
        <v>0</v>
      </c>
      <c r="AZ119" s="12">
        <f>0</f>
        <v>0</v>
      </c>
      <c r="BA119" s="12">
        <f>SUM(AW119:AZ119)</f>
        <v>0</v>
      </c>
      <c r="BB119" s="12">
        <f>0</f>
        <v>0</v>
      </c>
      <c r="BC119" s="12">
        <f>0</f>
        <v>0</v>
      </c>
      <c r="BD119" s="12">
        <f>0</f>
        <v>0</v>
      </c>
      <c r="BE119" s="12">
        <f>0</f>
        <v>0</v>
      </c>
      <c r="BF119" s="12">
        <f>SUM(BB119:BE119)</f>
        <v>0</v>
      </c>
      <c r="BG119" s="12" t="n"/>
      <c r="BH119" s="12" t="n"/>
      <c r="BI119" s="12" t="n"/>
      <c r="BJ119" s="12" t="n"/>
      <c r="BK119" s="12" t="n"/>
      <c r="BL119" s="12" t="n"/>
      <c r="BM119" s="12" t="n"/>
      <c r="BN119" s="12" t="n"/>
      <c r="BO119" s="12" t="n"/>
      <c r="BP119" s="12" t="n"/>
      <c r="BQ119" s="12" t="n"/>
      <c r="BR119" s="12" t="n"/>
      <c r="BS119" s="12" t="n"/>
      <c r="BT119" s="12" t="n"/>
      <c r="BU119" s="12" t="n"/>
      <c r="BV119" s="12" t="n"/>
      <c r="BW119" s="12" t="n"/>
      <c r="BX119" s="12" t="n"/>
      <c r="BY119" s="12" t="n"/>
      <c r="BZ119" s="12" t="n"/>
      <c r="CA119" s="12" t="n"/>
      <c r="CB119" s="12" t="n"/>
      <c r="CC119" s="12" t="n"/>
      <c r="CD119" s="12" t="n"/>
      <c r="CE119" s="12" t="n"/>
      <c r="CF119" s="12" t="n"/>
      <c r="CG119" s="12" t="n"/>
      <c r="CH119" s="12" t="n"/>
      <c r="CI119" s="12" t="n"/>
      <c r="CJ119" s="12" t="n"/>
      <c r="CK119" s="12" t="n"/>
      <c r="CL119" s="12" t="n"/>
      <c r="CM119" s="12" t="n"/>
      <c r="CN119" s="12" t="n"/>
      <c r="CO119" s="12" t="n"/>
      <c r="CP119" s="12" t="n"/>
      <c r="CQ119" s="12" t="n"/>
      <c r="CR119" s="12" t="n"/>
      <c r="CS119" s="12" t="n"/>
      <c r="CT119" s="12" t="n"/>
      <c r="CU119" s="12" t="n"/>
      <c r="CV119" s="12" t="n"/>
      <c r="CW119" s="12" t="n"/>
      <c r="CX119" s="12" t="n"/>
      <c r="CY119" s="12" t="n"/>
    </row>
    <row r="120" customFormat="1" s="32">
      <c r="A120" s="30" t="n"/>
      <c r="B120" s="3" t="n"/>
      <c r="C120" s="33" t="inlineStr">
        <is>
          <t>Net Income</t>
        </is>
      </c>
      <c r="D120" s="35" t="n"/>
      <c r="E120" s="35" t="n"/>
      <c r="F120" s="35" t="n"/>
      <c r="G120" s="35" t="n"/>
      <c r="H120" s="35" t="n"/>
      <c r="I120" s="35">
        <f>SUM(I113,I114,I118,I119)</f>
        <v>1828</v>
      </c>
      <c r="J120" s="35">
        <f>SUM(J113,J114,J118,J119)</f>
        <v>2066</v>
      </c>
      <c r="K120" s="35">
        <f>SUM(K113,K114,K118,K119)</f>
        <v>2414</v>
      </c>
      <c r="L120" s="35">
        <f>SUM(L113,L114,L118,L119)</f>
        <v>2379</v>
      </c>
      <c r="M120" s="35">
        <f>SUM(I120:L120)</f>
        <v>8687</v>
      </c>
      <c r="N120" s="35">
        <f>SUM(N113,N114,N118,N119)</f>
        <v>2631</v>
      </c>
      <c r="O120" s="35">
        <f>SUM(O113,O114,O118,O119)</f>
        <v>2275</v>
      </c>
      <c r="P120" s="35">
        <f>SUM(P113,P114,P118,P119)</f>
        <v>2499</v>
      </c>
      <c r="Q120" s="35">
        <f>SUM(Q113,Q114,Q118,Q119)</f>
        <v>2525</v>
      </c>
      <c r="R120" s="35">
        <f>SUM(N120:Q120)</f>
        <v>9930</v>
      </c>
      <c r="S120" s="35">
        <f>SUM(S113,S114,S118,S119)</f>
        <v>2361</v>
      </c>
      <c r="T120" s="35">
        <f>SUM(T113,T114,T118,T119)</f>
        <v>2845</v>
      </c>
      <c r="U120" s="35">
        <f>SUM(U113,U114,U118,U119)</f>
        <v>3198</v>
      </c>
      <c r="V120" s="35">
        <f>SUM(V113,V114,V118,V119)</f>
        <v>2791</v>
      </c>
      <c r="W120" s="35">
        <f>SUM(S120:V120)</f>
        <v>11195</v>
      </c>
      <c r="X120" s="35">
        <f>SUM(X113,X114,X118,X119)</f>
        <v>3011</v>
      </c>
      <c r="Y120" s="35">
        <f>SUM(Y113,Y114,Y118,Y119)</f>
        <v>3258</v>
      </c>
      <c r="Z120" s="35">
        <f>SUM(Z113,Z114,Z118,Z119)</f>
        <v>3263</v>
      </c>
      <c r="AA120" s="35">
        <f>SUM(AA113,AA114,AA118,AA119)</f>
        <v>3342</v>
      </c>
      <c r="AB120" s="35">
        <f>SUM(X120:AA120)</f>
        <v>12874</v>
      </c>
      <c r="AC120" s="35">
        <f>SUM(AC113,AC114,AC118,AC119)</f>
        <v>3280</v>
      </c>
      <c r="AD120" s="35">
        <f>SUM(AD113,AD114,AD118,AD119)</f>
        <v>3701</v>
      </c>
      <c r="AE120" s="35">
        <f>SUM(AE113,AE114,AE118,AE119)</f>
        <v>3927</v>
      </c>
      <c r="AF120" s="35">
        <f>SUM(AF113,AF114,AF118,AF119)</f>
        <v>4060</v>
      </c>
      <c r="AG120" s="35">
        <f>SUM(AC120:AF120)</f>
        <v>14968</v>
      </c>
      <c r="AH120" s="35">
        <f>SUM(AH113,AH114,AH118,AH119)</f>
        <v>3882</v>
      </c>
      <c r="AI120" s="35">
        <f>SUM(AI113,AI114,AI118,AI119)</f>
        <v>4388</v>
      </c>
      <c r="AJ120" s="35">
        <f>SUM(AJ113,AJ114,AJ118,AJ119)</f>
        <v>4767.78480620795</v>
      </c>
      <c r="AK120" s="35">
        <f>SUM(AK113,AK114,AK118,AK119)</f>
        <v>4880.8548016121</v>
      </c>
      <c r="AL120" s="35">
        <f>SUM(AH120:AK120)</f>
        <v>17918.6396078201</v>
      </c>
      <c r="AM120" s="35">
        <f>SUM(AM113,AM114,AM118,AM119)</f>
        <v>4654.71481080381</v>
      </c>
      <c r="AN120" s="35">
        <f>SUM(AN113,AN114,AN118,AN119)</f>
        <v>5141.91346747166</v>
      </c>
      <c r="AO120" s="35">
        <f>SUM(AO113,AO114,AO118,AO119)</f>
        <v>5524.78621056731</v>
      </c>
      <c r="AP120" s="35">
        <f>SUM(AP113,AP114,AP118,AP119)</f>
        <v>5655.80880844637</v>
      </c>
      <c r="AQ120" s="35">
        <f>SUM(AM120:AP120)</f>
        <v>20977.2232972891</v>
      </c>
      <c r="AR120" s="35">
        <f>SUM(AR113,AR114,AR118,AR119)</f>
        <v>5370.49003863422</v>
      </c>
      <c r="AS120" s="35">
        <f>SUM(AS113,AS114,AS118,AS119)</f>
        <v>5932.60729797686</v>
      </c>
      <c r="AT120" s="35">
        <f>SUM(AT113,AT114,AT118,AT119)</f>
        <v>6374.35600577893</v>
      </c>
      <c r="AU120" s="35">
        <f>SUM(AU113,AU114,AU118,AU119)</f>
        <v>6525.52650393969</v>
      </c>
      <c r="AV120" s="35">
        <f>SUM(AR120:AU120)</f>
        <v>24202.9798463297</v>
      </c>
      <c r="AW120" s="35">
        <f>SUM(AW113,AW114,AW118,AW119)</f>
        <v>6169.48060723182</v>
      </c>
      <c r="AX120" s="35">
        <f>SUM(AX113,AX114,AX118,AX119)</f>
        <v>6815.2264340664</v>
      </c>
      <c r="AY120" s="35">
        <f>SUM(AY113,AY114,AY118,AY119)</f>
        <v>7322.69596970447</v>
      </c>
      <c r="AZ120" s="35">
        <f>SUM(AZ113,AZ114,AZ118,AZ119)</f>
        <v>7496.35674368955</v>
      </c>
      <c r="BA120" s="35">
        <f>SUM(AW120:AZ120)</f>
        <v>27803.7597546922</v>
      </c>
      <c r="BB120" s="35">
        <f>SUM(BB113,BB114,BB118,BB119)</f>
        <v>7056.4929866109</v>
      </c>
      <c r="BC120" s="35">
        <f>SUM(BC113,BC114,BC118,BC119)</f>
        <v>7795.08042829118</v>
      </c>
      <c r="BD120" s="35">
        <f>SUM(BD113,BD114,BD118,BD119)</f>
        <v>8375.51101023533</v>
      </c>
      <c r="BE120" s="35">
        <f>SUM(BE113,BE114,BE118,BE119)</f>
        <v>8574.13972984566</v>
      </c>
      <c r="BF120" s="35">
        <f>SUM(BB120:BE120)</f>
        <v>31801.2241549831</v>
      </c>
      <c r="BG120" s="35" t="n"/>
      <c r="BH120" s="35" t="n"/>
      <c r="BI120" s="35" t="n"/>
      <c r="BJ120" s="35" t="n"/>
      <c r="BK120" s="35" t="n"/>
      <c r="BL120" s="35" t="n"/>
      <c r="BM120" s="35" t="n"/>
      <c r="BN120" s="35" t="n"/>
      <c r="BO120" s="35" t="n"/>
      <c r="BP120" s="35" t="n"/>
      <c r="BQ120" s="35" t="n"/>
      <c r="BR120" s="35" t="n"/>
      <c r="BS120" s="35" t="n"/>
      <c r="BT120" s="35" t="n"/>
      <c r="BU120" s="35" t="n"/>
      <c r="BV120" s="35" t="n"/>
      <c r="BW120" s="35" t="n"/>
      <c r="BX120" s="35" t="n"/>
      <c r="BY120" s="35" t="n"/>
      <c r="BZ120" s="35" t="n"/>
      <c r="CA120" s="35" t="n"/>
      <c r="CB120" s="35" t="n"/>
      <c r="CC120" s="35" t="n"/>
      <c r="CD120" s="35" t="n"/>
      <c r="CE120" s="35" t="n"/>
      <c r="CF120" s="35" t="n"/>
      <c r="CG120" s="35" t="n"/>
      <c r="CH120" s="35" t="n"/>
      <c r="CI120" s="35" t="n"/>
      <c r="CJ120" s="35" t="n"/>
      <c r="CK120" s="35" t="n"/>
      <c r="CL120" s="35" t="n"/>
      <c r="CM120" s="35" t="n"/>
      <c r="CN120" s="35" t="n"/>
      <c r="CO120" s="35" t="n"/>
      <c r="CP120" s="35" t="n"/>
      <c r="CQ120" s="35" t="n"/>
      <c r="CR120" s="35" t="n"/>
      <c r="CS120" s="35" t="n"/>
      <c r="CT120" s="35" t="n"/>
      <c r="CU120" s="35" t="n"/>
      <c r="CV120" s="35" t="n"/>
      <c r="CW120" s="35" t="n"/>
      <c r="CX120" s="35" t="n"/>
      <c r="CY120" s="35" t="n"/>
    </row>
    <row r="121">
      <c r="C121" s="13" t="inlineStr">
        <is>
          <t>Common Dividends</t>
        </is>
      </c>
      <c r="D121" s="46" t="n"/>
      <c r="E121" s="46" t="n"/>
      <c r="F121" s="46" t="n"/>
      <c r="G121" s="46" t="n"/>
      <c r="H121" s="12" t="n"/>
      <c r="I121" s="46">
        <f>'Inputs (2)'!D13</f>
        <v>-439</v>
      </c>
      <c r="J121" s="46">
        <f>'Inputs (2)'!E13</f>
        <v>-434</v>
      </c>
      <c r="K121" s="46">
        <f>'Inputs (2)'!F13</f>
        <v>-434</v>
      </c>
      <c r="L121" s="46">
        <f>'Inputs (2)'!G13</f>
        <v>-434</v>
      </c>
      <c r="M121" s="12">
        <f>'Inputs (2)'!H13</f>
        <v>-1741</v>
      </c>
      <c r="N121" s="46">
        <f>'Inputs (2)'!I13</f>
        <v>-479</v>
      </c>
      <c r="O121" s="46">
        <f>'Inputs (2)'!J13</f>
        <v>-477</v>
      </c>
      <c r="P121" s="46">
        <f>'Inputs (2)'!K13</f>
        <v>-474</v>
      </c>
      <c r="Q121" s="46">
        <f>'Inputs (2)'!L13</f>
        <v>-473</v>
      </c>
      <c r="R121" s="12">
        <f>'Inputs (2)'!M13</f>
        <v>-1903</v>
      </c>
      <c r="S121" s="46">
        <f>'Inputs (2)'!N13</f>
        <v>-545</v>
      </c>
      <c r="T121" s="46">
        <f>'Inputs (2)'!O13</f>
        <v>-541</v>
      </c>
      <c r="U121" s="46">
        <f>'Inputs (2)'!P13</f>
        <v>-538</v>
      </c>
      <c r="V121" s="46">
        <f>'Inputs (2)'!Q13</f>
        <v>-534</v>
      </c>
      <c r="W121" s="12">
        <f>'Inputs (2)'!R13</f>
        <v>-2158</v>
      </c>
      <c r="X121" s="46">
        <f>'Inputs (2)'!S13</f>
        <v>-616</v>
      </c>
      <c r="Y121" s="46">
        <f>'Inputs (2)'!T13</f>
        <v>-615</v>
      </c>
      <c r="Z121" s="46">
        <f>'Inputs (2)'!U13</f>
        <v>-611</v>
      </c>
      <c r="AA121" s="46">
        <f>'Inputs (2)'!V13</f>
        <v>-606</v>
      </c>
      <c r="AB121" s="12">
        <f>'Inputs (2)'!W13</f>
        <v>-2448</v>
      </c>
      <c r="AC121" s="46">
        <f>'Inputs (2)'!X13</f>
        <v>-694</v>
      </c>
      <c r="AD121" s="46">
        <f>'Inputs (2)'!Y13</f>
        <v>-691</v>
      </c>
      <c r="AE121" s="46">
        <f>'Inputs (2)'!Z13</f>
        <v>-687</v>
      </c>
      <c r="AF121" s="46">
        <f>'Inputs (2)'!AA13</f>
        <v>-684</v>
      </c>
      <c r="AG121" s="12">
        <f>'Inputs (2)'!AB13</f>
        <v>-2756</v>
      </c>
      <c r="AH121" s="12">
        <f>'Inputs (2)'!AC13</f>
        <v>-777</v>
      </c>
      <c r="AI121" s="12">
        <f>'Inputs (2)'!AD13</f>
        <v>-771</v>
      </c>
      <c r="AJ121" s="12">
        <f>-MAX(0,AJ120)*Control!$E$15</f>
        <v>0</v>
      </c>
      <c r="AK121" s="12">
        <f>-MAX(0,AK120)*Control!$E$15</f>
        <v>0</v>
      </c>
      <c r="AL121" s="12">
        <f>SUM(AH121:AK121)</f>
        <v>-1548</v>
      </c>
      <c r="AM121" s="12">
        <f>-MAX(0,AM120)*Control!$E$15</f>
        <v>0</v>
      </c>
      <c r="AN121" s="12">
        <f>-MAX(0,AN120)*Control!$E$15</f>
        <v>0</v>
      </c>
      <c r="AO121" s="12">
        <f>-MAX(0,AO120)*Control!$E$15</f>
        <v>0</v>
      </c>
      <c r="AP121" s="12">
        <f>-MAX(0,AP120)*Control!$E$15</f>
        <v>0</v>
      </c>
      <c r="AQ121" s="12">
        <f>SUM(AM121:AP121)</f>
        <v>0</v>
      </c>
      <c r="AR121" s="12">
        <f>-MAX(0,AR120)*Control!$E$15</f>
        <v>0</v>
      </c>
      <c r="AS121" s="12">
        <f>-MAX(0,AS120)*Control!$E$15</f>
        <v>0</v>
      </c>
      <c r="AT121" s="12">
        <f>-MAX(0,AT120)*Control!$E$15</f>
        <v>0</v>
      </c>
      <c r="AU121" s="12">
        <f>-MAX(0,AU120)*Control!$E$15</f>
        <v>0</v>
      </c>
      <c r="AV121" s="12">
        <f>SUM(AR121:AU121)</f>
        <v>0</v>
      </c>
      <c r="AW121" s="12">
        <f>-MAX(0,AW120)*Control!$E$15</f>
        <v>0</v>
      </c>
      <c r="AX121" s="12">
        <f>-MAX(0,AX120)*Control!$E$15</f>
        <v>0</v>
      </c>
      <c r="AY121" s="12">
        <f>-MAX(0,AY120)*Control!$E$15</f>
        <v>0</v>
      </c>
      <c r="AZ121" s="12">
        <f>-MAX(0,AZ120)*Control!$E$15</f>
        <v>0</v>
      </c>
      <c r="BA121" s="12">
        <f>SUM(AW121:AZ121)</f>
        <v>0</v>
      </c>
      <c r="BB121" s="12">
        <f>-MAX(0,BB120)*Control!$E$15</f>
        <v>0</v>
      </c>
      <c r="BC121" s="12">
        <f>-MAX(0,BC120)*Control!$E$15</f>
        <v>0</v>
      </c>
      <c r="BD121" s="12">
        <f>-MAX(0,BD120)*Control!$E$15</f>
        <v>0</v>
      </c>
      <c r="BE121" s="12">
        <f>-MAX(0,BE120)*Control!$E$15</f>
        <v>0</v>
      </c>
      <c r="BF121" s="12">
        <f>SUM(BB121:BE121)</f>
        <v>0</v>
      </c>
      <c r="BG121" s="12" t="n"/>
      <c r="BH121" s="12" t="n"/>
      <c r="BI121" s="12" t="n"/>
      <c r="BJ121" s="12" t="n"/>
      <c r="BK121" s="12" t="n"/>
      <c r="BL121" s="12" t="n"/>
      <c r="BM121" s="12" t="n"/>
      <c r="BN121" s="12" t="n"/>
      <c r="BO121" s="12" t="n"/>
      <c r="BP121" s="12" t="n"/>
      <c r="BQ121" s="12" t="n"/>
      <c r="BR121" s="12" t="n"/>
      <c r="BS121" s="12" t="n"/>
      <c r="BT121" s="12" t="n"/>
      <c r="BU121" s="12" t="n"/>
      <c r="BV121" s="12" t="n"/>
      <c r="BW121" s="12" t="n"/>
      <c r="BX121" s="12" t="n"/>
      <c r="BY121" s="12" t="n"/>
      <c r="BZ121" s="12" t="n"/>
      <c r="CA121" s="12" t="n"/>
      <c r="CB121" s="12" t="n"/>
      <c r="CC121" s="12" t="n"/>
      <c r="CD121" s="12" t="n"/>
      <c r="CE121" s="12" t="n"/>
      <c r="CF121" s="12" t="n"/>
      <c r="CG121" s="12" t="n"/>
      <c r="CH121" s="12" t="n"/>
      <c r="CI121" s="12" t="n"/>
      <c r="CJ121" s="12" t="n"/>
      <c r="CK121" s="12" t="n"/>
      <c r="CL121" s="12" t="n"/>
      <c r="CM121" s="12" t="n"/>
      <c r="CN121" s="12" t="n"/>
      <c r="CO121" s="12" t="n"/>
      <c r="CP121" s="12" t="n"/>
      <c r="CQ121" s="12" t="n"/>
      <c r="CR121" s="12" t="n"/>
      <c r="CS121" s="12" t="n"/>
      <c r="CT121" s="12" t="n"/>
      <c r="CU121" s="12" t="n"/>
      <c r="CV121" s="12" t="n"/>
      <c r="CW121" s="12" t="n"/>
      <c r="CX121" s="12" t="n"/>
      <c r="CY121" s="12" t="n"/>
    </row>
    <row r="122" hidden="1" outlineLevel="1">
      <c r="C122" s="50" t="inlineStr">
        <is>
          <t>% DVD Payout</t>
        </is>
      </c>
      <c r="D122" s="58" t="n"/>
      <c r="E122" s="58" t="n"/>
      <c r="F122" s="58" t="n"/>
      <c r="G122" s="58" t="n"/>
      <c r="H122" s="58" t="n"/>
      <c r="I122" s="58">
        <f>IF(I120=0,"",-I121/I120)</f>
        <v>0.240153172866521</v>
      </c>
      <c r="J122" s="58">
        <f>IF(J120=0,"",-J121/J120)</f>
        <v>0.210067763794773</v>
      </c>
      <c r="K122" s="58">
        <f>IF(K120=0,"",-K121/K120)</f>
        <v>0.179784589892295</v>
      </c>
      <c r="L122" s="58">
        <f>IF(L120=0,"",-L121/L120)</f>
        <v>0.182429592265658</v>
      </c>
      <c r="M122" s="58">
        <f>IF(M120=0,"",-M121/M120)</f>
        <v>0.200414412340279</v>
      </c>
      <c r="N122" s="58">
        <f>IF(N120=0,"",-N121/N120)</f>
        <v>0.182060053211707</v>
      </c>
      <c r="O122" s="58">
        <f>IF(O120=0,"",-O121/O120)</f>
        <v>0.20967032967033</v>
      </c>
      <c r="P122" s="58">
        <f>IF(P120=0,"",-P121/P120)</f>
        <v>0.189675870348139</v>
      </c>
      <c r="Q122" s="58">
        <f>IF(Q120=0,"",-Q121/Q120)</f>
        <v>0.187326732673267</v>
      </c>
      <c r="R122" s="58">
        <f>IF(R120=0,"",-R121/R120)</f>
        <v>0.191641490433031</v>
      </c>
      <c r="S122" s="58">
        <f>IF(S120=0,"",-S121/S120)</f>
        <v>0.230834392206692</v>
      </c>
      <c r="T122" s="58">
        <f>IF(T120=0,"",-T121/T120)</f>
        <v>0.190158172231986</v>
      </c>
      <c r="U122" s="58">
        <f>IF(U120=0,"",-U121/U120)</f>
        <v>0.1682301438399</v>
      </c>
      <c r="V122" s="58">
        <f>IF(V120=0,"",-V121/V120)</f>
        <v>0.191329272662128</v>
      </c>
      <c r="W122" s="58">
        <f>IF(W120=0,"",-W121/W120)</f>
        <v>0.192764627065654</v>
      </c>
      <c r="X122" s="58">
        <f>IF(X120=0,"",-X121/X120)</f>
        <v>0.204583194951843</v>
      </c>
      <c r="Y122" s="58">
        <f>IF(Y120=0,"",-Y121/Y120)</f>
        <v>0.188766114180479</v>
      </c>
      <c r="Z122" s="58">
        <f>IF(Z120=0,"",-Z121/Z120)</f>
        <v>0.187250996015936</v>
      </c>
      <c r="AA122" s="58">
        <f>IF(AA120=0,"",-AA121/AA120)</f>
        <v>0.18132854578097</v>
      </c>
      <c r="AB122" s="58">
        <f>IF(AB120=0,"",-AB121/AB120)</f>
        <v>0.19015069131583</v>
      </c>
      <c r="AC122" s="58">
        <f>IF(AC120=0,"",-AC121/AC120)</f>
        <v>0.211585365853659</v>
      </c>
      <c r="AD122" s="58">
        <f>IF(AD120=0,"",-AD121/AD120)</f>
        <v>0.186706295595785</v>
      </c>
      <c r="AE122" s="58">
        <f>IF(AE120=0,"",-AE121/AE120)</f>
        <v>0.174942704354469</v>
      </c>
      <c r="AF122" s="41">
        <f>IF(AF120=0,"",-AF121/AF120)</f>
        <v>0.168472906403941</v>
      </c>
      <c r="AG122" s="12">
        <f>IF(AG120=0,"",-AG121/AG120)</f>
        <v>0.18412613575628</v>
      </c>
      <c r="AH122" s="41">
        <f>IF(AH120=0,"",-AH121/AH120)</f>
        <v>0.20015455950541</v>
      </c>
      <c r="AI122" s="41">
        <f>IF(AI120=0,"",-AI121/AI120)</f>
        <v>0.175706472196901</v>
      </c>
      <c r="AJ122" s="41">
        <f>IF(AJ120=0,"",-AJ121/AJ120)</f>
        <v>0</v>
      </c>
      <c r="AK122" s="41">
        <f>IF(AK120=0,"",-AK121/AK120)</f>
        <v>0</v>
      </c>
      <c r="AL122" s="12">
        <f>IF(AL120=0,"",-AL121/AL120)</f>
        <v>0.0863904868829675</v>
      </c>
      <c r="AM122" s="41">
        <f>IF(AM120=0,"",-AM121/AM120)</f>
        <v>0</v>
      </c>
      <c r="AN122" s="41">
        <f>IF(AN120=0,"",-AN121/AN120)</f>
        <v>0</v>
      </c>
      <c r="AO122" s="41">
        <f>IF(AO120=0,"",-AO121/AO120)</f>
        <v>0</v>
      </c>
      <c r="AP122" s="41">
        <f>IF(AP120=0,"",-AP121/AP120)</f>
        <v>0</v>
      </c>
      <c r="AQ122" s="12">
        <f>IF(AQ120=0,"",-AQ121/AQ120)</f>
        <v>0</v>
      </c>
      <c r="AR122" s="41">
        <f>IF(AR120=0,"",-AR121/AR120)</f>
        <v>0</v>
      </c>
      <c r="AS122" s="41">
        <f>IF(AS120=0,"",-AS121/AS120)</f>
        <v>0</v>
      </c>
      <c r="AT122" s="41">
        <f>IF(AT120=0,"",-AT121/AT120)</f>
        <v>0</v>
      </c>
      <c r="AU122" s="41">
        <f>IF(AU120=0,"",-AU121/AU120)</f>
        <v>0</v>
      </c>
      <c r="AV122" s="12">
        <f>IF(AV120=0,"",-AV121/AV120)</f>
        <v>0</v>
      </c>
      <c r="AW122" s="41">
        <f>IF(AW120=0,"",-AW121/AW120)</f>
        <v>0</v>
      </c>
      <c r="AX122" s="41">
        <f>IF(AX120=0,"",-AX121/AX120)</f>
        <v>0</v>
      </c>
      <c r="AY122" s="41">
        <f>IF(AY120=0,"",-AY121/AY120)</f>
        <v>0</v>
      </c>
      <c r="AZ122" s="41">
        <f>IF(AZ120=0,"",-AZ121/AZ120)</f>
        <v>0</v>
      </c>
      <c r="BA122" s="12">
        <f>IF(BA120=0,"",-BA121/BA120)</f>
        <v>0</v>
      </c>
      <c r="BB122" s="41">
        <f>IF(BB120=0,"",-BB121/BB120)</f>
        <v>0</v>
      </c>
      <c r="BC122" s="41">
        <f>IF(BC120=0,"",-BC121/BC120)</f>
        <v>0</v>
      </c>
      <c r="BD122" s="41">
        <f>IF(BD120=0,"",-BD121/BD120)</f>
        <v>0</v>
      </c>
      <c r="BE122" s="41">
        <f>IF(BE120=0,"",-BE121/BE120)</f>
        <v>0</v>
      </c>
      <c r="BF122" s="12">
        <f>IF(BF120=0,"",-BF121/BF120)</f>
        <v>0</v>
      </c>
      <c r="BG122" s="41" t="n"/>
      <c r="BH122" s="41" t="n"/>
      <c r="BI122" s="41" t="n"/>
      <c r="BJ122" s="41" t="n"/>
      <c r="BK122" s="12" t="n"/>
      <c r="BL122" s="41" t="n"/>
      <c r="BM122" s="41" t="n"/>
      <c r="BN122" s="41" t="n"/>
      <c r="BO122" s="41" t="n"/>
      <c r="BP122" s="12" t="n"/>
      <c r="BQ122" s="41" t="n"/>
      <c r="BR122" s="41" t="n"/>
      <c r="BS122" s="41" t="n"/>
      <c r="BT122" s="41" t="n"/>
      <c r="BU122" s="12" t="n"/>
      <c r="BV122" s="41" t="n"/>
      <c r="BW122" s="41" t="n"/>
      <c r="BX122" s="41" t="n"/>
      <c r="BY122" s="41" t="n"/>
      <c r="BZ122" s="12" t="n"/>
      <c r="CA122" s="41" t="n"/>
      <c r="CB122" s="41" t="n"/>
      <c r="CC122" s="41" t="n"/>
      <c r="CD122" s="41" t="n"/>
      <c r="CE122" s="12" t="n"/>
      <c r="CF122" s="41" t="n"/>
      <c r="CG122" s="41" t="n"/>
      <c r="CH122" s="41" t="n"/>
      <c r="CI122" s="41" t="n"/>
      <c r="CJ122" s="12" t="n"/>
      <c r="CK122" s="41" t="n"/>
      <c r="CL122" s="41" t="n"/>
      <c r="CM122" s="41" t="n"/>
      <c r="CN122" s="41" t="n"/>
      <c r="CO122" s="12" t="n"/>
      <c r="CP122" s="41" t="n"/>
      <c r="CQ122" s="41" t="n"/>
      <c r="CR122" s="41" t="n"/>
      <c r="CS122" s="41" t="n"/>
      <c r="CT122" s="12" t="n"/>
      <c r="CU122" s="41" t="n"/>
      <c r="CV122" s="41" t="n"/>
      <c r="CW122" s="41" t="n"/>
      <c r="CX122" s="41" t="n"/>
      <c r="CY122" s="12" t="n"/>
    </row>
    <row r="123" hidden="1" outlineLevel="1">
      <c r="C123" s="18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  <c r="AA123" s="3" t="n"/>
      <c r="AB123" s="3" t="n"/>
      <c r="AC123" s="3" t="n"/>
      <c r="AD123" s="3" t="n"/>
      <c r="AE123" s="3" t="n"/>
      <c r="AF123" s="3" t="n"/>
      <c r="AG123" s="3" t="n"/>
      <c r="AH123" s="3" t="n"/>
      <c r="AI123" s="3" t="n"/>
      <c r="AJ123" s="3" t="n"/>
      <c r="AK123" s="3" t="n"/>
      <c r="AL123" s="3" t="n"/>
      <c r="AM123" s="3" t="n"/>
      <c r="AN123" s="3" t="n"/>
      <c r="AO123" s="3" t="n"/>
      <c r="AP123" s="3" t="n"/>
      <c r="AQ123" s="3" t="n"/>
      <c r="AR123" s="3" t="n"/>
      <c r="AS123" s="3" t="n"/>
      <c r="AT123" s="3" t="n"/>
      <c r="AU123" s="3" t="n"/>
      <c r="AV123" s="3" t="n"/>
      <c r="AW123" s="3" t="n"/>
      <c r="AX123" s="3" t="n"/>
      <c r="AY123" s="3" t="n"/>
      <c r="AZ123" s="3" t="n"/>
      <c r="BA123" s="3" t="n"/>
      <c r="BB123" s="3" t="n"/>
      <c r="BC123" s="3" t="n"/>
      <c r="BD123" s="3" t="n"/>
      <c r="BE123" s="3" t="n"/>
      <c r="BF123" s="3" t="n"/>
      <c r="BG123" s="3" t="n"/>
      <c r="BH123" s="3" t="n"/>
      <c r="BI123" s="3" t="n"/>
      <c r="BJ123" s="3" t="n"/>
      <c r="BK123" s="3" t="n"/>
      <c r="BL123" s="3" t="n"/>
      <c r="BM123" s="3" t="n"/>
      <c r="BN123" s="3" t="n"/>
      <c r="BO123" s="3" t="n"/>
      <c r="BP123" s="3" t="n"/>
      <c r="BQ123" s="3" t="n"/>
      <c r="BR123" s="3" t="n"/>
      <c r="BS123" s="3" t="n"/>
      <c r="BT123" s="3" t="n"/>
      <c r="BU123" s="3" t="n"/>
      <c r="BV123" s="3" t="n"/>
      <c r="BW123" s="3" t="n"/>
      <c r="BX123" s="3" t="n"/>
      <c r="BY123" s="3" t="n"/>
      <c r="BZ123" s="3" t="n"/>
      <c r="CA123" s="3" t="n"/>
      <c r="CB123" s="3" t="n"/>
      <c r="CC123" s="3" t="n"/>
      <c r="CD123" s="3" t="n"/>
      <c r="CE123" s="3" t="n"/>
      <c r="CF123" s="3" t="n"/>
      <c r="CG123" s="3" t="n"/>
      <c r="CH123" s="3" t="n"/>
      <c r="CI123" s="3" t="n"/>
      <c r="CJ123" s="3" t="n"/>
      <c r="CK123" s="3" t="n"/>
      <c r="CL123" s="3" t="n"/>
      <c r="CM123" s="3" t="n"/>
      <c r="CN123" s="3" t="n"/>
      <c r="CO123" s="3" t="n"/>
      <c r="CP123" s="3" t="n"/>
      <c r="CQ123" s="3" t="n"/>
      <c r="CR123" s="3" t="n"/>
      <c r="CS123" s="3" t="n"/>
      <c r="CT123" s="3" t="n"/>
      <c r="CU123" s="3" t="n"/>
      <c r="CV123" s="3" t="n"/>
      <c r="CW123" s="3" t="n"/>
      <c r="CX123" s="3" t="n"/>
      <c r="CY123" s="3" t="n"/>
    </row>
    <row r="124" hidden="1" outlineLevel="1">
      <c r="C124" s="18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  <c r="AA124" s="3" t="n"/>
      <c r="AB124" s="3" t="n"/>
      <c r="AC124" s="3" t="n"/>
      <c r="AD124" s="3" t="n"/>
      <c r="AE124" s="3" t="n"/>
      <c r="AF124" s="3" t="n"/>
      <c r="AG124" s="3" t="n"/>
      <c r="AH124" s="3" t="n"/>
      <c r="AI124" s="3" t="n"/>
      <c r="AJ124" s="3" t="n"/>
      <c r="AK124" s="3" t="n"/>
      <c r="AL124" s="3" t="n"/>
      <c r="AM124" s="3" t="n"/>
      <c r="AN124" s="3" t="n"/>
      <c r="AO124" s="3" t="n"/>
      <c r="AP124" s="3" t="n"/>
      <c r="AQ124" s="3" t="n"/>
      <c r="AR124" s="3" t="n"/>
      <c r="AS124" s="3" t="n"/>
      <c r="AT124" s="3" t="n"/>
      <c r="AU124" s="3" t="n"/>
      <c r="AV124" s="3" t="n"/>
      <c r="AW124" s="3" t="n"/>
      <c r="AX124" s="3" t="n"/>
      <c r="AY124" s="3" t="n"/>
      <c r="AZ124" s="3" t="n"/>
      <c r="BA124" s="3" t="n"/>
      <c r="BB124" s="3" t="n"/>
      <c r="BC124" s="3" t="n"/>
      <c r="BD124" s="3" t="n"/>
      <c r="BE124" s="3" t="n"/>
      <c r="BF124" s="3" t="n"/>
      <c r="BG124" s="3" t="n"/>
      <c r="BH124" s="3" t="n"/>
      <c r="BI124" s="3" t="n"/>
      <c r="BJ124" s="3" t="n"/>
      <c r="BK124" s="3" t="n"/>
      <c r="BL124" s="3" t="n"/>
      <c r="BM124" s="3" t="n"/>
      <c r="BN124" s="3" t="n"/>
      <c r="BO124" s="3" t="n"/>
      <c r="BP124" s="3" t="n"/>
      <c r="BQ124" s="3" t="n"/>
      <c r="BR124" s="3" t="n"/>
      <c r="BS124" s="3" t="n"/>
      <c r="BT124" s="3" t="n"/>
      <c r="BU124" s="3" t="n"/>
      <c r="BV124" s="3" t="n"/>
      <c r="BW124" s="3" t="n"/>
      <c r="BX124" s="3" t="n"/>
      <c r="BY124" s="3" t="n"/>
      <c r="BZ124" s="3" t="n"/>
      <c r="CA124" s="3" t="n"/>
      <c r="CB124" s="3" t="n"/>
      <c r="CC124" s="3" t="n"/>
      <c r="CD124" s="3" t="n"/>
      <c r="CE124" s="3" t="n"/>
      <c r="CF124" s="3" t="n"/>
      <c r="CG124" s="3" t="n"/>
      <c r="CH124" s="3" t="n"/>
      <c r="CI124" s="3" t="n"/>
      <c r="CJ124" s="3" t="n"/>
      <c r="CK124" s="3" t="n"/>
      <c r="CL124" s="3" t="n"/>
      <c r="CM124" s="3" t="n"/>
      <c r="CN124" s="3" t="n"/>
      <c r="CO124" s="3" t="n"/>
      <c r="CP124" s="3" t="n"/>
      <c r="CQ124" s="3" t="n"/>
      <c r="CR124" s="3" t="n"/>
      <c r="CS124" s="3" t="n"/>
      <c r="CT124" s="3" t="n"/>
      <c r="CU124" s="3" t="n"/>
      <c r="CV124" s="3" t="n"/>
      <c r="CW124" s="3" t="n"/>
      <c r="CX124" s="3" t="n"/>
      <c r="CY124" s="3" t="n"/>
    </row>
    <row r="125" collapsed="1" ht="11.25" customHeight="1">
      <c r="C125" s="31" t="inlineStr">
        <is>
          <t>Balance Sheet</t>
        </is>
      </c>
      <c r="D125" s="31" t="n"/>
      <c r="E125" s="31" t="n"/>
      <c r="F125" s="31" t="n"/>
      <c r="G125" s="31" t="n"/>
      <c r="H125" s="31" t="n"/>
      <c r="I125" s="31" t="str">
        <f>I13</f>
        <v>1Q21</v>
      </c>
      <c r="J125" s="31" t="str">
        <f>J13</f>
        <v>2Q21</v>
      </c>
      <c r="K125" s="31" t="str">
        <f>K13</f>
        <v>3Q21</v>
      </c>
      <c r="L125" s="31" t="str">
        <f>L13</f>
        <v>4Q21</v>
      </c>
      <c r="M125" s="31">
        <f>M13</f>
        <v>2021</v>
      </c>
      <c r="N125" s="31" t="str">
        <f>N13</f>
        <v>1Q22</v>
      </c>
      <c r="O125" s="31" t="str">
        <f>O13</f>
        <v>2Q22</v>
      </c>
      <c r="P125" s="31" t="str">
        <f>P13</f>
        <v>3Q22</v>
      </c>
      <c r="Q125" s="31" t="str">
        <f>Q13</f>
        <v>4Q22</v>
      </c>
      <c r="R125" s="31">
        <f>R13</f>
        <v>2022</v>
      </c>
      <c r="S125" s="31" t="str">
        <f>S13</f>
        <v>1Q23</v>
      </c>
      <c r="T125" s="31" t="str">
        <f>T13</f>
        <v>2Q23</v>
      </c>
      <c r="U125" s="31" t="str">
        <f>U13</f>
        <v>3Q23</v>
      </c>
      <c r="V125" s="31" t="str">
        <f>V13</f>
        <v>4Q23</v>
      </c>
      <c r="W125" s="31">
        <f>W13</f>
        <v>2023</v>
      </c>
      <c r="X125" s="31" t="str">
        <f>X13</f>
        <v>1Q24</v>
      </c>
      <c r="Y125" s="31" t="str">
        <f>Y13</f>
        <v>2Q24</v>
      </c>
      <c r="Z125" s="31" t="str">
        <f>Z13</f>
        <v>3Q24</v>
      </c>
      <c r="AA125" s="31" t="str">
        <f>AA13</f>
        <v>4Q24</v>
      </c>
      <c r="AB125" s="31">
        <f>AB13</f>
        <v>2024</v>
      </c>
      <c r="AC125" s="31" t="str">
        <f>AC13</f>
        <v>1Q25</v>
      </c>
      <c r="AD125" s="31" t="str">
        <f>AD13</f>
        <v>2Q25</v>
      </c>
      <c r="AE125" s="31" t="str">
        <f>AE13</f>
        <v>3Q25</v>
      </c>
      <c r="AF125" s="31" t="str">
        <f>AF13</f>
        <v>4Q25</v>
      </c>
      <c r="AG125" s="31">
        <f>AG13</f>
        <v>2025</v>
      </c>
      <c r="AH125" s="31" t="str">
        <f>AH13</f>
        <v>1Q26</v>
      </c>
      <c r="AI125" s="31" t="str">
        <f>AI13</f>
        <v>2Q26</v>
      </c>
      <c r="AJ125" s="31" t="str">
        <f>AJ13</f>
        <v>3Q26</v>
      </c>
      <c r="AK125" s="31" t="str">
        <f>AK13</f>
        <v>4Q26</v>
      </c>
      <c r="AL125" s="31">
        <f>AL13</f>
        <v>2026</v>
      </c>
      <c r="AM125" s="31" t="str">
        <f>AM13</f>
        <v>1Q27</v>
      </c>
      <c r="AN125" s="31" t="str">
        <f>AN13</f>
        <v>2Q27</v>
      </c>
      <c r="AO125" s="31" t="str">
        <f>AO13</f>
        <v>3Q27</v>
      </c>
      <c r="AP125" s="31" t="str">
        <f>AP13</f>
        <v>4Q27</v>
      </c>
      <c r="AQ125" s="31">
        <f>AQ13</f>
        <v>2027</v>
      </c>
      <c r="AR125" s="31" t="str">
        <f>AR13</f>
        <v>1Q28</v>
      </c>
      <c r="AS125" s="31" t="str">
        <f>AS13</f>
        <v>2Q28</v>
      </c>
      <c r="AT125" s="31" t="str">
        <f>AT13</f>
        <v>3Q28</v>
      </c>
      <c r="AU125" s="31" t="str">
        <f>AU13</f>
        <v>4Q28</v>
      </c>
      <c r="AV125" s="31">
        <f>AV13</f>
        <v>2028</v>
      </c>
      <c r="AW125" s="31" t="str">
        <f>AW13</f>
        <v>1Q29</v>
      </c>
      <c r="AX125" s="31" t="str">
        <f>AX13</f>
        <v>2Q29</v>
      </c>
      <c r="AY125" s="31" t="str">
        <f>AY13</f>
        <v>3Q29</v>
      </c>
      <c r="AZ125" s="31" t="str">
        <f>AZ13</f>
        <v>4Q29</v>
      </c>
      <c r="BA125" s="31">
        <f>BA13</f>
        <v>2029</v>
      </c>
      <c r="BB125" s="31" t="str">
        <f>BB13</f>
        <v>1Q30</v>
      </c>
      <c r="BC125" s="31" t="str">
        <f>BC13</f>
        <v>2Q30</v>
      </c>
      <c r="BD125" s="31" t="str">
        <f>BD13</f>
        <v>3Q30</v>
      </c>
      <c r="BE125" s="31" t="str">
        <f>BE13</f>
        <v>4Q30</v>
      </c>
      <c r="BF125" s="31">
        <f>BF13</f>
        <v>2030</v>
      </c>
      <c r="BG125" s="31" t="n"/>
      <c r="BH125" s="31" t="n"/>
      <c r="BI125" s="31" t="n"/>
      <c r="BJ125" s="31" t="n"/>
      <c r="BK125" s="31" t="n"/>
      <c r="BL125" s="31" t="n"/>
      <c r="BM125" s="31" t="n"/>
      <c r="BN125" s="31" t="n"/>
      <c r="BO125" s="31" t="n"/>
      <c r="BP125" s="31" t="n"/>
      <c r="BQ125" s="31" t="n"/>
      <c r="BR125" s="31" t="n"/>
      <c r="BS125" s="31" t="n"/>
      <c r="BT125" s="31" t="n"/>
      <c r="BU125" s="31" t="n"/>
      <c r="BV125" s="31" t="n"/>
      <c r="BW125" s="31" t="n"/>
      <c r="BX125" s="31" t="n"/>
      <c r="BY125" s="31" t="n"/>
      <c r="BZ125" s="31" t="n"/>
      <c r="CA125" s="31" t="n"/>
      <c r="CB125" s="31" t="n"/>
      <c r="CC125" s="31" t="n"/>
      <c r="CD125" s="31" t="n"/>
      <c r="CE125" s="31" t="n"/>
      <c r="CF125" s="31" t="n"/>
      <c r="CG125" s="31" t="n"/>
      <c r="CH125" s="31" t="n"/>
      <c r="CI125" s="31" t="n"/>
      <c r="CJ125" s="31" t="n"/>
      <c r="CK125" s="31" t="n"/>
      <c r="CL125" s="31" t="n"/>
      <c r="CM125" s="31" t="n"/>
      <c r="CN125" s="31" t="n"/>
      <c r="CO125" s="31" t="n"/>
      <c r="CP125" s="31" t="n"/>
      <c r="CQ125" s="31" t="n"/>
      <c r="CR125" s="31" t="n"/>
      <c r="CS125" s="31" t="n"/>
      <c r="CT125" s="31" t="n"/>
      <c r="CU125" s="31" t="n"/>
      <c r="CV125" s="31" t="n"/>
      <c r="CW125" s="31" t="n"/>
      <c r="CX125" s="31" t="n"/>
      <c r="CY125" s="31" t="n"/>
    </row>
    <row r="126">
      <c r="C126" s="18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  <c r="AA126" s="3" t="n"/>
      <c r="AB126" s="3" t="n"/>
      <c r="AC126" s="3" t="n"/>
      <c r="AD126" s="3" t="n"/>
      <c r="AE126" s="3" t="n"/>
      <c r="AF126" s="3" t="n"/>
      <c r="AG126" s="3" t="n"/>
      <c r="AH126" s="3" t="n"/>
      <c r="AI126" s="3" t="n"/>
      <c r="AJ126" s="3" t="n"/>
      <c r="AK126" s="3" t="n"/>
      <c r="AL126" s="3" t="n"/>
      <c r="AM126" s="3" t="n"/>
      <c r="AN126" s="3" t="n"/>
      <c r="AO126" s="3" t="n"/>
      <c r="AP126" s="3" t="n"/>
      <c r="AQ126" s="3" t="n"/>
      <c r="AR126" s="3" t="n"/>
      <c r="AS126" s="3" t="n"/>
      <c r="AT126" s="3" t="n"/>
      <c r="AU126" s="3" t="n"/>
      <c r="AV126" s="3" t="n"/>
      <c r="AW126" s="3" t="n"/>
      <c r="AX126" s="3" t="n"/>
      <c r="AY126" s="3" t="n"/>
      <c r="AZ126" s="3" t="n"/>
      <c r="BA126" s="3" t="n"/>
      <c r="BB126" s="3" t="n"/>
      <c r="BC126" s="3" t="n"/>
      <c r="BD126" s="3" t="n"/>
      <c r="BE126" s="3" t="n"/>
      <c r="BF126" s="3" t="n"/>
      <c r="BG126" s="3" t="n"/>
      <c r="BH126" s="3" t="n"/>
      <c r="BI126" s="3" t="n"/>
      <c r="BJ126" s="3" t="n"/>
      <c r="BK126" s="3" t="n"/>
      <c r="BL126" s="3" t="n"/>
      <c r="BM126" s="3" t="n"/>
      <c r="BN126" s="3" t="n"/>
      <c r="BO126" s="3" t="n"/>
      <c r="BP126" s="3" t="n"/>
      <c r="BQ126" s="3" t="n"/>
      <c r="BR126" s="3" t="n"/>
      <c r="BS126" s="3" t="n"/>
      <c r="BT126" s="3" t="n"/>
      <c r="BU126" s="3" t="n"/>
      <c r="BV126" s="3" t="n"/>
      <c r="BW126" s="3" t="n"/>
      <c r="BX126" s="3" t="n"/>
      <c r="BY126" s="3" t="n"/>
      <c r="BZ126" s="3" t="n"/>
      <c r="CA126" s="3" t="n"/>
      <c r="CB126" s="3" t="n"/>
      <c r="CC126" s="3" t="n"/>
      <c r="CD126" s="3" t="n"/>
      <c r="CE126" s="3" t="n"/>
      <c r="CF126" s="3" t="n"/>
      <c r="CG126" s="3" t="n"/>
      <c r="CH126" s="3" t="n"/>
      <c r="CI126" s="3" t="n"/>
      <c r="CJ126" s="3" t="n"/>
      <c r="CK126" s="3" t="n"/>
      <c r="CL126" s="3" t="n"/>
      <c r="CM126" s="3" t="n"/>
      <c r="CN126" s="3" t="n"/>
      <c r="CO126" s="3" t="n"/>
      <c r="CP126" s="3" t="n"/>
      <c r="CQ126" s="3" t="n"/>
      <c r="CR126" s="3" t="n"/>
      <c r="CS126" s="3" t="n"/>
      <c r="CT126" s="3" t="n"/>
      <c r="CU126" s="3" t="n"/>
      <c r="CV126" s="3" t="n"/>
      <c r="CW126" s="3" t="n"/>
      <c r="CX126" s="3" t="n"/>
      <c r="CY126" s="3" t="n"/>
    </row>
    <row r="127">
      <c r="C127" s="13" t="inlineStr">
        <is>
          <t>Cash and equivalents (inc. investment securities)</t>
        </is>
      </c>
      <c r="D127" s="46" t="n"/>
      <c r="E127" s="46" t="n"/>
      <c r="F127" s="46" t="n"/>
      <c r="G127" s="46" t="n"/>
      <c r="H127" s="12" t="n"/>
      <c r="I127" s="46">
        <f>'Inputs (2)'!D15</f>
        <v>7735</v>
      </c>
      <c r="J127" s="46">
        <f>'Inputs (2)'!E15</f>
        <v>6760</v>
      </c>
      <c r="K127" s="46">
        <f>'Inputs (2)'!F15</f>
        <v>6916</v>
      </c>
      <c r="L127" s="46">
        <f>'Inputs (2)'!G15</f>
        <v>7894</v>
      </c>
      <c r="M127" s="12">
        <f>'Inputs (2)'!H15</f>
        <v>7894</v>
      </c>
      <c r="N127" s="46">
        <f>'Inputs (2)'!I15</f>
        <v>7328</v>
      </c>
      <c r="O127" s="46">
        <f>'Inputs (2)'!J15</f>
        <v>6359</v>
      </c>
      <c r="P127" s="46">
        <f>'Inputs (2)'!K15</f>
        <v>8045</v>
      </c>
      <c r="Q127" s="46">
        <f>'Inputs (2)'!L15</f>
        <v>7408</v>
      </c>
      <c r="R127" s="12">
        <f>'Inputs (2)'!M15</f>
        <v>7408</v>
      </c>
      <c r="S127" s="46">
        <f>'Inputs (2)'!N15</f>
        <v>6968</v>
      </c>
      <c r="T127" s="46">
        <f>'Inputs (2)'!O15</f>
        <v>6514</v>
      </c>
      <c r="U127" s="46">
        <f>'Inputs (2)'!P15</f>
        <v>7492</v>
      </c>
      <c r="V127" s="46">
        <f>'Inputs (2)'!Q15</f>
        <v>9180</v>
      </c>
      <c r="W127" s="12">
        <f>'Inputs (2)'!R15</f>
        <v>9180</v>
      </c>
      <c r="X127" s="46">
        <f>'Inputs (2)'!S15</f>
        <v>7657</v>
      </c>
      <c r="Y127" s="46">
        <f>'Inputs (2)'!T15</f>
        <v>7358</v>
      </c>
      <c r="Z127" s="46">
        <f>'Inputs (2)'!U15</f>
        <v>11401</v>
      </c>
      <c r="AA127" s="46">
        <f>'Inputs (2)'!V15</f>
        <v>8772</v>
      </c>
      <c r="AB127" s="12">
        <f>'Inputs (2)'!W15</f>
        <v>8772</v>
      </c>
      <c r="AC127" s="46">
        <f>'Inputs (2)'!X15</f>
        <v>7894</v>
      </c>
      <c r="AD127" s="46">
        <f>'Inputs (2)'!Y15</f>
        <v>9367</v>
      </c>
      <c r="AE127" s="46">
        <f>'Inputs (2)'!Z15</f>
        <v>10648</v>
      </c>
      <c r="AF127" s="46">
        <f>'Inputs (2)'!AA15</f>
        <v>10898</v>
      </c>
      <c r="AG127" s="12">
        <f>'Inputs (2)'!AB15</f>
        <v>10898</v>
      </c>
      <c r="AH127" s="12">
        <f>'Inputs (2)'!AC15</f>
        <v>8219</v>
      </c>
      <c r="AI127" s="12">
        <f>'Inputs (2)'!AD15</f>
        <v>11609</v>
      </c>
      <c r="AJ127" s="12">
        <f>AJ256-SUM(AJ128,AJ132,AJ136,AJ137,AJ138,AJ144,AJ149,AJ159,AJ162,AJ163,AJ172)</f>
        <v>17052.3379512987</v>
      </c>
      <c r="AK127" s="12">
        <f>AK256-SUM(AK128,AK132,AK136,AK137,AK138,AK144,AK149,AK159,AK162,AK163,AK172)</f>
        <v>24125.5095303448</v>
      </c>
      <c r="AL127" s="12">
        <f>AK127</f>
        <v>24125.5095303448</v>
      </c>
      <c r="AM127" s="12">
        <f>AM256-SUM(AM128,AM132,AM136,AM137,AM138,AM144,AM149,AM159,AM162,AM163,AM172)</f>
        <v>31615.5001802618</v>
      </c>
      <c r="AN127" s="12">
        <f>AN256-SUM(AN128,AN132,AN136,AN137,AN138,AN144,AN149,AN159,AN162,AN163,AN172)</f>
        <v>39407.9336728259</v>
      </c>
      <c r="AO127" s="12">
        <f>AO256-SUM(AO128,AO132,AO136,AO137,AO138,AO144,AO149,AO159,AO162,AO163,AO172)</f>
        <v>48212.8810508091</v>
      </c>
      <c r="AP127" s="12">
        <f>AP256-SUM(AP128,AP132,AP136,AP137,AP138,AP144,AP149,AP159,AP162,AP163,AP172)</f>
        <v>57953.1361301587</v>
      </c>
      <c r="AQ127" s="12">
        <f>AP127</f>
        <v>57953.1361301587</v>
      </c>
      <c r="AR127" s="12">
        <f>AR256-SUM(AR128,AR132,AR136,AR137,AR138,AR144,AR149,AR159,AR162,AR163,AR172)</f>
        <v>68333.2598799838</v>
      </c>
      <c r="AS127" s="12">
        <f>AS256-SUM(AS128,AS132,AS136,AS137,AS138,AS144,AS149,AS159,AS162,AS163,AS172)</f>
        <v>79140.1700339935</v>
      </c>
      <c r="AT127" s="12">
        <f>AT256-SUM(AT128,AT132,AT136,AT137,AT138,AT144,AT149,AT159,AT162,AT163,AT172)</f>
        <v>91452.3832182035</v>
      </c>
      <c r="AU127" s="12">
        <f>AU256-SUM(AU128,AU132,AU136,AU137,AU138,AU144,AU149,AU159,AU162,AU163,AU172)</f>
        <v>105153.337652188</v>
      </c>
      <c r="AV127" s="12">
        <f>AU127</f>
        <v>105153.337652188</v>
      </c>
      <c r="AW127" s="12">
        <f>AW256-SUM(AW128,AW132,AW136,AW137,AW138,AW144,AW149,AW159,AW162,AW163,AW172)</f>
        <v>119776.191874347</v>
      </c>
      <c r="AX127" s="12">
        <f>AX256-SUM(AX128,AX132,AX136,AX137,AX138,AX144,AX149,AX159,AX162,AX163,AX172)</f>
        <v>135390.677820109</v>
      </c>
      <c r="AY127" s="12">
        <f>AY256-SUM(AY128,AY132,AY136,AY137,AY138,AY144,AY149,AY159,AY162,AY163,AY172)</f>
        <v>153090.969526467</v>
      </c>
      <c r="AZ127" s="12">
        <f>AZ256-SUM(AZ128,AZ132,AZ136,AZ137,AZ138,AZ144,AZ149,AZ159,AZ162,AZ163,AZ172)</f>
        <v>172878.620581265</v>
      </c>
      <c r="BA127" s="12">
        <f>AZ127</f>
        <v>172878.620581265</v>
      </c>
      <c r="BB127" s="12">
        <f>BB256-SUM(BB128,BB132,BB136,BB137,BB138,BB144,BB149,BB159,BB162,BB163,BB172)</f>
        <v>194123.441234196</v>
      </c>
      <c r="BC127" s="12">
        <f>BC256-SUM(BC128,BC132,BC136,BC137,BC138,BC144,BC149,BC159,BC162,BC163,BC172)</f>
        <v>217063.765908567</v>
      </c>
      <c r="BD127" s="12">
        <f>BD256-SUM(BD128,BD132,BD136,BD137,BD138,BD144,BD149,BD159,BD162,BD163,BD172)</f>
        <v>243065.655574855</v>
      </c>
      <c r="BE127" s="12">
        <f>BE256-SUM(BE128,BE132,BE136,BE137,BE138,BE144,BE149,BE159,BE162,BE163,BE172)</f>
        <v>272219.933639446</v>
      </c>
      <c r="BF127" s="12">
        <f>BE127</f>
        <v>272219.933639446</v>
      </c>
      <c r="BG127" s="12" t="n"/>
      <c r="BH127" s="12" t="n"/>
      <c r="BI127" s="12" t="n"/>
      <c r="BJ127" s="12" t="n"/>
      <c r="BK127" s="12" t="n"/>
      <c r="BL127" s="12" t="n"/>
      <c r="BM127" s="12" t="n"/>
      <c r="BN127" s="12" t="n"/>
      <c r="BO127" s="12" t="n"/>
      <c r="BP127" s="12" t="n"/>
      <c r="BQ127" s="12" t="n"/>
      <c r="BR127" s="12" t="n"/>
      <c r="BS127" s="12" t="n"/>
      <c r="BT127" s="12" t="n"/>
      <c r="BU127" s="12" t="n"/>
      <c r="BV127" s="12" t="n"/>
      <c r="BW127" s="12" t="n"/>
      <c r="BX127" s="12" t="n"/>
      <c r="BY127" s="12" t="n"/>
      <c r="BZ127" s="12" t="n"/>
      <c r="CA127" s="12" t="n"/>
      <c r="CB127" s="12" t="n"/>
      <c r="CC127" s="12" t="n"/>
      <c r="CD127" s="12" t="n"/>
      <c r="CE127" s="12" t="n"/>
      <c r="CF127" s="12" t="n"/>
      <c r="CG127" s="12" t="n"/>
      <c r="CH127" s="12" t="n"/>
      <c r="CI127" s="12" t="n"/>
      <c r="CJ127" s="12" t="n"/>
      <c r="CK127" s="12" t="n"/>
      <c r="CL127" s="12" t="n"/>
      <c r="CM127" s="12" t="n"/>
      <c r="CN127" s="12" t="n"/>
      <c r="CO127" s="12" t="n"/>
      <c r="CP127" s="12" t="n"/>
      <c r="CQ127" s="12" t="n"/>
      <c r="CR127" s="12" t="n"/>
      <c r="CS127" s="12" t="n"/>
      <c r="CT127" s="12" t="n"/>
      <c r="CU127" s="12" t="n"/>
      <c r="CV127" s="12" t="n"/>
      <c r="CW127" s="12" t="n"/>
      <c r="CX127" s="12" t="n"/>
      <c r="CY127" s="12" t="n"/>
    </row>
    <row r="128">
      <c r="C128" s="14" t="inlineStr">
        <is>
          <t>Accounts receivable</t>
        </is>
      </c>
      <c r="D128" s="46" t="n"/>
      <c r="E128" s="46" t="n"/>
      <c r="F128" s="46" t="n"/>
      <c r="G128" s="46" t="n"/>
      <c r="H128" s="12" t="n"/>
      <c r="I128" s="46">
        <f>'Inputs (2)'!D16</f>
        <v>2648</v>
      </c>
      <c r="J128" s="46">
        <f>'Inputs (2)'!E16</f>
        <v>2773</v>
      </c>
      <c r="K128" s="46">
        <f>'Inputs (2)'!F16</f>
        <v>2820</v>
      </c>
      <c r="L128" s="46">
        <f>'Inputs (2)'!G16</f>
        <v>3006</v>
      </c>
      <c r="M128" s="12">
        <f>'Inputs (2)'!H16</f>
        <v>3006</v>
      </c>
      <c r="N128" s="46">
        <f>'Inputs (2)'!I16</f>
        <v>2889</v>
      </c>
      <c r="O128" s="46">
        <f>'Inputs (2)'!J16</f>
        <v>3175</v>
      </c>
      <c r="P128" s="46">
        <f>'Inputs (2)'!K16</f>
        <v>3167</v>
      </c>
      <c r="Q128" s="46">
        <f>'Inputs (2)'!L16</f>
        <v>3425</v>
      </c>
      <c r="R128" s="12">
        <f>'Inputs (2)'!M16</f>
        <v>3425</v>
      </c>
      <c r="S128" s="46">
        <f>'Inputs (2)'!N16</f>
        <v>3511</v>
      </c>
      <c r="T128" s="46">
        <f>'Inputs (2)'!O16</f>
        <v>3763</v>
      </c>
      <c r="U128" s="46">
        <f>'Inputs (2)'!P16</f>
        <v>3925</v>
      </c>
      <c r="V128" s="46">
        <f>'Inputs (2)'!Q16</f>
        <v>4060</v>
      </c>
      <c r="W128" s="12">
        <f>'Inputs (2)'!R16</f>
        <v>4060</v>
      </c>
      <c r="X128" s="46">
        <f>'Inputs (2)'!S16</f>
        <v>4231</v>
      </c>
      <c r="Y128" s="46">
        <f>'Inputs (2)'!T16</f>
        <v>4195</v>
      </c>
      <c r="Z128" s="46">
        <f>'Inputs (2)'!U16</f>
        <v>4014</v>
      </c>
      <c r="AA128" s="46">
        <f>'Inputs (2)'!V16</f>
        <v>3773</v>
      </c>
      <c r="AB128" s="12">
        <f>'Inputs (2)'!W16</f>
        <v>3773</v>
      </c>
      <c r="AC128" s="46">
        <f>'Inputs (2)'!X16</f>
        <v>3965</v>
      </c>
      <c r="AD128" s="46">
        <f>'Inputs (2)'!Y16</f>
        <v>4184</v>
      </c>
      <c r="AE128" s="46">
        <f>'Inputs (2)'!Z16</f>
        <v>4247</v>
      </c>
      <c r="AF128" s="46">
        <f>'Inputs (2)'!AA16</f>
        <v>4609</v>
      </c>
      <c r="AG128" s="12">
        <f>'Inputs (2)'!AB16</f>
        <v>4609</v>
      </c>
      <c r="AH128" s="12">
        <f>'Inputs (2)'!AC16</f>
        <v>4720</v>
      </c>
      <c r="AI128" s="12">
        <f>'Inputs (2)'!AD16</f>
        <v>5047</v>
      </c>
      <c r="AJ128" s="12">
        <f>(AJ129/(AJ$5-AI$5))*AJ$15</f>
        <v>5231.28669949741</v>
      </c>
      <c r="AK128" s="12">
        <f>(AK129/(AK$5-AJ$5))*AK$15</f>
        <v>5355.34883466335</v>
      </c>
      <c r="AL128" s="12">
        <f>AK128</f>
        <v>5355.34883466335</v>
      </c>
      <c r="AM128" s="12">
        <f>(AM129/(AM$5-AL$5))*AM$15</f>
        <v>5220.71844353883</v>
      </c>
      <c r="AN128" s="12">
        <f>(AN129/(AN$5-AM$5))*AN$15</f>
        <v>5703.78406431656</v>
      </c>
      <c r="AO128" s="12">
        <f>(AO129/(AO$5-AN$5))*AO$15</f>
        <v>6061.88026424254</v>
      </c>
      <c r="AP128" s="12">
        <f>(AP129/(AP$5-AO$5))*AP$15</f>
        <v>6205.64027050916</v>
      </c>
      <c r="AQ128" s="12">
        <f>AP128</f>
        <v>6205.64027050916</v>
      </c>
      <c r="AR128" s="12">
        <f>(AR129/(AR$5-AQ$5))*AR$15</f>
        <v>5957.33780696914</v>
      </c>
      <c r="AS128" s="12">
        <f>(AS129/(AS$5-AR$5))*AS$15</f>
        <v>6580.87911827253</v>
      </c>
      <c r="AT128" s="12">
        <f>(AT129/(AT$5-AS$5))*AT$15</f>
        <v>6994.04128883377</v>
      </c>
      <c r="AU128" s="12">
        <f>(AU129/(AU$5-AT$5))*AU$15</f>
        <v>7159.90788066382</v>
      </c>
      <c r="AV128" s="12">
        <f>AU128</f>
        <v>7159.90788066382</v>
      </c>
      <c r="AW128" s="12">
        <f>(AW129/(AW$5-AV$5))*AW$15</f>
        <v>6919.676608</v>
      </c>
      <c r="AX128" s="12">
        <f>(AX129/(AX$5-AW$5))*AX$15</f>
        <v>7559.94440109686</v>
      </c>
      <c r="AY128" s="12">
        <f>(AY129/(AY$5-AX$5))*AY$15</f>
        <v>8034.57445917022</v>
      </c>
      <c r="AZ128" s="12">
        <f>(AZ129/(AZ$5-AY$5))*AZ$15</f>
        <v>8225.11772697662</v>
      </c>
      <c r="BA128" s="12">
        <f>AZ128</f>
        <v>8225.11772697662</v>
      </c>
      <c r="BB128" s="12">
        <f>(BB129/(BB$5-BA$5))*BB$15</f>
        <v>7914.54784649633</v>
      </c>
      <c r="BC128" s="12">
        <f>(BC129/(BC$5-BB$5))*BC$15</f>
        <v>8646.869654307</v>
      </c>
      <c r="BD128" s="12">
        <f>(BD129/(BD$5-BC$5))*BD$15</f>
        <v>9189.73928779015</v>
      </c>
      <c r="BE128" s="12">
        <f>(BE129/(BE$5-BD$5))*BE$15</f>
        <v>9407.67776892352</v>
      </c>
      <c r="BF128" s="12">
        <f>BE128</f>
        <v>9407.67776892352</v>
      </c>
      <c r="BG128" s="12" t="n"/>
      <c r="BH128" s="12" t="n"/>
      <c r="BI128" s="12" t="n"/>
      <c r="BJ128" s="12" t="n"/>
      <c r="BK128" s="12" t="n"/>
      <c r="BL128" s="12" t="n"/>
      <c r="BM128" s="12" t="n"/>
      <c r="BN128" s="12" t="n"/>
      <c r="BO128" s="12" t="n"/>
      <c r="BP128" s="12" t="n"/>
      <c r="BQ128" s="12" t="n"/>
      <c r="BR128" s="12" t="n"/>
      <c r="BS128" s="12" t="n"/>
      <c r="BT128" s="12" t="n"/>
      <c r="BU128" s="12" t="n"/>
      <c r="BV128" s="12" t="n"/>
      <c r="BW128" s="12" t="n"/>
      <c r="BX128" s="12" t="n"/>
      <c r="BY128" s="12" t="n"/>
      <c r="BZ128" s="12" t="n"/>
      <c r="CA128" s="12" t="n"/>
      <c r="CB128" s="12" t="n"/>
      <c r="CC128" s="12" t="n"/>
      <c r="CD128" s="12" t="n"/>
      <c r="CE128" s="12" t="n"/>
      <c r="CF128" s="12" t="n"/>
      <c r="CG128" s="12" t="n"/>
      <c r="CH128" s="12" t="n"/>
      <c r="CI128" s="12" t="n"/>
      <c r="CJ128" s="12" t="n"/>
      <c r="CK128" s="12" t="n"/>
      <c r="CL128" s="12" t="n"/>
      <c r="CM128" s="12" t="n"/>
      <c r="CN128" s="12" t="n"/>
      <c r="CO128" s="12" t="n"/>
      <c r="CP128" s="12" t="n"/>
      <c r="CQ128" s="12" t="n"/>
      <c r="CR128" s="12" t="n"/>
      <c r="CS128" s="12" t="n"/>
      <c r="CT128" s="12" t="n"/>
      <c r="CU128" s="12" t="n"/>
      <c r="CV128" s="12" t="n"/>
      <c r="CW128" s="12" t="n"/>
      <c r="CX128" s="12" t="n"/>
      <c r="CY128" s="12" t="n"/>
    </row>
    <row r="129" hidden="1" outlineLevel="1">
      <c r="C129" s="57" t="inlineStr">
        <is>
          <t>DSO</t>
        </is>
      </c>
      <c r="D129" s="12" t="n"/>
      <c r="E129" s="12" t="n"/>
      <c r="F129" s="12" t="n"/>
      <c r="G129" s="12" t="n"/>
      <c r="H129" s="12" t="n"/>
      <c r="I129" s="12">
        <f>IFERROR((I128/I$15)*(I$5-H$5),"")</f>
        <v>57.3574007220217</v>
      </c>
      <c r="J129" s="12">
        <f>IFERROR((J128/J$15)*(J$5-I$5),"")</f>
        <v>55.7294611307421</v>
      </c>
      <c r="K129" s="12">
        <f>IFERROR((K128/K$15)*(K$5-J$5),"")</f>
        <v>52.0441323971916</v>
      </c>
      <c r="L129" s="12">
        <f>IFERROR((L128/L$15)*(L$5-K$5),"")</f>
        <v>53.0199386503068</v>
      </c>
      <c r="M129" s="12" t="n"/>
      <c r="N129" s="12">
        <f>IFERROR((N128/N$15)*(N$5-M$5),"")</f>
        <v>50.32126959551</v>
      </c>
      <c r="O129" s="12">
        <f>IFERROR((O128/O$15)*(O$5-N$5),"")</f>
        <v>52.5604875386575</v>
      </c>
      <c r="P129" s="12">
        <f>IFERROR((P128/P$15)*(P$5-O$5),"")</f>
        <v>50.6191799861015</v>
      </c>
      <c r="Q129" s="12">
        <f>IFERROR((Q128/Q$15)*(Q$5-P$5),"")</f>
        <v>54.1688155406567</v>
      </c>
      <c r="R129" s="12" t="n"/>
      <c r="S129" s="12">
        <f>IFERROR((S128/S$15)*(S$5-R$5),"")</f>
        <v>54.9739039665971</v>
      </c>
      <c r="T129" s="12">
        <f>IFERROR((T128/T$15)*(T$5-S$5),"")</f>
        <v>54.6232253947998</v>
      </c>
      <c r="U129" s="12">
        <f>IFERROR((U128/U$15)*(U$5-T$5),"")</f>
        <v>55.2732282259299</v>
      </c>
      <c r="V129" s="12">
        <f>IFERROR((V128/V$15)*(V$5-U$5),"")</f>
        <v>57.0433720219914</v>
      </c>
      <c r="W129" s="12" t="n"/>
      <c r="X129" s="12">
        <f>IFERROR((X128/X$15)*(X$5-W$5),"")</f>
        <v>60.6523314429742</v>
      </c>
      <c r="Y129" s="12">
        <f>IFERROR((Y128/Y$15)*(Y$5-X$5),"")</f>
        <v>54.840540152277</v>
      </c>
      <c r="Z129" s="12">
        <f>IFERROR((Z128/Z$15)*(Z$5-Y$5),"")</f>
        <v>50.1137196363143</v>
      </c>
      <c r="AA129" s="12">
        <f>IFERROR((AA128/AA$15)*(AA$5-Z$5),"")</f>
        <v>46.3501134997997</v>
      </c>
      <c r="AB129" s="12" t="n"/>
      <c r="AC129" s="12">
        <f>IFERROR((AC128/AC$15)*(AC$5-AB$5),"")</f>
        <v>49.2206896551724</v>
      </c>
      <c r="AD129" s="12">
        <f>IFERROR((AD128/AD$15)*(AD$5-AC$5),"")</f>
        <v>46.8147055207181</v>
      </c>
      <c r="AE129" s="12">
        <f>IFERROR((AE128/AE$15)*(AE$5-AD$5),"")</f>
        <v>45.4224598930481</v>
      </c>
      <c r="AF129" s="11">
        <f>IFERROR((AF128/AF$15)*(AF$5-AE$5),"")</f>
        <v>48.1521689756984</v>
      </c>
      <c r="AG129" s="12" t="n"/>
      <c r="AH129" s="11">
        <f>IFERROR((AH128/AH$15)*(AH$5-AG$5),"")</f>
        <v>50.5834722552989</v>
      </c>
      <c r="AI129" s="11">
        <f>IFERROR((AI128/AI$15)*(AI$5-AH$5),"")</f>
        <v>49.5070604721354</v>
      </c>
      <c r="AJ129" s="11">
        <f>Control!$B$25</f>
        <v>48.2834261286785</v>
      </c>
      <c r="AK129" s="11">
        <f>Control!$B$25</f>
        <v>48.2834261286785</v>
      </c>
      <c r="AL129" s="12" t="n"/>
      <c r="AM129" s="11">
        <f>Control!$C$25</f>
        <v>48.2834261286785</v>
      </c>
      <c r="AN129" s="11">
        <f>Control!$C$25</f>
        <v>48.2834261286785</v>
      </c>
      <c r="AO129" s="11">
        <f>Control!$C$25</f>
        <v>48.2834261286785</v>
      </c>
      <c r="AP129" s="11">
        <f>Control!$C$25</f>
        <v>48.2834261286785</v>
      </c>
      <c r="AQ129" s="12" t="n"/>
      <c r="AR129" s="11">
        <f>Control!$D$25</f>
        <v>48.2834261286785</v>
      </c>
      <c r="AS129" s="11">
        <f>Control!$D$25</f>
        <v>48.2834261286785</v>
      </c>
      <c r="AT129" s="11">
        <f>Control!$D$25</f>
        <v>48.2834261286785</v>
      </c>
      <c r="AU129" s="11">
        <f>Control!$D$25</f>
        <v>48.2834261286785</v>
      </c>
      <c r="AV129" s="12" t="n"/>
      <c r="AW129" s="11">
        <f>Control!$E$25</f>
        <v>48.2834261286785</v>
      </c>
      <c r="AX129" s="11">
        <f>Control!$E$25</f>
        <v>48.2834261286785</v>
      </c>
      <c r="AY129" s="11">
        <f>Control!$E$25</f>
        <v>48.2834261286785</v>
      </c>
      <c r="AZ129" s="11">
        <f>Control!$E$25</f>
        <v>48.2834261286785</v>
      </c>
      <c r="BA129" s="12" t="n"/>
      <c r="BB129" s="11">
        <f>Control!$F$25</f>
        <v>48.2834261286785</v>
      </c>
      <c r="BC129" s="11">
        <f>Control!$F$25</f>
        <v>48.2834261286785</v>
      </c>
      <c r="BD129" s="11">
        <f>Control!$F$25</f>
        <v>48.2834261286785</v>
      </c>
      <c r="BE129" s="11">
        <f>Control!$F$25</f>
        <v>48.2834261286785</v>
      </c>
      <c r="BF129" s="12" t="n"/>
      <c r="BG129" s="11" t="n"/>
      <c r="BH129" s="11" t="n"/>
      <c r="BI129" s="11" t="n"/>
      <c r="BJ129" s="11" t="n"/>
      <c r="BK129" s="12" t="n"/>
      <c r="BL129" s="11" t="n"/>
      <c r="BM129" s="11" t="n"/>
      <c r="BN129" s="11" t="n"/>
      <c r="BO129" s="11" t="n"/>
      <c r="BP129" s="12" t="n"/>
      <c r="BQ129" s="11" t="n"/>
      <c r="BR129" s="11" t="n"/>
      <c r="BS129" s="11" t="n"/>
      <c r="BT129" s="11" t="n"/>
      <c r="BU129" s="12" t="n"/>
      <c r="BV129" s="11" t="n"/>
      <c r="BW129" s="11" t="n"/>
      <c r="BX129" s="11" t="n"/>
      <c r="BY129" s="11" t="n"/>
      <c r="BZ129" s="12" t="n"/>
      <c r="CA129" s="11" t="n"/>
      <c r="CB129" s="11" t="n"/>
      <c r="CC129" s="11" t="n"/>
      <c r="CD129" s="11" t="n"/>
      <c r="CE129" s="12" t="n"/>
      <c r="CF129" s="11" t="n"/>
      <c r="CG129" s="11" t="n"/>
      <c r="CH129" s="11" t="n"/>
      <c r="CI129" s="11" t="n"/>
      <c r="CJ129" s="12" t="n"/>
      <c r="CK129" s="11" t="n"/>
      <c r="CL129" s="11" t="n"/>
      <c r="CM129" s="11" t="n"/>
      <c r="CN129" s="11" t="n"/>
      <c r="CO129" s="12" t="n"/>
      <c r="CP129" s="11" t="n"/>
      <c r="CQ129" s="11" t="n"/>
      <c r="CR129" s="11" t="n"/>
      <c r="CS129" s="11" t="n"/>
      <c r="CT129" s="12" t="n"/>
      <c r="CU129" s="11" t="n"/>
      <c r="CV129" s="11" t="n"/>
      <c r="CW129" s="11" t="n"/>
      <c r="CX129" s="11" t="n"/>
      <c r="CY129" s="12" t="n"/>
    </row>
    <row r="130" hidden="1" outlineLevel="1">
      <c r="C130" s="57" t="n"/>
      <c r="D130" s="12" t="n"/>
      <c r="E130" s="12" t="n"/>
      <c r="F130" s="12" t="n"/>
      <c r="G130" s="12" t="n"/>
      <c r="H130" s="12" t="n"/>
      <c r="I130" s="12" t="n"/>
      <c r="J130" s="12" t="n"/>
      <c r="K130" s="12" t="n"/>
      <c r="L130" s="12" t="n"/>
      <c r="M130" s="12" t="n"/>
      <c r="N130" s="12" t="n"/>
      <c r="O130" s="12" t="n"/>
      <c r="P130" s="12" t="n"/>
      <c r="Q130" s="12" t="n"/>
      <c r="R130" s="12" t="n"/>
      <c r="S130" s="12" t="n"/>
      <c r="T130" s="12" t="n"/>
      <c r="U130" s="12" t="n"/>
      <c r="V130" s="12" t="n"/>
      <c r="W130" s="12" t="n"/>
      <c r="X130" s="12" t="n"/>
      <c r="Y130" s="12" t="n"/>
      <c r="Z130" s="12" t="n"/>
      <c r="AA130" s="12" t="n"/>
      <c r="AB130" s="12" t="n"/>
      <c r="AC130" s="12" t="n"/>
      <c r="AD130" s="12" t="n"/>
      <c r="AE130" s="12" t="n"/>
      <c r="AF130" s="12" t="n"/>
      <c r="AG130" s="12" t="n"/>
      <c r="AH130" s="12" t="n"/>
      <c r="AI130" s="12" t="n"/>
      <c r="AJ130" s="12" t="n"/>
      <c r="AK130" s="12" t="n"/>
      <c r="AL130" s="12" t="n"/>
      <c r="AM130" s="12" t="n"/>
      <c r="AN130" s="12" t="n"/>
      <c r="AO130" s="12" t="n"/>
      <c r="AP130" s="12" t="n"/>
      <c r="AQ130" s="12" t="n"/>
      <c r="AR130" s="12" t="n"/>
      <c r="AS130" s="12" t="n"/>
      <c r="AT130" s="12" t="n"/>
      <c r="AU130" s="12" t="n"/>
      <c r="AV130" s="12" t="n"/>
      <c r="AW130" s="12" t="n"/>
      <c r="AX130" s="12" t="n"/>
      <c r="AY130" s="12" t="n"/>
      <c r="AZ130" s="12" t="n"/>
      <c r="BA130" s="12" t="n"/>
      <c r="BB130" s="12" t="n"/>
      <c r="BC130" s="12" t="n"/>
      <c r="BD130" s="12" t="n"/>
      <c r="BE130" s="12" t="n"/>
      <c r="BF130" s="12" t="n"/>
      <c r="BG130" s="12" t="n"/>
      <c r="BH130" s="12" t="n"/>
      <c r="BI130" s="12" t="n"/>
      <c r="BJ130" s="12" t="n"/>
      <c r="BK130" s="12" t="n"/>
      <c r="BL130" s="12" t="n"/>
      <c r="BM130" s="12" t="n"/>
      <c r="BN130" s="12" t="n"/>
      <c r="BO130" s="12" t="n"/>
      <c r="BP130" s="12" t="n"/>
      <c r="BQ130" s="12" t="n"/>
      <c r="BR130" s="12" t="n"/>
      <c r="BS130" s="12" t="n"/>
      <c r="BT130" s="12" t="n"/>
      <c r="BU130" s="12" t="n"/>
      <c r="BV130" s="12" t="n"/>
      <c r="BW130" s="12" t="n"/>
      <c r="BX130" s="12" t="n"/>
      <c r="BY130" s="12" t="n"/>
      <c r="BZ130" s="12" t="n"/>
      <c r="CA130" s="12" t="n"/>
      <c r="CB130" s="12" t="n"/>
      <c r="CC130" s="12" t="n"/>
      <c r="CD130" s="12" t="n"/>
      <c r="CE130" s="12" t="n"/>
      <c r="CF130" s="12" t="n"/>
      <c r="CG130" s="12" t="n"/>
      <c r="CH130" s="12" t="n"/>
      <c r="CI130" s="12" t="n"/>
      <c r="CJ130" s="12" t="n"/>
      <c r="CK130" s="12" t="n"/>
      <c r="CL130" s="12" t="n"/>
      <c r="CM130" s="12" t="n"/>
      <c r="CN130" s="12" t="n"/>
      <c r="CO130" s="12" t="n"/>
      <c r="CP130" s="12" t="n"/>
      <c r="CQ130" s="12" t="n"/>
      <c r="CR130" s="12" t="n"/>
      <c r="CS130" s="12" t="n"/>
      <c r="CT130" s="12" t="n"/>
      <c r="CU130" s="12" t="n"/>
      <c r="CV130" s="12" t="n"/>
      <c r="CW130" s="12" t="n"/>
      <c r="CX130" s="12" t="n"/>
      <c r="CY130" s="12" t="n"/>
    </row>
    <row r="131" hidden="1" outlineLevel="1">
      <c r="C131" s="57" t="n"/>
      <c r="D131" s="12" t="n"/>
      <c r="E131" s="12" t="n"/>
      <c r="F131" s="12" t="n"/>
      <c r="G131" s="12" t="n"/>
      <c r="H131" s="12" t="n"/>
      <c r="I131" s="12" t="n"/>
      <c r="J131" s="12" t="n"/>
      <c r="K131" s="12" t="n"/>
      <c r="L131" s="12" t="n"/>
      <c r="M131" s="12" t="n"/>
      <c r="N131" s="12" t="n"/>
      <c r="O131" s="12" t="n"/>
      <c r="P131" s="12" t="n"/>
      <c r="Q131" s="12" t="n"/>
      <c r="R131" s="12" t="n"/>
      <c r="S131" s="12" t="n"/>
      <c r="T131" s="12" t="n"/>
      <c r="U131" s="12" t="n"/>
      <c r="V131" s="12" t="n"/>
      <c r="W131" s="12" t="n"/>
      <c r="X131" s="12" t="n"/>
      <c r="Y131" s="12" t="n"/>
      <c r="Z131" s="12" t="n"/>
      <c r="AA131" s="12" t="n"/>
      <c r="AB131" s="12" t="n"/>
      <c r="AC131" s="12" t="n"/>
      <c r="AD131" s="12" t="n"/>
      <c r="AE131" s="12" t="n"/>
      <c r="AF131" s="12" t="n"/>
      <c r="AG131" s="12" t="n"/>
      <c r="AH131" s="12" t="n"/>
      <c r="AI131" s="12" t="n"/>
      <c r="AJ131" s="12" t="n"/>
      <c r="AK131" s="12" t="n"/>
      <c r="AL131" s="12" t="n"/>
      <c r="AM131" s="12" t="n"/>
      <c r="AN131" s="12" t="n"/>
      <c r="AO131" s="12" t="n"/>
      <c r="AP131" s="12" t="n"/>
      <c r="AQ131" s="12" t="n"/>
      <c r="AR131" s="12" t="n"/>
      <c r="AS131" s="12" t="n"/>
      <c r="AT131" s="12" t="n"/>
      <c r="AU131" s="12" t="n"/>
      <c r="AV131" s="12" t="n"/>
      <c r="AW131" s="12" t="n"/>
      <c r="AX131" s="12" t="n"/>
      <c r="AY131" s="12" t="n"/>
      <c r="AZ131" s="12" t="n"/>
      <c r="BA131" s="12" t="n"/>
      <c r="BB131" s="12" t="n"/>
      <c r="BC131" s="12" t="n"/>
      <c r="BD131" s="12" t="n"/>
      <c r="BE131" s="12" t="n"/>
      <c r="BF131" s="12" t="n"/>
      <c r="BG131" s="12" t="n"/>
      <c r="BH131" s="12" t="n"/>
      <c r="BI131" s="12" t="n"/>
      <c r="BJ131" s="12" t="n"/>
      <c r="BK131" s="12" t="n"/>
      <c r="BL131" s="12" t="n"/>
      <c r="BM131" s="12" t="n"/>
      <c r="BN131" s="12" t="n"/>
      <c r="BO131" s="12" t="n"/>
      <c r="BP131" s="12" t="n"/>
      <c r="BQ131" s="12" t="n"/>
      <c r="BR131" s="12" t="n"/>
      <c r="BS131" s="12" t="n"/>
      <c r="BT131" s="12" t="n"/>
      <c r="BU131" s="12" t="n"/>
      <c r="BV131" s="12" t="n"/>
      <c r="BW131" s="12" t="n"/>
      <c r="BX131" s="12" t="n"/>
      <c r="BY131" s="12" t="n"/>
      <c r="BZ131" s="12" t="n"/>
      <c r="CA131" s="12" t="n"/>
      <c r="CB131" s="12" t="n"/>
      <c r="CC131" s="12" t="n"/>
      <c r="CD131" s="12" t="n"/>
      <c r="CE131" s="12" t="n"/>
      <c r="CF131" s="12" t="n"/>
      <c r="CG131" s="12" t="n"/>
      <c r="CH131" s="12" t="n"/>
      <c r="CI131" s="12" t="n"/>
      <c r="CJ131" s="12" t="n"/>
      <c r="CK131" s="12" t="n"/>
      <c r="CL131" s="12" t="n"/>
      <c r="CM131" s="12" t="n"/>
      <c r="CN131" s="12" t="n"/>
      <c r="CO131" s="12" t="n"/>
      <c r="CP131" s="12" t="n"/>
      <c r="CQ131" s="12" t="n"/>
      <c r="CR131" s="12" t="n"/>
      <c r="CS131" s="12" t="n"/>
      <c r="CT131" s="12" t="n"/>
      <c r="CU131" s="12" t="n"/>
      <c r="CV131" s="12" t="n"/>
      <c r="CW131" s="12" t="n"/>
      <c r="CX131" s="12" t="n"/>
      <c r="CY131" s="12" t="n"/>
    </row>
    <row r="132" collapsed="1">
      <c r="C132" s="14" t="inlineStr">
        <is>
          <t>Inventories</t>
        </is>
      </c>
      <c r="D132" s="46" t="n"/>
      <c r="E132" s="46" t="n"/>
      <c r="F132" s="46" t="n"/>
      <c r="G132" s="46" t="n"/>
      <c r="H132" s="12" t="n"/>
      <c r="I132" s="46">
        <f>'Inputs (2)'!D17</f>
        <v>0</v>
      </c>
      <c r="J132" s="46">
        <f>'Inputs (2)'!E17</f>
        <v>0</v>
      </c>
      <c r="K132" s="46">
        <f>'Inputs (2)'!F17</f>
        <v>0</v>
      </c>
      <c r="L132" s="46">
        <f>'Inputs (2)'!G17</f>
        <v>0</v>
      </c>
      <c r="M132" s="12">
        <f>'Inputs (2)'!H17</f>
        <v>0</v>
      </c>
      <c r="N132" s="46">
        <f>'Inputs (2)'!I17</f>
        <v>0</v>
      </c>
      <c r="O132" s="46">
        <f>'Inputs (2)'!J17</f>
        <v>0</v>
      </c>
      <c r="P132" s="46">
        <f>'Inputs (2)'!K17</f>
        <v>0</v>
      </c>
      <c r="Q132" s="46">
        <f>'Inputs (2)'!L17</f>
        <v>0</v>
      </c>
      <c r="R132" s="12">
        <f>'Inputs (2)'!M17</f>
        <v>0</v>
      </c>
      <c r="S132" s="46">
        <f>'Inputs (2)'!N17</f>
        <v>0</v>
      </c>
      <c r="T132" s="46">
        <f>'Inputs (2)'!O17</f>
        <v>0</v>
      </c>
      <c r="U132" s="46">
        <f>'Inputs (2)'!P17</f>
        <v>0</v>
      </c>
      <c r="V132" s="46">
        <f>'Inputs (2)'!Q17</f>
        <v>0</v>
      </c>
      <c r="W132" s="12">
        <f>'Inputs (2)'!R17</f>
        <v>0</v>
      </c>
      <c r="X132" s="46">
        <f>'Inputs (2)'!S17</f>
        <v>0</v>
      </c>
      <c r="Y132" s="46">
        <f>'Inputs (2)'!T17</f>
        <v>0</v>
      </c>
      <c r="Z132" s="46">
        <f>'Inputs (2)'!U17</f>
        <v>0</v>
      </c>
      <c r="AA132" s="46">
        <f>'Inputs (2)'!V17</f>
        <v>0</v>
      </c>
      <c r="AB132" s="12">
        <f>'Inputs (2)'!W17</f>
        <v>0</v>
      </c>
      <c r="AC132" s="46">
        <f>'Inputs (2)'!X17</f>
        <v>0</v>
      </c>
      <c r="AD132" s="46">
        <f>'Inputs (2)'!Y17</f>
        <v>0</v>
      </c>
      <c r="AE132" s="46">
        <f>'Inputs (2)'!Z17</f>
        <v>0</v>
      </c>
      <c r="AF132" s="46">
        <f>'Inputs (2)'!AA17</f>
        <v>0</v>
      </c>
      <c r="AG132" s="12">
        <f>'Inputs (2)'!AB17</f>
        <v>0</v>
      </c>
      <c r="AH132" s="12">
        <f>'Inputs (2)'!AC17</f>
        <v>0</v>
      </c>
      <c r="AI132" s="12">
        <f>'Inputs (2)'!AD17</f>
        <v>0</v>
      </c>
      <c r="AJ132" s="12">
        <f>(AJ133/(AJ$5-AI$5))*-AJ$37</f>
        <v>0</v>
      </c>
      <c r="AK132" s="12">
        <f>(AK133/(AK$5-AJ$5))*-AK$37</f>
        <v>0</v>
      </c>
      <c r="AL132" s="12">
        <f>AK132</f>
        <v>0</v>
      </c>
      <c r="AM132" s="12">
        <f>(AM133/(AM$5-AL$5))*-AM$37</f>
        <v>0</v>
      </c>
      <c r="AN132" s="12">
        <f>(AN133/(AN$5-AM$5))*-AN$37</f>
        <v>0</v>
      </c>
      <c r="AO132" s="12">
        <f>(AO133/(AO$5-AN$5))*-AO$37</f>
        <v>0</v>
      </c>
      <c r="AP132" s="12">
        <f>(AP133/(AP$5-AO$5))*-AP$37</f>
        <v>0</v>
      </c>
      <c r="AQ132" s="12">
        <f>AP132</f>
        <v>0</v>
      </c>
      <c r="AR132" s="12">
        <f>(AR133/(AR$5-AQ$5))*-AR$37</f>
        <v>0</v>
      </c>
      <c r="AS132" s="12">
        <f>(AS133/(AS$5-AR$5))*-AS$37</f>
        <v>0</v>
      </c>
      <c r="AT132" s="12">
        <f>(AT133/(AT$5-AS$5))*-AT$37</f>
        <v>0</v>
      </c>
      <c r="AU132" s="12">
        <f>(AU133/(AU$5-AT$5))*-AU$37</f>
        <v>0</v>
      </c>
      <c r="AV132" s="12">
        <f>AU132</f>
        <v>0</v>
      </c>
      <c r="AW132" s="12">
        <f>(AW133/(AW$5-AV$5))*-AW$37</f>
        <v>0</v>
      </c>
      <c r="AX132" s="12">
        <f>(AX133/(AX$5-AW$5))*-AX$37</f>
        <v>0</v>
      </c>
      <c r="AY132" s="12">
        <f>(AY133/(AY$5-AX$5))*-AY$37</f>
        <v>0</v>
      </c>
      <c r="AZ132" s="12">
        <f>(AZ133/(AZ$5-AY$5))*-AZ$37</f>
        <v>0</v>
      </c>
      <c r="BA132" s="12">
        <f>AZ132</f>
        <v>0</v>
      </c>
      <c r="BB132" s="12">
        <f>(BB133/(BB$5-BA$5))*-BB$37</f>
        <v>0</v>
      </c>
      <c r="BC132" s="12">
        <f>(BC133/(BC$5-BB$5))*-BC$37</f>
        <v>0</v>
      </c>
      <c r="BD132" s="12">
        <f>(BD133/(BD$5-BC$5))*-BD$37</f>
        <v>0</v>
      </c>
      <c r="BE132" s="12">
        <f>(BE133/(BE$5-BD$5))*-BE$37</f>
        <v>0</v>
      </c>
      <c r="BF132" s="12">
        <f>BE132</f>
        <v>0</v>
      </c>
      <c r="BG132" s="12" t="n"/>
      <c r="BH132" s="12" t="n"/>
      <c r="BI132" s="12" t="n"/>
      <c r="BJ132" s="12" t="n"/>
      <c r="BK132" s="12" t="n"/>
      <c r="BL132" s="12" t="n"/>
      <c r="BM132" s="12" t="n"/>
      <c r="BN132" s="12" t="n"/>
      <c r="BO132" s="12" t="n"/>
      <c r="BP132" s="12" t="n"/>
      <c r="BQ132" s="12" t="n"/>
      <c r="BR132" s="12" t="n"/>
      <c r="BS132" s="12" t="n"/>
      <c r="BT132" s="12" t="n"/>
      <c r="BU132" s="12" t="n"/>
      <c r="BV132" s="12" t="n"/>
      <c r="BW132" s="12" t="n"/>
      <c r="BX132" s="12" t="n"/>
      <c r="BY132" s="12" t="n"/>
      <c r="BZ132" s="12" t="n"/>
      <c r="CA132" s="12" t="n"/>
      <c r="CB132" s="12" t="n"/>
      <c r="CC132" s="12" t="n"/>
      <c r="CD132" s="12" t="n"/>
      <c r="CE132" s="12" t="n"/>
      <c r="CF132" s="12" t="n"/>
      <c r="CG132" s="12" t="n"/>
      <c r="CH132" s="12" t="n"/>
      <c r="CI132" s="12" t="n"/>
      <c r="CJ132" s="12" t="n"/>
      <c r="CK132" s="12" t="n"/>
      <c r="CL132" s="12" t="n"/>
      <c r="CM132" s="12" t="n"/>
      <c r="CN132" s="12" t="n"/>
      <c r="CO132" s="12" t="n"/>
      <c r="CP132" s="12" t="n"/>
      <c r="CQ132" s="12" t="n"/>
      <c r="CR132" s="12" t="n"/>
      <c r="CS132" s="12" t="n"/>
      <c r="CT132" s="12" t="n"/>
      <c r="CU132" s="12" t="n"/>
      <c r="CV132" s="12" t="n"/>
      <c r="CW132" s="12" t="n"/>
      <c r="CX132" s="12" t="n"/>
      <c r="CY132" s="12" t="n"/>
    </row>
    <row r="133" hidden="1" outlineLevel="1">
      <c r="C133" s="57" t="inlineStr">
        <is>
          <t>DIO</t>
        </is>
      </c>
      <c r="D133" s="12" t="n"/>
      <c r="E133" s="12" t="n"/>
      <c r="F133" s="12" t="n"/>
      <c r="G133" s="12" t="n"/>
      <c r="H133" s="12" t="n"/>
      <c r="I133" s="12" t="str">
        <f>IFERROR(((I132/I$37)*(I$5-H$5))*-1,"")</f>
        <v/>
      </c>
      <c r="J133" s="12" t="str">
        <f>IFERROR(((J132/J$37)*(J$5-I$5))*-1,"")</f>
        <v/>
      </c>
      <c r="K133" s="12" t="str">
        <f>IFERROR(((K132/K$37)*(K$5-J$5))*-1,"")</f>
        <v/>
      </c>
      <c r="L133" s="12" t="str">
        <f>IFERROR(((L132/L$37)*(L$5-K$5))*-1,"")</f>
        <v/>
      </c>
      <c r="M133" s="12" t="n"/>
      <c r="N133" s="12" t="str">
        <f>IFERROR(((N132/N$37)*(N$5-M$5))*-1,"")</f>
        <v/>
      </c>
      <c r="O133" s="12" t="str">
        <f>IFERROR(((O132/O$37)*(O$5-N$5))*-1,"")</f>
        <v/>
      </c>
      <c r="P133" s="12" t="str">
        <f>IFERROR(((P132/P$37)*(P$5-O$5))*-1,"")</f>
        <v/>
      </c>
      <c r="Q133" s="12" t="str">
        <f>IFERROR(((Q132/Q$37)*(Q$5-P$5))*-1,"")</f>
        <v/>
      </c>
      <c r="R133" s="12" t="n"/>
      <c r="S133" s="12" t="str">
        <f>IFERROR(((S132/S$37)*(S$5-R$5))*-1,"")</f>
        <v/>
      </c>
      <c r="T133" s="12" t="str">
        <f>IFERROR(((T132/T$37)*(T$5-S$5))*-1,"")</f>
        <v/>
      </c>
      <c r="U133" s="12" t="str">
        <f>IFERROR(((U132/U$37)*(U$5-T$5))*-1,"")</f>
        <v/>
      </c>
      <c r="V133" s="12" t="str">
        <f>IFERROR(((V132/V$37)*(V$5-U$5))*-1,"")</f>
        <v/>
      </c>
      <c r="W133" s="12" t="n"/>
      <c r="X133" s="12" t="str">
        <f>IFERROR(((X132/X$37)*(X$5-W$5))*-1,"")</f>
        <v/>
      </c>
      <c r="Y133" s="12" t="str">
        <f>IFERROR(((Y132/Y$37)*(Y$5-X$5))*-1,"")</f>
        <v/>
      </c>
      <c r="Z133" s="12" t="str">
        <f>IFERROR(((Z132/Z$37)*(Z$5-Y$5))*-1,"")</f>
        <v/>
      </c>
      <c r="AA133" s="12" t="str">
        <f>IFERROR(((AA132/AA$37)*(AA$5-Z$5))*-1,"")</f>
        <v/>
      </c>
      <c r="AB133" s="12" t="n"/>
      <c r="AC133" s="12" t="str">
        <f>IFERROR(((AC132/AC$37)*(AC$5-AB$5))*-1,"")</f>
        <v/>
      </c>
      <c r="AD133" s="12" t="str">
        <f>IFERROR(((AD132/AD$37)*(AD$5-AC$5))*-1,"")</f>
        <v/>
      </c>
      <c r="AE133" s="12" t="str">
        <f>IFERROR(((AE132/AE$37)*(AE$5-AD$5))*-1,"")</f>
        <v/>
      </c>
      <c r="AF133" s="11" t="str">
        <f>IFERROR(((AF132/AF$37)*(AF$5-AE$5))*-1,"")</f>
        <v/>
      </c>
      <c r="AG133" s="12" t="n"/>
      <c r="AH133" s="11" t="str">
        <f>IFERROR(((AH132/AH$37)*(AH$5-AG$5))*-1,"")</f>
        <v/>
      </c>
      <c r="AI133" s="11" t="str">
        <f>IFERROR(((AI132/AI$37)*(AI$5-AH$5))*-1,"")</f>
        <v/>
      </c>
      <c r="AJ133" s="11">
        <f>Control!$B$26</f>
        <v>0</v>
      </c>
      <c r="AK133" s="11">
        <f>Control!$B$26</f>
        <v>0</v>
      </c>
      <c r="AL133" s="12" t="n"/>
      <c r="AM133" s="11">
        <f>Control!$C$26</f>
        <v>0</v>
      </c>
      <c r="AN133" s="11">
        <f>Control!$C$26</f>
        <v>0</v>
      </c>
      <c r="AO133" s="11">
        <f>Control!$C$26</f>
        <v>0</v>
      </c>
      <c r="AP133" s="11">
        <f>Control!$C$26</f>
        <v>0</v>
      </c>
      <c r="AQ133" s="12" t="n"/>
      <c r="AR133" s="11">
        <f>Control!$D$26</f>
        <v>0</v>
      </c>
      <c r="AS133" s="11">
        <f>Control!$D$26</f>
        <v>0</v>
      </c>
      <c r="AT133" s="11">
        <f>Control!$D$26</f>
        <v>0</v>
      </c>
      <c r="AU133" s="11">
        <f>Control!$D$26</f>
        <v>0</v>
      </c>
      <c r="AV133" s="12" t="n"/>
      <c r="AW133" s="11">
        <f>Control!$E$26</f>
        <v>0</v>
      </c>
      <c r="AX133" s="11">
        <f>Control!$E$26</f>
        <v>0</v>
      </c>
      <c r="AY133" s="11">
        <f>Control!$E$26</f>
        <v>0</v>
      </c>
      <c r="AZ133" s="11">
        <f>Control!$E$26</f>
        <v>0</v>
      </c>
      <c r="BA133" s="12" t="n"/>
      <c r="BB133" s="11">
        <f>Control!$F$26</f>
        <v>0</v>
      </c>
      <c r="BC133" s="11">
        <f>Control!$F$26</f>
        <v>0</v>
      </c>
      <c r="BD133" s="11">
        <f>Control!$F$26</f>
        <v>0</v>
      </c>
      <c r="BE133" s="11">
        <f>Control!$F$26</f>
        <v>0</v>
      </c>
      <c r="BF133" s="12" t="n"/>
      <c r="BG133" s="11" t="n"/>
      <c r="BH133" s="11" t="n"/>
      <c r="BI133" s="11" t="n"/>
      <c r="BJ133" s="11" t="n"/>
      <c r="BK133" s="12" t="n"/>
      <c r="BL133" s="11" t="n"/>
      <c r="BM133" s="11" t="n"/>
      <c r="BN133" s="11" t="n"/>
      <c r="BO133" s="11" t="n"/>
      <c r="BP133" s="12" t="n"/>
      <c r="BQ133" s="11" t="n"/>
      <c r="BR133" s="11" t="n"/>
      <c r="BS133" s="11" t="n"/>
      <c r="BT133" s="11" t="n"/>
      <c r="BU133" s="12" t="n"/>
      <c r="BV133" s="11" t="n"/>
      <c r="BW133" s="11" t="n"/>
      <c r="BX133" s="11" t="n"/>
      <c r="BY133" s="11" t="n"/>
      <c r="BZ133" s="12" t="n"/>
      <c r="CA133" s="11" t="n"/>
      <c r="CB133" s="11" t="n"/>
      <c r="CC133" s="11" t="n"/>
      <c r="CD133" s="11" t="n"/>
      <c r="CE133" s="12" t="n"/>
      <c r="CF133" s="11" t="n"/>
      <c r="CG133" s="11" t="n"/>
      <c r="CH133" s="11" t="n"/>
      <c r="CI133" s="11" t="n"/>
      <c r="CJ133" s="12" t="n"/>
      <c r="CK133" s="11" t="n"/>
      <c r="CL133" s="11" t="n"/>
      <c r="CM133" s="11" t="n"/>
      <c r="CN133" s="11" t="n"/>
      <c r="CO133" s="12" t="n"/>
      <c r="CP133" s="11" t="n"/>
      <c r="CQ133" s="11" t="n"/>
      <c r="CR133" s="11" t="n"/>
      <c r="CS133" s="11" t="n"/>
      <c r="CT133" s="12" t="n"/>
      <c r="CU133" s="11" t="n"/>
      <c r="CV133" s="11" t="n"/>
      <c r="CW133" s="11" t="n"/>
      <c r="CX133" s="11" t="n"/>
      <c r="CY133" s="12" t="n"/>
    </row>
    <row r="134" hidden="1" outlineLevel="1">
      <c r="C134" s="57" t="n"/>
      <c r="D134" s="12" t="n"/>
      <c r="E134" s="12" t="n"/>
      <c r="F134" s="12" t="n"/>
      <c r="G134" s="12" t="n"/>
      <c r="H134" s="12" t="n"/>
      <c r="I134" s="12" t="n"/>
      <c r="J134" s="12" t="n"/>
      <c r="K134" s="12" t="n"/>
      <c r="L134" s="12" t="n"/>
      <c r="M134" s="12" t="n"/>
      <c r="N134" s="12" t="n"/>
      <c r="O134" s="12" t="n"/>
      <c r="P134" s="12" t="n"/>
      <c r="Q134" s="12" t="n"/>
      <c r="R134" s="12" t="n"/>
      <c r="S134" s="12" t="n"/>
      <c r="T134" s="12" t="n"/>
      <c r="U134" s="12" t="n"/>
      <c r="V134" s="12" t="n"/>
      <c r="W134" s="12" t="n"/>
      <c r="X134" s="12" t="n"/>
      <c r="Y134" s="12" t="n"/>
      <c r="Z134" s="12" t="n"/>
      <c r="AA134" s="12" t="n"/>
      <c r="AB134" s="12" t="n"/>
      <c r="AC134" s="12" t="n"/>
      <c r="AD134" s="12" t="n"/>
      <c r="AE134" s="12" t="n"/>
      <c r="AF134" s="12" t="n"/>
      <c r="AG134" s="12" t="n"/>
      <c r="AH134" s="12" t="n"/>
      <c r="AI134" s="12" t="n"/>
      <c r="AJ134" s="12" t="n"/>
      <c r="AK134" s="12" t="n"/>
      <c r="AL134" s="12" t="n"/>
      <c r="AM134" s="12" t="n"/>
      <c r="AN134" s="12" t="n"/>
      <c r="AO134" s="12" t="n"/>
      <c r="AP134" s="12" t="n"/>
      <c r="AQ134" s="12" t="n"/>
      <c r="AR134" s="12" t="n"/>
      <c r="AS134" s="12" t="n"/>
      <c r="AT134" s="12" t="n"/>
      <c r="AU134" s="12" t="n"/>
      <c r="AV134" s="12" t="n"/>
      <c r="AW134" s="12" t="n"/>
      <c r="AX134" s="12" t="n"/>
      <c r="AY134" s="12" t="n"/>
      <c r="AZ134" s="12" t="n"/>
      <c r="BA134" s="12" t="n"/>
      <c r="BB134" s="12" t="n"/>
      <c r="BC134" s="12" t="n"/>
      <c r="BD134" s="12" t="n"/>
      <c r="BE134" s="12" t="n"/>
      <c r="BF134" s="12" t="n"/>
      <c r="BG134" s="12" t="n"/>
      <c r="BH134" s="12" t="n"/>
      <c r="BI134" s="12" t="n"/>
      <c r="BJ134" s="12" t="n"/>
      <c r="BK134" s="12" t="n"/>
      <c r="BL134" s="12" t="n"/>
      <c r="BM134" s="12" t="n"/>
      <c r="BN134" s="12" t="n"/>
      <c r="BO134" s="12" t="n"/>
      <c r="BP134" s="12" t="n"/>
      <c r="BQ134" s="12" t="n"/>
      <c r="BR134" s="12" t="n"/>
      <c r="BS134" s="12" t="n"/>
      <c r="BT134" s="12" t="n"/>
      <c r="BU134" s="12" t="n"/>
      <c r="BV134" s="12" t="n"/>
      <c r="BW134" s="12" t="n"/>
      <c r="BX134" s="12" t="n"/>
      <c r="BY134" s="12" t="n"/>
      <c r="BZ134" s="12" t="n"/>
      <c r="CA134" s="12" t="n"/>
      <c r="CB134" s="12" t="n"/>
      <c r="CC134" s="12" t="n"/>
      <c r="CD134" s="12" t="n"/>
      <c r="CE134" s="12" t="n"/>
      <c r="CF134" s="12" t="n"/>
      <c r="CG134" s="12" t="n"/>
      <c r="CH134" s="12" t="n"/>
      <c r="CI134" s="12" t="n"/>
      <c r="CJ134" s="12" t="n"/>
      <c r="CK134" s="12" t="n"/>
      <c r="CL134" s="12" t="n"/>
      <c r="CM134" s="12" t="n"/>
      <c r="CN134" s="12" t="n"/>
      <c r="CO134" s="12" t="n"/>
      <c r="CP134" s="12" t="n"/>
      <c r="CQ134" s="12" t="n"/>
      <c r="CR134" s="12" t="n"/>
      <c r="CS134" s="12" t="n"/>
      <c r="CT134" s="12" t="n"/>
      <c r="CU134" s="12" t="n"/>
      <c r="CV134" s="12" t="n"/>
      <c r="CW134" s="12" t="n"/>
      <c r="CX134" s="12" t="n"/>
      <c r="CY134" s="12" t="n"/>
    </row>
    <row r="135" hidden="1" outlineLevel="1">
      <c r="C135" s="57" t="n"/>
      <c r="D135" s="12" t="n"/>
      <c r="E135" s="12" t="n"/>
      <c r="F135" s="12" t="n"/>
      <c r="G135" s="12" t="n"/>
      <c r="H135" s="12" t="n"/>
      <c r="I135" s="12" t="n"/>
      <c r="J135" s="12" t="n"/>
      <c r="K135" s="12" t="n"/>
      <c r="L135" s="12" t="n"/>
      <c r="M135" s="12" t="n"/>
      <c r="N135" s="12" t="n"/>
      <c r="O135" s="12" t="n"/>
      <c r="P135" s="12" t="n"/>
      <c r="Q135" s="12" t="n"/>
      <c r="R135" s="12" t="n"/>
      <c r="S135" s="12" t="n"/>
      <c r="T135" s="12" t="n"/>
      <c r="U135" s="12" t="n"/>
      <c r="V135" s="12" t="n"/>
      <c r="W135" s="12" t="n"/>
      <c r="X135" s="12" t="n"/>
      <c r="Y135" s="12" t="n"/>
      <c r="Z135" s="12" t="n"/>
      <c r="AA135" s="12" t="n"/>
      <c r="AB135" s="12" t="n"/>
      <c r="AC135" s="12" t="n"/>
      <c r="AD135" s="12" t="n"/>
      <c r="AE135" s="12" t="n"/>
      <c r="AF135" s="12" t="n"/>
      <c r="AG135" s="12" t="n"/>
      <c r="AH135" s="12" t="n"/>
      <c r="AI135" s="12" t="n"/>
      <c r="AJ135" s="12" t="n"/>
      <c r="AK135" s="12" t="n"/>
      <c r="AL135" s="12" t="n"/>
      <c r="AM135" s="12" t="n"/>
      <c r="AN135" s="12" t="n"/>
      <c r="AO135" s="12" t="n"/>
      <c r="AP135" s="12" t="n"/>
      <c r="AQ135" s="12" t="n"/>
      <c r="AR135" s="12" t="n"/>
      <c r="AS135" s="12" t="n"/>
      <c r="AT135" s="12" t="n"/>
      <c r="AU135" s="12" t="n"/>
      <c r="AV135" s="12" t="n"/>
      <c r="AW135" s="12" t="n"/>
      <c r="AX135" s="12" t="n"/>
      <c r="AY135" s="12" t="n"/>
      <c r="AZ135" s="12" t="n"/>
      <c r="BA135" s="12" t="n"/>
      <c r="BB135" s="12" t="n"/>
      <c r="BC135" s="12" t="n"/>
      <c r="BD135" s="12" t="n"/>
      <c r="BE135" s="12" t="n"/>
      <c r="BF135" s="12" t="n"/>
      <c r="BG135" s="12" t="n"/>
      <c r="BH135" s="12" t="n"/>
      <c r="BI135" s="12" t="n"/>
      <c r="BJ135" s="12" t="n"/>
      <c r="BK135" s="12" t="n"/>
      <c r="BL135" s="12" t="n"/>
      <c r="BM135" s="12" t="n"/>
      <c r="BN135" s="12" t="n"/>
      <c r="BO135" s="12" t="n"/>
      <c r="BP135" s="12" t="n"/>
      <c r="BQ135" s="12" t="n"/>
      <c r="BR135" s="12" t="n"/>
      <c r="BS135" s="12" t="n"/>
      <c r="BT135" s="12" t="n"/>
      <c r="BU135" s="12" t="n"/>
      <c r="BV135" s="12" t="n"/>
      <c r="BW135" s="12" t="n"/>
      <c r="BX135" s="12" t="n"/>
      <c r="BY135" s="12" t="n"/>
      <c r="BZ135" s="12" t="n"/>
      <c r="CA135" s="12" t="n"/>
      <c r="CB135" s="12" t="n"/>
      <c r="CC135" s="12" t="n"/>
      <c r="CD135" s="12" t="n"/>
      <c r="CE135" s="12" t="n"/>
      <c r="CF135" s="12" t="n"/>
      <c r="CG135" s="12" t="n"/>
      <c r="CH135" s="12" t="n"/>
      <c r="CI135" s="12" t="n"/>
      <c r="CJ135" s="12" t="n"/>
      <c r="CK135" s="12" t="n"/>
      <c r="CL135" s="12" t="n"/>
      <c r="CM135" s="12" t="n"/>
      <c r="CN135" s="12" t="n"/>
      <c r="CO135" s="12" t="n"/>
      <c r="CP135" s="12" t="n"/>
      <c r="CQ135" s="12" t="n"/>
      <c r="CR135" s="12" t="n"/>
      <c r="CS135" s="12" t="n"/>
      <c r="CT135" s="12" t="n"/>
      <c r="CU135" s="12" t="n"/>
      <c r="CV135" s="12" t="n"/>
      <c r="CW135" s="12" t="n"/>
      <c r="CX135" s="12" t="n"/>
      <c r="CY135" s="12" t="n"/>
    </row>
    <row r="136" collapsed="1">
      <c r="C136" s="14" t="inlineStr">
        <is>
          <t>Deferred income taxes</t>
        </is>
      </c>
      <c r="D136" s="46" t="n"/>
      <c r="E136" s="46" t="n"/>
      <c r="F136" s="46" t="n"/>
      <c r="G136" s="46" t="n"/>
      <c r="H136" s="12" t="n"/>
      <c r="I136" s="46">
        <f>'Inputs (2)'!D18</f>
        <v>459</v>
      </c>
      <c r="J136" s="46">
        <f>'Inputs (2)'!E18</f>
        <v>454</v>
      </c>
      <c r="K136" s="46">
        <f>'Inputs (2)'!F18</f>
        <v>471</v>
      </c>
      <c r="L136" s="46">
        <f>'Inputs (2)'!G18</f>
        <v>486</v>
      </c>
      <c r="M136" s="12">
        <f>'Inputs (2)'!H18</f>
        <v>486</v>
      </c>
      <c r="N136" s="46">
        <f>'Inputs (2)'!I18</f>
        <v>795</v>
      </c>
      <c r="O136" s="46">
        <f>'Inputs (2)'!J18</f>
        <v>920</v>
      </c>
      <c r="P136" s="46">
        <f>'Inputs (2)'!K18</f>
        <v>1069</v>
      </c>
      <c r="Q136" s="46">
        <f>'Inputs (2)'!L18</f>
        <v>1151</v>
      </c>
      <c r="R136" s="12">
        <f>'Inputs (2)'!M18</f>
        <v>1151</v>
      </c>
      <c r="S136" s="46">
        <f>'Inputs (2)'!N18</f>
        <v>1267</v>
      </c>
      <c r="T136" s="46">
        <f>'Inputs (2)'!O18</f>
        <v>1121</v>
      </c>
      <c r="U136" s="46">
        <f>'Inputs (2)'!P18</f>
        <v>1370</v>
      </c>
      <c r="V136" s="46">
        <f>'Inputs (2)'!Q18</f>
        <v>1355</v>
      </c>
      <c r="W136" s="12">
        <f>'Inputs (2)'!R18</f>
        <v>1355</v>
      </c>
      <c r="X136" s="46">
        <f>'Inputs (2)'!S18</f>
        <v>1329</v>
      </c>
      <c r="Y136" s="46">
        <f>'Inputs (2)'!T18</f>
        <v>1423</v>
      </c>
      <c r="Z136" s="46">
        <f>'Inputs (2)'!U18</f>
        <v>1612</v>
      </c>
      <c r="AA136" s="46">
        <f>'Inputs (2)'!V18</f>
        <v>1614</v>
      </c>
      <c r="AB136" s="12">
        <f>'Inputs (2)'!W18</f>
        <v>1614</v>
      </c>
      <c r="AC136" s="46">
        <f>'Inputs (2)'!X18</f>
        <v>1575</v>
      </c>
      <c r="AD136" s="46">
        <f>'Inputs (2)'!Y18</f>
        <v>1570</v>
      </c>
      <c r="AE136" s="46">
        <f>'Inputs (2)'!Z18</f>
        <v>1546</v>
      </c>
      <c r="AF136" s="46">
        <f>'Inputs (2)'!AA18</f>
        <v>1567</v>
      </c>
      <c r="AG136" s="12">
        <f>'Inputs (2)'!AB18</f>
        <v>1567</v>
      </c>
      <c r="AH136" s="12">
        <f>'Inputs (2)'!AC18</f>
        <v>1396</v>
      </c>
      <c r="AI136" s="12">
        <f>'Inputs (2)'!AD18</f>
        <v>1441</v>
      </c>
      <c r="AJ136" s="12">
        <f>AI136</f>
        <v>1441</v>
      </c>
      <c r="AK136" s="12">
        <f>AJ136</f>
        <v>1441</v>
      </c>
      <c r="AL136" s="12">
        <f>AK136</f>
        <v>1441</v>
      </c>
      <c r="AM136" s="12">
        <f>AL136</f>
        <v>1441</v>
      </c>
      <c r="AN136" s="12">
        <f>AM136</f>
        <v>1441</v>
      </c>
      <c r="AO136" s="12">
        <f>AN136</f>
        <v>1441</v>
      </c>
      <c r="AP136" s="12">
        <f>AO136</f>
        <v>1441</v>
      </c>
      <c r="AQ136" s="12">
        <f>AP136</f>
        <v>1441</v>
      </c>
      <c r="AR136" s="12">
        <f>AQ136</f>
        <v>1441</v>
      </c>
      <c r="AS136" s="12">
        <f>AR136</f>
        <v>1441</v>
      </c>
      <c r="AT136" s="12">
        <f>AS136</f>
        <v>1441</v>
      </c>
      <c r="AU136" s="12">
        <f>AT136</f>
        <v>1441</v>
      </c>
      <c r="AV136" s="12">
        <f>AU136</f>
        <v>1441</v>
      </c>
      <c r="AW136" s="12">
        <f>AV136</f>
        <v>1441</v>
      </c>
      <c r="AX136" s="12">
        <f>AW136</f>
        <v>1441</v>
      </c>
      <c r="AY136" s="12">
        <f>AX136</f>
        <v>1441</v>
      </c>
      <c r="AZ136" s="12">
        <f>AY136</f>
        <v>1441</v>
      </c>
      <c r="BA136" s="12">
        <f>AZ136</f>
        <v>1441</v>
      </c>
      <c r="BB136" s="12">
        <f>BA136</f>
        <v>1441</v>
      </c>
      <c r="BC136" s="12">
        <f>BB136</f>
        <v>1441</v>
      </c>
      <c r="BD136" s="12">
        <f>BC136</f>
        <v>1441</v>
      </c>
      <c r="BE136" s="12">
        <f>BD136</f>
        <v>1441</v>
      </c>
      <c r="BF136" s="12">
        <f>BE136</f>
        <v>1441</v>
      </c>
      <c r="BG136" s="12" t="n"/>
      <c r="BH136" s="12" t="n"/>
      <c r="BI136" s="12" t="n"/>
      <c r="BJ136" s="12" t="n"/>
      <c r="BK136" s="12" t="n"/>
      <c r="BL136" s="12" t="n"/>
      <c r="BM136" s="12" t="n"/>
      <c r="BN136" s="12" t="n"/>
      <c r="BO136" s="12" t="n"/>
      <c r="BP136" s="12" t="n"/>
      <c r="BQ136" s="12" t="n"/>
      <c r="BR136" s="12" t="n"/>
      <c r="BS136" s="12" t="n"/>
      <c r="BT136" s="12" t="n"/>
      <c r="BU136" s="12" t="n"/>
      <c r="BV136" s="12" t="n"/>
      <c r="BW136" s="12" t="n"/>
      <c r="BX136" s="12" t="n"/>
      <c r="BY136" s="12" t="n"/>
      <c r="BZ136" s="12" t="n"/>
      <c r="CA136" s="12" t="n"/>
      <c r="CB136" s="12" t="n"/>
      <c r="CC136" s="12" t="n"/>
      <c r="CD136" s="12" t="n"/>
      <c r="CE136" s="12" t="n"/>
      <c r="CF136" s="12" t="n"/>
      <c r="CG136" s="12" t="n"/>
      <c r="CH136" s="12" t="n"/>
      <c r="CI136" s="12" t="n"/>
      <c r="CJ136" s="12" t="n"/>
      <c r="CK136" s="12" t="n"/>
      <c r="CL136" s="12" t="n"/>
      <c r="CM136" s="12" t="n"/>
      <c r="CN136" s="12" t="n"/>
      <c r="CO136" s="12" t="n"/>
      <c r="CP136" s="12" t="n"/>
      <c r="CQ136" s="12" t="n"/>
      <c r="CR136" s="12" t="n"/>
      <c r="CS136" s="12" t="n"/>
      <c r="CT136" s="12" t="n"/>
      <c r="CU136" s="12" t="n"/>
      <c r="CV136" s="12" t="n"/>
      <c r="CW136" s="12" t="n"/>
      <c r="CX136" s="12" t="n"/>
      <c r="CY136" s="12" t="n"/>
    </row>
    <row r="137">
      <c r="C137" s="14" t="inlineStr">
        <is>
          <t>Prepaid expenses</t>
        </is>
      </c>
      <c r="D137" s="46" t="n"/>
      <c r="E137" s="46" t="n"/>
      <c r="F137" s="46" t="n"/>
      <c r="G137" s="46" t="n"/>
      <c r="H137" s="12" t="n"/>
      <c r="I137" s="46">
        <f>'Inputs (2)'!D19</f>
        <v>0</v>
      </c>
      <c r="J137" s="46">
        <f>'Inputs (2)'!E19</f>
        <v>0</v>
      </c>
      <c r="K137" s="46">
        <f>'Inputs (2)'!F19</f>
        <v>0</v>
      </c>
      <c r="L137" s="46">
        <f>'Inputs (2)'!G19</f>
        <v>0</v>
      </c>
      <c r="M137" s="12">
        <f>'Inputs (2)'!H19</f>
        <v>0</v>
      </c>
      <c r="N137" s="46">
        <f>'Inputs (2)'!I19</f>
        <v>0</v>
      </c>
      <c r="O137" s="46">
        <f>'Inputs (2)'!J19</f>
        <v>0</v>
      </c>
      <c r="P137" s="46">
        <f>'Inputs (2)'!K19</f>
        <v>0</v>
      </c>
      <c r="Q137" s="46">
        <f>'Inputs (2)'!L19</f>
        <v>0</v>
      </c>
      <c r="R137" s="12">
        <f>'Inputs (2)'!M19</f>
        <v>0</v>
      </c>
      <c r="S137" s="46">
        <f>'Inputs (2)'!N19</f>
        <v>0</v>
      </c>
      <c r="T137" s="46">
        <f>'Inputs (2)'!O19</f>
        <v>0</v>
      </c>
      <c r="U137" s="46">
        <f>'Inputs (2)'!P19</f>
        <v>0</v>
      </c>
      <c r="V137" s="46">
        <f>'Inputs (2)'!Q19</f>
        <v>0</v>
      </c>
      <c r="W137" s="12">
        <f>'Inputs (2)'!R19</f>
        <v>0</v>
      </c>
      <c r="X137" s="46">
        <f>'Inputs (2)'!S19</f>
        <v>0</v>
      </c>
      <c r="Y137" s="46">
        <f>'Inputs (2)'!T19</f>
        <v>0</v>
      </c>
      <c r="Z137" s="46">
        <f>'Inputs (2)'!U19</f>
        <v>0</v>
      </c>
      <c r="AA137" s="46">
        <f>'Inputs (2)'!V19</f>
        <v>0</v>
      </c>
      <c r="AB137" s="12">
        <f>'Inputs (2)'!W19</f>
        <v>0</v>
      </c>
      <c r="AC137" s="46">
        <f>'Inputs (2)'!X19</f>
        <v>0</v>
      </c>
      <c r="AD137" s="46">
        <f>'Inputs (2)'!Y19</f>
        <v>0</v>
      </c>
      <c r="AE137" s="46">
        <f>'Inputs (2)'!Z19</f>
        <v>0</v>
      </c>
      <c r="AF137" s="46">
        <f>'Inputs (2)'!AA19</f>
        <v>0</v>
      </c>
      <c r="AG137" s="12">
        <f>'Inputs (2)'!AB19</f>
        <v>0</v>
      </c>
      <c r="AH137" s="12">
        <f>'Inputs (2)'!AC19</f>
        <v>0</v>
      </c>
      <c r="AI137" s="12">
        <f>'Inputs (2)'!AD19</f>
        <v>0</v>
      </c>
      <c r="AJ137" s="12">
        <f>AI137</f>
        <v>0</v>
      </c>
      <c r="AK137" s="12">
        <f>AJ137</f>
        <v>0</v>
      </c>
      <c r="AL137" s="12">
        <f>AK137</f>
        <v>0</v>
      </c>
      <c r="AM137" s="12">
        <f>AL137</f>
        <v>0</v>
      </c>
      <c r="AN137" s="12">
        <f>AM137</f>
        <v>0</v>
      </c>
      <c r="AO137" s="12">
        <f>AN137</f>
        <v>0</v>
      </c>
      <c r="AP137" s="12">
        <f>AO137</f>
        <v>0</v>
      </c>
      <c r="AQ137" s="12">
        <f>AP137</f>
        <v>0</v>
      </c>
      <c r="AR137" s="12">
        <f>AQ137</f>
        <v>0</v>
      </c>
      <c r="AS137" s="12">
        <f>AR137</f>
        <v>0</v>
      </c>
      <c r="AT137" s="12">
        <f>AS137</f>
        <v>0</v>
      </c>
      <c r="AU137" s="12">
        <f>AT137</f>
        <v>0</v>
      </c>
      <c r="AV137" s="12">
        <f>AU137</f>
        <v>0</v>
      </c>
      <c r="AW137" s="12">
        <f>AV137</f>
        <v>0</v>
      </c>
      <c r="AX137" s="12">
        <f>AW137</f>
        <v>0</v>
      </c>
      <c r="AY137" s="12">
        <f>AX137</f>
        <v>0</v>
      </c>
      <c r="AZ137" s="12">
        <f>AY137</f>
        <v>0</v>
      </c>
      <c r="BA137" s="12">
        <f>AZ137</f>
        <v>0</v>
      </c>
      <c r="BB137" s="12">
        <f>BA137</f>
        <v>0</v>
      </c>
      <c r="BC137" s="12">
        <f>BB137</f>
        <v>0</v>
      </c>
      <c r="BD137" s="12">
        <f>BC137</f>
        <v>0</v>
      </c>
      <c r="BE137" s="12">
        <f>BD137</f>
        <v>0</v>
      </c>
      <c r="BF137" s="12">
        <f>BE137</f>
        <v>0</v>
      </c>
      <c r="BG137" s="12" t="n"/>
      <c r="BH137" s="12" t="n"/>
      <c r="BI137" s="12" t="n"/>
      <c r="BJ137" s="12" t="n"/>
      <c r="BK137" s="12" t="n"/>
      <c r="BL137" s="12" t="n"/>
      <c r="BM137" s="12" t="n"/>
      <c r="BN137" s="12" t="n"/>
      <c r="BO137" s="12" t="n"/>
      <c r="BP137" s="12" t="n"/>
      <c r="BQ137" s="12" t="n"/>
      <c r="BR137" s="12" t="n"/>
      <c r="BS137" s="12" t="n"/>
      <c r="BT137" s="12" t="n"/>
      <c r="BU137" s="12" t="n"/>
      <c r="BV137" s="12" t="n"/>
      <c r="BW137" s="12" t="n"/>
      <c r="BX137" s="12" t="n"/>
      <c r="BY137" s="12" t="n"/>
      <c r="BZ137" s="12" t="n"/>
      <c r="CA137" s="12" t="n"/>
      <c r="CB137" s="12" t="n"/>
      <c r="CC137" s="12" t="n"/>
      <c r="CD137" s="12" t="n"/>
      <c r="CE137" s="12" t="n"/>
      <c r="CF137" s="12" t="n"/>
      <c r="CG137" s="12" t="n"/>
      <c r="CH137" s="12" t="n"/>
      <c r="CI137" s="12" t="n"/>
      <c r="CJ137" s="12" t="n"/>
      <c r="CK137" s="12" t="n"/>
      <c r="CL137" s="12" t="n"/>
      <c r="CM137" s="12" t="n"/>
      <c r="CN137" s="12" t="n"/>
      <c r="CO137" s="12" t="n"/>
      <c r="CP137" s="12" t="n"/>
      <c r="CQ137" s="12" t="n"/>
      <c r="CR137" s="12" t="n"/>
      <c r="CS137" s="12" t="n"/>
      <c r="CT137" s="12" t="n"/>
      <c r="CU137" s="12" t="n"/>
      <c r="CV137" s="12" t="n"/>
      <c r="CW137" s="12" t="n"/>
      <c r="CX137" s="12" t="n"/>
      <c r="CY137" s="12" t="n"/>
    </row>
    <row r="138">
      <c r="C138" s="14" t="inlineStr">
        <is>
          <t>Other current assets</t>
        </is>
      </c>
      <c r="D138" s="46" t="n"/>
      <c r="E138" s="46" t="n"/>
      <c r="F138" s="46" t="n"/>
      <c r="G138" s="46" t="n"/>
      <c r="H138" s="12" t="n"/>
      <c r="I138" s="46">
        <f>'Inputs (2)'!D20</f>
        <v>6022</v>
      </c>
      <c r="J138" s="46">
        <f>'Inputs (2)'!E20</f>
        <v>5546</v>
      </c>
      <c r="K138" s="46">
        <f>'Inputs (2)'!F20</f>
        <v>5646</v>
      </c>
      <c r="L138" s="46">
        <f>'Inputs (2)'!G20</f>
        <v>6049</v>
      </c>
      <c r="M138" s="12">
        <f>'Inputs (2)'!H20</f>
        <v>6049</v>
      </c>
      <c r="N138" s="46">
        <f>'Inputs (2)'!I20</f>
        <v>5736</v>
      </c>
      <c r="O138" s="46">
        <f>'Inputs (2)'!J20</f>
        <v>5677</v>
      </c>
      <c r="P138" s="46">
        <f>'Inputs (2)'!K20</f>
        <v>5611</v>
      </c>
      <c r="Q138" s="46">
        <f>'Inputs (2)'!L20</f>
        <v>5773</v>
      </c>
      <c r="R138" s="12">
        <f>'Inputs (2)'!M20</f>
        <v>5773</v>
      </c>
      <c r="S138" s="46">
        <f>'Inputs (2)'!N20</f>
        <v>5941</v>
      </c>
      <c r="T138" s="46">
        <f>'Inputs (2)'!O20</f>
        <v>6253</v>
      </c>
      <c r="U138" s="46">
        <f>'Inputs (2)'!P20</f>
        <v>5566</v>
      </c>
      <c r="V138" s="46">
        <f>'Inputs (2)'!Q20</f>
        <v>5721</v>
      </c>
      <c r="W138" s="12">
        <f>'Inputs (2)'!R20</f>
        <v>5721</v>
      </c>
      <c r="X138" s="46">
        <f>'Inputs (2)'!S20</f>
        <v>6536</v>
      </c>
      <c r="Y138" s="46">
        <f>'Inputs (2)'!T20</f>
        <v>6227</v>
      </c>
      <c r="Z138" s="46">
        <f>'Inputs (2)'!U20</f>
        <v>6885</v>
      </c>
      <c r="AA138" s="46">
        <f>'Inputs (2)'!V20</f>
        <v>7179</v>
      </c>
      <c r="AB138" s="12">
        <f>'Inputs (2)'!W20</f>
        <v>7179</v>
      </c>
      <c r="AC138" s="46">
        <f>'Inputs (2)'!X20</f>
        <v>7945</v>
      </c>
      <c r="AD138" s="46">
        <f>'Inputs (2)'!Y20</f>
        <v>8589</v>
      </c>
      <c r="AE138" s="46">
        <f>'Inputs (2)'!Z20</f>
        <v>8328</v>
      </c>
      <c r="AF138" s="46">
        <f>'Inputs (2)'!AA20</f>
        <v>8051</v>
      </c>
      <c r="AG138" s="12">
        <f>'Inputs (2)'!AB20</f>
        <v>8051</v>
      </c>
      <c r="AH138" s="12">
        <f>'Inputs (2)'!AC20</f>
        <v>9559</v>
      </c>
      <c r="AI138" s="12">
        <f>'Inputs (2)'!AD20</f>
        <v>9866</v>
      </c>
      <c r="AJ138" s="12">
        <f>AI138</f>
        <v>9866</v>
      </c>
      <c r="AK138" s="12">
        <f>AJ138</f>
        <v>9866</v>
      </c>
      <c r="AL138" s="12">
        <f>AK138</f>
        <v>9866</v>
      </c>
      <c r="AM138" s="12">
        <f>AL138</f>
        <v>9866</v>
      </c>
      <c r="AN138" s="12">
        <f>AM138</f>
        <v>9866</v>
      </c>
      <c r="AO138" s="12">
        <f>AN138</f>
        <v>9866</v>
      </c>
      <c r="AP138" s="12">
        <f>AO138</f>
        <v>9866</v>
      </c>
      <c r="AQ138" s="12">
        <f>AP138</f>
        <v>9866</v>
      </c>
      <c r="AR138" s="12">
        <f>AQ138</f>
        <v>9866</v>
      </c>
      <c r="AS138" s="12">
        <f>AR138</f>
        <v>9866</v>
      </c>
      <c r="AT138" s="12">
        <f>AS138</f>
        <v>9866</v>
      </c>
      <c r="AU138" s="12">
        <f>AT138</f>
        <v>9866</v>
      </c>
      <c r="AV138" s="12">
        <f>AU138</f>
        <v>9866</v>
      </c>
      <c r="AW138" s="12">
        <f>AV138</f>
        <v>9866</v>
      </c>
      <c r="AX138" s="12">
        <f>AW138</f>
        <v>9866</v>
      </c>
      <c r="AY138" s="12">
        <f>AX138</f>
        <v>9866</v>
      </c>
      <c r="AZ138" s="12">
        <f>AY138</f>
        <v>9866</v>
      </c>
      <c r="BA138" s="12">
        <f>AZ138</f>
        <v>9866</v>
      </c>
      <c r="BB138" s="12">
        <f>BA138</f>
        <v>9866</v>
      </c>
      <c r="BC138" s="12">
        <f>BB138</f>
        <v>9866</v>
      </c>
      <c r="BD138" s="12">
        <f>BC138</f>
        <v>9866</v>
      </c>
      <c r="BE138" s="12">
        <f>BD138</f>
        <v>9866</v>
      </c>
      <c r="BF138" s="12">
        <f>BE138</f>
        <v>9866</v>
      </c>
      <c r="BG138" s="12" t="n"/>
      <c r="BH138" s="12" t="n"/>
      <c r="BI138" s="12" t="n"/>
      <c r="BJ138" s="12" t="n"/>
      <c r="BK138" s="12" t="n"/>
      <c r="BL138" s="12" t="n"/>
      <c r="BM138" s="12" t="n"/>
      <c r="BN138" s="12" t="n"/>
      <c r="BO138" s="12" t="n"/>
      <c r="BP138" s="12" t="n"/>
      <c r="BQ138" s="12" t="n"/>
      <c r="BR138" s="12" t="n"/>
      <c r="BS138" s="12" t="n"/>
      <c r="BT138" s="12" t="n"/>
      <c r="BU138" s="12" t="n"/>
      <c r="BV138" s="12" t="n"/>
      <c r="BW138" s="12" t="n"/>
      <c r="BX138" s="12" t="n"/>
      <c r="BY138" s="12" t="n"/>
      <c r="BZ138" s="12" t="n"/>
      <c r="CA138" s="12" t="n"/>
      <c r="CB138" s="12" t="n"/>
      <c r="CC138" s="12" t="n"/>
      <c r="CD138" s="12" t="n"/>
      <c r="CE138" s="12" t="n"/>
      <c r="CF138" s="12" t="n"/>
      <c r="CG138" s="12" t="n"/>
      <c r="CH138" s="12" t="n"/>
      <c r="CI138" s="12" t="n"/>
      <c r="CJ138" s="12" t="n"/>
      <c r="CK138" s="12" t="n"/>
      <c r="CL138" s="12" t="n"/>
      <c r="CM138" s="12" t="n"/>
      <c r="CN138" s="12" t="n"/>
      <c r="CO138" s="12" t="n"/>
      <c r="CP138" s="12" t="n"/>
      <c r="CQ138" s="12" t="n"/>
      <c r="CR138" s="12" t="n"/>
      <c r="CS138" s="12" t="n"/>
      <c r="CT138" s="12" t="n"/>
      <c r="CU138" s="12" t="n"/>
      <c r="CV138" s="12" t="n"/>
      <c r="CW138" s="12" t="n"/>
      <c r="CX138" s="12" t="n"/>
      <c r="CY138" s="12" t="n"/>
    </row>
    <row r="139" hidden="1" outlineLevel="1">
      <c r="C139" s="59" t="inlineStr">
        <is>
          <t>%(Var.)</t>
        </is>
      </c>
      <c r="D139" s="12" t="n"/>
      <c r="E139" s="40" t="n"/>
      <c r="F139" s="40" t="n"/>
      <c r="G139" s="40" t="n"/>
      <c r="H139" s="12" t="n"/>
      <c r="I139" s="40" t="str">
        <f>""</f>
        <v/>
      </c>
      <c r="J139" s="40">
        <f>IFERROR(IF(I138=0,"",J138/I138-1),"")</f>
        <v>-0.0790435071404849</v>
      </c>
      <c r="K139" s="40">
        <f>IFERROR(IF(J138=0,"",K138/J138-1),"")</f>
        <v>0.0180310133429498</v>
      </c>
      <c r="L139" s="40">
        <f>IFERROR(IF(K138=0,"",L138/K138-1),"")</f>
        <v>0.07137796670209</v>
      </c>
      <c r="M139" s="12">
        <f>IFERROR(IF(L138=0,"",M138/L138-1),"")</f>
        <v>0</v>
      </c>
      <c r="N139" s="40">
        <f>IFERROR(IF(M138=0,"",N138/M138-1),"")</f>
        <v>-0.0517440899322202</v>
      </c>
      <c r="O139" s="40">
        <f>IFERROR(IF(N138=0,"",O138/N138-1),"")</f>
        <v>-0.0102859135285913</v>
      </c>
      <c r="P139" s="40">
        <f>IFERROR(IF(O138=0,"",P138/O138-1),"")</f>
        <v>-0.0116258587282015</v>
      </c>
      <c r="Q139" s="40">
        <f>IFERROR(IF(P138=0,"",Q138/P138-1),"")</f>
        <v>0.02887185884869</v>
      </c>
      <c r="R139" s="12">
        <f>IFERROR(IF(Q138=0,"",R138/Q138-1),"")</f>
        <v>0</v>
      </c>
      <c r="S139" s="40">
        <f>IFERROR(IF(R138=0,"",S138/R138-1),"")</f>
        <v>0.0291009873549282</v>
      </c>
      <c r="T139" s="40">
        <f>IFERROR(IF(S138=0,"",T138/S138-1),"")</f>
        <v>0.0525164113785559</v>
      </c>
      <c r="U139" s="40">
        <f>IFERROR(IF(T138=0,"",U138/T138-1),"")</f>
        <v>-0.109867263713418</v>
      </c>
      <c r="V139" s="40">
        <f>IFERROR(IF(U138=0,"",V138/U138-1),"")</f>
        <v>0.0278476464247215</v>
      </c>
      <c r="W139" s="12">
        <f>IFERROR(IF(V138=0,"",W138/V138-1),"")</f>
        <v>0</v>
      </c>
      <c r="X139" s="40">
        <f>IFERROR(IF(W138=0,"",X138/W138-1),"")</f>
        <v>0.142457612305541</v>
      </c>
      <c r="Y139" s="40">
        <f>IFERROR(IF(X138=0,"",Y138/X138-1),"")</f>
        <v>-0.0472766217870257</v>
      </c>
      <c r="Z139" s="40">
        <f>IFERROR(IF(Y138=0,"",Z138/Y138-1),"")</f>
        <v>0.105668861409989</v>
      </c>
      <c r="AA139" s="40">
        <f>IFERROR(IF(Z138=0,"",AA138/Z138-1),"")</f>
        <v>0.0427015250544662</v>
      </c>
      <c r="AB139" s="12">
        <f>IFERROR(IF(AA138=0,"",AB138/AA138-1),"")</f>
        <v>0</v>
      </c>
      <c r="AC139" s="40">
        <f>IFERROR(IF(AB138=0,"",AC138/AB138-1),"")</f>
        <v>0.106700097506617</v>
      </c>
      <c r="AD139" s="40">
        <f>IFERROR(IF(AC138=0,"",AD138/AC138-1),"")</f>
        <v>0.0810572687224669</v>
      </c>
      <c r="AE139" s="40">
        <f>IFERROR(IF(AD138=0,"",AE138/AD138-1),"")</f>
        <v>-0.0303877052043311</v>
      </c>
      <c r="AF139" s="55">
        <f>IFERROR(IF(AE138=0,"",AF138/AE138-1),"")</f>
        <v>-0.0332612872238233</v>
      </c>
      <c r="AG139" s="12">
        <f>IFERROR(IF(AF138=0,"",AG138/AF138-1),"")</f>
        <v>0</v>
      </c>
      <c r="AH139" s="12">
        <f>IFERROR(IF(AG138=0,"",AH138/AG138-1),"")</f>
        <v>0.187305924729847</v>
      </c>
      <c r="AI139" s="12">
        <f>IFERROR(IF(AH138=0,"",AI138/AH138-1),"")</f>
        <v>0.0321163301600587</v>
      </c>
      <c r="AJ139" s="12">
        <f>IFERROR(IF(AI138=0,"",AJ138/AI138-1),"")</f>
        <v>0</v>
      </c>
      <c r="AK139" s="12">
        <f>IFERROR(IF(AJ138=0,"",AK138/AJ138-1),"")</f>
        <v>0</v>
      </c>
      <c r="AL139" s="12">
        <f>IFERROR(IF(AK138=0,"",AL138/AK138-1),"")</f>
        <v>0</v>
      </c>
      <c r="AM139" s="12">
        <f>IFERROR(IF(AL138=0,"",AM138/AL138-1),"")</f>
        <v>0</v>
      </c>
      <c r="AN139" s="12">
        <f>IFERROR(IF(AM138=0,"",AN138/AM138-1),"")</f>
        <v>0</v>
      </c>
      <c r="AO139" s="12">
        <f>IFERROR(IF(AN138=0,"",AO138/AN138-1),"")</f>
        <v>0</v>
      </c>
      <c r="AP139" s="12">
        <f>IFERROR(IF(AO138=0,"",AP138/AO138-1),"")</f>
        <v>0</v>
      </c>
      <c r="AQ139" s="12">
        <f>IFERROR(IF(AP138=0,"",AQ138/AP138-1),"")</f>
        <v>0</v>
      </c>
      <c r="AR139" s="12">
        <f>IFERROR(IF(AQ138=0,"",AR138/AQ138-1),"")</f>
        <v>0</v>
      </c>
      <c r="AS139" s="12">
        <f>IFERROR(IF(AR138=0,"",AS138/AR138-1),"")</f>
        <v>0</v>
      </c>
      <c r="AT139" s="12">
        <f>IFERROR(IF(AS138=0,"",AT138/AS138-1),"")</f>
        <v>0</v>
      </c>
      <c r="AU139" s="12">
        <f>IFERROR(IF(AT138=0,"",AU138/AT138-1),"")</f>
        <v>0</v>
      </c>
      <c r="AV139" s="12">
        <f>IFERROR(IF(AU138=0,"",AV138/AU138-1),"")</f>
        <v>0</v>
      </c>
      <c r="AW139" s="12">
        <f>IFERROR(IF(AV138=0,"",AW138/AV138-1),"")</f>
        <v>0</v>
      </c>
      <c r="AX139" s="12">
        <f>IFERROR(IF(AW138=0,"",AX138/AW138-1),"")</f>
        <v>0</v>
      </c>
      <c r="AY139" s="12">
        <f>IFERROR(IF(AX138=0,"",AY138/AX138-1),"")</f>
        <v>0</v>
      </c>
      <c r="AZ139" s="12">
        <f>IFERROR(IF(AY138=0,"",AZ138/AY138-1),"")</f>
        <v>0</v>
      </c>
      <c r="BA139" s="12">
        <f>IFERROR(IF(AZ138=0,"",BA138/AZ138-1),"")</f>
        <v>0</v>
      </c>
      <c r="BB139" s="12">
        <f>IFERROR(IF(BA138=0,"",BB138/BA138-1),"")</f>
        <v>0</v>
      </c>
      <c r="BC139" s="12">
        <f>IFERROR(IF(BB138=0,"",BC138/BB138-1),"")</f>
        <v>0</v>
      </c>
      <c r="BD139" s="12">
        <f>IFERROR(IF(BC138=0,"",BD138/BC138-1),"")</f>
        <v>0</v>
      </c>
      <c r="BE139" s="12">
        <f>IFERROR(IF(BD138=0,"",BE138/BD138-1),"")</f>
        <v>0</v>
      </c>
      <c r="BF139" s="12">
        <f>IFERROR(IF(BE138=0,"",BF138/BE138-1),"")</f>
        <v>0</v>
      </c>
      <c r="BG139" s="12" t="n"/>
      <c r="BH139" s="12" t="n"/>
      <c r="BI139" s="12" t="n"/>
      <c r="BJ139" s="12" t="n"/>
      <c r="BK139" s="12" t="n"/>
      <c r="BL139" s="12" t="n"/>
      <c r="BM139" s="12" t="n"/>
      <c r="BN139" s="12" t="n"/>
      <c r="BO139" s="12" t="n"/>
      <c r="BP139" s="12" t="n"/>
      <c r="BQ139" s="12" t="n"/>
      <c r="BR139" s="12" t="n"/>
      <c r="BS139" s="12" t="n"/>
      <c r="BT139" s="12" t="n"/>
      <c r="BU139" s="12" t="n"/>
      <c r="BV139" s="12" t="n"/>
      <c r="BW139" s="12" t="n"/>
      <c r="BX139" s="12" t="n"/>
      <c r="BY139" s="12" t="n"/>
      <c r="BZ139" s="12" t="n"/>
      <c r="CA139" s="12" t="n"/>
      <c r="CB139" s="12" t="n"/>
      <c r="CC139" s="12" t="n"/>
      <c r="CD139" s="12" t="n"/>
      <c r="CE139" s="12" t="n"/>
      <c r="CF139" s="12" t="n"/>
      <c r="CG139" s="12" t="n"/>
      <c r="CH139" s="12" t="n"/>
      <c r="CI139" s="12" t="n"/>
      <c r="CJ139" s="12" t="n"/>
      <c r="CK139" s="12" t="n"/>
      <c r="CL139" s="12" t="n"/>
      <c r="CM139" s="12" t="n"/>
      <c r="CN139" s="12" t="n"/>
      <c r="CO139" s="12" t="n"/>
      <c r="CP139" s="12" t="n"/>
      <c r="CQ139" s="12" t="n"/>
      <c r="CR139" s="12" t="n"/>
      <c r="CS139" s="12" t="n"/>
      <c r="CT139" s="12" t="n"/>
      <c r="CU139" s="12" t="n"/>
      <c r="CV139" s="12" t="n"/>
      <c r="CW139" s="12" t="n"/>
      <c r="CX139" s="12" t="n"/>
      <c r="CY139" s="12" t="n"/>
    </row>
    <row r="140" hidden="1" outlineLevel="1">
      <c r="C140" s="57" t="n"/>
      <c r="D140" s="12" t="n"/>
      <c r="E140" s="40" t="n"/>
      <c r="F140" s="12" t="n"/>
      <c r="G140" s="12" t="n"/>
      <c r="H140" s="12" t="n"/>
      <c r="I140" s="12" t="n"/>
      <c r="J140" s="12" t="n"/>
      <c r="K140" s="12" t="n"/>
      <c r="L140" s="12" t="n"/>
      <c r="M140" s="12" t="n"/>
      <c r="N140" s="12" t="n"/>
      <c r="O140" s="12" t="n"/>
      <c r="P140" s="12" t="n"/>
      <c r="Q140" s="12" t="n"/>
      <c r="R140" s="12" t="n"/>
      <c r="S140" s="12" t="n"/>
      <c r="T140" s="12" t="n"/>
      <c r="U140" s="12" t="n"/>
      <c r="V140" s="12" t="n"/>
      <c r="W140" s="12" t="n"/>
      <c r="X140" s="12" t="n"/>
      <c r="Y140" s="12" t="n"/>
      <c r="Z140" s="12" t="n"/>
      <c r="AA140" s="12" t="n"/>
      <c r="AB140" s="12" t="n"/>
      <c r="AC140" s="12" t="n"/>
      <c r="AD140" s="12" t="n"/>
      <c r="AE140" s="12" t="n"/>
      <c r="AF140" s="12" t="n"/>
      <c r="AG140" s="12" t="n"/>
      <c r="AH140" s="12" t="n"/>
      <c r="AI140" s="12" t="n"/>
      <c r="AJ140" s="12" t="n"/>
      <c r="AK140" s="12" t="n"/>
      <c r="AL140" s="12" t="n"/>
      <c r="AM140" s="12" t="n"/>
      <c r="AN140" s="12" t="n"/>
      <c r="AO140" s="12" t="n"/>
      <c r="AP140" s="12" t="n"/>
      <c r="AQ140" s="12" t="n"/>
      <c r="AR140" s="12" t="n"/>
      <c r="AS140" s="12" t="n"/>
      <c r="AT140" s="12" t="n"/>
      <c r="AU140" s="12" t="n"/>
      <c r="AV140" s="12" t="n"/>
      <c r="AW140" s="12" t="n"/>
      <c r="AX140" s="12" t="n"/>
      <c r="AY140" s="12" t="n"/>
      <c r="AZ140" s="12" t="n"/>
      <c r="BA140" s="12" t="n"/>
      <c r="BB140" s="12" t="n"/>
      <c r="BC140" s="12" t="n"/>
      <c r="BD140" s="12" t="n"/>
      <c r="BE140" s="12" t="n"/>
      <c r="BF140" s="12" t="n"/>
      <c r="BG140" s="12" t="n"/>
      <c r="BH140" s="12" t="n"/>
      <c r="BI140" s="12" t="n"/>
      <c r="BJ140" s="12" t="n"/>
      <c r="BK140" s="12" t="n"/>
      <c r="BL140" s="12" t="n"/>
      <c r="BM140" s="12" t="n"/>
      <c r="BN140" s="12" t="n"/>
      <c r="BO140" s="12" t="n"/>
      <c r="BP140" s="12" t="n"/>
      <c r="BQ140" s="12" t="n"/>
      <c r="BR140" s="12" t="n"/>
      <c r="BS140" s="12" t="n"/>
      <c r="BT140" s="12" t="n"/>
      <c r="BU140" s="12" t="n"/>
      <c r="BV140" s="12" t="n"/>
      <c r="BW140" s="12" t="n"/>
      <c r="BX140" s="12" t="n"/>
      <c r="BY140" s="12" t="n"/>
      <c r="BZ140" s="12" t="n"/>
      <c r="CA140" s="12" t="n"/>
      <c r="CB140" s="12" t="n"/>
      <c r="CC140" s="12" t="n"/>
      <c r="CD140" s="12" t="n"/>
      <c r="CE140" s="12" t="n"/>
      <c r="CF140" s="12" t="n"/>
      <c r="CG140" s="12" t="n"/>
      <c r="CH140" s="12" t="n"/>
      <c r="CI140" s="12" t="n"/>
      <c r="CJ140" s="12" t="n"/>
      <c r="CK140" s="12" t="n"/>
      <c r="CL140" s="12" t="n"/>
      <c r="CM140" s="12" t="n"/>
      <c r="CN140" s="12" t="n"/>
      <c r="CO140" s="12" t="n"/>
      <c r="CP140" s="12" t="n"/>
      <c r="CQ140" s="12" t="n"/>
      <c r="CR140" s="12" t="n"/>
      <c r="CS140" s="12" t="n"/>
      <c r="CT140" s="12" t="n"/>
      <c r="CU140" s="12" t="n"/>
      <c r="CV140" s="12" t="n"/>
      <c r="CW140" s="12" t="n"/>
      <c r="CX140" s="12" t="n"/>
      <c r="CY140" s="12" t="n"/>
    </row>
    <row r="141" hidden="1" outlineLevel="1">
      <c r="C141" s="60" t="inlineStr">
        <is>
          <t xml:space="preserve">Impostos e Contribuições a Recuperar </t>
        </is>
      </c>
      <c r="D141" s="11" t="n"/>
      <c r="E141" s="11" t="n"/>
      <c r="F141" s="11" t="n"/>
      <c r="G141" s="11" t="n"/>
      <c r="H141" s="12" t="n"/>
      <c r="I141" s="11" t="n"/>
      <c r="J141" s="11" t="n"/>
      <c r="K141" s="11" t="n"/>
      <c r="L141" s="11" t="n"/>
      <c r="M141" s="12" t="n"/>
      <c r="N141" s="11" t="n"/>
      <c r="O141" s="11" t="n"/>
      <c r="P141" s="11" t="n"/>
      <c r="Q141" s="11" t="n"/>
      <c r="R141" s="12" t="n"/>
      <c r="S141" s="11" t="n"/>
      <c r="T141" s="11" t="n"/>
      <c r="U141" s="11" t="n"/>
      <c r="V141" s="11" t="n"/>
      <c r="W141" s="12" t="n"/>
      <c r="X141" s="11" t="n"/>
      <c r="Y141" s="11" t="n"/>
      <c r="Z141" s="11" t="n"/>
      <c r="AA141" s="11" t="n"/>
      <c r="AB141" s="12" t="n"/>
      <c r="AC141" s="11" t="n"/>
      <c r="AD141" s="11" t="n"/>
      <c r="AE141" s="11" t="n"/>
      <c r="AF141" s="11" t="n"/>
      <c r="AG141" s="12">
        <f>AF141</f>
        <v>0</v>
      </c>
      <c r="AH141" s="61">
        <f>IFERROR(AG141*AH15/AG15,"")</f>
        <v>0</v>
      </c>
      <c r="AI141" s="61">
        <f>IFERROR(AH141*AI15/AH15,"")</f>
        <v>0</v>
      </c>
      <c r="AJ141" s="61">
        <f>IFERROR(AI141*AJ15/AI15,"")</f>
        <v>0</v>
      </c>
      <c r="AK141" s="61">
        <f>IFERROR(AJ141*AK15/AJ15,"")</f>
        <v>0</v>
      </c>
      <c r="AL141" s="12">
        <f>IFERROR(AK141,"")</f>
        <v>0</v>
      </c>
      <c r="AM141" s="12" t="n"/>
      <c r="AN141" s="12" t="n"/>
      <c r="AO141" s="12" t="n"/>
      <c r="AP141" s="12" t="n"/>
      <c r="AQ141" s="12" t="n"/>
      <c r="AR141" s="12" t="n"/>
      <c r="AS141" s="12" t="n"/>
      <c r="AT141" s="12" t="n"/>
      <c r="AU141" s="12" t="n"/>
      <c r="AV141" s="12" t="n"/>
      <c r="AW141" s="12" t="n"/>
      <c r="AX141" s="12" t="n"/>
      <c r="AY141" s="12" t="n"/>
      <c r="AZ141" s="12" t="n"/>
      <c r="BA141" s="12" t="n"/>
      <c r="BB141" s="12" t="n"/>
      <c r="BC141" s="12" t="n"/>
      <c r="BD141" s="12" t="n"/>
      <c r="BE141" s="12" t="n"/>
      <c r="BF141" s="12" t="n"/>
      <c r="BG141" s="12" t="n"/>
      <c r="BH141" s="12" t="n"/>
      <c r="BI141" s="12" t="n"/>
      <c r="BJ141" s="12" t="n"/>
      <c r="BK141" s="12" t="n"/>
      <c r="BL141" s="12" t="n"/>
      <c r="BM141" s="12" t="n"/>
      <c r="BN141" s="12" t="n"/>
      <c r="BO141" s="12" t="n"/>
      <c r="BP141" s="12" t="n"/>
      <c r="BQ141" s="12" t="n"/>
      <c r="BR141" s="12" t="n"/>
      <c r="BS141" s="12" t="n"/>
      <c r="BT141" s="12" t="n"/>
      <c r="BU141" s="12" t="n"/>
      <c r="BV141" s="12" t="n"/>
      <c r="BW141" s="12" t="n"/>
      <c r="BX141" s="12" t="n"/>
      <c r="BY141" s="12" t="n"/>
      <c r="BZ141" s="12" t="n"/>
      <c r="CA141" s="12" t="n"/>
      <c r="CB141" s="12" t="n"/>
      <c r="CC141" s="12" t="n"/>
      <c r="CD141" s="12" t="n"/>
      <c r="CE141" s="12" t="n"/>
      <c r="CF141" s="12" t="n"/>
      <c r="CG141" s="12" t="n"/>
      <c r="CH141" s="12" t="n"/>
      <c r="CI141" s="12" t="n"/>
      <c r="CJ141" s="12" t="n"/>
      <c r="CK141" s="12" t="n"/>
      <c r="CL141" s="12" t="n"/>
      <c r="CM141" s="12" t="n"/>
      <c r="CN141" s="12" t="n"/>
      <c r="CO141" s="12" t="n"/>
      <c r="CP141" s="12" t="n"/>
      <c r="CQ141" s="12" t="n"/>
      <c r="CR141" s="12" t="n"/>
      <c r="CS141" s="12" t="n"/>
      <c r="CT141" s="12" t="n"/>
      <c r="CU141" s="12" t="n"/>
      <c r="CV141" s="12" t="n"/>
      <c r="CW141" s="12" t="n"/>
      <c r="CX141" s="12" t="n"/>
      <c r="CY141" s="12" t="n"/>
    </row>
    <row r="142" hidden="1" outlineLevel="1">
      <c r="C142" s="60" t="inlineStr">
        <is>
          <t>Outros Créditos</t>
        </is>
      </c>
      <c r="D142" s="11" t="n"/>
      <c r="E142" s="11" t="n"/>
      <c r="F142" s="11" t="n"/>
      <c r="G142" s="11" t="n"/>
      <c r="H142" s="12" t="n"/>
      <c r="I142" s="11" t="n"/>
      <c r="J142" s="11" t="n"/>
      <c r="K142" s="11" t="n"/>
      <c r="L142" s="11" t="n"/>
      <c r="M142" s="12" t="n"/>
      <c r="N142" s="11" t="n"/>
      <c r="O142" s="11" t="n"/>
      <c r="P142" s="11" t="n"/>
      <c r="Q142" s="11" t="n"/>
      <c r="R142" s="12" t="n"/>
      <c r="S142" s="11" t="n"/>
      <c r="T142" s="11" t="n"/>
      <c r="U142" s="11" t="n"/>
      <c r="V142" s="11" t="n"/>
      <c r="W142" s="12" t="n"/>
      <c r="X142" s="11" t="n"/>
      <c r="Y142" s="11" t="n"/>
      <c r="Z142" s="11" t="n"/>
      <c r="AA142" s="11" t="n"/>
      <c r="AB142" s="12" t="n"/>
      <c r="AC142" s="11" t="n"/>
      <c r="AD142" s="11" t="n"/>
      <c r="AE142" s="11" t="n"/>
      <c r="AF142" s="11" t="n"/>
      <c r="AG142" s="12">
        <f>AF142</f>
        <v>0</v>
      </c>
      <c r="AH142" s="12">
        <f>AG142</f>
        <v>0</v>
      </c>
      <c r="AI142" s="12">
        <f>AH142</f>
        <v>0</v>
      </c>
      <c r="AJ142" s="12">
        <f>AI142</f>
        <v>0</v>
      </c>
      <c r="AK142" s="12">
        <f>AJ142</f>
        <v>0</v>
      </c>
      <c r="AL142" s="12">
        <f>AK142</f>
        <v>0</v>
      </c>
      <c r="AM142" s="12" t="n"/>
      <c r="AN142" s="12" t="n"/>
      <c r="AO142" s="12" t="n"/>
      <c r="AP142" s="12" t="n"/>
      <c r="AQ142" s="12" t="n"/>
      <c r="AR142" s="12" t="n"/>
      <c r="AS142" s="12" t="n"/>
      <c r="AT142" s="12" t="n"/>
      <c r="AU142" s="12" t="n"/>
      <c r="AV142" s="12" t="n"/>
      <c r="AW142" s="12" t="n"/>
      <c r="AX142" s="12" t="n"/>
      <c r="AY142" s="12" t="n"/>
      <c r="AZ142" s="12" t="n"/>
      <c r="BA142" s="12" t="n"/>
      <c r="BB142" s="12" t="n"/>
      <c r="BC142" s="12" t="n"/>
      <c r="BD142" s="12" t="n"/>
      <c r="BE142" s="12" t="n"/>
      <c r="BF142" s="12" t="n"/>
      <c r="BG142" s="12" t="n"/>
      <c r="BH142" s="12" t="n"/>
      <c r="BI142" s="12" t="n"/>
      <c r="BJ142" s="12" t="n"/>
      <c r="BK142" s="12" t="n"/>
      <c r="BL142" s="12" t="n"/>
      <c r="BM142" s="12" t="n"/>
      <c r="BN142" s="12" t="n"/>
      <c r="BO142" s="12" t="n"/>
      <c r="BP142" s="12" t="n"/>
      <c r="BQ142" s="12" t="n"/>
      <c r="BR142" s="12" t="n"/>
      <c r="BS142" s="12" t="n"/>
      <c r="BT142" s="12" t="n"/>
      <c r="BU142" s="12" t="n"/>
      <c r="BV142" s="12" t="n"/>
      <c r="BW142" s="12" t="n"/>
      <c r="BX142" s="12" t="n"/>
      <c r="BY142" s="12" t="n"/>
      <c r="BZ142" s="12" t="n"/>
      <c r="CA142" s="12" t="n"/>
      <c r="CB142" s="12" t="n"/>
      <c r="CC142" s="12" t="n"/>
      <c r="CD142" s="12" t="n"/>
      <c r="CE142" s="12" t="n"/>
      <c r="CF142" s="12" t="n"/>
      <c r="CG142" s="12" t="n"/>
      <c r="CH142" s="12" t="n"/>
      <c r="CI142" s="12" t="n"/>
      <c r="CJ142" s="12" t="n"/>
      <c r="CK142" s="12" t="n"/>
      <c r="CL142" s="12" t="n"/>
      <c r="CM142" s="12" t="n"/>
      <c r="CN142" s="12" t="n"/>
      <c r="CO142" s="12" t="n"/>
      <c r="CP142" s="12" t="n"/>
      <c r="CQ142" s="12" t="n"/>
      <c r="CR142" s="12" t="n"/>
      <c r="CS142" s="12" t="n"/>
      <c r="CT142" s="12" t="n"/>
      <c r="CU142" s="12" t="n"/>
      <c r="CV142" s="12" t="n"/>
      <c r="CW142" s="12" t="n"/>
      <c r="CX142" s="12" t="n"/>
      <c r="CY142" s="12" t="n"/>
    </row>
    <row r="143" hidden="1" outlineLevel="1">
      <c r="C143" s="57" t="n"/>
      <c r="D143" s="12" t="n"/>
      <c r="E143" s="12" t="n"/>
      <c r="F143" s="12" t="n"/>
      <c r="G143" s="12" t="n"/>
      <c r="H143" s="12" t="n"/>
      <c r="I143" s="12" t="n"/>
      <c r="J143" s="12" t="n"/>
      <c r="K143" s="12" t="n"/>
      <c r="L143" s="12" t="n"/>
      <c r="M143" s="12" t="n"/>
      <c r="N143" s="12" t="n"/>
      <c r="O143" s="12" t="n"/>
      <c r="P143" s="12" t="n"/>
      <c r="Q143" s="12" t="n"/>
      <c r="R143" s="12" t="n"/>
      <c r="S143" s="12" t="n"/>
      <c r="T143" s="12" t="n"/>
      <c r="U143" s="12" t="n"/>
      <c r="V143" s="12" t="n"/>
      <c r="W143" s="12" t="n"/>
      <c r="X143" s="12" t="n"/>
      <c r="Y143" s="12" t="n"/>
      <c r="Z143" s="12" t="n"/>
      <c r="AA143" s="12" t="n"/>
      <c r="AB143" s="12" t="n"/>
      <c r="AC143" s="12" t="n"/>
      <c r="AD143" s="12" t="n"/>
      <c r="AE143" s="12" t="n"/>
      <c r="AF143" s="12" t="n"/>
      <c r="AG143" s="12" t="n"/>
      <c r="AH143" s="12" t="n"/>
      <c r="AI143" s="12" t="n"/>
      <c r="AJ143" s="12" t="n"/>
      <c r="AK143" s="12" t="n"/>
      <c r="AL143" s="12" t="n"/>
      <c r="AM143" s="12" t="n"/>
      <c r="AN143" s="12" t="n"/>
      <c r="AO143" s="12" t="n"/>
      <c r="AP143" s="12" t="n"/>
      <c r="AQ143" s="12" t="n"/>
      <c r="AR143" s="12" t="n"/>
      <c r="AS143" s="12" t="n"/>
      <c r="AT143" s="12" t="n"/>
      <c r="AU143" s="12" t="n"/>
      <c r="AV143" s="12" t="n"/>
      <c r="AW143" s="12" t="n"/>
      <c r="AX143" s="12" t="n"/>
      <c r="AY143" s="12" t="n"/>
      <c r="AZ143" s="12" t="n"/>
      <c r="BA143" s="12" t="n"/>
      <c r="BB143" s="12" t="n"/>
      <c r="BC143" s="12" t="n"/>
      <c r="BD143" s="12" t="n"/>
      <c r="BE143" s="12" t="n"/>
      <c r="BF143" s="12" t="n"/>
      <c r="BG143" s="12" t="n"/>
      <c r="BH143" s="12" t="n"/>
      <c r="BI143" s="12" t="n"/>
      <c r="BJ143" s="12" t="n"/>
      <c r="BK143" s="12" t="n"/>
      <c r="BL143" s="12" t="n"/>
      <c r="BM143" s="12" t="n"/>
      <c r="BN143" s="12" t="n"/>
      <c r="BO143" s="12" t="n"/>
      <c r="BP143" s="12" t="n"/>
      <c r="BQ143" s="12" t="n"/>
      <c r="BR143" s="12" t="n"/>
      <c r="BS143" s="12" t="n"/>
      <c r="BT143" s="12" t="n"/>
      <c r="BU143" s="12" t="n"/>
      <c r="BV143" s="12" t="n"/>
      <c r="BW143" s="12" t="n"/>
      <c r="BX143" s="12" t="n"/>
      <c r="BY143" s="12" t="n"/>
      <c r="BZ143" s="12" t="n"/>
      <c r="CA143" s="12" t="n"/>
      <c r="CB143" s="12" t="n"/>
      <c r="CC143" s="12" t="n"/>
      <c r="CD143" s="12" t="n"/>
      <c r="CE143" s="12" t="n"/>
      <c r="CF143" s="12" t="n"/>
      <c r="CG143" s="12" t="n"/>
      <c r="CH143" s="12" t="n"/>
      <c r="CI143" s="12" t="n"/>
      <c r="CJ143" s="12" t="n"/>
      <c r="CK143" s="12" t="n"/>
      <c r="CL143" s="12" t="n"/>
      <c r="CM143" s="12" t="n"/>
      <c r="CN143" s="12" t="n"/>
      <c r="CO143" s="12" t="n"/>
      <c r="CP143" s="12" t="n"/>
      <c r="CQ143" s="12" t="n"/>
      <c r="CR143" s="12" t="n"/>
      <c r="CS143" s="12" t="n"/>
      <c r="CT143" s="12" t="n"/>
      <c r="CU143" s="12" t="n"/>
      <c r="CV143" s="12" t="n"/>
      <c r="CW143" s="12" t="n"/>
      <c r="CX143" s="12" t="n"/>
      <c r="CY143" s="12" t="n"/>
    </row>
    <row r="144" collapsed="1">
      <c r="C144" s="14" t="inlineStr">
        <is>
          <t>Equity in affiliates</t>
        </is>
      </c>
      <c r="D144" s="46" t="n"/>
      <c r="E144" s="46" t="n"/>
      <c r="F144" s="46" t="n"/>
      <c r="G144" s="46" t="n"/>
      <c r="H144" s="12" t="n"/>
      <c r="I144" s="46">
        <f>'Inputs (2)'!D21</f>
        <v>0</v>
      </c>
      <c r="J144" s="46">
        <f>'Inputs (2)'!E21</f>
        <v>0</v>
      </c>
      <c r="K144" s="46">
        <f>'Inputs (2)'!F21</f>
        <v>0</v>
      </c>
      <c r="L144" s="46">
        <f>'Inputs (2)'!G21</f>
        <v>0</v>
      </c>
      <c r="M144" s="12">
        <f>'Inputs (2)'!H21</f>
        <v>0</v>
      </c>
      <c r="N144" s="46">
        <f>'Inputs (2)'!I21</f>
        <v>0</v>
      </c>
      <c r="O144" s="46">
        <f>'Inputs (2)'!J21</f>
        <v>0</v>
      </c>
      <c r="P144" s="46">
        <f>'Inputs (2)'!K21</f>
        <v>0</v>
      </c>
      <c r="Q144" s="46">
        <f>'Inputs (2)'!L21</f>
        <v>0</v>
      </c>
      <c r="R144" s="12">
        <f>'Inputs (2)'!M21</f>
        <v>0</v>
      </c>
      <c r="S144" s="46">
        <f>'Inputs (2)'!N21</f>
        <v>0</v>
      </c>
      <c r="T144" s="46">
        <f>'Inputs (2)'!O21</f>
        <v>0</v>
      </c>
      <c r="U144" s="46">
        <f>'Inputs (2)'!P21</f>
        <v>0</v>
      </c>
      <c r="V144" s="46">
        <f>'Inputs (2)'!Q21</f>
        <v>0</v>
      </c>
      <c r="W144" s="12">
        <f>'Inputs (2)'!R21</f>
        <v>0</v>
      </c>
      <c r="X144" s="46">
        <f>'Inputs (2)'!S21</f>
        <v>0</v>
      </c>
      <c r="Y144" s="46">
        <f>'Inputs (2)'!T21</f>
        <v>0</v>
      </c>
      <c r="Z144" s="46">
        <f>'Inputs (2)'!U21</f>
        <v>0</v>
      </c>
      <c r="AA144" s="46">
        <f>'Inputs (2)'!V21</f>
        <v>0</v>
      </c>
      <c r="AB144" s="12">
        <f>'Inputs (2)'!W21</f>
        <v>0</v>
      </c>
      <c r="AC144" s="46">
        <f>'Inputs (2)'!X21</f>
        <v>0</v>
      </c>
      <c r="AD144" s="46">
        <f>'Inputs (2)'!Y21</f>
        <v>0</v>
      </c>
      <c r="AE144" s="46">
        <f>'Inputs (2)'!Z21</f>
        <v>0</v>
      </c>
      <c r="AF144" s="46">
        <f>'Inputs (2)'!AA21</f>
        <v>0</v>
      </c>
      <c r="AG144" s="12">
        <f>'Inputs (2)'!AB21</f>
        <v>0</v>
      </c>
      <c r="AH144" s="12">
        <f>'Inputs (2)'!AC21</f>
        <v>0</v>
      </c>
      <c r="AI144" s="12">
        <f>'Inputs (2)'!AD21</f>
        <v>0</v>
      </c>
      <c r="AJ144" s="12">
        <f>AI144+AJ118</f>
        <v>0</v>
      </c>
      <c r="AK144" s="12">
        <f>AJ144+AK118</f>
        <v>0</v>
      </c>
      <c r="AL144" s="12">
        <f>AK144</f>
        <v>0</v>
      </c>
      <c r="AM144" s="12">
        <f>AL144+AM118</f>
        <v>0</v>
      </c>
      <c r="AN144" s="12">
        <f>AM144+AN118</f>
        <v>0</v>
      </c>
      <c r="AO144" s="12">
        <f>AN144+AO118</f>
        <v>0</v>
      </c>
      <c r="AP144" s="12">
        <f>AO144+AP118</f>
        <v>0</v>
      </c>
      <c r="AQ144" s="12">
        <f>AP144</f>
        <v>0</v>
      </c>
      <c r="AR144" s="12">
        <f>AQ144+AR118</f>
        <v>0</v>
      </c>
      <c r="AS144" s="12">
        <f>AR144+AS118</f>
        <v>0</v>
      </c>
      <c r="AT144" s="12">
        <f>AS144+AT118</f>
        <v>0</v>
      </c>
      <c r="AU144" s="12">
        <f>AT144+AU118</f>
        <v>0</v>
      </c>
      <c r="AV144" s="12">
        <f>AU144</f>
        <v>0</v>
      </c>
      <c r="AW144" s="12">
        <f>AV144+AW118</f>
        <v>0</v>
      </c>
      <c r="AX144" s="12">
        <f>AW144+AX118</f>
        <v>0</v>
      </c>
      <c r="AY144" s="12">
        <f>AX144+AY118</f>
        <v>0</v>
      </c>
      <c r="AZ144" s="12">
        <f>AY144+AZ118</f>
        <v>0</v>
      </c>
      <c r="BA144" s="12">
        <f>AZ144</f>
        <v>0</v>
      </c>
      <c r="BB144" s="12">
        <f>BA144+BB118</f>
        <v>0</v>
      </c>
      <c r="BC144" s="12">
        <f>BB144+BC118</f>
        <v>0</v>
      </c>
      <c r="BD144" s="12">
        <f>BC144+BD118</f>
        <v>0</v>
      </c>
      <c r="BE144" s="12">
        <f>BD144+BE118</f>
        <v>0</v>
      </c>
      <c r="BF144" s="12">
        <f>BE144</f>
        <v>0</v>
      </c>
      <c r="BG144" s="12" t="n"/>
      <c r="BH144" s="12" t="n"/>
      <c r="BI144" s="12" t="n"/>
      <c r="BJ144" s="12" t="n"/>
      <c r="BK144" s="12" t="n"/>
      <c r="BL144" s="12" t="n"/>
      <c r="BM144" s="12" t="n"/>
      <c r="BN144" s="12" t="n"/>
      <c r="BO144" s="12" t="n"/>
      <c r="BP144" s="12" t="n"/>
      <c r="BQ144" s="12" t="n"/>
      <c r="BR144" s="12" t="n"/>
      <c r="BS144" s="12" t="n"/>
      <c r="BT144" s="12" t="n"/>
      <c r="BU144" s="12" t="n"/>
      <c r="BV144" s="12" t="n"/>
      <c r="BW144" s="12" t="n"/>
      <c r="BX144" s="12" t="n"/>
      <c r="BY144" s="12" t="n"/>
      <c r="BZ144" s="12" t="n"/>
      <c r="CA144" s="12" t="n"/>
      <c r="CB144" s="12" t="n"/>
      <c r="CC144" s="12" t="n"/>
      <c r="CD144" s="12" t="n"/>
      <c r="CE144" s="12" t="n"/>
      <c r="CF144" s="12" t="n"/>
      <c r="CG144" s="12" t="n"/>
      <c r="CH144" s="12" t="n"/>
      <c r="CI144" s="12" t="n"/>
      <c r="CJ144" s="12" t="n"/>
      <c r="CK144" s="12" t="n"/>
      <c r="CL144" s="12" t="n"/>
      <c r="CM144" s="12" t="n"/>
      <c r="CN144" s="12" t="n"/>
      <c r="CO144" s="12" t="n"/>
      <c r="CP144" s="12" t="n"/>
      <c r="CQ144" s="12" t="n"/>
      <c r="CR144" s="12" t="n"/>
      <c r="CS144" s="12" t="n"/>
      <c r="CT144" s="12" t="n"/>
      <c r="CU144" s="12" t="n"/>
      <c r="CV144" s="12" t="n"/>
      <c r="CW144" s="12" t="n"/>
      <c r="CX144" s="12" t="n"/>
      <c r="CY144" s="12" t="n"/>
    </row>
    <row r="145" hidden="1" outlineLevel="1">
      <c r="C145" s="57" t="n"/>
      <c r="D145" s="12" t="n"/>
      <c r="E145" s="12" t="n"/>
      <c r="F145" s="12" t="n"/>
      <c r="G145" s="12" t="n"/>
      <c r="H145" s="12" t="n"/>
      <c r="I145" s="12" t="n"/>
      <c r="J145" s="12" t="n"/>
      <c r="K145" s="12" t="n"/>
      <c r="L145" s="12" t="n"/>
      <c r="M145" s="12" t="n"/>
      <c r="N145" s="12" t="n"/>
      <c r="O145" s="12" t="n"/>
      <c r="P145" s="12" t="n"/>
      <c r="Q145" s="12" t="n"/>
      <c r="R145" s="12" t="n"/>
      <c r="S145" s="12" t="n"/>
      <c r="T145" s="12" t="n"/>
      <c r="U145" s="12" t="n"/>
      <c r="V145" s="12" t="n"/>
      <c r="W145" s="12" t="n"/>
      <c r="X145" s="12" t="n"/>
      <c r="Y145" s="12" t="n"/>
      <c r="Z145" s="12" t="n"/>
      <c r="AA145" s="12" t="n"/>
      <c r="AB145" s="12" t="n"/>
      <c r="AC145" s="12" t="n"/>
      <c r="AD145" s="12" t="n"/>
      <c r="AE145" s="12" t="n"/>
      <c r="AF145" s="12" t="n"/>
      <c r="AG145" s="12" t="n"/>
      <c r="AH145" s="12" t="n"/>
      <c r="AI145" s="12" t="n"/>
      <c r="AJ145" s="12" t="n"/>
      <c r="AK145" s="12" t="n"/>
      <c r="AL145" s="12" t="n"/>
      <c r="AM145" s="12" t="n"/>
      <c r="AN145" s="12" t="n"/>
      <c r="AO145" s="12" t="n"/>
      <c r="AP145" s="12" t="n"/>
      <c r="AQ145" s="12" t="n"/>
      <c r="AR145" s="12" t="n"/>
      <c r="AS145" s="12" t="n"/>
      <c r="AT145" s="12" t="n"/>
      <c r="AU145" s="12" t="n"/>
      <c r="AV145" s="12" t="n"/>
      <c r="AW145" s="12" t="n"/>
      <c r="AX145" s="12" t="n"/>
      <c r="AY145" s="12" t="n"/>
      <c r="AZ145" s="12" t="n"/>
      <c r="BA145" s="12" t="n"/>
      <c r="BB145" s="12" t="n"/>
      <c r="BC145" s="12" t="n"/>
      <c r="BD145" s="12" t="n"/>
      <c r="BE145" s="12" t="n"/>
      <c r="BF145" s="12" t="n"/>
      <c r="BG145" s="12" t="n"/>
      <c r="BH145" s="12" t="n"/>
      <c r="BI145" s="12" t="n"/>
      <c r="BJ145" s="12" t="n"/>
      <c r="BK145" s="12" t="n"/>
      <c r="BL145" s="12" t="n"/>
      <c r="BM145" s="12" t="n"/>
      <c r="BN145" s="12" t="n"/>
      <c r="BO145" s="12" t="n"/>
      <c r="BP145" s="12" t="n"/>
      <c r="BQ145" s="12" t="n"/>
      <c r="BR145" s="12" t="n"/>
      <c r="BS145" s="12" t="n"/>
      <c r="BT145" s="12" t="n"/>
      <c r="BU145" s="12" t="n"/>
      <c r="BV145" s="12" t="n"/>
      <c r="BW145" s="12" t="n"/>
      <c r="BX145" s="12" t="n"/>
      <c r="BY145" s="12" t="n"/>
      <c r="BZ145" s="12" t="n"/>
      <c r="CA145" s="12" t="n"/>
      <c r="CB145" s="12" t="n"/>
      <c r="CC145" s="12" t="n"/>
      <c r="CD145" s="12" t="n"/>
      <c r="CE145" s="12" t="n"/>
      <c r="CF145" s="12" t="n"/>
      <c r="CG145" s="12" t="n"/>
      <c r="CH145" s="12" t="n"/>
      <c r="CI145" s="12" t="n"/>
      <c r="CJ145" s="12" t="n"/>
      <c r="CK145" s="12" t="n"/>
      <c r="CL145" s="12" t="n"/>
      <c r="CM145" s="12" t="n"/>
      <c r="CN145" s="12" t="n"/>
      <c r="CO145" s="12" t="n"/>
      <c r="CP145" s="12" t="n"/>
      <c r="CQ145" s="12" t="n"/>
      <c r="CR145" s="12" t="n"/>
      <c r="CS145" s="12" t="n"/>
      <c r="CT145" s="12" t="n"/>
      <c r="CU145" s="12" t="n"/>
      <c r="CV145" s="12" t="n"/>
      <c r="CW145" s="12" t="n"/>
      <c r="CX145" s="12" t="n"/>
      <c r="CY145" s="12" t="n"/>
    </row>
    <row r="146" hidden="1" outlineLevel="1">
      <c r="C146" s="57" t="inlineStr">
        <is>
          <t>Equity in Income - % YoY</t>
        </is>
      </c>
      <c r="D146" s="12" t="n"/>
      <c r="E146" s="12" t="n"/>
      <c r="F146" s="12" t="n"/>
      <c r="G146" s="12" t="n"/>
      <c r="H146" s="12" t="n"/>
      <c r="I146" s="12" t="n"/>
      <c r="J146" s="12" t="n"/>
      <c r="K146" s="12" t="n"/>
      <c r="L146" s="12" t="n"/>
      <c r="M146" s="12" t="n"/>
      <c r="N146" s="12">
        <f>IF(I118=0,0,N118/I118-1)</f>
        <v>-4</v>
      </c>
      <c r="O146" s="12">
        <f>IF(J118=0,0,O118/J118-1)</f>
        <v>0</v>
      </c>
      <c r="P146" s="12">
        <f>IF(K118=0,0,P118/K118-1)</f>
        <v>-0.727272727272727</v>
      </c>
      <c r="Q146" s="12">
        <f>IF(L118=0,0,Q118/L118-1)</f>
        <v>-5</v>
      </c>
      <c r="R146" s="12" t="n"/>
      <c r="S146" s="12">
        <f>IF(N118=0,0,S118/N118-1)</f>
        <v>-0.333333333333333</v>
      </c>
      <c r="T146" s="12">
        <f>IF(O118=0,0,T118/O118-1)</f>
        <v>0</v>
      </c>
      <c r="U146" s="12">
        <f>IF(P118=0,0,U118/P118-1)</f>
        <v>0.333333333333333</v>
      </c>
      <c r="V146" s="12">
        <f>IF(Q118=0,0,V118/Q118-1)</f>
        <v>-0.25</v>
      </c>
      <c r="W146" s="12" t="n"/>
      <c r="X146" s="12">
        <f>IF(S118=0,0,X118/S118-1)</f>
        <v>0.5</v>
      </c>
      <c r="Y146" s="12">
        <f>IF(T118=0,0,Y118/T118-1)</f>
        <v>0.333333333333333</v>
      </c>
      <c r="Z146" s="12">
        <f>IF(U118=0,0,Z118/U118-1)</f>
        <v>0</v>
      </c>
      <c r="AA146" s="12">
        <f>IF(V118=0,0,AA118/V118-1)</f>
        <v>0.666666666666667</v>
      </c>
      <c r="AB146" s="12" t="n"/>
      <c r="AC146" s="12">
        <f>IF(X118=0,0,AC118/X118-1)</f>
        <v>0.666666666666667</v>
      </c>
      <c r="AD146" s="12">
        <f>IF(Y118=0,0,AD118/Y118-1)</f>
        <v>0</v>
      </c>
      <c r="AE146" s="12">
        <f>IF(Z118=0,0,AE118/Z118-1)</f>
        <v>0.5</v>
      </c>
      <c r="AF146" s="12">
        <f>IF(AA118=0,0,AF118/AA118-1)</f>
        <v>0.2</v>
      </c>
      <c r="AG146" s="12" t="n"/>
      <c r="AH146" s="11">
        <f>IF(AC118=0,0,AH118/AC118-1)</f>
        <v>0.2</v>
      </c>
      <c r="AI146" s="11">
        <f>IF(AD118=0,0,AI118/AD118-1)</f>
        <v>1</v>
      </c>
      <c r="AJ146" s="11" t="n"/>
      <c r="AK146" s="11" t="n"/>
      <c r="AL146" s="12" t="n"/>
      <c r="AM146" s="11" t="n"/>
      <c r="AN146" s="11" t="n"/>
      <c r="AO146" s="11" t="n"/>
      <c r="AP146" s="11" t="n"/>
      <c r="AQ146" s="12" t="n"/>
      <c r="AR146" s="11" t="n"/>
      <c r="AS146" s="11" t="n"/>
      <c r="AT146" s="11" t="n"/>
      <c r="AU146" s="11" t="n"/>
      <c r="AV146" s="12" t="n"/>
      <c r="AW146" s="11" t="n"/>
      <c r="AX146" s="11" t="n"/>
      <c r="AY146" s="11" t="n"/>
      <c r="AZ146" s="11" t="n"/>
      <c r="BA146" s="12" t="n"/>
      <c r="BB146" s="11" t="n"/>
      <c r="BC146" s="11" t="n"/>
      <c r="BD146" s="11" t="n"/>
      <c r="BE146" s="11" t="n"/>
      <c r="BF146" s="12" t="n"/>
      <c r="BG146" s="11" t="n"/>
      <c r="BH146" s="11" t="n"/>
      <c r="BI146" s="11" t="n"/>
      <c r="BJ146" s="11" t="n"/>
      <c r="BK146" s="12" t="n"/>
      <c r="BL146" s="11" t="n"/>
      <c r="BM146" s="11" t="n"/>
      <c r="BN146" s="11" t="n"/>
      <c r="BO146" s="11" t="n"/>
      <c r="BP146" s="12" t="n"/>
      <c r="BQ146" s="11" t="n"/>
      <c r="BR146" s="11" t="n"/>
      <c r="BS146" s="11" t="n"/>
      <c r="BT146" s="11" t="n"/>
      <c r="BU146" s="12" t="n"/>
      <c r="BV146" s="11" t="n"/>
      <c r="BW146" s="11" t="n"/>
      <c r="BX146" s="11" t="n"/>
      <c r="BY146" s="11" t="n"/>
      <c r="BZ146" s="12" t="n"/>
      <c r="CA146" s="11" t="n"/>
      <c r="CB146" s="11" t="n"/>
      <c r="CC146" s="11" t="n"/>
      <c r="CD146" s="11" t="n"/>
      <c r="CE146" s="12" t="n"/>
      <c r="CF146" s="11" t="n"/>
      <c r="CG146" s="11" t="n"/>
      <c r="CH146" s="11" t="n"/>
      <c r="CI146" s="11" t="n"/>
      <c r="CJ146" s="12" t="n"/>
      <c r="CK146" s="11" t="n"/>
      <c r="CL146" s="11" t="n"/>
      <c r="CM146" s="11" t="n"/>
      <c r="CN146" s="11" t="n"/>
      <c r="CO146" s="12" t="n"/>
      <c r="CP146" s="11" t="n"/>
      <c r="CQ146" s="11" t="n"/>
      <c r="CR146" s="11" t="n"/>
      <c r="CS146" s="11" t="n"/>
      <c r="CT146" s="12" t="n"/>
      <c r="CU146" s="11" t="n"/>
      <c r="CV146" s="11" t="n"/>
      <c r="CW146" s="11" t="n"/>
      <c r="CX146" s="11" t="n"/>
      <c r="CY146" s="12" t="n"/>
    </row>
    <row r="147" hidden="1" outlineLevel="1">
      <c r="C147" s="57" t="inlineStr">
        <is>
          <t>Dividends (enter as -)</t>
        </is>
      </c>
      <c r="D147" s="12" t="n"/>
      <c r="E147" s="12" t="n"/>
      <c r="F147" s="12" t="n"/>
      <c r="G147" s="12" t="n"/>
      <c r="H147" s="12" t="n"/>
      <c r="I147" s="12" t="n"/>
      <c r="J147" s="12" t="n"/>
      <c r="K147" s="12" t="n"/>
      <c r="L147" s="12" t="n"/>
      <c r="M147" s="12" t="n"/>
      <c r="N147" s="12" t="n"/>
      <c r="O147" s="12" t="n"/>
      <c r="P147" s="12" t="n"/>
      <c r="Q147" s="12" t="n"/>
      <c r="R147" s="12" t="n"/>
      <c r="S147" s="12" t="n"/>
      <c r="T147" s="12" t="n"/>
      <c r="U147" s="12" t="n"/>
      <c r="V147" s="12" t="n"/>
      <c r="W147" s="12" t="n"/>
      <c r="X147" s="12" t="n"/>
      <c r="Y147" s="12" t="n"/>
      <c r="Z147" s="12" t="n"/>
      <c r="AA147" s="12" t="n"/>
      <c r="AB147" s="12" t="n"/>
      <c r="AC147" s="12" t="n"/>
      <c r="AD147" s="12" t="n"/>
      <c r="AE147" s="12" t="n"/>
      <c r="AF147" s="12" t="n"/>
      <c r="AG147" s="12" t="n"/>
      <c r="AH147" s="11" t="n"/>
      <c r="AI147" s="11" t="n"/>
      <c r="AJ147" s="11" t="n"/>
      <c r="AK147" s="11" t="n"/>
      <c r="AL147" s="12" t="n"/>
      <c r="AM147" s="11" t="n"/>
      <c r="AN147" s="11" t="n"/>
      <c r="AO147" s="11" t="n"/>
      <c r="AP147" s="11" t="n"/>
      <c r="AQ147" s="12" t="n"/>
      <c r="AR147" s="11" t="n"/>
      <c r="AS147" s="11" t="n"/>
      <c r="AT147" s="11" t="n"/>
      <c r="AU147" s="11" t="n"/>
      <c r="AV147" s="12" t="n"/>
      <c r="AW147" s="11" t="n"/>
      <c r="AX147" s="11" t="n"/>
      <c r="AY147" s="11" t="n"/>
      <c r="AZ147" s="11" t="n"/>
      <c r="BA147" s="12" t="n"/>
      <c r="BB147" s="11" t="n"/>
      <c r="BC147" s="11" t="n"/>
      <c r="BD147" s="11" t="n"/>
      <c r="BE147" s="11" t="n"/>
      <c r="BF147" s="12" t="n"/>
      <c r="BG147" s="11" t="n"/>
      <c r="BH147" s="11" t="n"/>
      <c r="BI147" s="11" t="n"/>
      <c r="BJ147" s="11" t="n"/>
      <c r="BK147" s="12" t="n"/>
      <c r="BL147" s="11" t="n"/>
      <c r="BM147" s="11" t="n"/>
      <c r="BN147" s="11" t="n"/>
      <c r="BO147" s="11" t="n"/>
      <c r="BP147" s="12" t="n"/>
      <c r="BQ147" s="11" t="n"/>
      <c r="BR147" s="11" t="n"/>
      <c r="BS147" s="11" t="n"/>
      <c r="BT147" s="11" t="n"/>
      <c r="BU147" s="12" t="n"/>
      <c r="BV147" s="11" t="n"/>
      <c r="BW147" s="11" t="n"/>
      <c r="BX147" s="11" t="n"/>
      <c r="BY147" s="11" t="n"/>
      <c r="BZ147" s="12" t="n"/>
      <c r="CA147" s="11" t="n"/>
      <c r="CB147" s="11" t="n"/>
      <c r="CC147" s="11" t="n"/>
      <c r="CD147" s="11" t="n"/>
      <c r="CE147" s="12" t="n"/>
      <c r="CF147" s="11" t="n"/>
      <c r="CG147" s="11" t="n"/>
      <c r="CH147" s="11" t="n"/>
      <c r="CI147" s="11" t="n"/>
      <c r="CJ147" s="12" t="n"/>
      <c r="CK147" s="11" t="n"/>
      <c r="CL147" s="11" t="n"/>
      <c r="CM147" s="11" t="n"/>
      <c r="CN147" s="11" t="n"/>
      <c r="CO147" s="12" t="n"/>
      <c r="CP147" s="11" t="n"/>
      <c r="CQ147" s="11" t="n"/>
      <c r="CR147" s="11" t="n"/>
      <c r="CS147" s="11" t="n"/>
      <c r="CT147" s="12" t="n"/>
      <c r="CU147" s="11" t="n"/>
      <c r="CV147" s="11" t="n"/>
      <c r="CW147" s="11" t="n"/>
      <c r="CX147" s="11" t="n"/>
      <c r="CY147" s="12" t="n"/>
    </row>
    <row r="148" hidden="1" outlineLevel="1">
      <c r="C148" s="57" t="n"/>
      <c r="D148" s="12" t="n"/>
      <c r="E148" s="12" t="n"/>
      <c r="F148" s="12" t="n"/>
      <c r="G148" s="12" t="n"/>
      <c r="H148" s="12" t="n"/>
      <c r="I148" s="12" t="n"/>
      <c r="J148" s="12" t="n"/>
      <c r="K148" s="12" t="n"/>
      <c r="L148" s="12" t="n"/>
      <c r="M148" s="12" t="n"/>
      <c r="N148" s="12" t="n"/>
      <c r="O148" s="12" t="n"/>
      <c r="P148" s="12" t="n"/>
      <c r="Q148" s="12" t="n"/>
      <c r="R148" s="12" t="n"/>
      <c r="S148" s="12" t="n"/>
      <c r="T148" s="12" t="n"/>
      <c r="U148" s="12" t="n"/>
      <c r="V148" s="12" t="n"/>
      <c r="W148" s="12" t="n"/>
      <c r="X148" s="12" t="n"/>
      <c r="Y148" s="12" t="n"/>
      <c r="Z148" s="12" t="n"/>
      <c r="AA148" s="12" t="n"/>
      <c r="AB148" s="12" t="n"/>
      <c r="AC148" s="12" t="n"/>
      <c r="AD148" s="12" t="n"/>
      <c r="AE148" s="12" t="n"/>
      <c r="AF148" s="12" t="n"/>
      <c r="AG148" s="12" t="n"/>
      <c r="AH148" s="12" t="n"/>
      <c r="AI148" s="12" t="n"/>
      <c r="AJ148" s="12" t="n"/>
      <c r="AK148" s="12" t="n"/>
      <c r="AL148" s="12" t="n"/>
      <c r="AM148" s="12" t="n"/>
      <c r="AN148" s="12" t="n"/>
      <c r="AO148" s="12" t="n"/>
      <c r="AP148" s="12" t="n"/>
      <c r="AQ148" s="12" t="n"/>
      <c r="AR148" s="12" t="n"/>
      <c r="AS148" s="12" t="n"/>
      <c r="AT148" s="12" t="n"/>
      <c r="AU148" s="12" t="n"/>
      <c r="AV148" s="12" t="n"/>
      <c r="AW148" s="12" t="n"/>
      <c r="AX148" s="12" t="n"/>
      <c r="AY148" s="12" t="n"/>
      <c r="AZ148" s="12" t="n"/>
      <c r="BA148" s="12" t="n"/>
      <c r="BB148" s="12" t="n"/>
      <c r="BC148" s="12" t="n"/>
      <c r="BD148" s="12" t="n"/>
      <c r="BE148" s="12" t="n"/>
      <c r="BF148" s="12" t="n"/>
      <c r="BG148" s="12" t="n"/>
      <c r="BH148" s="12" t="n"/>
      <c r="BI148" s="12" t="n"/>
      <c r="BJ148" s="12" t="n"/>
      <c r="BK148" s="12" t="n"/>
      <c r="BL148" s="12" t="n"/>
      <c r="BM148" s="12" t="n"/>
      <c r="BN148" s="12" t="n"/>
      <c r="BO148" s="12" t="n"/>
      <c r="BP148" s="12" t="n"/>
      <c r="BQ148" s="12" t="n"/>
      <c r="BR148" s="12" t="n"/>
      <c r="BS148" s="12" t="n"/>
      <c r="BT148" s="12" t="n"/>
      <c r="BU148" s="12" t="n"/>
      <c r="BV148" s="12" t="n"/>
      <c r="BW148" s="12" t="n"/>
      <c r="BX148" s="12" t="n"/>
      <c r="BY148" s="12" t="n"/>
      <c r="BZ148" s="12" t="n"/>
      <c r="CA148" s="12" t="n"/>
      <c r="CB148" s="12" t="n"/>
      <c r="CC148" s="12" t="n"/>
      <c r="CD148" s="12" t="n"/>
      <c r="CE148" s="12" t="n"/>
      <c r="CF148" s="12" t="n"/>
      <c r="CG148" s="12" t="n"/>
      <c r="CH148" s="12" t="n"/>
      <c r="CI148" s="12" t="n"/>
      <c r="CJ148" s="12" t="n"/>
      <c r="CK148" s="12" t="n"/>
      <c r="CL148" s="12" t="n"/>
      <c r="CM148" s="12" t="n"/>
      <c r="CN148" s="12" t="n"/>
      <c r="CO148" s="12" t="n"/>
      <c r="CP148" s="12" t="n"/>
      <c r="CQ148" s="12" t="n"/>
      <c r="CR148" s="12" t="n"/>
      <c r="CS148" s="12" t="n"/>
      <c r="CT148" s="12" t="n"/>
      <c r="CU148" s="12" t="n"/>
      <c r="CV148" s="12" t="n"/>
      <c r="CW148" s="12" t="n"/>
      <c r="CX148" s="12" t="n"/>
      <c r="CY148" s="12" t="n"/>
    </row>
    <row r="149" collapsed="1">
      <c r="C149" s="14" t="inlineStr">
        <is>
          <t>PP&amp;E</t>
        </is>
      </c>
      <c r="D149" s="46" t="n"/>
      <c r="E149" s="46" t="n"/>
      <c r="F149" s="46" t="n"/>
      <c r="G149" s="46" t="n"/>
      <c r="H149" s="12" t="n"/>
      <c r="I149" s="46">
        <f>'Inputs (2)'!D22</f>
        <v>1850</v>
      </c>
      <c r="J149" s="46">
        <f>'Inputs (2)'!E22</f>
        <v>1839</v>
      </c>
      <c r="K149" s="46">
        <f>'Inputs (2)'!F22</f>
        <v>1860</v>
      </c>
      <c r="L149" s="46">
        <f>'Inputs (2)'!G22</f>
        <v>1907</v>
      </c>
      <c r="M149" s="12">
        <f>'Inputs (2)'!H22</f>
        <v>1907</v>
      </c>
      <c r="N149" s="46">
        <f>'Inputs (2)'!I22</f>
        <v>1957</v>
      </c>
      <c r="O149" s="46">
        <f>'Inputs (2)'!J22</f>
        <v>1950</v>
      </c>
      <c r="P149" s="46">
        <f>'Inputs (2)'!K22</f>
        <v>1951</v>
      </c>
      <c r="Q149" s="46">
        <f>'Inputs (2)'!L22</f>
        <v>2006</v>
      </c>
      <c r="R149" s="12">
        <f>'Inputs (2)'!M22</f>
        <v>2006</v>
      </c>
      <c r="S149" s="46">
        <f>'Inputs (2)'!N22</f>
        <v>2006</v>
      </c>
      <c r="T149" s="46">
        <f>'Inputs (2)'!O22</f>
        <v>1986</v>
      </c>
      <c r="U149" s="46">
        <f>'Inputs (2)'!P22</f>
        <v>1972</v>
      </c>
      <c r="V149" s="46">
        <f>'Inputs (2)'!Q22</f>
        <v>2061</v>
      </c>
      <c r="W149" s="12">
        <f>'Inputs (2)'!R22</f>
        <v>2061</v>
      </c>
      <c r="X149" s="46">
        <f>'Inputs (2)'!S22</f>
        <v>2077</v>
      </c>
      <c r="Y149" s="46">
        <f>'Inputs (2)'!T22</f>
        <v>2148</v>
      </c>
      <c r="Z149" s="46">
        <f>'Inputs (2)'!U22</f>
        <v>2176</v>
      </c>
      <c r="AA149" s="46">
        <f>'Inputs (2)'!V22</f>
        <v>2138</v>
      </c>
      <c r="AB149" s="12">
        <f>'Inputs (2)'!W22</f>
        <v>2138</v>
      </c>
      <c r="AC149" s="46">
        <f>'Inputs (2)'!X22</f>
        <v>2171</v>
      </c>
      <c r="AD149" s="46">
        <f>'Inputs (2)'!Y22</f>
        <v>2225</v>
      </c>
      <c r="AE149" s="46">
        <f>'Inputs (2)'!Z22</f>
        <v>2299</v>
      </c>
      <c r="AF149" s="46">
        <f>'Inputs (2)'!AA22</f>
        <v>2303</v>
      </c>
      <c r="AG149" s="12">
        <f>'Inputs (2)'!AB22</f>
        <v>2303</v>
      </c>
      <c r="AH149" s="12">
        <f>'Inputs (2)'!AC22</f>
        <v>2349</v>
      </c>
      <c r="AI149" s="12">
        <f>'Inputs (2)'!AD22</f>
        <v>2541</v>
      </c>
      <c r="AJ149" s="12">
        <f>AJ154</f>
        <v>2619.51216696842</v>
      </c>
      <c r="AK149" s="12">
        <f>AK154</f>
        <v>2699.8862825606</v>
      </c>
      <c r="AL149" s="12">
        <f>AK149</f>
        <v>2699.8862825606</v>
      </c>
      <c r="AM149" s="12">
        <f>AM154</f>
        <v>2776.53650090526</v>
      </c>
      <c r="AN149" s="12">
        <f>AN154</f>
        <v>2861.20952729052</v>
      </c>
      <c r="AO149" s="12">
        <f>AO154</f>
        <v>2952.18740382222</v>
      </c>
      <c r="AP149" s="12">
        <f>AP154</f>
        <v>3045.32285845348</v>
      </c>
      <c r="AQ149" s="12">
        <f>AP149</f>
        <v>3045.32285845348</v>
      </c>
      <c r="AR149" s="12">
        <f>AR154</f>
        <v>3133.75990579388</v>
      </c>
      <c r="AS149" s="12">
        <f>AS154</f>
        <v>3231.45346237604</v>
      </c>
      <c r="AT149" s="12">
        <f>AT154</f>
        <v>3336.42139263796</v>
      </c>
      <c r="AU149" s="12">
        <f>AU154</f>
        <v>3443.8786809298</v>
      </c>
      <c r="AV149" s="12">
        <f>AU149</f>
        <v>3443.8786809298</v>
      </c>
      <c r="AW149" s="12">
        <f>AW154</f>
        <v>3545.47288268838</v>
      </c>
      <c r="AX149" s="12">
        <f>AX154</f>
        <v>3657.70072380703</v>
      </c>
      <c r="AY149" s="12">
        <f>AY154</f>
        <v>3778.28517801391</v>
      </c>
      <c r="AZ149" s="12">
        <f>AZ154</f>
        <v>3901.72934259723</v>
      </c>
      <c r="BA149" s="12">
        <f>AZ149</f>
        <v>3901.72934259723</v>
      </c>
      <c r="BB149" s="12">
        <f>BB154</f>
        <v>4017.93017340127</v>
      </c>
      <c r="BC149" s="12">
        <f>BC154</f>
        <v>4146.29348697226</v>
      </c>
      <c r="BD149" s="12">
        <f>BD154</f>
        <v>4284.21487931891</v>
      </c>
      <c r="BE149" s="12">
        <f>BE154</f>
        <v>4425.40713472518</v>
      </c>
      <c r="BF149" s="12">
        <f>BE149</f>
        <v>4425.40713472518</v>
      </c>
      <c r="BG149" s="12" t="n"/>
      <c r="BH149" s="12" t="n"/>
      <c r="BI149" s="12" t="n"/>
      <c r="BJ149" s="12" t="n"/>
      <c r="BK149" s="12" t="n"/>
      <c r="BL149" s="12" t="n"/>
      <c r="BM149" s="12" t="n"/>
      <c r="BN149" s="12" t="n"/>
      <c r="BO149" s="12" t="n"/>
      <c r="BP149" s="12" t="n"/>
      <c r="BQ149" s="12" t="n"/>
      <c r="BR149" s="12" t="n"/>
      <c r="BS149" s="12" t="n"/>
      <c r="BT149" s="12" t="n"/>
      <c r="BU149" s="12" t="n"/>
      <c r="BV149" s="12" t="n"/>
      <c r="BW149" s="12" t="n"/>
      <c r="BX149" s="12" t="n"/>
      <c r="BY149" s="12" t="n"/>
      <c r="BZ149" s="12" t="n"/>
      <c r="CA149" s="12" t="n"/>
      <c r="CB149" s="12" t="n"/>
      <c r="CC149" s="12" t="n"/>
      <c r="CD149" s="12" t="n"/>
      <c r="CE149" s="12" t="n"/>
      <c r="CF149" s="12" t="n"/>
      <c r="CG149" s="12" t="n"/>
      <c r="CH149" s="12" t="n"/>
      <c r="CI149" s="12" t="n"/>
      <c r="CJ149" s="12" t="n"/>
      <c r="CK149" s="12" t="n"/>
      <c r="CL149" s="12" t="n"/>
      <c r="CM149" s="12" t="n"/>
      <c r="CN149" s="12" t="n"/>
      <c r="CO149" s="12" t="n"/>
      <c r="CP149" s="12" t="n"/>
      <c r="CQ149" s="12" t="n"/>
      <c r="CR149" s="12" t="n"/>
      <c r="CS149" s="12" t="n"/>
      <c r="CT149" s="12" t="n"/>
      <c r="CU149" s="12" t="n"/>
      <c r="CV149" s="12" t="n"/>
      <c r="CW149" s="12" t="n"/>
      <c r="CX149" s="12" t="n"/>
      <c r="CY149" s="12" t="n"/>
    </row>
    <row r="150" hidden="1" outlineLevel="1">
      <c r="C150" s="57" t="n"/>
      <c r="D150" s="12" t="n"/>
      <c r="E150" s="12" t="n"/>
      <c r="F150" s="12" t="n"/>
      <c r="G150" s="12" t="n"/>
      <c r="H150" s="12" t="n"/>
      <c r="I150" s="12" t="n"/>
      <c r="J150" s="12" t="n"/>
      <c r="K150" s="12" t="n"/>
      <c r="L150" s="12" t="n"/>
      <c r="M150" s="12" t="n"/>
      <c r="N150" s="12" t="n"/>
      <c r="O150" s="12" t="n"/>
      <c r="P150" s="12" t="n"/>
      <c r="Q150" s="12" t="n"/>
      <c r="R150" s="12" t="n"/>
      <c r="S150" s="12" t="n"/>
      <c r="T150" s="12" t="n"/>
      <c r="U150" s="12" t="n"/>
      <c r="V150" s="12" t="n"/>
      <c r="W150" s="12" t="n"/>
      <c r="X150" s="12" t="n"/>
      <c r="Y150" s="12" t="n"/>
      <c r="Z150" s="12" t="n"/>
      <c r="AA150" s="12" t="n"/>
      <c r="AB150" s="12" t="n"/>
      <c r="AC150" s="12" t="n"/>
      <c r="AD150" s="12" t="n"/>
      <c r="AE150" s="12" t="n"/>
      <c r="AF150" s="12" t="n"/>
      <c r="AG150" s="12" t="n"/>
      <c r="AH150" s="12" t="n"/>
      <c r="AI150" s="12" t="n"/>
      <c r="AJ150" s="12" t="n"/>
      <c r="AK150" s="12" t="n"/>
      <c r="AL150" s="12" t="n"/>
      <c r="AM150" s="12" t="n"/>
      <c r="AN150" s="12" t="n"/>
      <c r="AO150" s="12" t="n"/>
      <c r="AP150" s="12" t="n"/>
      <c r="AQ150" s="12" t="n"/>
      <c r="AR150" s="12" t="n"/>
      <c r="AS150" s="12" t="n"/>
      <c r="AT150" s="12" t="n"/>
      <c r="AU150" s="12" t="n"/>
      <c r="AV150" s="12" t="n"/>
      <c r="AW150" s="12" t="n"/>
      <c r="AX150" s="12" t="n"/>
      <c r="AY150" s="12" t="n"/>
      <c r="AZ150" s="12" t="n"/>
      <c r="BA150" s="12" t="n"/>
      <c r="BB150" s="12" t="n"/>
      <c r="BC150" s="12" t="n"/>
      <c r="BD150" s="12" t="n"/>
      <c r="BE150" s="12" t="n"/>
      <c r="BF150" s="12" t="n"/>
      <c r="BG150" s="12" t="n"/>
      <c r="BH150" s="12" t="n"/>
      <c r="BI150" s="12" t="n"/>
      <c r="BJ150" s="12" t="n"/>
      <c r="BK150" s="12" t="n"/>
      <c r="BL150" s="12" t="n"/>
      <c r="BM150" s="12" t="n"/>
      <c r="BN150" s="12" t="n"/>
      <c r="BO150" s="12" t="n"/>
      <c r="BP150" s="12" t="n"/>
      <c r="BQ150" s="12" t="n"/>
      <c r="BR150" s="12" t="n"/>
      <c r="BS150" s="12" t="n"/>
      <c r="BT150" s="12" t="n"/>
      <c r="BU150" s="12" t="n"/>
      <c r="BV150" s="12" t="n"/>
      <c r="BW150" s="12" t="n"/>
      <c r="BX150" s="12" t="n"/>
      <c r="BY150" s="12" t="n"/>
      <c r="BZ150" s="12" t="n"/>
      <c r="CA150" s="12" t="n"/>
      <c r="CB150" s="12" t="n"/>
      <c r="CC150" s="12" t="n"/>
      <c r="CD150" s="12" t="n"/>
      <c r="CE150" s="12" t="n"/>
      <c r="CF150" s="12" t="n"/>
      <c r="CG150" s="12" t="n"/>
      <c r="CH150" s="12" t="n"/>
      <c r="CI150" s="12" t="n"/>
      <c r="CJ150" s="12" t="n"/>
      <c r="CK150" s="12" t="n"/>
      <c r="CL150" s="12" t="n"/>
      <c r="CM150" s="12" t="n"/>
      <c r="CN150" s="12" t="n"/>
      <c r="CO150" s="12" t="n"/>
      <c r="CP150" s="12" t="n"/>
      <c r="CQ150" s="12" t="n"/>
      <c r="CR150" s="12" t="n"/>
      <c r="CS150" s="12" t="n"/>
      <c r="CT150" s="12" t="n"/>
      <c r="CU150" s="12" t="n"/>
      <c r="CV150" s="12" t="n"/>
      <c r="CW150" s="12" t="n"/>
      <c r="CX150" s="12" t="n"/>
      <c r="CY150" s="12" t="n"/>
    </row>
    <row r="151" hidden="1" outlineLevel="1">
      <c r="C151" s="57" t="inlineStr">
        <is>
          <t>Capital expenditures</t>
        </is>
      </c>
      <c r="D151" s="12" t="n"/>
      <c r="E151" s="12" t="n"/>
      <c r="F151" s="12" t="n"/>
      <c r="G151" s="12" t="n"/>
      <c r="H151" s="12" t="n"/>
      <c r="I151" s="12" t="n"/>
      <c r="J151" s="12">
        <f>J149-I149-J53</f>
        <v>175</v>
      </c>
      <c r="K151" s="12">
        <f>K149-J149-K53</f>
        <v>209</v>
      </c>
      <c r="L151" s="12">
        <f>L149-K149-L53</f>
        <v>236</v>
      </c>
      <c r="M151" s="12" t="n"/>
      <c r="N151" s="12">
        <f>N149-M149-N53</f>
        <v>242</v>
      </c>
      <c r="O151" s="12">
        <f>O149-N149-O53</f>
        <v>182</v>
      </c>
      <c r="P151" s="12">
        <f>P149-O149-P53</f>
        <v>186</v>
      </c>
      <c r="Q151" s="12">
        <f>Q149-P149-Q53</f>
        <v>239</v>
      </c>
      <c r="R151" s="12" t="n"/>
      <c r="S151" s="12">
        <f>S149-R149-S53</f>
        <v>191</v>
      </c>
      <c r="T151" s="12">
        <f>T149-S149-T53</f>
        <v>172</v>
      </c>
      <c r="U151" s="12">
        <f>U149-T149-U53</f>
        <v>197</v>
      </c>
      <c r="V151" s="12">
        <f>V149-U149-V53</f>
        <v>294</v>
      </c>
      <c r="W151" s="12" t="n"/>
      <c r="X151" s="12">
        <f>X149-W149-X53</f>
        <v>232</v>
      </c>
      <c r="Y151" s="12">
        <f>Y149-X149-Y53</f>
        <v>296</v>
      </c>
      <c r="Z151" s="12">
        <f>Z149-Y149-Z53</f>
        <v>253</v>
      </c>
      <c r="AA151" s="12">
        <f>AA149-Z149-AA53</f>
        <v>193</v>
      </c>
      <c r="AB151" s="12" t="n"/>
      <c r="AC151" s="12">
        <f>AC149-AB149-AC53</f>
        <v>308</v>
      </c>
      <c r="AD151" s="12">
        <f>AD149-AC149-AD53</f>
        <v>335</v>
      </c>
      <c r="AE151" s="12">
        <f>AE149-AD149-AE53</f>
        <v>364</v>
      </c>
      <c r="AF151" s="11">
        <f>AF149-AE149-AF53</f>
        <v>301</v>
      </c>
      <c r="AG151" s="12">
        <f>SUM(AC151:AF151)</f>
        <v>1308</v>
      </c>
      <c r="AH151" s="11">
        <f>AH149-AG149-AH53</f>
        <v>345</v>
      </c>
      <c r="AI151" s="11">
        <f>AI149-AH149-AI53</f>
        <v>501</v>
      </c>
      <c r="AJ151" s="11">
        <f>AJ15*Control!$B$24</f>
        <v>425.446627680034</v>
      </c>
      <c r="AK151" s="11">
        <f>AK15*Control!$B$24</f>
        <v>435.536271024224</v>
      </c>
      <c r="AL151" s="12" t="n"/>
      <c r="AM151" s="11">
        <f>AM15*Control!$C$24</f>
        <v>415.356984335843</v>
      </c>
      <c r="AN151" s="11">
        <f>AN15*Control!$C$24</f>
        <v>458.831476980664</v>
      </c>
      <c r="AO151" s="11">
        <f>AO15*Control!$C$24</f>
        <v>492.996592228431</v>
      </c>
      <c r="AP151" s="11">
        <f>AP15*Control!$C$24</f>
        <v>504.688211016457</v>
      </c>
      <c r="AQ151" s="12" t="n"/>
      <c r="AR151" s="11">
        <f>AR15*Control!$D$24</f>
        <v>479.228188518726</v>
      </c>
      <c r="AS151" s="11">
        <f>AS15*Control!$D$24</f>
        <v>529.387938186261</v>
      </c>
      <c r="AT151" s="11">
        <f>AT15*Control!$D$24</f>
        <v>568.806768031873</v>
      </c>
      <c r="AU151" s="11">
        <f>AU15*Control!$D$24</f>
        <v>582.296256601799</v>
      </c>
      <c r="AV151" s="12" t="n"/>
      <c r="AW151" s="11">
        <f>AW15*Control!$E$24</f>
        <v>550.52499757676</v>
      </c>
      <c r="AX151" s="11">
        <f>AX15*Control!$E$24</f>
        <v>608.147225829912</v>
      </c>
      <c r="AY151" s="11">
        <f>AY15*Control!$E$24</f>
        <v>653.430562088388</v>
      </c>
      <c r="AZ151" s="11">
        <f>AZ15*Control!$E$24</f>
        <v>668.926939054911</v>
      </c>
      <c r="BA151" s="12" t="n"/>
      <c r="BB151" s="11">
        <f>BB15*Control!$F$24</f>
        <v>629.676310158214</v>
      </c>
      <c r="BC151" s="11">
        <f>BC15*Control!$F$24</f>
        <v>695.583130428405</v>
      </c>
      <c r="BD151" s="11">
        <f>BD15*Control!$F$24</f>
        <v>747.377043897185</v>
      </c>
      <c r="BE151" s="11">
        <f>BE15*Control!$F$24</f>
        <v>765.101400669451</v>
      </c>
      <c r="BF151" s="12" t="n"/>
      <c r="BG151" s="11" t="n"/>
      <c r="BH151" s="11" t="n"/>
      <c r="BI151" s="11" t="n"/>
      <c r="BJ151" s="11" t="n"/>
      <c r="BK151" s="12" t="n"/>
      <c r="BL151" s="11" t="n"/>
      <c r="BM151" s="11" t="n"/>
      <c r="BN151" s="11" t="n"/>
      <c r="BO151" s="11" t="n"/>
      <c r="BP151" s="12" t="n"/>
      <c r="BQ151" s="11" t="n"/>
      <c r="BR151" s="11" t="n"/>
      <c r="BS151" s="11" t="n"/>
      <c r="BT151" s="11" t="n"/>
      <c r="BU151" s="12" t="n"/>
      <c r="BV151" s="11" t="n"/>
      <c r="BW151" s="11" t="n"/>
      <c r="BX151" s="11" t="n"/>
      <c r="BY151" s="11" t="n"/>
      <c r="BZ151" s="12" t="n"/>
      <c r="CA151" s="11" t="n"/>
      <c r="CB151" s="11" t="n"/>
      <c r="CC151" s="11" t="n"/>
      <c r="CD151" s="11" t="n"/>
      <c r="CE151" s="12" t="n"/>
      <c r="CF151" s="11" t="n"/>
      <c r="CG151" s="11" t="n"/>
      <c r="CH151" s="11" t="n"/>
      <c r="CI151" s="11" t="n"/>
      <c r="CJ151" s="12" t="n"/>
      <c r="CK151" s="11" t="n"/>
      <c r="CL151" s="11" t="n"/>
      <c r="CM151" s="11" t="n"/>
      <c r="CN151" s="11" t="n"/>
      <c r="CO151" s="12" t="n"/>
      <c r="CP151" s="11" t="n"/>
      <c r="CQ151" s="11" t="n"/>
      <c r="CR151" s="11" t="n"/>
      <c r="CS151" s="11" t="n"/>
      <c r="CT151" s="12" t="n"/>
      <c r="CU151" s="11" t="n"/>
      <c r="CV151" s="11" t="n"/>
      <c r="CW151" s="11" t="n"/>
      <c r="CX151" s="11" t="n"/>
      <c r="CY151" s="12" t="n"/>
    </row>
    <row r="152" hidden="1" outlineLevel="1">
      <c r="C152" s="57" t="inlineStr">
        <is>
          <t>Recurring asset sales (enter as -)</t>
        </is>
      </c>
      <c r="D152" s="12" t="n"/>
      <c r="E152" s="12" t="n"/>
      <c r="F152" s="12" t="n"/>
      <c r="G152" s="12" t="n"/>
      <c r="H152" s="12" t="n"/>
      <c r="I152" s="12" t="n"/>
      <c r="J152" s="12" t="n"/>
      <c r="K152" s="12" t="n"/>
      <c r="L152" s="12" t="n"/>
      <c r="M152" s="12">
        <f>SUM(I152:L152)</f>
        <v>0</v>
      </c>
      <c r="N152" s="12" t="n"/>
      <c r="O152" s="12" t="n"/>
      <c r="P152" s="12" t="n"/>
      <c r="Q152" s="12" t="n"/>
      <c r="R152" s="12">
        <f>SUM(N152:Q152)</f>
        <v>0</v>
      </c>
      <c r="S152" s="12" t="n"/>
      <c r="T152" s="12" t="n"/>
      <c r="U152" s="12" t="n"/>
      <c r="V152" s="12" t="n"/>
      <c r="W152" s="12">
        <f>SUM(S152:V152)</f>
        <v>0</v>
      </c>
      <c r="X152" s="12" t="n"/>
      <c r="Y152" s="12" t="n"/>
      <c r="Z152" s="12" t="n"/>
      <c r="AA152" s="12" t="n"/>
      <c r="AB152" s="12">
        <f>SUM(X152:AA152)</f>
        <v>0</v>
      </c>
      <c r="AC152" s="12" t="n"/>
      <c r="AD152" s="12" t="n"/>
      <c r="AE152" s="12" t="n"/>
      <c r="AF152" s="11" t="n"/>
      <c r="AG152" s="12">
        <f>SUM(AC152:AF152)</f>
        <v>0</v>
      </c>
      <c r="AH152" s="11" t="n"/>
      <c r="AI152" s="11" t="n"/>
      <c r="AJ152" s="11">
        <f>0</f>
        <v>0</v>
      </c>
      <c r="AK152" s="11">
        <f>0</f>
        <v>0</v>
      </c>
      <c r="AL152" s="12" t="n"/>
      <c r="AM152" s="11">
        <f>0</f>
        <v>0</v>
      </c>
      <c r="AN152" s="11">
        <f>0</f>
        <v>0</v>
      </c>
      <c r="AO152" s="11">
        <f>0</f>
        <v>0</v>
      </c>
      <c r="AP152" s="11">
        <f>0</f>
        <v>0</v>
      </c>
      <c r="AQ152" s="12" t="n"/>
      <c r="AR152" s="11">
        <f>0</f>
        <v>0</v>
      </c>
      <c r="AS152" s="11">
        <f>0</f>
        <v>0</v>
      </c>
      <c r="AT152" s="11">
        <f>0</f>
        <v>0</v>
      </c>
      <c r="AU152" s="11">
        <f>0</f>
        <v>0</v>
      </c>
      <c r="AV152" s="12" t="n"/>
      <c r="AW152" s="11">
        <f>0</f>
        <v>0</v>
      </c>
      <c r="AX152" s="11">
        <f>0</f>
        <v>0</v>
      </c>
      <c r="AY152" s="11">
        <f>0</f>
        <v>0</v>
      </c>
      <c r="AZ152" s="11">
        <f>0</f>
        <v>0</v>
      </c>
      <c r="BA152" s="12" t="n"/>
      <c r="BB152" s="11">
        <f>0</f>
        <v>0</v>
      </c>
      <c r="BC152" s="11">
        <f>0</f>
        <v>0</v>
      </c>
      <c r="BD152" s="11">
        <f>0</f>
        <v>0</v>
      </c>
      <c r="BE152" s="11">
        <f>0</f>
        <v>0</v>
      </c>
      <c r="BF152" s="12" t="n"/>
      <c r="BG152" s="11" t="n"/>
      <c r="BH152" s="11" t="n"/>
      <c r="BI152" s="11" t="n"/>
      <c r="BJ152" s="11" t="n"/>
      <c r="BK152" s="12" t="n"/>
      <c r="BL152" s="11" t="n"/>
      <c r="BM152" s="11" t="n"/>
      <c r="BN152" s="11" t="n"/>
      <c r="BO152" s="11" t="n"/>
      <c r="BP152" s="12" t="n"/>
      <c r="BQ152" s="11" t="n"/>
      <c r="BR152" s="11" t="n"/>
      <c r="BS152" s="11" t="n"/>
      <c r="BT152" s="11" t="n"/>
      <c r="BU152" s="12" t="n"/>
      <c r="BV152" s="11" t="n"/>
      <c r="BW152" s="11" t="n"/>
      <c r="BX152" s="11" t="n"/>
      <c r="BY152" s="11" t="n"/>
      <c r="BZ152" s="12" t="n"/>
      <c r="CA152" s="11" t="n"/>
      <c r="CB152" s="11" t="n"/>
      <c r="CC152" s="11" t="n"/>
      <c r="CD152" s="11" t="n"/>
      <c r="CE152" s="12" t="n"/>
      <c r="CF152" s="11" t="n"/>
      <c r="CG152" s="11" t="n"/>
      <c r="CH152" s="11" t="n"/>
      <c r="CI152" s="11" t="n"/>
      <c r="CJ152" s="12" t="n"/>
      <c r="CK152" s="11" t="n"/>
      <c r="CL152" s="11" t="n"/>
      <c r="CM152" s="11" t="n"/>
      <c r="CN152" s="11" t="n"/>
      <c r="CO152" s="12" t="n"/>
      <c r="CP152" s="11" t="n"/>
      <c r="CQ152" s="11" t="n"/>
      <c r="CR152" s="11" t="n"/>
      <c r="CS152" s="11" t="n"/>
      <c r="CT152" s="12" t="n"/>
      <c r="CU152" s="11" t="n"/>
      <c r="CV152" s="11" t="n"/>
      <c r="CW152" s="11" t="n"/>
      <c r="CX152" s="11" t="n"/>
      <c r="CY152" s="12" t="n"/>
    </row>
    <row r="153" hidden="1" outlineLevel="1">
      <c r="C153" s="57" t="inlineStr">
        <is>
          <t>Depreciation</t>
        </is>
      </c>
      <c r="D153" s="12" t="n"/>
      <c r="E153" s="12" t="n"/>
      <c r="F153" s="12" t="n"/>
      <c r="G153" s="12" t="n"/>
      <c r="H153" s="12" t="n"/>
      <c r="I153" s="12">
        <f>I53</f>
        <v>-163</v>
      </c>
      <c r="J153" s="12">
        <f>J53</f>
        <v>-186</v>
      </c>
      <c r="K153" s="12">
        <f>K53</f>
        <v>-188</v>
      </c>
      <c r="L153" s="12">
        <f>L53</f>
        <v>-189</v>
      </c>
      <c r="M153" s="12" t="n"/>
      <c r="N153" s="12">
        <f>N53</f>
        <v>-192</v>
      </c>
      <c r="O153" s="12">
        <f>O53</f>
        <v>-189</v>
      </c>
      <c r="P153" s="12">
        <f>P53</f>
        <v>-185</v>
      </c>
      <c r="Q153" s="12">
        <f>Q53</f>
        <v>-184</v>
      </c>
      <c r="R153" s="12" t="n"/>
      <c r="S153" s="12">
        <f>S53</f>
        <v>-191</v>
      </c>
      <c r="T153" s="12">
        <f>T53</f>
        <v>-192</v>
      </c>
      <c r="U153" s="12">
        <f>U53</f>
        <v>-211</v>
      </c>
      <c r="V153" s="12">
        <f>V53</f>
        <v>-205</v>
      </c>
      <c r="W153" s="12" t="n"/>
      <c r="X153" s="12">
        <f>X53</f>
        <v>-216</v>
      </c>
      <c r="Y153" s="12">
        <f>Y53</f>
        <v>-225</v>
      </c>
      <c r="Z153" s="12">
        <f>Z53</f>
        <v>-225</v>
      </c>
      <c r="AA153" s="12">
        <f>AA53</f>
        <v>-231</v>
      </c>
      <c r="AB153" s="12" t="n"/>
      <c r="AC153" s="12">
        <f>AC53</f>
        <v>-275</v>
      </c>
      <c r="AD153" s="12">
        <f>AD53</f>
        <v>-281</v>
      </c>
      <c r="AE153" s="12">
        <f>AE53</f>
        <v>-290</v>
      </c>
      <c r="AF153" s="12">
        <f>AF53</f>
        <v>-297</v>
      </c>
      <c r="AG153" s="12" t="n"/>
      <c r="AH153" s="12">
        <f>AH53</f>
        <v>-299</v>
      </c>
      <c r="AI153" s="12">
        <f>AI53</f>
        <v>-309</v>
      </c>
      <c r="AJ153" s="12">
        <f>AJ53</f>
        <v>-346.934460711614</v>
      </c>
      <c r="AK153" s="12">
        <f>AK53</f>
        <v>-355.162155432048</v>
      </c>
      <c r="AL153" s="12" t="n"/>
      <c r="AM153" s="12">
        <f>AM53</f>
        <v>-338.706765991181</v>
      </c>
      <c r="AN153" s="12">
        <f>AN53</f>
        <v>-374.158450595402</v>
      </c>
      <c r="AO153" s="12">
        <f>AO53</f>
        <v>-402.018715696736</v>
      </c>
      <c r="AP153" s="12">
        <f>AP53</f>
        <v>-411.552756385196</v>
      </c>
      <c r="AQ153" s="12" t="n"/>
      <c r="AR153" s="12">
        <f>AR53</f>
        <v>-390.79114117832</v>
      </c>
      <c r="AS153" s="12">
        <f>AS53</f>
        <v>-431.694381604105</v>
      </c>
      <c r="AT153" s="12">
        <f>AT53</f>
        <v>-463.838837769956</v>
      </c>
      <c r="AU153" s="12">
        <f>AU53</f>
        <v>-474.838968309955</v>
      </c>
      <c r="AV153" s="12" t="n"/>
      <c r="AW153" s="12">
        <f>AW53</f>
        <v>-448.930795818174</v>
      </c>
      <c r="AX153" s="12">
        <f>AX53</f>
        <v>-495.919384711265</v>
      </c>
      <c r="AY153" s="12">
        <f>AY53</f>
        <v>-532.846107881515</v>
      </c>
      <c r="AZ153" s="12">
        <f>AZ53</f>
        <v>-545.482774471591</v>
      </c>
      <c r="BA153" s="12" t="n"/>
      <c r="BB153" s="12">
        <f>BB53</f>
        <v>-513.475479354167</v>
      </c>
      <c r="BC153" s="12">
        <f>BC53</f>
        <v>-567.219816857419</v>
      </c>
      <c r="BD153" s="12">
        <f>BD53</f>
        <v>-609.45565155053</v>
      </c>
      <c r="BE153" s="12">
        <f>BE53</f>
        <v>-623.909145263191</v>
      </c>
      <c r="BF153" s="12" t="n"/>
      <c r="BG153" s="12" t="n"/>
      <c r="BH153" s="12" t="n"/>
      <c r="BI153" s="12" t="n"/>
      <c r="BJ153" s="12" t="n"/>
      <c r="BK153" s="12" t="n"/>
      <c r="BL153" s="12" t="n"/>
      <c r="BM153" s="12" t="n"/>
      <c r="BN153" s="12" t="n"/>
      <c r="BO153" s="12" t="n"/>
      <c r="BP153" s="12" t="n"/>
      <c r="BQ153" s="12" t="n"/>
      <c r="BR153" s="12" t="n"/>
      <c r="BS153" s="12" t="n"/>
      <c r="BT153" s="12" t="n"/>
      <c r="BU153" s="12" t="n"/>
      <c r="BV153" s="12" t="n"/>
      <c r="BW153" s="12" t="n"/>
      <c r="BX153" s="12" t="n"/>
      <c r="BY153" s="12" t="n"/>
      <c r="BZ153" s="12" t="n"/>
      <c r="CA153" s="12" t="n"/>
      <c r="CB153" s="12" t="n"/>
      <c r="CC153" s="12" t="n"/>
      <c r="CD153" s="12" t="n"/>
      <c r="CE153" s="12" t="n"/>
      <c r="CF153" s="12" t="n"/>
      <c r="CG153" s="12" t="n"/>
      <c r="CH153" s="12" t="n"/>
      <c r="CI153" s="12" t="n"/>
      <c r="CJ153" s="12" t="n"/>
      <c r="CK153" s="12" t="n"/>
      <c r="CL153" s="12" t="n"/>
      <c r="CM153" s="12" t="n"/>
      <c r="CN153" s="12" t="n"/>
      <c r="CO153" s="12" t="n"/>
      <c r="CP153" s="12" t="n"/>
      <c r="CQ153" s="12" t="n"/>
      <c r="CR153" s="12" t="n"/>
      <c r="CS153" s="12" t="n"/>
      <c r="CT153" s="12" t="n"/>
      <c r="CU153" s="12" t="n"/>
      <c r="CV153" s="12" t="n"/>
      <c r="CW153" s="12" t="n"/>
      <c r="CX153" s="12" t="n"/>
      <c r="CY153" s="12" t="n"/>
    </row>
    <row r="154" hidden="1" outlineLevel="1">
      <c r="C154" s="57" t="inlineStr">
        <is>
          <t>PP&amp;E</t>
        </is>
      </c>
      <c r="D154" s="12" t="n"/>
      <c r="E154" s="12" t="n"/>
      <c r="F154" s="12" t="n"/>
      <c r="G154" s="12" t="n"/>
      <c r="H154" s="12" t="n"/>
      <c r="I154" s="12">
        <f>I149</f>
        <v>1850</v>
      </c>
      <c r="J154" s="12">
        <f>J149</f>
        <v>1839</v>
      </c>
      <c r="K154" s="12">
        <f>K149</f>
        <v>1860</v>
      </c>
      <c r="L154" s="12">
        <f>L149</f>
        <v>1907</v>
      </c>
      <c r="M154" s="12" t="n"/>
      <c r="N154" s="12">
        <f>N149</f>
        <v>1957</v>
      </c>
      <c r="O154" s="12">
        <f>O149</f>
        <v>1950</v>
      </c>
      <c r="P154" s="12">
        <f>P149</f>
        <v>1951</v>
      </c>
      <c r="Q154" s="12">
        <f>Q149</f>
        <v>2006</v>
      </c>
      <c r="R154" s="12" t="n"/>
      <c r="S154" s="12">
        <f>S149</f>
        <v>2006</v>
      </c>
      <c r="T154" s="12">
        <f>T149</f>
        <v>1986</v>
      </c>
      <c r="U154" s="12">
        <f>U149</f>
        <v>1972</v>
      </c>
      <c r="V154" s="12">
        <f>V149</f>
        <v>2061</v>
      </c>
      <c r="W154" s="12" t="n"/>
      <c r="X154" s="12">
        <f>X149</f>
        <v>2077</v>
      </c>
      <c r="Y154" s="12">
        <f>Y149</f>
        <v>2148</v>
      </c>
      <c r="Z154" s="12">
        <f>Z149</f>
        <v>2176</v>
      </c>
      <c r="AA154" s="12">
        <f>Y154+SUM(AA151:AA153)</f>
        <v>2110</v>
      </c>
      <c r="AB154" s="12" t="n"/>
      <c r="AC154" s="12">
        <f>AC149</f>
        <v>2171</v>
      </c>
      <c r="AD154" s="12">
        <f>AD149</f>
        <v>2225</v>
      </c>
      <c r="AE154" s="12">
        <f>AE149</f>
        <v>2299</v>
      </c>
      <c r="AF154" s="12">
        <f>AF149</f>
        <v>2303</v>
      </c>
      <c r="AG154" s="12" t="n"/>
      <c r="AH154" s="12">
        <f>AH149</f>
        <v>2349</v>
      </c>
      <c r="AI154" s="12">
        <f>AI149</f>
        <v>2541</v>
      </c>
      <c r="AJ154" s="12">
        <f>AI154+SUM(AJ151:AJ153)</f>
        <v>2619.51216696842</v>
      </c>
      <c r="AK154" s="12">
        <f>AJ154+SUM(AK151:AK153)</f>
        <v>2699.8862825606</v>
      </c>
      <c r="AL154" s="12" t="n"/>
      <c r="AM154" s="12">
        <f>AK154+SUM(AM151:AM153)</f>
        <v>2776.53650090526</v>
      </c>
      <c r="AN154" s="12">
        <f>AM154+SUM(AN151:AN153)</f>
        <v>2861.20952729052</v>
      </c>
      <c r="AO154" s="12">
        <f>AN154+SUM(AO151:AO153)</f>
        <v>2952.18740382222</v>
      </c>
      <c r="AP154" s="12">
        <f>AO154+SUM(AP151:AP153)</f>
        <v>3045.32285845348</v>
      </c>
      <c r="AQ154" s="12" t="n"/>
      <c r="AR154" s="12">
        <f>AP154+SUM(AR151:AR153)</f>
        <v>3133.75990579388</v>
      </c>
      <c r="AS154" s="12">
        <f>AR154+SUM(AS151:AS153)</f>
        <v>3231.45346237604</v>
      </c>
      <c r="AT154" s="12">
        <f>AS154+SUM(AT151:AT153)</f>
        <v>3336.42139263796</v>
      </c>
      <c r="AU154" s="12">
        <f>AT154+SUM(AU151:AU153)</f>
        <v>3443.8786809298</v>
      </c>
      <c r="AV154" s="12" t="n"/>
      <c r="AW154" s="12">
        <f>AU154+SUM(AW151:AW153)</f>
        <v>3545.47288268838</v>
      </c>
      <c r="AX154" s="12">
        <f>AW154+SUM(AX151:AX153)</f>
        <v>3657.70072380703</v>
      </c>
      <c r="AY154" s="12">
        <f>AX154+SUM(AY151:AY153)</f>
        <v>3778.28517801391</v>
      </c>
      <c r="AZ154" s="12">
        <f>AY154+SUM(AZ151:AZ153)</f>
        <v>3901.72934259723</v>
      </c>
      <c r="BA154" s="12" t="n"/>
      <c r="BB154" s="12">
        <f>AZ154+SUM(BB151:BB153)</f>
        <v>4017.93017340127</v>
      </c>
      <c r="BC154" s="12">
        <f>BB154+SUM(BC151:BC153)</f>
        <v>4146.29348697226</v>
      </c>
      <c r="BD154" s="12">
        <f>BC154+SUM(BD151:BD153)</f>
        <v>4284.21487931891</v>
      </c>
      <c r="BE154" s="12">
        <f>BD154+SUM(BE151:BE153)</f>
        <v>4425.40713472518</v>
      </c>
      <c r="BF154" s="12" t="n"/>
      <c r="BG154" s="12" t="n"/>
      <c r="BH154" s="12" t="n"/>
      <c r="BI154" s="12" t="n"/>
      <c r="BJ154" s="12" t="n"/>
      <c r="BK154" s="12" t="n"/>
      <c r="BL154" s="12" t="n"/>
      <c r="BM154" s="12" t="n"/>
      <c r="BN154" s="12" t="n"/>
      <c r="BO154" s="12" t="n"/>
      <c r="BP154" s="12" t="n"/>
      <c r="BQ154" s="12" t="n"/>
      <c r="BR154" s="12" t="n"/>
      <c r="BS154" s="12" t="n"/>
      <c r="BT154" s="12" t="n"/>
      <c r="BU154" s="12" t="n"/>
      <c r="BV154" s="12" t="n"/>
      <c r="BW154" s="12" t="n"/>
      <c r="BX154" s="12" t="n"/>
      <c r="BY154" s="12" t="n"/>
      <c r="BZ154" s="12" t="n"/>
      <c r="CA154" s="12" t="n"/>
      <c r="CB154" s="12" t="n"/>
      <c r="CC154" s="12" t="n"/>
      <c r="CD154" s="12" t="n"/>
      <c r="CE154" s="12" t="n"/>
      <c r="CF154" s="12" t="n"/>
      <c r="CG154" s="12" t="n"/>
      <c r="CH154" s="12" t="n"/>
      <c r="CI154" s="12" t="n"/>
      <c r="CJ154" s="12" t="n"/>
      <c r="CK154" s="12" t="n"/>
      <c r="CL154" s="12" t="n"/>
      <c r="CM154" s="12" t="n"/>
      <c r="CN154" s="12" t="n"/>
      <c r="CO154" s="12" t="n"/>
      <c r="CP154" s="12" t="n"/>
      <c r="CQ154" s="12" t="n"/>
      <c r="CR154" s="12" t="n"/>
      <c r="CS154" s="12" t="n"/>
      <c r="CT154" s="12" t="n"/>
      <c r="CU154" s="12" t="n"/>
      <c r="CV154" s="12" t="n"/>
      <c r="CW154" s="12" t="n"/>
      <c r="CX154" s="12" t="n"/>
      <c r="CY154" s="12" t="n"/>
    </row>
    <row r="155" hidden="1" outlineLevel="1">
      <c r="C155" s="57" t="n"/>
      <c r="D155" s="12" t="n"/>
      <c r="E155" s="12" t="n"/>
      <c r="F155" s="12" t="n"/>
      <c r="G155" s="12" t="n"/>
      <c r="H155" s="12" t="n"/>
      <c r="I155" s="12" t="n"/>
      <c r="J155" s="12" t="n"/>
      <c r="K155" s="12" t="n"/>
      <c r="L155" s="12" t="n"/>
      <c r="M155" s="12" t="n"/>
      <c r="N155" s="12" t="n"/>
      <c r="O155" s="12" t="n"/>
      <c r="P155" s="12" t="n"/>
      <c r="Q155" s="12" t="n"/>
      <c r="R155" s="12" t="n"/>
      <c r="S155" s="12" t="n"/>
      <c r="T155" s="12" t="n"/>
      <c r="U155" s="12" t="n"/>
      <c r="V155" s="12" t="n"/>
      <c r="W155" s="12" t="n"/>
      <c r="X155" s="12" t="n"/>
      <c r="Y155" s="12" t="n"/>
      <c r="Z155" s="12" t="n"/>
      <c r="AA155" s="12" t="n"/>
      <c r="AB155" s="12" t="n"/>
      <c r="AC155" s="12" t="n"/>
      <c r="AD155" s="12" t="n"/>
      <c r="AE155" s="12" t="n"/>
      <c r="AF155" s="12" t="n"/>
      <c r="AG155" s="12" t="n"/>
      <c r="AH155" s="12" t="n"/>
      <c r="AI155" s="12" t="n"/>
      <c r="AJ155" s="12">
        <f>IF(AJ15=0,"",AJ151/AJ15)</f>
        <v>0.0426822018784925</v>
      </c>
      <c r="AK155" s="12">
        <f>IF(AK15=0,"",AK151/AK15)</f>
        <v>0.0426822018784925</v>
      </c>
      <c r="AL155" s="12" t="n"/>
      <c r="AM155" s="12">
        <f>IF(AM15=0,"",AM151/AM15)</f>
        <v>0.0426822018784925</v>
      </c>
      <c r="AN155" s="12">
        <f>IF(AN15=0,"",AN151/AN15)</f>
        <v>0.0426822018784925</v>
      </c>
      <c r="AO155" s="12">
        <f>IF(AO15=0,"",AO151/AO15)</f>
        <v>0.0426822018784925</v>
      </c>
      <c r="AP155" s="12">
        <f>IF(AP15=0,"",AP151/AP15)</f>
        <v>0.0426822018784925</v>
      </c>
      <c r="AQ155" s="12" t="n"/>
      <c r="AR155" s="12">
        <f>IF(AR15=0,"",AR151/AR15)</f>
        <v>0.0426822018784925</v>
      </c>
      <c r="AS155" s="12">
        <f>IF(AS15=0,"",AS151/AS15)</f>
        <v>0.0426822018784924</v>
      </c>
      <c r="AT155" s="12">
        <f>IF(AT15=0,"",AT151/AT15)</f>
        <v>0.0426822018784925</v>
      </c>
      <c r="AU155" s="12">
        <f>IF(AU15=0,"",AU151/AU15)</f>
        <v>0.0426822018784925</v>
      </c>
      <c r="AV155" s="12" t="n"/>
      <c r="AW155" s="12">
        <f>IF(AW15=0,"",AW151/AW15)</f>
        <v>0.0426822018784925</v>
      </c>
      <c r="AX155" s="12">
        <f>IF(AX15=0,"",AX151/AX15)</f>
        <v>0.0426822018784925</v>
      </c>
      <c r="AY155" s="12">
        <f>IF(AY15=0,"",AY151/AY15)</f>
        <v>0.0426822018784925</v>
      </c>
      <c r="AZ155" s="12">
        <f>IF(AZ15=0,"",AZ151/AZ15)</f>
        <v>0.0426822018784925</v>
      </c>
      <c r="BA155" s="12" t="n"/>
      <c r="BB155" s="12">
        <f>IF(BB15=0,"",BB151/BB15)</f>
        <v>0.0426822018784925</v>
      </c>
      <c r="BC155" s="12">
        <f>IF(BC15=0,"",BC151/BC15)</f>
        <v>0.0426822018784925</v>
      </c>
      <c r="BD155" s="12">
        <f>IF(BD15=0,"",BD151/BD15)</f>
        <v>0.0426822018784925</v>
      </c>
      <c r="BE155" s="12">
        <f>IF(BE15=0,"",BE151/BE15)</f>
        <v>0.0426822018784925</v>
      </c>
      <c r="BF155" s="12" t="n"/>
      <c r="BG155" s="12" t="n"/>
      <c r="BH155" s="12" t="n"/>
      <c r="BI155" s="12" t="n"/>
      <c r="BJ155" s="12" t="n"/>
      <c r="BK155" s="12" t="n"/>
      <c r="BL155" s="12" t="n"/>
      <c r="BM155" s="12" t="n"/>
      <c r="BN155" s="12" t="n"/>
      <c r="BO155" s="12" t="n"/>
      <c r="BP155" s="12" t="n"/>
      <c r="BQ155" s="12" t="n"/>
      <c r="BR155" s="12" t="n"/>
      <c r="BS155" s="12" t="n"/>
      <c r="BT155" s="12" t="n"/>
      <c r="BU155" s="12" t="n"/>
      <c r="BV155" s="12" t="n"/>
      <c r="BW155" s="12" t="n"/>
      <c r="BX155" s="12" t="n"/>
      <c r="BY155" s="12" t="n"/>
      <c r="BZ155" s="12" t="n"/>
      <c r="CA155" s="12" t="n"/>
      <c r="CB155" s="12" t="n"/>
      <c r="CC155" s="12" t="n"/>
      <c r="CD155" s="12" t="n"/>
      <c r="CE155" s="12" t="n"/>
      <c r="CF155" s="12" t="n"/>
      <c r="CG155" s="12" t="n"/>
      <c r="CH155" s="12" t="n"/>
      <c r="CI155" s="12" t="n"/>
      <c r="CJ155" s="12" t="n"/>
      <c r="CK155" s="12" t="n"/>
      <c r="CL155" s="12" t="n"/>
      <c r="CM155" s="12" t="n"/>
      <c r="CN155" s="12" t="n"/>
      <c r="CO155" s="12" t="n"/>
      <c r="CP155" s="12" t="n"/>
      <c r="CQ155" s="12" t="n"/>
      <c r="CR155" s="12" t="n"/>
      <c r="CS155" s="12" t="n"/>
      <c r="CT155" s="12" t="n"/>
      <c r="CU155" s="12" t="n"/>
      <c r="CV155" s="12" t="n"/>
      <c r="CW155" s="12" t="n"/>
      <c r="CX155" s="12" t="n"/>
      <c r="CY155" s="12" t="n"/>
    </row>
    <row r="156" hidden="1" outlineLevel="1">
      <c r="C156" s="57" t="inlineStr">
        <is>
          <t>Capital expenditures (% Net Revenues)</t>
        </is>
      </c>
      <c r="D156" s="12" t="n"/>
      <c r="E156" s="12" t="n"/>
      <c r="F156" s="12" t="n"/>
      <c r="G156" s="12" t="n"/>
      <c r="H156" s="12" t="n"/>
      <c r="I156" s="12" t="n"/>
      <c r="J156" s="12" t="n"/>
      <c r="K156" s="12" t="n"/>
      <c r="L156" s="12" t="n"/>
      <c r="M156" s="12" t="n"/>
      <c r="N156" s="12" t="n"/>
      <c r="O156" s="12" t="n"/>
      <c r="P156" s="12" t="n"/>
      <c r="Q156" s="12" t="n"/>
      <c r="R156" s="12" t="n"/>
      <c r="S156" s="12" t="n"/>
      <c r="T156" s="12" t="n"/>
      <c r="U156" s="12" t="n"/>
      <c r="V156" s="12" t="n"/>
      <c r="W156" s="12" t="n"/>
      <c r="X156" s="12" t="n"/>
      <c r="Y156" s="12" t="n"/>
      <c r="Z156" s="12" t="n"/>
      <c r="AA156" s="12" t="n"/>
      <c r="AB156" s="12" t="n"/>
      <c r="AC156" s="12" t="n"/>
      <c r="AD156" s="12" t="n"/>
      <c r="AE156" s="12" t="n"/>
      <c r="AF156" s="58">
        <f>IFERROR(AF151/AF15,"")</f>
        <v>0.034181240063593</v>
      </c>
      <c r="AG156" s="58">
        <f>IFERROR(AG151/AG15,"")</f>
        <v>0.0398889939312616</v>
      </c>
      <c r="AH156" s="58">
        <f>IFERROR(AH151/AH15,"")</f>
        <v>0.04108120981186</v>
      </c>
      <c r="AI156" s="58">
        <f>IFERROR(AI151/AI15,"")</f>
        <v>0.0540045273256441</v>
      </c>
      <c r="AJ156" s="58">
        <f>IFERROR(AJ151/AJ15,"")</f>
        <v>0.0426822018784925</v>
      </c>
      <c r="AK156" s="58">
        <f>IFERROR(AK151/AK15,"")</f>
        <v>0.0426822018784925</v>
      </c>
      <c r="AL156" s="58">
        <f>IFERROR(AL151/AL15,"")</f>
        <v>0</v>
      </c>
      <c r="AM156" s="58">
        <f>IFERROR(AM151/AM15,"")</f>
        <v>0.0426822018784925</v>
      </c>
      <c r="AN156" s="58">
        <f>IFERROR(AN151/AN15,"")</f>
        <v>0.0426822018784925</v>
      </c>
      <c r="AO156" s="58">
        <f>IFERROR(AO151/AO15,"")</f>
        <v>0.0426822018784925</v>
      </c>
      <c r="AP156" s="58">
        <f>IFERROR(AP151/AP15,"")</f>
        <v>0.0426822018784925</v>
      </c>
      <c r="AQ156" s="58">
        <f>IFERROR(AQ151/AQ15,"")</f>
        <v>0</v>
      </c>
      <c r="AR156" s="58">
        <f>IFERROR(AR151/AR15,"")</f>
        <v>0.0426822018784925</v>
      </c>
      <c r="AS156" s="58">
        <f>IFERROR(AS151/AS15,"")</f>
        <v>0.0426822018784924</v>
      </c>
      <c r="AT156" s="58">
        <f>IFERROR(AT151/AT15,"")</f>
        <v>0.0426822018784925</v>
      </c>
      <c r="AU156" s="58">
        <f>IFERROR(AU151/AU15,"")</f>
        <v>0.0426822018784925</v>
      </c>
      <c r="AV156" s="58">
        <f>IFERROR(AV151/AV15,"")</f>
        <v>0</v>
      </c>
      <c r="AW156" s="58">
        <f>IFERROR(AW151/AW15,"")</f>
        <v>0.0426822018784925</v>
      </c>
      <c r="AX156" s="58">
        <f>IFERROR(AX151/AX15,"")</f>
        <v>0.0426822018784925</v>
      </c>
      <c r="AY156" s="58">
        <f>IFERROR(AY151/AY15,"")</f>
        <v>0.0426822018784925</v>
      </c>
      <c r="AZ156" s="58">
        <f>IFERROR(AZ151/AZ15,"")</f>
        <v>0.0426822018784925</v>
      </c>
      <c r="BA156" s="58">
        <f>IFERROR(BA151/BA15,"")</f>
        <v>0</v>
      </c>
      <c r="BB156" s="58">
        <f>IFERROR(BB151/BB15,"")</f>
        <v>0.0426822018784925</v>
      </c>
      <c r="BC156" s="58">
        <f>IFERROR(BC151/BC15,"")</f>
        <v>0.0426822018784925</v>
      </c>
      <c r="BD156" s="58">
        <f>IFERROR(BD151/BD15,"")</f>
        <v>0.0426822018784925</v>
      </c>
      <c r="BE156" s="58">
        <f>IFERROR(BE151/BE15,"")</f>
        <v>0.0426822018784925</v>
      </c>
      <c r="BF156" s="58">
        <f>IFERROR(BF151/BF15,"")</f>
        <v>0</v>
      </c>
      <c r="BG156" s="58" t="n"/>
      <c r="BH156" s="58" t="n"/>
      <c r="BI156" s="58" t="n"/>
      <c r="BJ156" s="58" t="n"/>
      <c r="BK156" s="58" t="n"/>
      <c r="BL156" s="58" t="n"/>
      <c r="BM156" s="58" t="n"/>
      <c r="BN156" s="58" t="n"/>
      <c r="BO156" s="58" t="n"/>
      <c r="BP156" s="58" t="n"/>
      <c r="BQ156" s="58" t="n"/>
      <c r="BR156" s="58" t="n"/>
      <c r="BS156" s="58" t="n"/>
      <c r="BT156" s="58" t="n"/>
      <c r="BU156" s="58" t="n"/>
      <c r="BV156" s="58" t="n"/>
      <c r="BW156" s="58" t="n"/>
      <c r="BX156" s="58" t="n"/>
      <c r="BY156" s="58" t="n"/>
      <c r="BZ156" s="58" t="n"/>
      <c r="CA156" s="58" t="n"/>
      <c r="CB156" s="58" t="n"/>
      <c r="CC156" s="58" t="n"/>
      <c r="CD156" s="58" t="n"/>
      <c r="CE156" s="58" t="n"/>
      <c r="CF156" s="58" t="n"/>
      <c r="CG156" s="58" t="n"/>
      <c r="CH156" s="58" t="n"/>
      <c r="CI156" s="58" t="n"/>
      <c r="CJ156" s="58" t="n"/>
      <c r="CK156" s="58" t="n"/>
      <c r="CL156" s="58" t="n"/>
      <c r="CM156" s="58" t="n"/>
      <c r="CN156" s="58" t="n"/>
      <c r="CO156" s="58" t="n"/>
      <c r="CP156" s="58" t="n"/>
      <c r="CQ156" s="58" t="n"/>
      <c r="CR156" s="58" t="n"/>
      <c r="CS156" s="58" t="n"/>
      <c r="CT156" s="58" t="n"/>
      <c r="CU156" s="58" t="n"/>
      <c r="CV156" s="58" t="n"/>
      <c r="CW156" s="58" t="n"/>
      <c r="CX156" s="58" t="n"/>
      <c r="CY156" s="58" t="n"/>
    </row>
    <row r="157" hidden="1" outlineLevel="1">
      <c r="C157" s="57" t="n"/>
      <c r="D157" s="12" t="n"/>
      <c r="E157" s="12" t="n"/>
      <c r="F157" s="12" t="n"/>
      <c r="G157" s="12" t="n"/>
      <c r="H157" s="12" t="n"/>
      <c r="I157" s="12" t="n"/>
      <c r="J157" s="12" t="n"/>
      <c r="K157" s="12" t="n"/>
      <c r="L157" s="12" t="n"/>
      <c r="M157" s="12" t="n"/>
      <c r="N157" s="12" t="n"/>
      <c r="O157" s="12" t="n"/>
      <c r="P157" s="12" t="n"/>
      <c r="Q157" s="12" t="n"/>
      <c r="R157" s="12" t="n"/>
      <c r="S157" s="12" t="n"/>
      <c r="T157" s="12" t="n"/>
      <c r="U157" s="12" t="n"/>
      <c r="V157" s="12" t="n"/>
      <c r="W157" s="12" t="n"/>
      <c r="X157" s="12" t="n"/>
      <c r="Y157" s="12" t="n"/>
      <c r="Z157" s="12" t="n"/>
      <c r="AA157" s="12" t="n"/>
      <c r="AB157" s="12" t="n"/>
      <c r="AC157" s="12" t="n"/>
      <c r="AD157" s="12" t="n"/>
      <c r="AE157" s="12" t="n"/>
      <c r="AF157" s="12" t="n"/>
      <c r="AG157" s="12" t="n"/>
      <c r="AH157" s="12" t="n"/>
      <c r="AI157" s="12" t="n"/>
      <c r="AJ157" s="12" t="n"/>
      <c r="AK157" s="12" t="n"/>
      <c r="AL157" s="12" t="n"/>
      <c r="AM157" s="12" t="n"/>
      <c r="AN157" s="12" t="n"/>
      <c r="AO157" s="12" t="n"/>
      <c r="AP157" s="12" t="n"/>
      <c r="AQ157" s="12" t="n"/>
      <c r="AR157" s="12" t="n"/>
      <c r="AS157" s="12" t="n"/>
      <c r="AT157" s="12" t="n"/>
      <c r="AU157" s="12" t="n"/>
      <c r="AV157" s="12" t="n"/>
      <c r="AW157" s="12" t="n"/>
      <c r="AX157" s="12" t="n"/>
      <c r="AY157" s="12" t="n"/>
      <c r="AZ157" s="12" t="n"/>
      <c r="BA157" s="12" t="n"/>
      <c r="BB157" s="12" t="n"/>
      <c r="BC157" s="12" t="n"/>
      <c r="BD157" s="12" t="n"/>
      <c r="BE157" s="12" t="n"/>
      <c r="BF157" s="12" t="n"/>
      <c r="BG157" s="12" t="n"/>
      <c r="BH157" s="12" t="n"/>
      <c r="BI157" s="12" t="n"/>
      <c r="BJ157" s="12" t="n"/>
      <c r="BK157" s="12" t="n"/>
      <c r="BL157" s="12" t="n"/>
      <c r="BM157" s="12" t="n"/>
      <c r="BN157" s="12" t="n"/>
      <c r="BO157" s="12" t="n"/>
      <c r="BP157" s="12" t="n"/>
      <c r="BQ157" s="12" t="n"/>
      <c r="BR157" s="12" t="n"/>
      <c r="BS157" s="12" t="n"/>
      <c r="BT157" s="12" t="n"/>
      <c r="BU157" s="12" t="n"/>
      <c r="BV157" s="12" t="n"/>
      <c r="BW157" s="12" t="n"/>
      <c r="BX157" s="12" t="n"/>
      <c r="BY157" s="12" t="n"/>
      <c r="BZ157" s="12" t="n"/>
      <c r="CA157" s="12" t="n"/>
      <c r="CB157" s="12" t="n"/>
      <c r="CC157" s="12" t="n"/>
      <c r="CD157" s="12" t="n"/>
      <c r="CE157" s="12" t="n"/>
      <c r="CF157" s="12" t="n"/>
      <c r="CG157" s="12" t="n"/>
      <c r="CH157" s="12" t="n"/>
      <c r="CI157" s="12" t="n"/>
      <c r="CJ157" s="12" t="n"/>
      <c r="CK157" s="12" t="n"/>
      <c r="CL157" s="12" t="n"/>
      <c r="CM157" s="12" t="n"/>
      <c r="CN157" s="12" t="n"/>
      <c r="CO157" s="12" t="n"/>
      <c r="CP157" s="12" t="n"/>
      <c r="CQ157" s="12" t="n"/>
      <c r="CR157" s="12" t="n"/>
      <c r="CS157" s="12" t="n"/>
      <c r="CT157" s="12" t="n"/>
      <c r="CU157" s="12" t="n"/>
      <c r="CV157" s="12" t="n"/>
      <c r="CW157" s="12" t="n"/>
      <c r="CX157" s="12" t="n"/>
      <c r="CY157" s="12" t="n"/>
    </row>
    <row r="158" hidden="1" outlineLevel="1">
      <c r="C158" s="57" t="n"/>
      <c r="D158" s="12" t="n"/>
      <c r="E158" s="12" t="n"/>
      <c r="F158" s="12" t="n"/>
      <c r="G158" s="12" t="n"/>
      <c r="H158" s="12" t="n"/>
      <c r="I158" s="12" t="n"/>
      <c r="J158" s="12" t="n"/>
      <c r="K158" s="12" t="n"/>
      <c r="L158" s="12" t="n"/>
      <c r="M158" s="12" t="n"/>
      <c r="N158" s="12" t="n"/>
      <c r="O158" s="12" t="n"/>
      <c r="P158" s="12" t="n"/>
      <c r="Q158" s="12" t="n"/>
      <c r="R158" s="12" t="n"/>
      <c r="S158" s="12" t="n"/>
      <c r="T158" s="12" t="n"/>
      <c r="U158" s="12" t="n"/>
      <c r="V158" s="12" t="n"/>
      <c r="W158" s="12" t="n"/>
      <c r="X158" s="12" t="n"/>
      <c r="Y158" s="12" t="n"/>
      <c r="Z158" s="12" t="n"/>
      <c r="AA158" s="12" t="n"/>
      <c r="AB158" s="12" t="n"/>
      <c r="AC158" s="12" t="n"/>
      <c r="AD158" s="12" t="n"/>
      <c r="AE158" s="12" t="n"/>
      <c r="AF158" s="12" t="n"/>
      <c r="AG158" s="12" t="n"/>
      <c r="AH158" s="12" t="n"/>
      <c r="AI158" s="12" t="n"/>
      <c r="AJ158" s="12" t="n"/>
      <c r="AK158" s="12" t="n"/>
      <c r="AL158" s="12" t="n"/>
      <c r="AM158" s="12" t="n"/>
      <c r="AN158" s="12" t="n"/>
      <c r="AO158" s="12" t="n"/>
      <c r="AP158" s="12" t="n"/>
      <c r="AQ158" s="12" t="n"/>
      <c r="AR158" s="12" t="n"/>
      <c r="AS158" s="12" t="n"/>
      <c r="AT158" s="12" t="n"/>
      <c r="AU158" s="12" t="n"/>
      <c r="AV158" s="12" t="n"/>
      <c r="AW158" s="12" t="n"/>
      <c r="AX158" s="12" t="n"/>
      <c r="AY158" s="12" t="n"/>
      <c r="AZ158" s="12" t="n"/>
      <c r="BA158" s="12" t="n"/>
      <c r="BB158" s="12" t="n"/>
      <c r="BC158" s="12" t="n"/>
      <c r="BD158" s="12" t="n"/>
      <c r="BE158" s="12" t="n"/>
      <c r="BF158" s="12" t="n"/>
      <c r="BG158" s="12" t="n"/>
      <c r="BH158" s="12" t="n"/>
      <c r="BI158" s="12" t="n"/>
      <c r="BJ158" s="12" t="n"/>
      <c r="BK158" s="12" t="n"/>
      <c r="BL158" s="12" t="n"/>
      <c r="BM158" s="12" t="n"/>
      <c r="BN158" s="12" t="n"/>
      <c r="BO158" s="12" t="n"/>
      <c r="BP158" s="12" t="n"/>
      <c r="BQ158" s="12" t="n"/>
      <c r="BR158" s="12" t="n"/>
      <c r="BS158" s="12" t="n"/>
      <c r="BT158" s="12" t="n"/>
      <c r="BU158" s="12" t="n"/>
      <c r="BV158" s="12" t="n"/>
      <c r="BW158" s="12" t="n"/>
      <c r="BX158" s="12" t="n"/>
      <c r="BY158" s="12" t="n"/>
      <c r="BZ158" s="12" t="n"/>
      <c r="CA158" s="12" t="n"/>
      <c r="CB158" s="12" t="n"/>
      <c r="CC158" s="12" t="n"/>
      <c r="CD158" s="12" t="n"/>
      <c r="CE158" s="12" t="n"/>
      <c r="CF158" s="12" t="n"/>
      <c r="CG158" s="12" t="n"/>
      <c r="CH158" s="12" t="n"/>
      <c r="CI158" s="12" t="n"/>
      <c r="CJ158" s="12" t="n"/>
      <c r="CK158" s="12" t="n"/>
      <c r="CL158" s="12" t="n"/>
      <c r="CM158" s="12" t="n"/>
      <c r="CN158" s="12" t="n"/>
      <c r="CO158" s="12" t="n"/>
      <c r="CP158" s="12" t="n"/>
      <c r="CQ158" s="12" t="n"/>
      <c r="CR158" s="12" t="n"/>
      <c r="CS158" s="12" t="n"/>
      <c r="CT158" s="12" t="n"/>
      <c r="CU158" s="12" t="n"/>
      <c r="CV158" s="12" t="n"/>
      <c r="CW158" s="12" t="n"/>
      <c r="CX158" s="12" t="n"/>
      <c r="CY158" s="12" t="n"/>
    </row>
    <row r="159" collapsed="1">
      <c r="C159" s="14" t="inlineStr">
        <is>
          <t>Right-of-use-assets</t>
        </is>
      </c>
      <c r="D159" s="46" t="n"/>
      <c r="E159" s="46" t="n"/>
      <c r="F159" s="46" t="n"/>
      <c r="G159" s="46" t="n"/>
      <c r="H159" s="12" t="n"/>
      <c r="I159" s="46">
        <f>'Inputs (2)'!D23</f>
        <v>0</v>
      </c>
      <c r="J159" s="46">
        <f>'Inputs (2)'!E23</f>
        <v>0</v>
      </c>
      <c r="K159" s="46">
        <f>'Inputs (2)'!F23</f>
        <v>0</v>
      </c>
      <c r="L159" s="46">
        <f>'Inputs (2)'!G23</f>
        <v>0</v>
      </c>
      <c r="M159" s="12">
        <f>'Inputs (2)'!H23</f>
        <v>0</v>
      </c>
      <c r="N159" s="46">
        <f>'Inputs (2)'!I23</f>
        <v>0</v>
      </c>
      <c r="O159" s="46">
        <f>'Inputs (2)'!J23</f>
        <v>0</v>
      </c>
      <c r="P159" s="46">
        <f>'Inputs (2)'!K23</f>
        <v>0</v>
      </c>
      <c r="Q159" s="46">
        <f>'Inputs (2)'!L23</f>
        <v>0</v>
      </c>
      <c r="R159" s="12">
        <f>'Inputs (2)'!M23</f>
        <v>0</v>
      </c>
      <c r="S159" s="46">
        <f>'Inputs (2)'!N23</f>
        <v>0</v>
      </c>
      <c r="T159" s="46">
        <f>'Inputs (2)'!O23</f>
        <v>0</v>
      </c>
      <c r="U159" s="46">
        <f>'Inputs (2)'!P23</f>
        <v>0</v>
      </c>
      <c r="V159" s="46">
        <f>'Inputs (2)'!Q23</f>
        <v>0</v>
      </c>
      <c r="W159" s="12">
        <f>'Inputs (2)'!R23</f>
        <v>0</v>
      </c>
      <c r="X159" s="46">
        <f>'Inputs (2)'!S23</f>
        <v>0</v>
      </c>
      <c r="Y159" s="46">
        <f>'Inputs (2)'!T23</f>
        <v>0</v>
      </c>
      <c r="Z159" s="46">
        <f>'Inputs (2)'!U23</f>
        <v>0</v>
      </c>
      <c r="AA159" s="46">
        <f>'Inputs (2)'!V23</f>
        <v>0</v>
      </c>
      <c r="AB159" s="12">
        <f>'Inputs (2)'!W23</f>
        <v>0</v>
      </c>
      <c r="AC159" s="46">
        <f>'Inputs (2)'!X23</f>
        <v>0</v>
      </c>
      <c r="AD159" s="46">
        <f>'Inputs (2)'!Y23</f>
        <v>0</v>
      </c>
      <c r="AE159" s="46">
        <f>'Inputs (2)'!Z23</f>
        <v>0</v>
      </c>
      <c r="AF159" s="46">
        <f>'Inputs (2)'!AA23</f>
        <v>0</v>
      </c>
      <c r="AG159" s="12">
        <f>'Inputs (2)'!AB23</f>
        <v>0</v>
      </c>
      <c r="AH159" s="12">
        <f>'Inputs (2)'!AC23</f>
        <v>0</v>
      </c>
      <c r="AI159" s="12">
        <f>'Inputs (2)'!AD23</f>
        <v>0</v>
      </c>
      <c r="AJ159" s="12">
        <f>AI159</f>
        <v>0</v>
      </c>
      <c r="AK159" s="12">
        <f>AJ159</f>
        <v>0</v>
      </c>
      <c r="AL159" s="12">
        <f>AK159</f>
        <v>0</v>
      </c>
      <c r="AM159" s="12">
        <f>AL159</f>
        <v>0</v>
      </c>
      <c r="AN159" s="12">
        <f>AM159</f>
        <v>0</v>
      </c>
      <c r="AO159" s="12">
        <f>AN159</f>
        <v>0</v>
      </c>
      <c r="AP159" s="12">
        <f>AO159</f>
        <v>0</v>
      </c>
      <c r="AQ159" s="12">
        <f>AP159</f>
        <v>0</v>
      </c>
      <c r="AR159" s="12">
        <f>AQ159</f>
        <v>0</v>
      </c>
      <c r="AS159" s="12">
        <f>AR159</f>
        <v>0</v>
      </c>
      <c r="AT159" s="12">
        <f>AS159</f>
        <v>0</v>
      </c>
      <c r="AU159" s="12">
        <f>AT159</f>
        <v>0</v>
      </c>
      <c r="AV159" s="12">
        <f>AU159</f>
        <v>0</v>
      </c>
      <c r="AW159" s="12">
        <f>AV159</f>
        <v>0</v>
      </c>
      <c r="AX159" s="12">
        <f>AW159</f>
        <v>0</v>
      </c>
      <c r="AY159" s="12">
        <f>AX159</f>
        <v>0</v>
      </c>
      <c r="AZ159" s="12">
        <f>AY159</f>
        <v>0</v>
      </c>
      <c r="BA159" s="12">
        <f>AZ159</f>
        <v>0</v>
      </c>
      <c r="BB159" s="12">
        <f>BA159</f>
        <v>0</v>
      </c>
      <c r="BC159" s="12">
        <f>BB159</f>
        <v>0</v>
      </c>
      <c r="BD159" s="12">
        <f>BC159</f>
        <v>0</v>
      </c>
      <c r="BE159" s="12">
        <f>BD159</f>
        <v>0</v>
      </c>
      <c r="BF159" s="12">
        <f>BE159</f>
        <v>0</v>
      </c>
      <c r="BG159" s="12" t="n"/>
      <c r="BH159" s="12" t="n"/>
      <c r="BI159" s="12" t="n"/>
      <c r="BJ159" s="12" t="n"/>
      <c r="BK159" s="12" t="n"/>
      <c r="BL159" s="12" t="n"/>
      <c r="BM159" s="12" t="n"/>
      <c r="BN159" s="12" t="n"/>
      <c r="BO159" s="12" t="n"/>
      <c r="BP159" s="12" t="n"/>
      <c r="BQ159" s="12" t="n"/>
      <c r="BR159" s="12" t="n"/>
      <c r="BS159" s="12" t="n"/>
      <c r="BT159" s="12" t="n"/>
      <c r="BU159" s="12" t="n"/>
      <c r="BV159" s="12" t="n"/>
      <c r="BW159" s="12" t="n"/>
      <c r="BX159" s="12" t="n"/>
      <c r="BY159" s="12" t="n"/>
      <c r="BZ159" s="12" t="n"/>
      <c r="CA159" s="12" t="n"/>
      <c r="CB159" s="12" t="n"/>
      <c r="CC159" s="12" t="n"/>
      <c r="CD159" s="12" t="n"/>
      <c r="CE159" s="12" t="n"/>
      <c r="CF159" s="12" t="n"/>
      <c r="CG159" s="12" t="n"/>
      <c r="CH159" s="12" t="n"/>
      <c r="CI159" s="12" t="n"/>
      <c r="CJ159" s="12" t="n"/>
      <c r="CK159" s="12" t="n"/>
      <c r="CL159" s="12" t="n"/>
      <c r="CM159" s="12" t="n"/>
      <c r="CN159" s="12" t="n"/>
      <c r="CO159" s="12" t="n"/>
      <c r="CP159" s="12" t="n"/>
      <c r="CQ159" s="12" t="n"/>
      <c r="CR159" s="12" t="n"/>
      <c r="CS159" s="12" t="n"/>
      <c r="CT159" s="12" t="n"/>
      <c r="CU159" s="12" t="n"/>
      <c r="CV159" s="12" t="n"/>
      <c r="CW159" s="12" t="n"/>
      <c r="CX159" s="12" t="n"/>
      <c r="CY159" s="12" t="n"/>
    </row>
    <row r="160" hidden="1" outlineLevel="1">
      <c r="C160" s="59" t="inlineStr">
        <is>
          <t>%(Var.)</t>
        </is>
      </c>
      <c r="D160" s="12" t="n"/>
      <c r="E160" s="40" t="n"/>
      <c r="F160" s="40" t="n"/>
      <c r="G160" s="40" t="n"/>
      <c r="H160" s="12" t="n"/>
      <c r="I160" s="40" t="str">
        <f>""</f>
        <v/>
      </c>
      <c r="J160" s="40" t="str">
        <f>IFERROR(IF(I159=0,"",J159/I159-1),"")</f>
        <v/>
      </c>
      <c r="K160" s="40" t="str">
        <f>IFERROR(IF(J159=0,"",K159/J159-1),"")</f>
        <v/>
      </c>
      <c r="L160" s="40" t="str">
        <f>IFERROR(IF(K159=0,"",L159/K159-1),"")</f>
        <v/>
      </c>
      <c r="M160" s="12" t="str">
        <f>IFERROR(IF(L159=0,"",M159/L159-1),"")</f>
        <v/>
      </c>
      <c r="N160" s="40" t="str">
        <f>IFERROR(IF(M159=0,"",N159/M159-1),"")</f>
        <v/>
      </c>
      <c r="O160" s="40" t="str">
        <f>IFERROR(IF(N159=0,"",O159/N159-1),"")</f>
        <v/>
      </c>
      <c r="P160" s="40" t="str">
        <f>IFERROR(IF(O159=0,"",P159/O159-1),"")</f>
        <v/>
      </c>
      <c r="Q160" s="40" t="str">
        <f>IFERROR(IF(P159=0,"",Q159/P159-1),"")</f>
        <v/>
      </c>
      <c r="R160" s="12" t="str">
        <f>IFERROR(IF(Q159=0,"",R159/Q159-1),"")</f>
        <v/>
      </c>
      <c r="S160" s="40" t="str">
        <f>IFERROR(IF(R159=0,"",S159/R159-1),"")</f>
        <v/>
      </c>
      <c r="T160" s="40" t="str">
        <f>IFERROR(IF(S159=0,"",T159/S159-1),"")</f>
        <v/>
      </c>
      <c r="U160" s="40" t="str">
        <f>IFERROR(IF(T159=0,"",U159/T159-1),"")</f>
        <v/>
      </c>
      <c r="V160" s="40" t="str">
        <f>IFERROR(IF(U159=0,"",V159/U159-1),"")</f>
        <v/>
      </c>
      <c r="W160" s="12" t="str">
        <f>IFERROR(IF(V159=0,"",W159/V159-1),"")</f>
        <v/>
      </c>
      <c r="X160" s="40" t="str">
        <f>IFERROR(IF(W159=0,"",X159/W159-1),"")</f>
        <v/>
      </c>
      <c r="Y160" s="40" t="str">
        <f>IFERROR(IF(X159=0,"",Y159/X159-1),"")</f>
        <v/>
      </c>
      <c r="Z160" s="40" t="str">
        <f>IFERROR(IF(Y159=0,"",Z159/Y159-1),"")</f>
        <v/>
      </c>
      <c r="AA160" s="40" t="str">
        <f>IFERROR(IF(Z159=0,"",AA159/Z159-1),"")</f>
        <v/>
      </c>
      <c r="AB160" s="12" t="str">
        <f>IFERROR(IF(AA159=0,"",AB159/AA159-1),"")</f>
        <v/>
      </c>
      <c r="AC160" s="40" t="str">
        <f>IFERROR(IF(AB159=0,"",AC159/AB159-1),"")</f>
        <v/>
      </c>
      <c r="AD160" s="40" t="str">
        <f>IFERROR(IF(AC159=0,"",AD159/AC159-1),"")</f>
        <v/>
      </c>
      <c r="AE160" s="40" t="str">
        <f>IFERROR(IF(AD159=0,"",AE159/AD159-1),"")</f>
        <v/>
      </c>
      <c r="AF160" s="55" t="str">
        <f>IFERROR(IF(AE159=0,"",AF159/AE159-1),"")</f>
        <v/>
      </c>
      <c r="AG160" s="12" t="str">
        <f>IFERROR(IF(AF159=0,"",AG159/AF159-1),"")</f>
        <v/>
      </c>
      <c r="AH160" s="55" t="str">
        <f>IFERROR(IF(AG159=0,"",AH159/AG159-1),"")</f>
        <v/>
      </c>
      <c r="AI160" s="55" t="str">
        <f>IFERROR(IF(AH159=0,"",AI159/AH159-1),"")</f>
        <v/>
      </c>
      <c r="AJ160" s="55" t="str">
        <f>IFERROR(IF(AI159=0,"",AJ159/AI159-1),"")</f>
        <v/>
      </c>
      <c r="AK160" s="55" t="str">
        <f>IFERROR(IF(AJ159=0,"",AK159/AJ159-1),"")</f>
        <v/>
      </c>
      <c r="AL160" s="12" t="str">
        <f>IFERROR(IF(AK159=0,"",AL159/AK159-1),"")</f>
        <v/>
      </c>
      <c r="AM160" s="55" t="str">
        <f>IFERROR(IF(AL159=0,"",AM159/AL159-1),"")</f>
        <v/>
      </c>
      <c r="AN160" s="55" t="str">
        <f>IFERROR(IF(AM159=0,"",AN159/AM159-1),"")</f>
        <v/>
      </c>
      <c r="AO160" s="55" t="str">
        <f>IFERROR(IF(AN159=0,"",AO159/AN159-1),"")</f>
        <v/>
      </c>
      <c r="AP160" s="55" t="str">
        <f>IFERROR(IF(AO159=0,"",AP159/AO159-1),"")</f>
        <v/>
      </c>
      <c r="AQ160" s="12" t="str">
        <f>IFERROR(IF(AP159=0,"",AQ159/AP159-1),"")</f>
        <v/>
      </c>
      <c r="AR160" s="55" t="str">
        <f>IFERROR(IF(AQ159=0,"",AR159/AQ159-1),"")</f>
        <v/>
      </c>
      <c r="AS160" s="55" t="str">
        <f>IFERROR(IF(AR159=0,"",AS159/AR159-1),"")</f>
        <v/>
      </c>
      <c r="AT160" s="55" t="str">
        <f>IFERROR(IF(AS159=0,"",AT159/AS159-1),"")</f>
        <v/>
      </c>
      <c r="AU160" s="55" t="str">
        <f>IFERROR(IF(AT159=0,"",AU159/AT159-1),"")</f>
        <v/>
      </c>
      <c r="AV160" s="12" t="str">
        <f>IFERROR(IF(AU159=0,"",AV159/AU159-1),"")</f>
        <v/>
      </c>
      <c r="AW160" s="55" t="str">
        <f>IFERROR(IF(AV159=0,"",AW159/AV159-1),"")</f>
        <v/>
      </c>
      <c r="AX160" s="55" t="str">
        <f>IFERROR(IF(AW159=0,"",AX159/AW159-1),"")</f>
        <v/>
      </c>
      <c r="AY160" s="55" t="str">
        <f>IFERROR(IF(AX159=0,"",AY159/AX159-1),"")</f>
        <v/>
      </c>
      <c r="AZ160" s="55" t="str">
        <f>IFERROR(IF(AY159=0,"",AZ159/AY159-1),"")</f>
        <v/>
      </c>
      <c r="BA160" s="12" t="str">
        <f>IFERROR(IF(AZ159=0,"",BA159/AZ159-1),"")</f>
        <v/>
      </c>
      <c r="BB160" s="55" t="str">
        <f>IFERROR(IF(BA159=0,"",BB159/BA159-1),"")</f>
        <v/>
      </c>
      <c r="BC160" s="55" t="str">
        <f>IFERROR(IF(BB159=0,"",BC159/BB159-1),"")</f>
        <v/>
      </c>
      <c r="BD160" s="55" t="str">
        <f>IFERROR(IF(BC159=0,"",BD159/BC159-1),"")</f>
        <v/>
      </c>
      <c r="BE160" s="55" t="str">
        <f>IFERROR(IF(BD159=0,"",BE159/BD159-1),"")</f>
        <v/>
      </c>
      <c r="BF160" s="12" t="str">
        <f>IFERROR(IF(BE159=0,"",BF159/BE159-1),"")</f>
        <v/>
      </c>
      <c r="BG160" s="55" t="n"/>
      <c r="BH160" s="55" t="n"/>
      <c r="BI160" s="55" t="n"/>
      <c r="BJ160" s="55" t="n"/>
      <c r="BK160" s="12" t="n"/>
      <c r="BL160" s="55" t="n"/>
      <c r="BM160" s="55" t="n"/>
      <c r="BN160" s="55" t="n"/>
      <c r="BO160" s="55" t="n"/>
      <c r="BP160" s="12" t="n"/>
      <c r="BQ160" s="55" t="n"/>
      <c r="BR160" s="55" t="n"/>
      <c r="BS160" s="55" t="n"/>
      <c r="BT160" s="55" t="n"/>
      <c r="BU160" s="12" t="n"/>
      <c r="BV160" s="55" t="n"/>
      <c r="BW160" s="55" t="n"/>
      <c r="BX160" s="55" t="n"/>
      <c r="BY160" s="55" t="n"/>
      <c r="BZ160" s="12" t="n"/>
      <c r="CA160" s="55" t="n"/>
      <c r="CB160" s="55" t="n"/>
      <c r="CC160" s="55" t="n"/>
      <c r="CD160" s="55" t="n"/>
      <c r="CE160" s="12" t="n"/>
      <c r="CF160" s="55" t="n"/>
      <c r="CG160" s="55" t="n"/>
      <c r="CH160" s="55" t="n"/>
      <c r="CI160" s="55" t="n"/>
      <c r="CJ160" s="12" t="n"/>
      <c r="CK160" s="55" t="n"/>
      <c r="CL160" s="55" t="n"/>
      <c r="CM160" s="55" t="n"/>
      <c r="CN160" s="55" t="n"/>
      <c r="CO160" s="12" t="n"/>
      <c r="CP160" s="55" t="n"/>
      <c r="CQ160" s="55" t="n"/>
      <c r="CR160" s="55" t="n"/>
      <c r="CS160" s="55" t="n"/>
      <c r="CT160" s="12" t="n"/>
      <c r="CU160" s="55" t="n"/>
      <c r="CV160" s="55" t="n"/>
      <c r="CW160" s="55" t="n"/>
      <c r="CX160" s="55" t="n"/>
      <c r="CY160" s="12" t="n"/>
    </row>
    <row r="161" hidden="1" outlineLevel="1">
      <c r="C161" s="57" t="n"/>
      <c r="D161" s="12" t="n"/>
      <c r="E161" s="12" t="n"/>
      <c r="F161" s="12" t="n"/>
      <c r="G161" s="12" t="n"/>
      <c r="H161" s="12" t="n"/>
      <c r="I161" s="12" t="n"/>
      <c r="J161" s="12" t="n"/>
      <c r="K161" s="12" t="n"/>
      <c r="L161" s="12" t="n"/>
      <c r="M161" s="12" t="n"/>
      <c r="N161" s="12" t="n"/>
      <c r="O161" s="12" t="n"/>
      <c r="P161" s="12" t="n"/>
      <c r="Q161" s="12" t="n"/>
      <c r="R161" s="12" t="n"/>
      <c r="S161" s="12" t="n"/>
      <c r="T161" s="12" t="n"/>
      <c r="U161" s="12" t="n"/>
      <c r="V161" s="12" t="n"/>
      <c r="W161" s="12" t="n"/>
      <c r="X161" s="12" t="n"/>
      <c r="Y161" s="12" t="n"/>
      <c r="Z161" s="12" t="n"/>
      <c r="AA161" s="12" t="n"/>
      <c r="AB161" s="12" t="n"/>
      <c r="AC161" s="12" t="n"/>
      <c r="AD161" s="12" t="n"/>
      <c r="AE161" s="12" t="n"/>
      <c r="AF161" s="12" t="n"/>
      <c r="AG161" s="12" t="n"/>
      <c r="AH161" s="12" t="n"/>
      <c r="AI161" s="12" t="n"/>
      <c r="AJ161" s="12" t="n"/>
      <c r="AK161" s="12" t="n"/>
      <c r="AL161" s="12" t="n"/>
      <c r="AM161" s="12" t="n"/>
      <c r="AN161" s="12" t="n"/>
      <c r="AO161" s="12" t="n"/>
      <c r="AP161" s="12" t="n"/>
      <c r="AQ161" s="12" t="n"/>
      <c r="AR161" s="12" t="n"/>
      <c r="AS161" s="12" t="n"/>
      <c r="AT161" s="12" t="n"/>
      <c r="AU161" s="12" t="n"/>
      <c r="AV161" s="12" t="n"/>
      <c r="AW161" s="12" t="n"/>
      <c r="AX161" s="12" t="n"/>
      <c r="AY161" s="12" t="n"/>
      <c r="AZ161" s="12" t="n"/>
      <c r="BA161" s="12" t="n"/>
      <c r="BB161" s="12" t="n"/>
      <c r="BC161" s="12" t="n"/>
      <c r="BD161" s="12" t="n"/>
      <c r="BE161" s="12" t="n"/>
      <c r="BF161" s="12" t="n"/>
      <c r="BG161" s="12" t="n"/>
      <c r="BH161" s="12" t="n"/>
      <c r="BI161" s="12" t="n"/>
      <c r="BJ161" s="12" t="n"/>
      <c r="BK161" s="12" t="n"/>
      <c r="BL161" s="12" t="n"/>
      <c r="BM161" s="12" t="n"/>
      <c r="BN161" s="12" t="n"/>
      <c r="BO161" s="12" t="n"/>
      <c r="BP161" s="12" t="n"/>
      <c r="BQ161" s="12" t="n"/>
      <c r="BR161" s="12" t="n"/>
      <c r="BS161" s="12" t="n"/>
      <c r="BT161" s="12" t="n"/>
      <c r="BU161" s="12" t="n"/>
      <c r="BV161" s="12" t="n"/>
      <c r="BW161" s="12" t="n"/>
      <c r="BX161" s="12" t="n"/>
      <c r="BY161" s="12" t="n"/>
      <c r="BZ161" s="12" t="n"/>
      <c r="CA161" s="12" t="n"/>
      <c r="CB161" s="12" t="n"/>
      <c r="CC161" s="12" t="n"/>
      <c r="CD161" s="12" t="n"/>
      <c r="CE161" s="12" t="n"/>
      <c r="CF161" s="12" t="n"/>
      <c r="CG161" s="12" t="n"/>
      <c r="CH161" s="12" t="n"/>
      <c r="CI161" s="12" t="n"/>
      <c r="CJ161" s="12" t="n"/>
      <c r="CK161" s="12" t="n"/>
      <c r="CL161" s="12" t="n"/>
      <c r="CM161" s="12" t="n"/>
      <c r="CN161" s="12" t="n"/>
      <c r="CO161" s="12" t="n"/>
      <c r="CP161" s="12" t="n"/>
      <c r="CQ161" s="12" t="n"/>
      <c r="CR161" s="12" t="n"/>
      <c r="CS161" s="12" t="n"/>
      <c r="CT161" s="12" t="n"/>
      <c r="CU161" s="12" t="n"/>
      <c r="CV161" s="12" t="n"/>
      <c r="CW161" s="12" t="n"/>
      <c r="CX161" s="12" t="n"/>
      <c r="CY161" s="12" t="n"/>
    </row>
    <row r="162" collapsed="1">
      <c r="C162" s="14" t="inlineStr">
        <is>
          <t>Goodwill</t>
        </is>
      </c>
      <c r="D162" s="46" t="n"/>
      <c r="E162" s="46" t="n"/>
      <c r="F162" s="46" t="n"/>
      <c r="G162" s="46" t="n"/>
      <c r="H162" s="12" t="n"/>
      <c r="I162" s="46">
        <f>'Inputs (2)'!D24</f>
        <v>7051</v>
      </c>
      <c r="J162" s="46">
        <f>'Inputs (2)'!E24</f>
        <v>7661</v>
      </c>
      <c r="K162" s="46">
        <f>'Inputs (2)'!F24</f>
        <v>7569</v>
      </c>
      <c r="L162" s="46">
        <f>'Inputs (2)'!G24</f>
        <v>7662</v>
      </c>
      <c r="M162" s="12">
        <f>'Inputs (2)'!H24</f>
        <v>7662</v>
      </c>
      <c r="N162" s="46">
        <f>'Inputs (2)'!I24</f>
        <v>7625</v>
      </c>
      <c r="O162" s="46">
        <f>'Inputs (2)'!J24</f>
        <v>7519</v>
      </c>
      <c r="P162" s="46">
        <f>'Inputs (2)'!K24</f>
        <v>7176</v>
      </c>
      <c r="Q162" s="46">
        <f>'Inputs (2)'!L24</f>
        <v>7522</v>
      </c>
      <c r="R162" s="12">
        <f>'Inputs (2)'!M24</f>
        <v>7522</v>
      </c>
      <c r="S162" s="46">
        <f>'Inputs (2)'!N24</f>
        <v>7575</v>
      </c>
      <c r="T162" s="46">
        <f>'Inputs (2)'!O24</f>
        <v>7579</v>
      </c>
      <c r="U162" s="46">
        <f>'Inputs (2)'!P24</f>
        <v>7488</v>
      </c>
      <c r="V162" s="46">
        <f>'Inputs (2)'!Q24</f>
        <v>7660</v>
      </c>
      <c r="W162" s="12">
        <f>'Inputs (2)'!R24</f>
        <v>7660</v>
      </c>
      <c r="X162" s="46">
        <f>'Inputs (2)'!S24</f>
        <v>7545</v>
      </c>
      <c r="Y162" s="46">
        <f>'Inputs (2)'!T24</f>
        <v>7563</v>
      </c>
      <c r="Z162" s="46">
        <f>'Inputs (2)'!U24</f>
        <v>7721</v>
      </c>
      <c r="AA162" s="46">
        <f>'Inputs (2)'!V24</f>
        <v>9193</v>
      </c>
      <c r="AB162" s="12">
        <f>'Inputs (2)'!W24</f>
        <v>9193</v>
      </c>
      <c r="AC162" s="46">
        <f>'Inputs (2)'!X24</f>
        <v>9352</v>
      </c>
      <c r="AD162" s="46">
        <f>'Inputs (2)'!Y24</f>
        <v>9598</v>
      </c>
      <c r="AE162" s="46">
        <f>'Inputs (2)'!Z24</f>
        <v>9574</v>
      </c>
      <c r="AF162" s="46">
        <f>'Inputs (2)'!AA24</f>
        <v>9560</v>
      </c>
      <c r="AG162" s="12">
        <f>'Inputs (2)'!AB24</f>
        <v>9560</v>
      </c>
      <c r="AH162" s="12">
        <f>'Inputs (2)'!AC24</f>
        <v>9525</v>
      </c>
      <c r="AI162" s="12">
        <f>'Inputs (2)'!AD24</f>
        <v>9498</v>
      </c>
      <c r="AJ162" s="12">
        <f>AI162</f>
        <v>9498</v>
      </c>
      <c r="AK162" s="12">
        <f>AJ162</f>
        <v>9498</v>
      </c>
      <c r="AL162" s="12">
        <f>AK162</f>
        <v>9498</v>
      </c>
      <c r="AM162" s="12">
        <f>AL162</f>
        <v>9498</v>
      </c>
      <c r="AN162" s="12">
        <f>AM162</f>
        <v>9498</v>
      </c>
      <c r="AO162" s="12">
        <f>AN162</f>
        <v>9498</v>
      </c>
      <c r="AP162" s="12">
        <f>AO162</f>
        <v>9498</v>
      </c>
      <c r="AQ162" s="12">
        <f>AP162</f>
        <v>9498</v>
      </c>
      <c r="AR162" s="12">
        <f>AQ162</f>
        <v>9498</v>
      </c>
      <c r="AS162" s="12">
        <f>AR162</f>
        <v>9498</v>
      </c>
      <c r="AT162" s="12">
        <f>AS162</f>
        <v>9498</v>
      </c>
      <c r="AU162" s="12">
        <f>AT162</f>
        <v>9498</v>
      </c>
      <c r="AV162" s="12">
        <f>AU162</f>
        <v>9498</v>
      </c>
      <c r="AW162" s="12">
        <f>AV162</f>
        <v>9498</v>
      </c>
      <c r="AX162" s="12">
        <f>AW162</f>
        <v>9498</v>
      </c>
      <c r="AY162" s="12">
        <f>AX162</f>
        <v>9498</v>
      </c>
      <c r="AZ162" s="12">
        <f>AY162</f>
        <v>9498</v>
      </c>
      <c r="BA162" s="12">
        <f>AZ162</f>
        <v>9498</v>
      </c>
      <c r="BB162" s="12">
        <f>BA162</f>
        <v>9498</v>
      </c>
      <c r="BC162" s="12">
        <f>BB162</f>
        <v>9498</v>
      </c>
      <c r="BD162" s="12">
        <f>BC162</f>
        <v>9498</v>
      </c>
      <c r="BE162" s="12">
        <f>BD162</f>
        <v>9498</v>
      </c>
      <c r="BF162" s="12">
        <f>BE162</f>
        <v>9498</v>
      </c>
      <c r="BG162" s="12" t="n"/>
      <c r="BH162" s="12" t="n"/>
      <c r="BI162" s="12" t="n"/>
      <c r="BJ162" s="12" t="n"/>
      <c r="BK162" s="12" t="n"/>
      <c r="BL162" s="12" t="n"/>
      <c r="BM162" s="12" t="n"/>
      <c r="BN162" s="12" t="n"/>
      <c r="BO162" s="12" t="n"/>
      <c r="BP162" s="12" t="n"/>
      <c r="BQ162" s="12" t="n"/>
      <c r="BR162" s="12" t="n"/>
      <c r="BS162" s="12" t="n"/>
      <c r="BT162" s="12" t="n"/>
      <c r="BU162" s="12" t="n"/>
      <c r="BV162" s="12" t="n"/>
      <c r="BW162" s="12" t="n"/>
      <c r="BX162" s="12" t="n"/>
      <c r="BY162" s="12" t="n"/>
      <c r="BZ162" s="12" t="n"/>
      <c r="CA162" s="12" t="n"/>
      <c r="CB162" s="12" t="n"/>
      <c r="CC162" s="12" t="n"/>
      <c r="CD162" s="12" t="n"/>
      <c r="CE162" s="12" t="n"/>
      <c r="CF162" s="12" t="n"/>
      <c r="CG162" s="12" t="n"/>
      <c r="CH162" s="12" t="n"/>
      <c r="CI162" s="12" t="n"/>
      <c r="CJ162" s="12" t="n"/>
      <c r="CK162" s="12" t="n"/>
      <c r="CL162" s="12" t="n"/>
      <c r="CM162" s="12" t="n"/>
      <c r="CN162" s="12" t="n"/>
      <c r="CO162" s="12" t="n"/>
      <c r="CP162" s="12" t="n"/>
      <c r="CQ162" s="12" t="n"/>
      <c r="CR162" s="12" t="n"/>
      <c r="CS162" s="12" t="n"/>
      <c r="CT162" s="12" t="n"/>
      <c r="CU162" s="12" t="n"/>
      <c r="CV162" s="12" t="n"/>
      <c r="CW162" s="12" t="n"/>
      <c r="CX162" s="12" t="n"/>
      <c r="CY162" s="12" t="n"/>
    </row>
    <row r="163">
      <c r="C163" s="14" t="inlineStr">
        <is>
          <t>Intangibles</t>
        </is>
      </c>
      <c r="D163" s="46" t="n"/>
      <c r="E163" s="46" t="n"/>
      <c r="F163" s="46" t="n"/>
      <c r="G163" s="46" t="n"/>
      <c r="H163" s="12" t="n"/>
      <c r="I163" s="46">
        <f>'Inputs (2)'!D25</f>
        <v>3321</v>
      </c>
      <c r="J163" s="46">
        <f>'Inputs (2)'!E25</f>
        <v>3613</v>
      </c>
      <c r="K163" s="46">
        <f>'Inputs (2)'!F25</f>
        <v>3561</v>
      </c>
      <c r="L163" s="46">
        <f>'Inputs (2)'!G25</f>
        <v>3671</v>
      </c>
      <c r="M163" s="12">
        <f>'Inputs (2)'!H25</f>
        <v>3671</v>
      </c>
      <c r="N163" s="46">
        <f>'Inputs (2)'!I25</f>
        <v>3675</v>
      </c>
      <c r="O163" s="46">
        <f>'Inputs (2)'!J25</f>
        <v>3676</v>
      </c>
      <c r="P163" s="46">
        <f>'Inputs (2)'!K25</f>
        <v>3582</v>
      </c>
      <c r="Q163" s="46">
        <f>'Inputs (2)'!L25</f>
        <v>3859</v>
      </c>
      <c r="R163" s="12">
        <f>'Inputs (2)'!M25</f>
        <v>3859</v>
      </c>
      <c r="S163" s="46">
        <f>'Inputs (2)'!N25</f>
        <v>4027</v>
      </c>
      <c r="T163" s="46">
        <f>'Inputs (2)'!O25</f>
        <v>4049</v>
      </c>
      <c r="U163" s="46">
        <f>'Inputs (2)'!P25</f>
        <v>4022</v>
      </c>
      <c r="V163" s="46">
        <f>'Inputs (2)'!Q25</f>
        <v>4086</v>
      </c>
      <c r="W163" s="12">
        <f>'Inputs (2)'!R25</f>
        <v>4086</v>
      </c>
      <c r="X163" s="46">
        <f>'Inputs (2)'!S25</f>
        <v>4123</v>
      </c>
      <c r="Y163" s="46">
        <f>'Inputs (2)'!T25</f>
        <v>4149</v>
      </c>
      <c r="Z163" s="46">
        <f>'Inputs (2)'!U25</f>
        <v>4235</v>
      </c>
      <c r="AA163" s="46">
        <f>'Inputs (2)'!V25</f>
        <v>5453</v>
      </c>
      <c r="AB163" s="12">
        <f>'Inputs (2)'!W25</f>
        <v>5453</v>
      </c>
      <c r="AC163" s="46">
        <f>'Inputs (2)'!X25</f>
        <v>5533</v>
      </c>
      <c r="AD163" s="46">
        <f>'Inputs (2)'!Y25</f>
        <v>5629</v>
      </c>
      <c r="AE163" s="46">
        <f>'Inputs (2)'!Z25</f>
        <v>5591</v>
      </c>
      <c r="AF163" s="46">
        <f>'Inputs (2)'!AA25</f>
        <v>5554</v>
      </c>
      <c r="AG163" s="12">
        <f>'Inputs (2)'!AB25</f>
        <v>5554</v>
      </c>
      <c r="AH163" s="12">
        <f>'Inputs (2)'!AC25</f>
        <v>5495</v>
      </c>
      <c r="AI163" s="12">
        <f>'Inputs (2)'!AD25</f>
        <v>5466</v>
      </c>
      <c r="AJ163" s="12">
        <f>AI163</f>
        <v>5466</v>
      </c>
      <c r="AK163" s="12">
        <f>AJ163</f>
        <v>5466</v>
      </c>
      <c r="AL163" s="12">
        <f>AK163</f>
        <v>5466</v>
      </c>
      <c r="AM163" s="16">
        <f>AL163</f>
        <v>5466</v>
      </c>
      <c r="AN163" s="12">
        <f>AM163</f>
        <v>5466</v>
      </c>
      <c r="AO163" s="12">
        <f>AN163</f>
        <v>5466</v>
      </c>
      <c r="AP163" s="12">
        <f>AO163</f>
        <v>5466</v>
      </c>
      <c r="AQ163" s="12">
        <f>AP163</f>
        <v>5466</v>
      </c>
      <c r="AR163" s="16">
        <f>AQ163</f>
        <v>5466</v>
      </c>
      <c r="AS163" s="12">
        <f>AR163</f>
        <v>5466</v>
      </c>
      <c r="AT163" s="12">
        <f>AS163</f>
        <v>5466</v>
      </c>
      <c r="AU163" s="12">
        <f>AT163</f>
        <v>5466</v>
      </c>
      <c r="AV163" s="12">
        <f>AU163</f>
        <v>5466</v>
      </c>
      <c r="AW163" s="16">
        <f>AV163</f>
        <v>5466</v>
      </c>
      <c r="AX163" s="12">
        <f>AW163</f>
        <v>5466</v>
      </c>
      <c r="AY163" s="12">
        <f>AX163</f>
        <v>5466</v>
      </c>
      <c r="AZ163" s="12">
        <f>AY163</f>
        <v>5466</v>
      </c>
      <c r="BA163" s="12">
        <f>AZ163</f>
        <v>5466</v>
      </c>
      <c r="BB163" s="16">
        <f>BA163</f>
        <v>5466</v>
      </c>
      <c r="BC163" s="12">
        <f>BB163</f>
        <v>5466</v>
      </c>
      <c r="BD163" s="12">
        <f>BC163</f>
        <v>5466</v>
      </c>
      <c r="BE163" s="12">
        <f>BD163</f>
        <v>5466</v>
      </c>
      <c r="BF163" s="12">
        <f>BE163</f>
        <v>5466</v>
      </c>
      <c r="BH163" s="12" t="n"/>
      <c r="BI163" s="12" t="n"/>
      <c r="BJ163" s="12" t="n"/>
      <c r="BK163" s="12" t="n"/>
      <c r="BM163" s="12" t="n"/>
      <c r="BN163" s="12" t="n"/>
      <c r="BO163" s="12" t="n"/>
      <c r="BP163" s="12" t="n"/>
      <c r="BR163" s="12" t="n"/>
      <c r="BS163" s="12" t="n"/>
      <c r="BT163" s="12" t="n"/>
      <c r="BU163" s="12" t="n"/>
      <c r="BW163" s="12" t="n"/>
      <c r="BX163" s="12" t="n"/>
      <c r="BY163" s="12" t="n"/>
      <c r="BZ163" s="12" t="n"/>
      <c r="CB163" s="12" t="n"/>
      <c r="CC163" s="12" t="n"/>
      <c r="CD163" s="12" t="n"/>
      <c r="CE163" s="12" t="n"/>
      <c r="CG163" s="12" t="n"/>
      <c r="CH163" s="12" t="n"/>
      <c r="CI163" s="12" t="n"/>
      <c r="CJ163" s="12" t="n"/>
      <c r="CL163" s="12" t="n"/>
      <c r="CM163" s="12" t="n"/>
      <c r="CN163" s="12" t="n"/>
      <c r="CO163" s="12" t="n"/>
      <c r="CQ163" s="12" t="n"/>
      <c r="CR163" s="12" t="n"/>
      <c r="CS163" s="12" t="n"/>
      <c r="CT163" s="12" t="n"/>
      <c r="CV163" s="12" t="n"/>
      <c r="CW163" s="12" t="n"/>
      <c r="CX163" s="12" t="n"/>
      <c r="CY163" s="12" t="n"/>
    </row>
    <row r="164" hidden="1" outlineLevel="1">
      <c r="C164" s="57" t="n"/>
      <c r="D164" s="12" t="n"/>
      <c r="E164" s="12" t="n"/>
      <c r="F164" s="12" t="n"/>
      <c r="G164" s="12" t="n"/>
      <c r="H164" s="12" t="n"/>
      <c r="I164" s="12" t="n"/>
      <c r="J164" s="12" t="n"/>
      <c r="K164" s="12" t="n"/>
      <c r="L164" s="12" t="n"/>
      <c r="M164" s="12" t="n"/>
      <c r="N164" s="12" t="n"/>
      <c r="O164" s="12" t="n"/>
      <c r="P164" s="12" t="n"/>
      <c r="Q164" s="12" t="n"/>
      <c r="R164" s="12" t="n"/>
      <c r="S164" s="12" t="n"/>
      <c r="T164" s="12" t="n"/>
      <c r="U164" s="12" t="n"/>
      <c r="V164" s="12" t="n"/>
      <c r="W164" s="12" t="n"/>
      <c r="X164" s="12" t="n"/>
      <c r="Y164" s="12" t="n"/>
      <c r="Z164" s="12" t="n"/>
      <c r="AA164" s="12" t="n"/>
      <c r="AB164" s="12" t="n"/>
      <c r="AC164" s="12" t="n"/>
      <c r="AD164" s="12" t="n"/>
      <c r="AE164" s="12" t="n"/>
      <c r="AF164" s="12" t="n"/>
      <c r="AG164" s="12" t="n"/>
      <c r="AH164" s="12" t="n"/>
      <c r="AI164" s="12" t="n"/>
      <c r="AJ164" s="12" t="n"/>
      <c r="AK164" s="12" t="n"/>
      <c r="AL164" s="12" t="n"/>
      <c r="AM164" s="12" t="n"/>
      <c r="AN164" s="12" t="n"/>
      <c r="AO164" s="12" t="n"/>
      <c r="AP164" s="12" t="n"/>
      <c r="AQ164" s="12" t="n"/>
      <c r="AR164" s="12" t="n"/>
      <c r="AS164" s="12" t="n"/>
      <c r="AT164" s="12" t="n"/>
      <c r="AU164" s="12" t="n"/>
      <c r="AV164" s="12" t="n"/>
      <c r="AW164" s="12" t="n"/>
      <c r="AX164" s="12" t="n"/>
      <c r="AY164" s="12" t="n"/>
      <c r="AZ164" s="12" t="n"/>
      <c r="BA164" s="12" t="n"/>
      <c r="BB164" s="12" t="n"/>
      <c r="BC164" s="12" t="n"/>
      <c r="BD164" s="12" t="n"/>
      <c r="BE164" s="12" t="n"/>
      <c r="BF164" s="12" t="n"/>
      <c r="BG164" s="12" t="n"/>
      <c r="BH164" s="12" t="n"/>
      <c r="BI164" s="12" t="n"/>
      <c r="BJ164" s="12" t="n"/>
      <c r="BK164" s="12" t="n"/>
      <c r="BL164" s="12" t="n"/>
      <c r="BM164" s="12" t="n"/>
      <c r="BN164" s="12" t="n"/>
      <c r="BO164" s="12" t="n"/>
      <c r="BP164" s="12" t="n"/>
      <c r="BQ164" s="12" t="n"/>
      <c r="BR164" s="12" t="n"/>
      <c r="BS164" s="12" t="n"/>
      <c r="BT164" s="12" t="n"/>
      <c r="BU164" s="12" t="n"/>
      <c r="BV164" s="12" t="n"/>
      <c r="BW164" s="12" t="n"/>
      <c r="BX164" s="12" t="n"/>
      <c r="BY164" s="12" t="n"/>
      <c r="BZ164" s="12" t="n"/>
      <c r="CA164" s="12" t="n"/>
      <c r="CB164" s="12" t="n"/>
      <c r="CC164" s="12" t="n"/>
      <c r="CD164" s="12" t="n"/>
      <c r="CE164" s="12" t="n"/>
      <c r="CF164" s="12" t="n"/>
      <c r="CG164" s="12" t="n"/>
      <c r="CH164" s="12" t="n"/>
      <c r="CI164" s="12" t="n"/>
      <c r="CJ164" s="12" t="n"/>
      <c r="CK164" s="12" t="n"/>
      <c r="CL164" s="12" t="n"/>
      <c r="CM164" s="12" t="n"/>
      <c r="CN164" s="12" t="n"/>
      <c r="CO164" s="12" t="n"/>
      <c r="CP164" s="12" t="n"/>
      <c r="CQ164" s="12" t="n"/>
      <c r="CR164" s="12" t="n"/>
      <c r="CS164" s="12" t="n"/>
      <c r="CT164" s="12" t="n"/>
      <c r="CU164" s="12" t="n"/>
      <c r="CV164" s="12" t="n"/>
      <c r="CW164" s="12" t="n"/>
      <c r="CX164" s="12" t="n"/>
      <c r="CY164" s="12" t="n"/>
    </row>
    <row r="165" hidden="1" outlineLevel="1">
      <c r="C165" s="57" t="inlineStr">
        <is>
          <t>Purchase of intangible assets</t>
        </is>
      </c>
      <c r="D165" s="12" t="n"/>
      <c r="E165" s="12" t="n"/>
      <c r="F165" s="12" t="n"/>
      <c r="G165" s="12" t="n"/>
      <c r="H165" s="12" t="n"/>
      <c r="I165" s="12" t="str">
        <f>IF(COUNT(H163)=0,"",I163-H163-I67)</f>
        <v/>
      </c>
      <c r="J165" s="12">
        <f>J163-I163-J67</f>
        <v>292</v>
      </c>
      <c r="K165" s="12">
        <f>K163-J163-K67</f>
        <v>-52</v>
      </c>
      <c r="L165" s="12">
        <f>L163-K163-L67</f>
        <v>110</v>
      </c>
      <c r="M165" s="12" t="n"/>
      <c r="N165" s="12">
        <f>N163-M163-N67</f>
        <v>4</v>
      </c>
      <c r="O165" s="12">
        <f>O163-N163-O67</f>
        <v>1</v>
      </c>
      <c r="P165" s="12">
        <f>P163-O163-P67</f>
        <v>-94</v>
      </c>
      <c r="Q165" s="12">
        <f>Q163-P163-Q67</f>
        <v>277</v>
      </c>
      <c r="R165" s="12" t="n"/>
      <c r="S165" s="12">
        <f>S163-R163-S67</f>
        <v>168</v>
      </c>
      <c r="T165" s="12">
        <f>T163-S163-T67</f>
        <v>22</v>
      </c>
      <c r="U165" s="12">
        <f>U163-T163-U67</f>
        <v>-27</v>
      </c>
      <c r="V165" s="12">
        <f>V163-U163-V67</f>
        <v>64</v>
      </c>
      <c r="W165" s="12" t="n"/>
      <c r="X165" s="12">
        <f>X163-W163-X67</f>
        <v>37</v>
      </c>
      <c r="Y165" s="12">
        <f>Y163-X163-Y67</f>
        <v>26</v>
      </c>
      <c r="Z165" s="12">
        <f>Z163-Y163-Z67</f>
        <v>86</v>
      </c>
      <c r="AA165" s="12">
        <f>AA163-Z163-AA67</f>
        <v>1218</v>
      </c>
      <c r="AB165" s="12" t="n"/>
      <c r="AC165" s="12">
        <f>AC163-AB163-AC67</f>
        <v>80</v>
      </c>
      <c r="AD165" s="12">
        <f>AD163-AC163-AD67</f>
        <v>96</v>
      </c>
      <c r="AE165" s="12">
        <f>AE163-AD163-AE67</f>
        <v>-38</v>
      </c>
      <c r="AF165" s="12">
        <f>AF163-AE163-AF67</f>
        <v>-37</v>
      </c>
      <c r="AG165" s="12" t="n"/>
      <c r="AH165" s="11">
        <f>AH163-AG163-AH67</f>
        <v>-59</v>
      </c>
      <c r="AI165" s="11">
        <f>AI163-AH163-AI67</f>
        <v>-29</v>
      </c>
      <c r="AJ165" s="11" t="n"/>
      <c r="AK165" s="11" t="n"/>
      <c r="AL165" s="12" t="n"/>
      <c r="AM165" s="11" t="n"/>
      <c r="AN165" s="11" t="n"/>
      <c r="AO165" s="11" t="n"/>
      <c r="AP165" s="11" t="n"/>
      <c r="AQ165" s="12" t="n"/>
      <c r="AR165" s="11" t="n"/>
      <c r="AS165" s="11" t="n"/>
      <c r="AT165" s="11" t="n"/>
      <c r="AU165" s="11" t="n"/>
      <c r="AV165" s="12" t="n"/>
      <c r="AW165" s="11" t="n"/>
      <c r="AX165" s="11" t="n"/>
      <c r="AY165" s="11" t="n"/>
      <c r="AZ165" s="11" t="n"/>
      <c r="BA165" s="12" t="n"/>
      <c r="BB165" s="11" t="n"/>
      <c r="BC165" s="11" t="n"/>
      <c r="BD165" s="11" t="n"/>
      <c r="BE165" s="11" t="n"/>
      <c r="BF165" s="12" t="n"/>
      <c r="BG165" s="11" t="n"/>
      <c r="BH165" s="11" t="n"/>
      <c r="BI165" s="11" t="n"/>
      <c r="BJ165" s="11" t="n"/>
      <c r="BK165" s="12" t="n"/>
      <c r="BL165" s="11" t="n"/>
      <c r="BM165" s="11" t="n"/>
      <c r="BN165" s="11" t="n"/>
      <c r="BO165" s="11" t="n"/>
      <c r="BP165" s="12" t="n"/>
      <c r="BQ165" s="11" t="n"/>
      <c r="BR165" s="11" t="n"/>
      <c r="BS165" s="11" t="n"/>
      <c r="BT165" s="11" t="n"/>
      <c r="BU165" s="12" t="n"/>
      <c r="BV165" s="11" t="n"/>
      <c r="BW165" s="11" t="n"/>
      <c r="BX165" s="11" t="n"/>
      <c r="BY165" s="11" t="n"/>
      <c r="BZ165" s="12" t="n"/>
      <c r="CA165" s="11" t="n"/>
      <c r="CB165" s="11" t="n"/>
      <c r="CC165" s="11" t="n"/>
      <c r="CD165" s="11" t="n"/>
      <c r="CE165" s="12" t="n"/>
      <c r="CF165" s="11" t="n"/>
      <c r="CG165" s="11" t="n"/>
      <c r="CH165" s="11" t="n"/>
      <c r="CI165" s="11" t="n"/>
      <c r="CJ165" s="12" t="n"/>
      <c r="CK165" s="11" t="n"/>
      <c r="CL165" s="11" t="n"/>
      <c r="CM165" s="11" t="n"/>
      <c r="CN165" s="11" t="n"/>
      <c r="CO165" s="12" t="n"/>
      <c r="CP165" s="11" t="n"/>
      <c r="CQ165" s="11" t="n"/>
      <c r="CR165" s="11" t="n"/>
      <c r="CS165" s="11" t="n"/>
      <c r="CT165" s="12" t="n"/>
      <c r="CU165" s="11" t="n"/>
      <c r="CV165" s="11" t="n"/>
      <c r="CW165" s="11" t="n"/>
      <c r="CX165" s="11" t="n"/>
      <c r="CY165" s="12" t="n"/>
    </row>
    <row r="166" hidden="1" outlineLevel="1">
      <c r="C166" s="57" t="inlineStr">
        <is>
          <t>Amortization (enter as -)</t>
        </is>
      </c>
      <c r="D166" s="12" t="n"/>
      <c r="E166" s="12" t="n"/>
      <c r="F166" s="12" t="n"/>
      <c r="G166" s="12" t="n"/>
      <c r="H166" s="12" t="n"/>
      <c r="I166" s="12">
        <f>I66</f>
        <v>0</v>
      </c>
      <c r="J166" s="12">
        <f>J66</f>
        <v>0</v>
      </c>
      <c r="K166" s="12">
        <f>K66</f>
        <v>0</v>
      </c>
      <c r="L166" s="12">
        <f>L66</f>
        <v>0</v>
      </c>
      <c r="M166" s="12" t="n"/>
      <c r="N166" s="12">
        <f>N66</f>
        <v>0</v>
      </c>
      <c r="O166" s="12">
        <f>O66</f>
        <v>0</v>
      </c>
      <c r="P166" s="12">
        <f>P66</f>
        <v>0</v>
      </c>
      <c r="Q166" s="12">
        <f>Q66</f>
        <v>0</v>
      </c>
      <c r="R166" s="12" t="n"/>
      <c r="S166" s="12">
        <f>S66</f>
        <v>0</v>
      </c>
      <c r="T166" s="12">
        <f>T66</f>
        <v>0</v>
      </c>
      <c r="U166" s="12">
        <f>U66</f>
        <v>0</v>
      </c>
      <c r="V166" s="12">
        <f>V66</f>
        <v>0</v>
      </c>
      <c r="W166" s="12" t="n"/>
      <c r="X166" s="12">
        <f>X66</f>
        <v>0</v>
      </c>
      <c r="Y166" s="12">
        <f>Y66</f>
        <v>0</v>
      </c>
      <c r="Z166" s="12">
        <f>Z66</f>
        <v>0</v>
      </c>
      <c r="AA166" s="12">
        <f>AA66</f>
        <v>0</v>
      </c>
      <c r="AB166" s="12" t="n"/>
      <c r="AC166" s="12">
        <f>AC66</f>
        <v>0</v>
      </c>
      <c r="AD166" s="12">
        <f>AD66</f>
        <v>0</v>
      </c>
      <c r="AE166" s="12">
        <f>AE66</f>
        <v>0</v>
      </c>
      <c r="AF166" s="12">
        <f>AF66</f>
        <v>0</v>
      </c>
      <c r="AG166" s="12" t="n"/>
      <c r="AH166" s="12">
        <f>AH66</f>
        <v>0</v>
      </c>
      <c r="AI166" s="11">
        <f>AI66</f>
        <v>0</v>
      </c>
      <c r="AJ166" s="11" t="n"/>
      <c r="AK166" s="11" t="n"/>
      <c r="AL166" s="12" t="n"/>
      <c r="AM166" s="11" t="n"/>
      <c r="AN166" s="11" t="n"/>
      <c r="AO166" s="11" t="n"/>
      <c r="AP166" s="11" t="n"/>
      <c r="AQ166" s="12" t="n"/>
      <c r="AR166" s="11" t="n"/>
      <c r="AS166" s="11" t="n"/>
      <c r="AT166" s="11" t="n"/>
      <c r="AU166" s="11" t="n"/>
      <c r="AV166" s="12" t="n"/>
      <c r="AW166" s="11" t="n"/>
      <c r="AX166" s="11" t="n"/>
      <c r="AY166" s="11" t="n"/>
      <c r="AZ166" s="11" t="n"/>
      <c r="BA166" s="12" t="n"/>
      <c r="BB166" s="11" t="n"/>
      <c r="BC166" s="11" t="n"/>
      <c r="BD166" s="11" t="n"/>
      <c r="BE166" s="11" t="n"/>
      <c r="BF166" s="12" t="n"/>
      <c r="BG166" s="11" t="n"/>
      <c r="BH166" s="11" t="n"/>
      <c r="BI166" s="11" t="n"/>
      <c r="BJ166" s="11" t="n"/>
      <c r="BK166" s="12" t="n"/>
      <c r="BL166" s="11" t="n"/>
      <c r="BM166" s="11" t="n"/>
      <c r="BN166" s="11" t="n"/>
      <c r="BO166" s="11" t="n"/>
      <c r="BP166" s="12" t="n"/>
      <c r="BQ166" s="11" t="n"/>
      <c r="BR166" s="11" t="n"/>
      <c r="BS166" s="11" t="n"/>
      <c r="BT166" s="11" t="n"/>
      <c r="BU166" s="12" t="n"/>
      <c r="BV166" s="11" t="n"/>
      <c r="BW166" s="11" t="n"/>
      <c r="BX166" s="11" t="n"/>
      <c r="BY166" s="11" t="n"/>
      <c r="BZ166" s="12" t="n"/>
      <c r="CA166" s="11" t="n"/>
      <c r="CB166" s="11" t="n"/>
      <c r="CC166" s="11" t="n"/>
      <c r="CD166" s="11" t="n"/>
      <c r="CE166" s="12" t="n"/>
      <c r="CF166" s="11" t="n"/>
      <c r="CG166" s="11" t="n"/>
      <c r="CH166" s="11" t="n"/>
      <c r="CI166" s="11" t="n"/>
      <c r="CJ166" s="12" t="n"/>
      <c r="CK166" s="11" t="n"/>
      <c r="CL166" s="11" t="n"/>
      <c r="CM166" s="11" t="n"/>
      <c r="CN166" s="11" t="n"/>
      <c r="CO166" s="12" t="n"/>
      <c r="CP166" s="11" t="n"/>
      <c r="CQ166" s="11" t="n"/>
      <c r="CR166" s="11" t="n"/>
      <c r="CS166" s="11" t="n"/>
      <c r="CT166" s="12" t="n"/>
      <c r="CU166" s="11" t="n"/>
      <c r="CV166" s="11" t="n"/>
      <c r="CW166" s="11" t="n"/>
      <c r="CX166" s="11" t="n"/>
      <c r="CY166" s="12" t="n"/>
    </row>
    <row r="167" hidden="1" outlineLevel="1">
      <c r="C167" s="57" t="inlineStr">
        <is>
          <t>Intangibles</t>
        </is>
      </c>
      <c r="D167" s="12" t="n"/>
      <c r="E167" s="12" t="n"/>
      <c r="F167" s="12" t="n"/>
      <c r="G167" s="12" t="n"/>
      <c r="H167" s="12" t="n"/>
      <c r="I167" s="12">
        <f>I163</f>
        <v>3321</v>
      </c>
      <c r="J167" s="12">
        <f>J163</f>
        <v>3613</v>
      </c>
      <c r="K167" s="12">
        <f>K163</f>
        <v>3561</v>
      </c>
      <c r="L167" s="12">
        <f>L163</f>
        <v>3671</v>
      </c>
      <c r="M167" s="12">
        <f>M163</f>
        <v>3671</v>
      </c>
      <c r="N167" s="12">
        <f>N163</f>
        <v>3675</v>
      </c>
      <c r="O167" s="12">
        <f>O163</f>
        <v>3676</v>
      </c>
      <c r="P167" s="12">
        <f>P163</f>
        <v>3582</v>
      </c>
      <c r="Q167" s="12">
        <f>Q163</f>
        <v>3859</v>
      </c>
      <c r="R167" s="12">
        <f>R163</f>
        <v>3859</v>
      </c>
      <c r="S167" s="12">
        <f>S163</f>
        <v>4027</v>
      </c>
      <c r="T167" s="12">
        <f>T163</f>
        <v>4049</v>
      </c>
      <c r="U167" s="12">
        <f>U163</f>
        <v>4022</v>
      </c>
      <c r="V167" s="12">
        <f>V163</f>
        <v>4086</v>
      </c>
      <c r="W167" s="12">
        <f>W163</f>
        <v>4086</v>
      </c>
      <c r="X167" s="12">
        <f>X163</f>
        <v>4123</v>
      </c>
      <c r="Y167" s="12">
        <f>Y163</f>
        <v>4149</v>
      </c>
      <c r="Z167" s="12">
        <f>Z163</f>
        <v>4235</v>
      </c>
      <c r="AA167" s="12">
        <f>AA163</f>
        <v>5453</v>
      </c>
      <c r="AB167" s="12">
        <f>AB163</f>
        <v>5453</v>
      </c>
      <c r="AC167" s="12">
        <f>AC163</f>
        <v>5533</v>
      </c>
      <c r="AD167" s="12">
        <f>AD163</f>
        <v>5629</v>
      </c>
      <c r="AE167" s="12">
        <f>AE163</f>
        <v>5591</v>
      </c>
      <c r="AF167" s="12">
        <f>AF163</f>
        <v>5554</v>
      </c>
      <c r="AG167" s="12">
        <f>AG163</f>
        <v>5554</v>
      </c>
      <c r="AH167" s="12">
        <f>AH163</f>
        <v>5495</v>
      </c>
      <c r="AI167" s="12">
        <f>AI163</f>
        <v>5466</v>
      </c>
      <c r="AJ167" s="12">
        <f>AJ163</f>
        <v>5466</v>
      </c>
      <c r="AK167" s="12">
        <f>AK163</f>
        <v>5466</v>
      </c>
      <c r="AL167" s="12" t="n"/>
      <c r="AM167" s="12">
        <f>AM163</f>
        <v>5466</v>
      </c>
      <c r="AN167" s="12">
        <f>AN163</f>
        <v>5466</v>
      </c>
      <c r="AO167" s="12">
        <f>AO163</f>
        <v>5466</v>
      </c>
      <c r="AP167" s="12">
        <f>AP163</f>
        <v>5466</v>
      </c>
      <c r="AQ167" s="12" t="n"/>
      <c r="AR167" s="12">
        <f>AR163</f>
        <v>5466</v>
      </c>
      <c r="AS167" s="12">
        <f>AS163</f>
        <v>5466</v>
      </c>
      <c r="AT167" s="12">
        <f>AT163</f>
        <v>5466</v>
      </c>
      <c r="AU167" s="12">
        <f>AU163</f>
        <v>5466</v>
      </c>
      <c r="AV167" s="12" t="n"/>
      <c r="AW167" s="12">
        <f>AW163</f>
        <v>5466</v>
      </c>
      <c r="AX167" s="12">
        <f>AX163</f>
        <v>5466</v>
      </c>
      <c r="AY167" s="12">
        <f>AY163</f>
        <v>5466</v>
      </c>
      <c r="AZ167" s="12">
        <f>AZ163</f>
        <v>5466</v>
      </c>
      <c r="BA167" s="12" t="n"/>
      <c r="BB167" s="12">
        <f>BB163</f>
        <v>5466</v>
      </c>
      <c r="BC167" s="12">
        <f>BC163</f>
        <v>5466</v>
      </c>
      <c r="BD167" s="12">
        <f>BD163</f>
        <v>5466</v>
      </c>
      <c r="BE167" s="12">
        <f>BE163</f>
        <v>5466</v>
      </c>
      <c r="BF167" s="12" t="n"/>
      <c r="BG167" s="12" t="n"/>
      <c r="BH167" s="12" t="n"/>
      <c r="BI167" s="12" t="n"/>
      <c r="BJ167" s="12" t="n"/>
      <c r="BK167" s="12" t="n"/>
      <c r="BL167" s="12" t="n"/>
      <c r="BM167" s="12" t="n"/>
      <c r="BN167" s="12" t="n"/>
      <c r="BO167" s="12" t="n"/>
      <c r="BP167" s="12" t="n"/>
      <c r="BQ167" s="12" t="n"/>
      <c r="BR167" s="12" t="n"/>
      <c r="BS167" s="12" t="n"/>
      <c r="BT167" s="12" t="n"/>
      <c r="BU167" s="12" t="n"/>
      <c r="BV167" s="12" t="n"/>
      <c r="BW167" s="12" t="n"/>
      <c r="BX167" s="12" t="n"/>
      <c r="BY167" s="12" t="n"/>
      <c r="BZ167" s="12" t="n"/>
      <c r="CA167" s="12" t="n"/>
      <c r="CB167" s="12" t="n"/>
      <c r="CC167" s="12" t="n"/>
      <c r="CD167" s="12" t="n"/>
      <c r="CE167" s="12" t="n"/>
      <c r="CF167" s="12" t="n"/>
      <c r="CG167" s="12" t="n"/>
      <c r="CH167" s="12" t="n"/>
      <c r="CI167" s="12" t="n"/>
      <c r="CJ167" s="12" t="n"/>
      <c r="CK167" s="12" t="n"/>
      <c r="CL167" s="12" t="n"/>
      <c r="CM167" s="12" t="n"/>
      <c r="CN167" s="12" t="n"/>
      <c r="CO167" s="12" t="n"/>
      <c r="CP167" s="12" t="n"/>
      <c r="CQ167" s="12" t="n"/>
      <c r="CR167" s="12" t="n"/>
      <c r="CS167" s="12" t="n"/>
      <c r="CT167" s="12" t="n"/>
      <c r="CU167" s="12" t="n"/>
      <c r="CV167" s="12" t="n"/>
      <c r="CW167" s="12" t="n"/>
      <c r="CX167" s="12" t="n"/>
      <c r="CY167" s="12" t="n"/>
    </row>
    <row r="168" hidden="1" outlineLevel="1">
      <c r="C168" s="57" t="n"/>
      <c r="D168" s="12" t="n"/>
      <c r="E168" s="12" t="n"/>
      <c r="F168" s="12" t="n"/>
      <c r="G168" s="12" t="n"/>
      <c r="H168" s="12" t="n"/>
      <c r="I168" s="12" t="n"/>
      <c r="J168" s="12" t="n"/>
      <c r="K168" s="12" t="n"/>
      <c r="L168" s="12" t="n"/>
      <c r="M168" s="12" t="n"/>
      <c r="N168" s="12" t="n"/>
      <c r="O168" s="12" t="n"/>
      <c r="P168" s="12" t="n"/>
      <c r="Q168" s="12" t="n"/>
      <c r="R168" s="12" t="n"/>
      <c r="S168" s="12" t="n"/>
      <c r="T168" s="12" t="n"/>
      <c r="U168" s="12" t="n"/>
      <c r="V168" s="12" t="n"/>
      <c r="W168" s="12" t="n"/>
      <c r="X168" s="12" t="n"/>
      <c r="Y168" s="12" t="n"/>
      <c r="Z168" s="12" t="n"/>
      <c r="AA168" s="12" t="n"/>
      <c r="AB168" s="12" t="n"/>
      <c r="AC168" s="12" t="n"/>
      <c r="AD168" s="12" t="n"/>
      <c r="AE168" s="12" t="n"/>
      <c r="AF168" s="12" t="n"/>
      <c r="AG168" s="12" t="n"/>
      <c r="AH168" s="12" t="n"/>
      <c r="AI168" s="12" t="n"/>
      <c r="AJ168" s="12" t="n"/>
      <c r="AK168" s="12" t="n"/>
      <c r="AL168" s="12" t="n"/>
      <c r="AM168" s="12" t="n"/>
      <c r="AN168" s="12" t="n"/>
      <c r="AO168" s="12" t="n"/>
      <c r="AP168" s="12" t="n"/>
      <c r="AQ168" s="12" t="n"/>
      <c r="AR168" s="12" t="n"/>
      <c r="AS168" s="12" t="n"/>
      <c r="AT168" s="12" t="n"/>
      <c r="AU168" s="12" t="n"/>
      <c r="AV168" s="12" t="n"/>
      <c r="AW168" s="12" t="n"/>
      <c r="AX168" s="12" t="n"/>
      <c r="AY168" s="12" t="n"/>
      <c r="AZ168" s="12" t="n"/>
      <c r="BA168" s="12" t="n"/>
      <c r="BB168" s="12" t="n"/>
      <c r="BC168" s="12" t="n"/>
      <c r="BD168" s="12" t="n"/>
      <c r="BE168" s="12" t="n"/>
      <c r="BF168" s="12" t="n"/>
      <c r="BG168" s="12" t="n"/>
      <c r="BH168" s="12" t="n"/>
      <c r="BI168" s="12" t="n"/>
      <c r="BJ168" s="12" t="n"/>
      <c r="BK168" s="12" t="n"/>
      <c r="BL168" s="12" t="n"/>
      <c r="BM168" s="12" t="n"/>
      <c r="BN168" s="12" t="n"/>
      <c r="BO168" s="12" t="n"/>
      <c r="BP168" s="12" t="n"/>
      <c r="BQ168" s="12" t="n"/>
      <c r="BR168" s="12" t="n"/>
      <c r="BS168" s="12" t="n"/>
      <c r="BT168" s="12" t="n"/>
      <c r="BU168" s="12" t="n"/>
      <c r="BV168" s="12" t="n"/>
      <c r="BW168" s="12" t="n"/>
      <c r="BX168" s="12" t="n"/>
      <c r="BY168" s="12" t="n"/>
      <c r="BZ168" s="12" t="n"/>
      <c r="CA168" s="12" t="n"/>
      <c r="CB168" s="12" t="n"/>
      <c r="CC168" s="12" t="n"/>
      <c r="CD168" s="12" t="n"/>
      <c r="CE168" s="12" t="n"/>
      <c r="CF168" s="12" t="n"/>
      <c r="CG168" s="12" t="n"/>
      <c r="CH168" s="12" t="n"/>
      <c r="CI168" s="12" t="n"/>
      <c r="CJ168" s="12" t="n"/>
      <c r="CK168" s="12" t="n"/>
      <c r="CL168" s="12" t="n"/>
      <c r="CM168" s="12" t="n"/>
      <c r="CN168" s="12" t="n"/>
      <c r="CO168" s="12" t="n"/>
      <c r="CP168" s="12" t="n"/>
      <c r="CQ168" s="12" t="n"/>
      <c r="CR168" s="12" t="n"/>
      <c r="CS168" s="12" t="n"/>
      <c r="CT168" s="12" t="n"/>
      <c r="CU168" s="12" t="n"/>
      <c r="CV168" s="12" t="n"/>
      <c r="CW168" s="12" t="n"/>
      <c r="CX168" s="12" t="n"/>
      <c r="CY168" s="12" t="n"/>
    </row>
    <row r="169" hidden="1" outlineLevel="1">
      <c r="C169" s="57" t="inlineStr">
        <is>
          <t>Definir % do D&amp;A No PPE and Intagibles</t>
        </is>
      </c>
      <c r="D169" s="12" t="n"/>
      <c r="E169" s="12" t="n"/>
      <c r="F169" s="12" t="n"/>
      <c r="G169" s="12" t="n"/>
      <c r="H169" s="12" t="n"/>
      <c r="I169" s="12" t="n"/>
      <c r="J169" s="12" t="n"/>
      <c r="K169" s="12" t="n"/>
      <c r="L169" s="12" t="n"/>
      <c r="M169" s="12" t="n"/>
      <c r="N169" s="12" t="n"/>
      <c r="O169" s="12" t="n"/>
      <c r="P169" s="12" t="n"/>
      <c r="Q169" s="12" t="n"/>
      <c r="R169" s="12" t="n"/>
      <c r="S169" s="12" t="n"/>
      <c r="T169" s="12" t="n"/>
      <c r="U169" s="12" t="n"/>
      <c r="V169" s="12" t="n"/>
      <c r="W169" s="12" t="n"/>
      <c r="X169" s="12" t="n"/>
      <c r="Y169" s="12" t="n"/>
      <c r="Z169" s="12" t="n"/>
      <c r="AA169" s="12" t="n"/>
      <c r="AB169" s="12" t="n"/>
      <c r="AC169" s="12" t="n"/>
      <c r="AD169" s="12" t="n"/>
      <c r="AE169" s="12" t="n"/>
      <c r="AF169" s="12" t="n"/>
      <c r="AG169" s="12" t="n"/>
      <c r="AH169" s="12" t="n"/>
      <c r="AI169" s="12" t="n"/>
      <c r="AJ169" s="12" t="n"/>
      <c r="AK169" s="12" t="n"/>
      <c r="AL169" s="12" t="n"/>
      <c r="AM169" s="12" t="n"/>
      <c r="AN169" s="12" t="n"/>
      <c r="AO169" s="12" t="n"/>
      <c r="AP169" s="12" t="n"/>
      <c r="AQ169" s="12" t="n"/>
      <c r="AR169" s="12" t="n"/>
      <c r="AS169" s="12" t="n"/>
      <c r="AT169" s="12" t="n"/>
      <c r="AU169" s="12" t="n"/>
      <c r="AV169" s="12" t="n"/>
      <c r="AW169" s="12" t="n"/>
      <c r="AX169" s="12" t="n"/>
      <c r="AY169" s="12" t="n"/>
      <c r="AZ169" s="12" t="n"/>
      <c r="BA169" s="12" t="n"/>
      <c r="BB169" s="12" t="n"/>
      <c r="BC169" s="12" t="n"/>
      <c r="BD169" s="12" t="n"/>
      <c r="BE169" s="12" t="n"/>
      <c r="BF169" s="12" t="n"/>
      <c r="BG169" s="12" t="n"/>
      <c r="BH169" s="12" t="n"/>
      <c r="BI169" s="12" t="n"/>
      <c r="BJ169" s="12" t="n"/>
      <c r="BK169" s="12" t="n"/>
      <c r="BL169" s="12" t="n"/>
      <c r="BM169" s="12" t="n"/>
      <c r="BN169" s="12" t="n"/>
      <c r="BO169" s="12" t="n"/>
      <c r="BP169" s="12" t="n"/>
      <c r="BQ169" s="12" t="n"/>
      <c r="BR169" s="12" t="n"/>
      <c r="BS169" s="12" t="n"/>
      <c r="BT169" s="12" t="n"/>
      <c r="BU169" s="12" t="n"/>
      <c r="BV169" s="12" t="n"/>
      <c r="BW169" s="12" t="n"/>
      <c r="BX169" s="12" t="n"/>
      <c r="BY169" s="12" t="n"/>
      <c r="BZ169" s="12" t="n"/>
      <c r="CA169" s="12" t="n"/>
      <c r="CB169" s="12" t="n"/>
      <c r="CC169" s="12" t="n"/>
      <c r="CD169" s="12" t="n"/>
      <c r="CE169" s="12" t="n"/>
      <c r="CF169" s="12" t="n"/>
      <c r="CG169" s="12" t="n"/>
      <c r="CH169" s="12" t="n"/>
      <c r="CI169" s="12" t="n"/>
      <c r="CJ169" s="12" t="n"/>
      <c r="CK169" s="12" t="n"/>
      <c r="CL169" s="12" t="n"/>
      <c r="CM169" s="12" t="n"/>
      <c r="CN169" s="12" t="n"/>
      <c r="CO169" s="12" t="n"/>
      <c r="CP169" s="12" t="n"/>
      <c r="CQ169" s="12" t="n"/>
      <c r="CR169" s="12" t="n"/>
      <c r="CS169" s="12" t="n"/>
      <c r="CT169" s="12" t="n"/>
      <c r="CU169" s="12" t="n"/>
      <c r="CV169" s="12" t="n"/>
      <c r="CW169" s="12" t="n"/>
      <c r="CX169" s="12" t="n"/>
      <c r="CY169" s="12" t="n"/>
    </row>
    <row r="170" hidden="1" outlineLevel="1">
      <c r="C170" s="57" t="n"/>
      <c r="D170" s="12" t="n"/>
      <c r="E170" s="12" t="n"/>
      <c r="F170" s="12" t="n"/>
      <c r="G170" s="12" t="n"/>
      <c r="H170" s="12" t="n"/>
      <c r="I170" s="12" t="n"/>
      <c r="J170" s="12" t="n"/>
      <c r="K170" s="12" t="n"/>
      <c r="L170" s="12" t="n"/>
      <c r="M170" s="12" t="n"/>
      <c r="N170" s="12" t="n"/>
      <c r="O170" s="12" t="n"/>
      <c r="P170" s="12" t="n"/>
      <c r="Q170" s="12" t="n"/>
      <c r="R170" s="12" t="n"/>
      <c r="S170" s="12" t="n"/>
      <c r="T170" s="12" t="n"/>
      <c r="U170" s="12" t="n"/>
      <c r="V170" s="12" t="n"/>
      <c r="W170" s="12" t="n"/>
      <c r="X170" s="12" t="n"/>
      <c r="Y170" s="12" t="n"/>
      <c r="Z170" s="12" t="n"/>
      <c r="AA170" s="12" t="n"/>
      <c r="AB170" s="12" t="n"/>
      <c r="AC170" s="12" t="n"/>
      <c r="AD170" s="12" t="n"/>
      <c r="AE170" s="12" t="n"/>
      <c r="AF170" s="12" t="n"/>
      <c r="AG170" s="12" t="n"/>
      <c r="AH170" s="12" t="n"/>
      <c r="AI170" s="12" t="n"/>
      <c r="AJ170" s="12" t="n"/>
      <c r="AK170" s="12" t="n"/>
      <c r="AL170" s="12" t="n"/>
      <c r="AM170" s="12" t="n"/>
      <c r="AN170" s="12" t="n"/>
      <c r="AO170" s="12" t="n"/>
      <c r="AP170" s="12" t="n"/>
      <c r="AQ170" s="12" t="n"/>
      <c r="AR170" s="12" t="n"/>
      <c r="AS170" s="12" t="n"/>
      <c r="AT170" s="12" t="n"/>
      <c r="AU170" s="12" t="n"/>
      <c r="AV170" s="12" t="n"/>
      <c r="AW170" s="12" t="n"/>
      <c r="AX170" s="12" t="n"/>
      <c r="AY170" s="12" t="n"/>
      <c r="AZ170" s="12" t="n"/>
      <c r="BA170" s="12" t="n"/>
      <c r="BB170" s="12" t="n"/>
      <c r="BC170" s="12" t="n"/>
      <c r="BD170" s="12" t="n"/>
      <c r="BE170" s="12" t="n"/>
      <c r="BF170" s="12" t="n"/>
      <c r="BG170" s="12" t="n"/>
      <c r="BH170" s="12" t="n"/>
      <c r="BI170" s="12" t="n"/>
      <c r="BJ170" s="12" t="n"/>
      <c r="BK170" s="12" t="n"/>
      <c r="BL170" s="12" t="n"/>
      <c r="BM170" s="12" t="n"/>
      <c r="BN170" s="12" t="n"/>
      <c r="BO170" s="12" t="n"/>
      <c r="BP170" s="12" t="n"/>
      <c r="BQ170" s="12" t="n"/>
      <c r="BR170" s="12" t="n"/>
      <c r="BS170" s="12" t="n"/>
      <c r="BT170" s="12" t="n"/>
      <c r="BU170" s="12" t="n"/>
      <c r="BV170" s="12" t="n"/>
      <c r="BW170" s="12" t="n"/>
      <c r="BX170" s="12" t="n"/>
      <c r="BY170" s="12" t="n"/>
      <c r="BZ170" s="12" t="n"/>
      <c r="CA170" s="12" t="n"/>
      <c r="CB170" s="12" t="n"/>
      <c r="CC170" s="12" t="n"/>
      <c r="CD170" s="12" t="n"/>
      <c r="CE170" s="12" t="n"/>
      <c r="CF170" s="12" t="n"/>
      <c r="CG170" s="12" t="n"/>
      <c r="CH170" s="12" t="n"/>
      <c r="CI170" s="12" t="n"/>
      <c r="CJ170" s="12" t="n"/>
      <c r="CK170" s="12" t="n"/>
      <c r="CL170" s="12" t="n"/>
      <c r="CM170" s="12" t="n"/>
      <c r="CN170" s="12" t="n"/>
      <c r="CO170" s="12" t="n"/>
      <c r="CP170" s="12" t="n"/>
      <c r="CQ170" s="12" t="n"/>
      <c r="CR170" s="12" t="n"/>
      <c r="CS170" s="12" t="n"/>
      <c r="CT170" s="12" t="n"/>
      <c r="CU170" s="12" t="n"/>
      <c r="CV170" s="12" t="n"/>
      <c r="CW170" s="12" t="n"/>
      <c r="CX170" s="12" t="n"/>
      <c r="CY170" s="12" t="n"/>
    </row>
    <row r="171" hidden="1" outlineLevel="1">
      <c r="C171" s="57" t="n"/>
      <c r="D171" s="12" t="n"/>
      <c r="E171" s="12" t="n"/>
      <c r="F171" s="12" t="n"/>
      <c r="G171" s="12" t="n"/>
      <c r="H171" s="12" t="n"/>
      <c r="I171" s="12" t="n"/>
      <c r="J171" s="12" t="n"/>
      <c r="K171" s="12" t="n"/>
      <c r="L171" s="12" t="n"/>
      <c r="M171" s="12" t="n"/>
      <c r="N171" s="12" t="n"/>
      <c r="O171" s="12" t="n"/>
      <c r="P171" s="12" t="n"/>
      <c r="Q171" s="12" t="n"/>
      <c r="R171" s="12" t="n"/>
      <c r="S171" s="12" t="n"/>
      <c r="T171" s="12" t="n"/>
      <c r="U171" s="12" t="n"/>
      <c r="V171" s="12" t="n"/>
      <c r="W171" s="12" t="n"/>
      <c r="X171" s="12" t="n"/>
      <c r="Y171" s="12" t="n"/>
      <c r="Z171" s="12" t="n"/>
      <c r="AA171" s="12" t="n"/>
      <c r="AB171" s="12" t="n"/>
      <c r="AC171" s="12" t="n"/>
      <c r="AD171" s="12" t="n"/>
      <c r="AE171" s="12" t="n"/>
      <c r="AF171" s="12" t="n"/>
      <c r="AG171" s="12" t="n"/>
      <c r="AH171" s="12" t="n"/>
      <c r="AI171" s="12" t="n"/>
      <c r="AJ171" s="12" t="n"/>
      <c r="AK171" s="12" t="n"/>
      <c r="AL171" s="12" t="n"/>
      <c r="AM171" s="12" t="n"/>
      <c r="AN171" s="12" t="n"/>
      <c r="AO171" s="12" t="n"/>
      <c r="AP171" s="12" t="n"/>
      <c r="AQ171" s="12" t="n"/>
      <c r="AR171" s="12" t="n"/>
      <c r="AS171" s="12" t="n"/>
      <c r="AT171" s="12" t="n"/>
      <c r="AU171" s="12" t="n"/>
      <c r="AV171" s="12" t="n"/>
      <c r="AW171" s="12" t="n"/>
      <c r="AX171" s="12" t="n"/>
      <c r="AY171" s="12" t="n"/>
      <c r="AZ171" s="12" t="n"/>
      <c r="BA171" s="12" t="n"/>
      <c r="BB171" s="12" t="n"/>
      <c r="BC171" s="12" t="n"/>
      <c r="BD171" s="12" t="n"/>
      <c r="BE171" s="12" t="n"/>
      <c r="BF171" s="12" t="n"/>
      <c r="BG171" s="12" t="n"/>
      <c r="BH171" s="12" t="n"/>
      <c r="BI171" s="12" t="n"/>
      <c r="BJ171" s="12" t="n"/>
      <c r="BK171" s="12" t="n"/>
      <c r="BL171" s="12" t="n"/>
      <c r="BM171" s="12" t="n"/>
      <c r="BN171" s="12" t="n"/>
      <c r="BO171" s="12" t="n"/>
      <c r="BP171" s="12" t="n"/>
      <c r="BQ171" s="12" t="n"/>
      <c r="BR171" s="12" t="n"/>
      <c r="BS171" s="12" t="n"/>
      <c r="BT171" s="12" t="n"/>
      <c r="BU171" s="12" t="n"/>
      <c r="BV171" s="12" t="n"/>
      <c r="BW171" s="12" t="n"/>
      <c r="BX171" s="12" t="n"/>
      <c r="BY171" s="12" t="n"/>
      <c r="BZ171" s="12" t="n"/>
      <c r="CA171" s="12" t="n"/>
      <c r="CB171" s="12" t="n"/>
      <c r="CC171" s="12" t="n"/>
      <c r="CD171" s="12" t="n"/>
      <c r="CE171" s="12" t="n"/>
      <c r="CF171" s="12" t="n"/>
      <c r="CG171" s="12" t="n"/>
      <c r="CH171" s="12" t="n"/>
      <c r="CI171" s="12" t="n"/>
      <c r="CJ171" s="12" t="n"/>
      <c r="CK171" s="12" t="n"/>
      <c r="CL171" s="12" t="n"/>
      <c r="CM171" s="12" t="n"/>
      <c r="CN171" s="12" t="n"/>
      <c r="CO171" s="12" t="n"/>
      <c r="CP171" s="12" t="n"/>
      <c r="CQ171" s="12" t="n"/>
      <c r="CR171" s="12" t="n"/>
      <c r="CS171" s="12" t="n"/>
      <c r="CT171" s="12" t="n"/>
      <c r="CU171" s="12" t="n"/>
      <c r="CV171" s="12" t="n"/>
      <c r="CW171" s="12" t="n"/>
      <c r="CX171" s="12" t="n"/>
      <c r="CY171" s="12" t="n"/>
    </row>
    <row r="172" collapsed="1">
      <c r="C172" s="14" t="inlineStr">
        <is>
          <t>Other non-current assets</t>
        </is>
      </c>
      <c r="D172" s="46" t="n"/>
      <c r="E172" s="46" t="n"/>
      <c r="F172" s="46" t="n"/>
      <c r="G172" s="46" t="n"/>
      <c r="H172" s="12" t="n"/>
      <c r="I172" s="46">
        <f>'Inputs (2)'!D26</f>
        <v>5714</v>
      </c>
      <c r="J172" s="46">
        <f>'Inputs (2)'!E26</f>
        <v>6265</v>
      </c>
      <c r="K172" s="46">
        <f>'Inputs (2)'!F26</f>
        <v>6567</v>
      </c>
      <c r="L172" s="46">
        <f>'Inputs (2)'!G26</f>
        <v>6994</v>
      </c>
      <c r="M172" s="12">
        <f>'Inputs (2)'!H26</f>
        <v>6994</v>
      </c>
      <c r="N172" s="46">
        <f>'Inputs (2)'!I26</f>
        <v>7158</v>
      </c>
      <c r="O172" s="46">
        <f>'Inputs (2)'!J26</f>
        <v>6955</v>
      </c>
      <c r="P172" s="46">
        <f>'Inputs (2)'!K26</f>
        <v>7011</v>
      </c>
      <c r="Q172" s="46">
        <f>'Inputs (2)'!L26</f>
        <v>7580</v>
      </c>
      <c r="R172" s="12">
        <f>'Inputs (2)'!M26</f>
        <v>7580</v>
      </c>
      <c r="S172" s="46">
        <f>'Inputs (2)'!N26</f>
        <v>7641</v>
      </c>
      <c r="T172" s="46">
        <f>'Inputs (2)'!O26</f>
        <v>7739</v>
      </c>
      <c r="U172" s="46">
        <f>'Inputs (2)'!P26</f>
        <v>7839</v>
      </c>
      <c r="V172" s="46">
        <f>'Inputs (2)'!Q26</f>
        <v>8325</v>
      </c>
      <c r="W172" s="12">
        <f>'Inputs (2)'!R26</f>
        <v>8325</v>
      </c>
      <c r="X172" s="46">
        <f>'Inputs (2)'!S26</f>
        <v>9104</v>
      </c>
      <c r="Y172" s="46">
        <f>'Inputs (2)'!T26</f>
        <v>9270</v>
      </c>
      <c r="Z172" s="46">
        <f>'Inputs (2)'!U26</f>
        <v>9193</v>
      </c>
      <c r="AA172" s="46">
        <f>'Inputs (2)'!V26</f>
        <v>9959</v>
      </c>
      <c r="AB172" s="12">
        <f>'Inputs (2)'!W26</f>
        <v>9959</v>
      </c>
      <c r="AC172" s="46">
        <f>'Inputs (2)'!X26</f>
        <v>10035</v>
      </c>
      <c r="AD172" s="46">
        <f>'Inputs (2)'!Y26</f>
        <v>10269</v>
      </c>
      <c r="AE172" s="46">
        <f>'Inputs (2)'!Z26</f>
        <v>11056</v>
      </c>
      <c r="AF172" s="46">
        <f>'Inputs (2)'!AA26</f>
        <v>11615</v>
      </c>
      <c r="AG172" s="12">
        <f>'Inputs (2)'!AB26</f>
        <v>11615</v>
      </c>
      <c r="AH172" s="12">
        <f>'Inputs (2)'!AC26</f>
        <v>11186</v>
      </c>
      <c r="AI172" s="12">
        <f>'Inputs (2)'!AD26</f>
        <v>12223</v>
      </c>
      <c r="AJ172" s="12">
        <f>AI172</f>
        <v>12223</v>
      </c>
      <c r="AK172" s="12">
        <f>AJ172</f>
        <v>12223</v>
      </c>
      <c r="AL172" s="12">
        <f>AK172</f>
        <v>12223</v>
      </c>
      <c r="AM172" s="12">
        <f>AL172</f>
        <v>12223</v>
      </c>
      <c r="AN172" s="12">
        <f>AM172</f>
        <v>12223</v>
      </c>
      <c r="AO172" s="12">
        <f>AN172</f>
        <v>12223</v>
      </c>
      <c r="AP172" s="12">
        <f>AO172</f>
        <v>12223</v>
      </c>
      <c r="AQ172" s="12">
        <f>AP172</f>
        <v>12223</v>
      </c>
      <c r="AR172" s="12">
        <f>AQ172</f>
        <v>12223</v>
      </c>
      <c r="AS172" s="12">
        <f>AR172</f>
        <v>12223</v>
      </c>
      <c r="AT172" s="12">
        <f>AS172</f>
        <v>12223</v>
      </c>
      <c r="AU172" s="12">
        <f>AT172</f>
        <v>12223</v>
      </c>
      <c r="AV172" s="12">
        <f>AU172</f>
        <v>12223</v>
      </c>
      <c r="AW172" s="12">
        <f>AV172</f>
        <v>12223</v>
      </c>
      <c r="AX172" s="12">
        <f>AW172</f>
        <v>12223</v>
      </c>
      <c r="AY172" s="12">
        <f>AX172</f>
        <v>12223</v>
      </c>
      <c r="AZ172" s="12">
        <f>AY172</f>
        <v>12223</v>
      </c>
      <c r="BA172" s="12">
        <f>AZ172</f>
        <v>12223</v>
      </c>
      <c r="BB172" s="12">
        <f>BA172</f>
        <v>12223</v>
      </c>
      <c r="BC172" s="12">
        <f>BB172</f>
        <v>12223</v>
      </c>
      <c r="BD172" s="12">
        <f>BC172</f>
        <v>12223</v>
      </c>
      <c r="BE172" s="12">
        <f>BD172</f>
        <v>12223</v>
      </c>
      <c r="BF172" s="12">
        <f>BE172</f>
        <v>12223</v>
      </c>
      <c r="BG172" s="12" t="n"/>
      <c r="BH172" s="12" t="n"/>
      <c r="BI172" s="12" t="n"/>
      <c r="BJ172" s="12" t="n"/>
      <c r="BK172" s="12" t="n"/>
      <c r="BL172" s="12" t="n"/>
      <c r="BM172" s="12" t="n"/>
      <c r="BN172" s="12" t="n"/>
      <c r="BO172" s="12" t="n"/>
      <c r="BP172" s="12" t="n"/>
      <c r="BQ172" s="12" t="n"/>
      <c r="BR172" s="12" t="n"/>
      <c r="BS172" s="12" t="n"/>
      <c r="BT172" s="12" t="n"/>
      <c r="BU172" s="12" t="n"/>
      <c r="BV172" s="12" t="n"/>
      <c r="BW172" s="12" t="n"/>
      <c r="BX172" s="12" t="n"/>
      <c r="BY172" s="12" t="n"/>
      <c r="BZ172" s="12" t="n"/>
      <c r="CA172" s="12" t="n"/>
      <c r="CB172" s="12" t="n"/>
      <c r="CC172" s="12" t="n"/>
      <c r="CD172" s="12" t="n"/>
      <c r="CE172" s="12" t="n"/>
      <c r="CF172" s="12" t="n"/>
      <c r="CG172" s="12" t="n"/>
      <c r="CH172" s="12" t="n"/>
      <c r="CI172" s="12" t="n"/>
      <c r="CJ172" s="12" t="n"/>
      <c r="CK172" s="12" t="n"/>
      <c r="CL172" s="12" t="n"/>
      <c r="CM172" s="12" t="n"/>
      <c r="CN172" s="12" t="n"/>
      <c r="CO172" s="12" t="n"/>
      <c r="CP172" s="12" t="n"/>
      <c r="CQ172" s="12" t="n"/>
      <c r="CR172" s="12" t="n"/>
      <c r="CS172" s="12" t="n"/>
      <c r="CT172" s="12" t="n"/>
      <c r="CU172" s="12" t="n"/>
      <c r="CV172" s="12" t="n"/>
      <c r="CW172" s="12" t="n"/>
      <c r="CX172" s="12" t="n"/>
      <c r="CY172" s="12" t="n"/>
    </row>
    <row r="173" hidden="1" outlineLevel="1">
      <c r="C173" s="59" t="inlineStr">
        <is>
          <t>%(Var.)</t>
        </is>
      </c>
      <c r="D173" s="12" t="n"/>
      <c r="E173" s="40" t="n"/>
      <c r="F173" s="40" t="n"/>
      <c r="G173" s="40" t="n"/>
      <c r="H173" s="12" t="n"/>
      <c r="I173" s="40" t="str">
        <f>""</f>
        <v/>
      </c>
      <c r="J173" s="40">
        <f>IF(I172=0,"",J172/I172-1)</f>
        <v>0.0964298214910746</v>
      </c>
      <c r="K173" s="40">
        <f>IF(J172=0,"",K172/J172-1)</f>
        <v>0.0482043096568237</v>
      </c>
      <c r="L173" s="40">
        <f>IF(K172=0,"",L172/K172-1)</f>
        <v>0.065022080097457</v>
      </c>
      <c r="M173" s="12">
        <f>IF(L172=0,"",M172/L172-1)</f>
        <v>0</v>
      </c>
      <c r="N173" s="40">
        <f>IF(M172=0,"",N172/M172-1)</f>
        <v>0.023448670288819</v>
      </c>
      <c r="O173" s="40">
        <f>IF(N172=0,"",O172/N172-1)</f>
        <v>-0.0283598770606315</v>
      </c>
      <c r="P173" s="40">
        <f>IF(O172=0,"",P172/O172-1)</f>
        <v>0.00805176132278929</v>
      </c>
      <c r="Q173" s="40">
        <f>IF(P172=0,"",Q172/P172-1)</f>
        <v>0.0811581800028527</v>
      </c>
      <c r="R173" s="12">
        <f>IF(Q172=0,"",R172/Q172-1)</f>
        <v>0</v>
      </c>
      <c r="S173" s="40">
        <f>IF(R172=0,"",S172/R172-1)</f>
        <v>0.00804749340369404</v>
      </c>
      <c r="T173" s="40">
        <f>IF(S172=0,"",T172/S172-1)</f>
        <v>0.0128255463944509</v>
      </c>
      <c r="U173" s="40">
        <f>IF(T172=0,"",U172/T172-1)</f>
        <v>0.0129215660938107</v>
      </c>
      <c r="V173" s="40">
        <f>IF(U172=0,"",V172/U172-1)</f>
        <v>0.0619977037887485</v>
      </c>
      <c r="W173" s="12">
        <f>IF(V172=0,"",W172/V172-1)</f>
        <v>0</v>
      </c>
      <c r="X173" s="40">
        <f>IF(W172=0,"",X172/W172-1)</f>
        <v>0.0935735735735737</v>
      </c>
      <c r="Y173" s="40">
        <f>IF(X172=0,"",Y172/X172-1)</f>
        <v>0.0182337434094904</v>
      </c>
      <c r="Z173" s="40">
        <f>IF(Y172=0,"",Z172/Y172-1)</f>
        <v>-0.00830636461704426</v>
      </c>
      <c r="AA173" s="40">
        <f>IF(Z172=0,"",AA172/Z172-1)</f>
        <v>0.0833242684651365</v>
      </c>
      <c r="AB173" s="12">
        <f>IF(AA172=0,"",AB172/AA172-1)</f>
        <v>0</v>
      </c>
      <c r="AC173" s="40">
        <f>IF(AB172=0,"",AC172/AB172-1)</f>
        <v>0.00763128828195603</v>
      </c>
      <c r="AD173" s="40">
        <f>IF(AC172=0,"",AD172/AC172-1)</f>
        <v>0.0233183856502242</v>
      </c>
      <c r="AE173" s="40">
        <f>IF(AD172=0,"",AE172/AD172-1)</f>
        <v>0.0766384263316779</v>
      </c>
      <c r="AF173" s="55">
        <f>IF(AE172=0,"",AF172/AE172-1)</f>
        <v>0.0505607814761215</v>
      </c>
      <c r="AG173" s="12">
        <f>IF(AF172=0,"",AG172/AF172-1)</f>
        <v>0</v>
      </c>
      <c r="AH173" s="55">
        <f>IF(AG172=0,"",AH172/AG172-1)</f>
        <v>-0.0369349978476109</v>
      </c>
      <c r="AI173" s="55">
        <f>IF(AH172=0,"",AI172/AH172-1)</f>
        <v>0.0927051671732524</v>
      </c>
      <c r="AJ173" s="55">
        <f>IF(AI172=0,"",AJ172/AI172-1)</f>
        <v>0</v>
      </c>
      <c r="AK173" s="55">
        <f>IF(AJ172=0,"",AK172/AJ172-1)</f>
        <v>0</v>
      </c>
      <c r="AL173" s="12">
        <f>IF(AK172=0,"",AL172/AK172-1)</f>
        <v>0</v>
      </c>
      <c r="AM173" s="55">
        <f>IF(AL172=0,"",AM172/AL172-1)</f>
        <v>0</v>
      </c>
      <c r="AN173" s="55">
        <f>IF(AM172=0,"",AN172/AM172-1)</f>
        <v>0</v>
      </c>
      <c r="AO173" s="55">
        <f>IF(AN172=0,"",AO172/AN172-1)</f>
        <v>0</v>
      </c>
      <c r="AP173" s="55">
        <f>IF(AO172=0,"",AP172/AO172-1)</f>
        <v>0</v>
      </c>
      <c r="AQ173" s="12">
        <f>IF(AP172=0,"",AQ172/AP172-1)</f>
        <v>0</v>
      </c>
      <c r="AR173" s="55">
        <f>IF(AQ172=0,"",AR172/AQ172-1)</f>
        <v>0</v>
      </c>
      <c r="AS173" s="55">
        <f>IF(AR172=0,"",AS172/AR172-1)</f>
        <v>0</v>
      </c>
      <c r="AT173" s="55">
        <f>IF(AS172=0,"",AT172/AS172-1)</f>
        <v>0</v>
      </c>
      <c r="AU173" s="55">
        <f>IF(AT172=0,"",AU172/AT172-1)</f>
        <v>0</v>
      </c>
      <c r="AV173" s="12">
        <f>IF(AU172=0,"",AV172/AU172-1)</f>
        <v>0</v>
      </c>
      <c r="AW173" s="55">
        <f>IF(AV172=0,"",AW172/AV172-1)</f>
        <v>0</v>
      </c>
      <c r="AX173" s="55">
        <f>IF(AW172=0,"",AX172/AW172-1)</f>
        <v>0</v>
      </c>
      <c r="AY173" s="55">
        <f>IF(AX172=0,"",AY172/AX172-1)</f>
        <v>0</v>
      </c>
      <c r="AZ173" s="55">
        <f>IF(AY172=0,"",AZ172/AY172-1)</f>
        <v>0</v>
      </c>
      <c r="BA173" s="12">
        <f>IF(AZ172=0,"",BA172/AZ172-1)</f>
        <v>0</v>
      </c>
      <c r="BB173" s="55">
        <f>IF(BA172=0,"",BB172/BA172-1)</f>
        <v>0</v>
      </c>
      <c r="BC173" s="55">
        <f>IF(BB172=0,"",BC172/BB172-1)</f>
        <v>0</v>
      </c>
      <c r="BD173" s="55">
        <f>IF(BC172=0,"",BD172/BC172-1)</f>
        <v>0</v>
      </c>
      <c r="BE173" s="55">
        <f>IF(BD172=0,"",BE172/BD172-1)</f>
        <v>0</v>
      </c>
      <c r="BF173" s="12">
        <f>IF(BE172=0,"",BF172/BE172-1)</f>
        <v>0</v>
      </c>
      <c r="BG173" s="55" t="n"/>
      <c r="BH173" s="55" t="n"/>
      <c r="BI173" s="55" t="n"/>
      <c r="BJ173" s="55" t="n"/>
      <c r="BK173" s="12" t="n"/>
      <c r="BL173" s="55" t="n"/>
      <c r="BM173" s="55" t="n"/>
      <c r="BN173" s="55" t="n"/>
      <c r="BO173" s="55" t="n"/>
      <c r="BP173" s="12" t="n"/>
      <c r="BQ173" s="55" t="n"/>
      <c r="BR173" s="55" t="n"/>
      <c r="BS173" s="55" t="n"/>
      <c r="BT173" s="55" t="n"/>
      <c r="BU173" s="12" t="n"/>
      <c r="BV173" s="55" t="n"/>
      <c r="BW173" s="55" t="n"/>
      <c r="BX173" s="55" t="n"/>
      <c r="BY173" s="55" t="n"/>
      <c r="BZ173" s="12" t="n"/>
      <c r="CA173" s="55" t="n"/>
      <c r="CB173" s="55" t="n"/>
      <c r="CC173" s="55" t="n"/>
      <c r="CD173" s="55" t="n"/>
      <c r="CE173" s="12" t="n"/>
      <c r="CF173" s="55" t="n"/>
      <c r="CG173" s="55" t="n"/>
      <c r="CH173" s="55" t="n"/>
      <c r="CI173" s="55" t="n"/>
      <c r="CJ173" s="12" t="n"/>
      <c r="CK173" s="55" t="n"/>
      <c r="CL173" s="55" t="n"/>
      <c r="CM173" s="55" t="n"/>
      <c r="CN173" s="55" t="n"/>
      <c r="CO173" s="12" t="n"/>
      <c r="CP173" s="55" t="n"/>
      <c r="CQ173" s="55" t="n"/>
      <c r="CR173" s="55" t="n"/>
      <c r="CS173" s="55" t="n"/>
      <c r="CT173" s="12" t="n"/>
      <c r="CU173" s="55" t="n"/>
      <c r="CV173" s="55" t="n"/>
      <c r="CW173" s="55" t="n"/>
      <c r="CX173" s="55" t="n"/>
      <c r="CY173" s="12" t="n"/>
    </row>
    <row r="174" hidden="1" outlineLevel="1">
      <c r="C174" s="57" t="n"/>
      <c r="D174" s="12" t="n"/>
      <c r="E174" s="40" t="n"/>
      <c r="F174" s="40" t="n"/>
      <c r="G174" s="40" t="n"/>
      <c r="H174" s="12" t="n"/>
      <c r="I174" s="40" t="n"/>
      <c r="J174" s="40" t="n"/>
      <c r="K174" s="40" t="n"/>
      <c r="L174" s="40" t="n"/>
      <c r="M174" s="12" t="n"/>
      <c r="N174" s="40" t="n"/>
      <c r="O174" s="40" t="n"/>
      <c r="P174" s="40" t="n"/>
      <c r="Q174" s="40" t="n"/>
      <c r="R174" s="12" t="n"/>
      <c r="S174" s="40" t="n"/>
      <c r="T174" s="40" t="n"/>
      <c r="U174" s="40" t="n"/>
      <c r="V174" s="40" t="n"/>
      <c r="W174" s="12" t="n"/>
      <c r="X174" s="40" t="n"/>
      <c r="Y174" s="40" t="n"/>
      <c r="Z174" s="40" t="n"/>
      <c r="AA174" s="40" t="n"/>
      <c r="AB174" s="12" t="n"/>
      <c r="AC174" s="40" t="n"/>
      <c r="AD174" s="40" t="n"/>
      <c r="AE174" s="40" t="n"/>
      <c r="AF174" s="55" t="n"/>
      <c r="AG174" s="12" t="n"/>
      <c r="AH174" s="55" t="n"/>
      <c r="AI174" s="55" t="n"/>
      <c r="AJ174" s="55" t="n"/>
      <c r="AK174" s="55" t="n"/>
      <c r="AL174" s="12" t="n"/>
      <c r="AM174" s="55" t="n"/>
      <c r="AN174" s="55" t="n"/>
      <c r="AO174" s="55" t="n"/>
      <c r="AP174" s="55" t="n"/>
      <c r="AQ174" s="12" t="n"/>
      <c r="AR174" s="55" t="n"/>
      <c r="AS174" s="55" t="n"/>
      <c r="AT174" s="55" t="n"/>
      <c r="AU174" s="55" t="n"/>
      <c r="AV174" s="12" t="n"/>
      <c r="AW174" s="55" t="n"/>
      <c r="AX174" s="55" t="n"/>
      <c r="AY174" s="55" t="n"/>
      <c r="AZ174" s="55" t="n"/>
      <c r="BA174" s="12" t="n"/>
      <c r="BB174" s="55" t="n"/>
      <c r="BC174" s="55" t="n"/>
      <c r="BD174" s="55" t="n"/>
      <c r="BE174" s="55" t="n"/>
      <c r="BF174" s="12" t="n"/>
      <c r="BG174" s="55" t="n"/>
      <c r="BH174" s="55" t="n"/>
      <c r="BI174" s="55" t="n"/>
      <c r="BJ174" s="55" t="n"/>
      <c r="BK174" s="12" t="n"/>
      <c r="BL174" s="55" t="n"/>
      <c r="BM174" s="55" t="n"/>
      <c r="BN174" s="55" t="n"/>
      <c r="BO174" s="55" t="n"/>
      <c r="BP174" s="12" t="n"/>
      <c r="BQ174" s="55" t="n"/>
      <c r="BR174" s="55" t="n"/>
      <c r="BS174" s="55" t="n"/>
      <c r="BT174" s="55" t="n"/>
      <c r="BU174" s="12" t="n"/>
      <c r="BV174" s="55" t="n"/>
      <c r="BW174" s="55" t="n"/>
      <c r="BX174" s="55" t="n"/>
      <c r="BY174" s="55" t="n"/>
      <c r="BZ174" s="12" t="n"/>
      <c r="CA174" s="55" t="n"/>
      <c r="CB174" s="55" t="n"/>
      <c r="CC174" s="55" t="n"/>
      <c r="CD174" s="55" t="n"/>
      <c r="CE174" s="12" t="n"/>
      <c r="CF174" s="55" t="n"/>
      <c r="CG174" s="55" t="n"/>
      <c r="CH174" s="55" t="n"/>
      <c r="CI174" s="55" t="n"/>
      <c r="CJ174" s="12" t="n"/>
      <c r="CK174" s="55" t="n"/>
      <c r="CL174" s="55" t="n"/>
      <c r="CM174" s="55" t="n"/>
      <c r="CN174" s="55" t="n"/>
      <c r="CO174" s="12" t="n"/>
      <c r="CP174" s="55" t="n"/>
      <c r="CQ174" s="55" t="n"/>
      <c r="CR174" s="55" t="n"/>
      <c r="CS174" s="55" t="n"/>
      <c r="CT174" s="12" t="n"/>
      <c r="CU174" s="55" t="n"/>
      <c r="CV174" s="55" t="n"/>
      <c r="CW174" s="55" t="n"/>
      <c r="CX174" s="55" t="n"/>
      <c r="CY174" s="12" t="n"/>
    </row>
    <row r="175" hidden="1" outlineLevel="1">
      <c r="C175" s="60" t="inlineStr">
        <is>
          <t>Outros Créditos - LP</t>
        </is>
      </c>
      <c r="D175" s="11" t="n"/>
      <c r="E175" s="11" t="n"/>
      <c r="F175" s="11" t="n"/>
      <c r="G175" s="11" t="n"/>
      <c r="H175" s="12" t="n"/>
      <c r="I175" s="11" t="n"/>
      <c r="J175" s="11" t="n"/>
      <c r="K175" s="11" t="n"/>
      <c r="L175" s="11" t="n"/>
      <c r="M175" s="12" t="n"/>
      <c r="N175" s="11" t="n"/>
      <c r="O175" s="11" t="n"/>
      <c r="P175" s="11" t="n"/>
      <c r="Q175" s="11" t="n"/>
      <c r="R175" s="12" t="n"/>
      <c r="S175" s="11" t="n"/>
      <c r="T175" s="11" t="n"/>
      <c r="U175" s="11" t="n"/>
      <c r="V175" s="11" t="n"/>
      <c r="W175" s="12" t="n"/>
      <c r="X175" s="11" t="n"/>
      <c r="Y175" s="11" t="n"/>
      <c r="Z175" s="11" t="n"/>
      <c r="AA175" s="11" t="n"/>
      <c r="AB175" s="12" t="n"/>
      <c r="AC175" s="11" t="n"/>
      <c r="AD175" s="11" t="n"/>
      <c r="AE175" s="11" t="n"/>
      <c r="AF175" s="11" t="n"/>
      <c r="AG175" s="12" t="n"/>
      <c r="AH175" s="12" t="n"/>
      <c r="AI175" s="12" t="n"/>
      <c r="AJ175" s="12" t="n"/>
      <c r="AK175" s="12" t="n"/>
      <c r="AL175" s="12" t="n"/>
      <c r="AM175" s="12" t="n"/>
      <c r="AN175" s="12" t="n"/>
      <c r="AO175" s="12" t="n"/>
      <c r="AP175" s="12" t="n"/>
      <c r="AQ175" s="12" t="n"/>
      <c r="AR175" s="12" t="n"/>
      <c r="AS175" s="12" t="n"/>
      <c r="AT175" s="12" t="n"/>
      <c r="AU175" s="12" t="n"/>
      <c r="AV175" s="12" t="n"/>
      <c r="AW175" s="12" t="n"/>
      <c r="AX175" s="12" t="n"/>
      <c r="AY175" s="12" t="n"/>
      <c r="AZ175" s="12" t="n"/>
      <c r="BA175" s="12" t="n"/>
      <c r="BB175" s="12" t="n"/>
      <c r="BC175" s="12" t="n"/>
      <c r="BD175" s="12" t="n"/>
      <c r="BE175" s="12" t="n"/>
      <c r="BF175" s="12" t="n"/>
      <c r="BG175" s="12" t="n"/>
      <c r="BH175" s="12" t="n"/>
      <c r="BI175" s="12" t="n"/>
      <c r="BJ175" s="12" t="n"/>
      <c r="BK175" s="12" t="n"/>
      <c r="BL175" s="12" t="n"/>
      <c r="BM175" s="12" t="n"/>
      <c r="BN175" s="12" t="n"/>
      <c r="BO175" s="12" t="n"/>
      <c r="BP175" s="12" t="n"/>
      <c r="BQ175" s="12" t="n"/>
      <c r="BR175" s="12" t="n"/>
      <c r="BS175" s="12" t="n"/>
      <c r="BT175" s="12" t="n"/>
      <c r="BU175" s="12" t="n"/>
      <c r="BV175" s="12" t="n"/>
      <c r="BW175" s="12" t="n"/>
      <c r="BX175" s="12" t="n"/>
      <c r="BY175" s="12" t="n"/>
      <c r="BZ175" s="12" t="n"/>
      <c r="CA175" s="12" t="n"/>
      <c r="CB175" s="12" t="n"/>
      <c r="CC175" s="12" t="n"/>
      <c r="CD175" s="12" t="n"/>
      <c r="CE175" s="12" t="n"/>
      <c r="CF175" s="12" t="n"/>
      <c r="CG175" s="12" t="n"/>
      <c r="CH175" s="12" t="n"/>
      <c r="CI175" s="12" t="n"/>
      <c r="CJ175" s="12" t="n"/>
      <c r="CK175" s="12" t="n"/>
      <c r="CL175" s="12" t="n"/>
      <c r="CM175" s="12" t="n"/>
      <c r="CN175" s="12" t="n"/>
      <c r="CO175" s="12" t="n"/>
      <c r="CP175" s="12" t="n"/>
      <c r="CQ175" s="12" t="n"/>
      <c r="CR175" s="12" t="n"/>
      <c r="CS175" s="12" t="n"/>
      <c r="CT175" s="12" t="n"/>
      <c r="CU175" s="12" t="n"/>
      <c r="CV175" s="12" t="n"/>
      <c r="CW175" s="12" t="n"/>
      <c r="CX175" s="12" t="n"/>
      <c r="CY175" s="12" t="n"/>
    </row>
    <row r="176" hidden="1" outlineLevel="1">
      <c r="C176" s="60" t="inlineStr">
        <is>
          <t xml:space="preserve">Impostos e Contribuições a Recuperar </t>
        </is>
      </c>
      <c r="D176" s="11" t="n"/>
      <c r="E176" s="11" t="n"/>
      <c r="F176" s="11" t="n"/>
      <c r="G176" s="11" t="n"/>
      <c r="H176" s="12" t="n"/>
      <c r="I176" s="11" t="n"/>
      <c r="J176" s="11" t="n"/>
      <c r="K176" s="11" t="n"/>
      <c r="L176" s="11" t="n"/>
      <c r="M176" s="12" t="n"/>
      <c r="N176" s="11" t="n"/>
      <c r="O176" s="11" t="n"/>
      <c r="P176" s="11" t="n"/>
      <c r="Q176" s="11" t="n"/>
      <c r="R176" s="12" t="n"/>
      <c r="S176" s="11" t="n"/>
      <c r="T176" s="11" t="n"/>
      <c r="U176" s="11" t="n"/>
      <c r="V176" s="11" t="n"/>
      <c r="W176" s="12" t="n"/>
      <c r="X176" s="11" t="n"/>
      <c r="Y176" s="11" t="n"/>
      <c r="Z176" s="11" t="n"/>
      <c r="AA176" s="11" t="n"/>
      <c r="AB176" s="12" t="n"/>
      <c r="AC176" s="11" t="n"/>
      <c r="AD176" s="11" t="n"/>
      <c r="AE176" s="11" t="n"/>
      <c r="AF176" s="11" t="n"/>
      <c r="AG176" s="12" t="n"/>
      <c r="AH176" s="12" t="n"/>
      <c r="AI176" s="12" t="n"/>
      <c r="AJ176" s="12" t="n"/>
      <c r="AK176" s="12" t="n"/>
      <c r="AL176" s="12" t="n"/>
      <c r="AM176" s="12" t="n"/>
      <c r="AN176" s="12" t="n"/>
      <c r="AO176" s="12" t="n"/>
      <c r="AP176" s="12" t="n"/>
      <c r="AQ176" s="12" t="n"/>
      <c r="AR176" s="12" t="n"/>
      <c r="AS176" s="12" t="n"/>
      <c r="AT176" s="12" t="n"/>
      <c r="AU176" s="12" t="n"/>
      <c r="AV176" s="12" t="n"/>
      <c r="AW176" s="12" t="n"/>
      <c r="AX176" s="12" t="n"/>
      <c r="AY176" s="12" t="n"/>
      <c r="AZ176" s="12" t="n"/>
      <c r="BA176" s="12" t="n"/>
      <c r="BB176" s="12" t="n"/>
      <c r="BC176" s="12" t="n"/>
      <c r="BD176" s="12" t="n"/>
      <c r="BE176" s="12" t="n"/>
      <c r="BF176" s="12" t="n"/>
      <c r="BG176" s="12" t="n"/>
      <c r="BH176" s="12" t="n"/>
      <c r="BI176" s="12" t="n"/>
      <c r="BJ176" s="12" t="n"/>
      <c r="BK176" s="12" t="n"/>
      <c r="BL176" s="12" t="n"/>
      <c r="BM176" s="12" t="n"/>
      <c r="BN176" s="12" t="n"/>
      <c r="BO176" s="12" t="n"/>
      <c r="BP176" s="12" t="n"/>
      <c r="BQ176" s="12" t="n"/>
      <c r="BR176" s="12" t="n"/>
      <c r="BS176" s="12" t="n"/>
      <c r="BT176" s="12" t="n"/>
      <c r="BU176" s="12" t="n"/>
      <c r="BV176" s="12" t="n"/>
      <c r="BW176" s="12" t="n"/>
      <c r="BX176" s="12" t="n"/>
      <c r="BY176" s="12" t="n"/>
      <c r="BZ176" s="12" t="n"/>
      <c r="CA176" s="12" t="n"/>
      <c r="CB176" s="12" t="n"/>
      <c r="CC176" s="12" t="n"/>
      <c r="CD176" s="12" t="n"/>
      <c r="CE176" s="12" t="n"/>
      <c r="CF176" s="12" t="n"/>
      <c r="CG176" s="12" t="n"/>
      <c r="CH176" s="12" t="n"/>
      <c r="CI176" s="12" t="n"/>
      <c r="CJ176" s="12" t="n"/>
      <c r="CK176" s="12" t="n"/>
      <c r="CL176" s="12" t="n"/>
      <c r="CM176" s="12" t="n"/>
      <c r="CN176" s="12" t="n"/>
      <c r="CO176" s="12" t="n"/>
      <c r="CP176" s="12" t="n"/>
      <c r="CQ176" s="12" t="n"/>
      <c r="CR176" s="12" t="n"/>
      <c r="CS176" s="12" t="n"/>
      <c r="CT176" s="12" t="n"/>
      <c r="CU176" s="12" t="n"/>
      <c r="CV176" s="12" t="n"/>
      <c r="CW176" s="12" t="n"/>
      <c r="CX176" s="12" t="n"/>
      <c r="CY176" s="12" t="n"/>
    </row>
    <row r="177" hidden="1" outlineLevel="1">
      <c r="C177" s="60" t="inlineStr">
        <is>
          <t xml:space="preserve">Imposto de Renda e Contribuição Social Diferidos </t>
        </is>
      </c>
      <c r="D177" s="11" t="n"/>
      <c r="E177" s="11" t="n"/>
      <c r="F177" s="11" t="n"/>
      <c r="G177" s="11" t="n"/>
      <c r="H177" s="12" t="n"/>
      <c r="I177" s="11" t="n"/>
      <c r="J177" s="11" t="n"/>
      <c r="K177" s="11" t="n"/>
      <c r="L177" s="11" t="n"/>
      <c r="M177" s="12" t="n"/>
      <c r="N177" s="11" t="n"/>
      <c r="O177" s="11" t="n"/>
      <c r="P177" s="11" t="n"/>
      <c r="Q177" s="11" t="n"/>
      <c r="R177" s="12" t="n"/>
      <c r="S177" s="11" t="n"/>
      <c r="T177" s="11" t="n"/>
      <c r="U177" s="11" t="n"/>
      <c r="V177" s="11" t="n"/>
      <c r="W177" s="12" t="n"/>
      <c r="X177" s="11" t="n"/>
      <c r="Y177" s="11" t="n"/>
      <c r="Z177" s="11" t="n"/>
      <c r="AA177" s="11" t="n"/>
      <c r="AB177" s="12" t="n"/>
      <c r="AC177" s="11" t="n"/>
      <c r="AD177" s="11" t="n"/>
      <c r="AE177" s="11" t="n"/>
      <c r="AF177" s="11" t="n"/>
      <c r="AG177" s="12" t="n"/>
      <c r="AH177" s="12" t="n"/>
      <c r="AI177" s="12" t="n"/>
      <c r="AJ177" s="12" t="n"/>
      <c r="AK177" s="12" t="n"/>
      <c r="AL177" s="12" t="n"/>
      <c r="AM177" s="12" t="n"/>
      <c r="AN177" s="12" t="n"/>
      <c r="AO177" s="12" t="n"/>
      <c r="AP177" s="12" t="n"/>
      <c r="AQ177" s="12" t="n"/>
      <c r="AR177" s="12" t="n"/>
      <c r="AS177" s="12" t="n"/>
      <c r="AT177" s="12" t="n"/>
      <c r="AU177" s="12" t="n"/>
      <c r="AV177" s="12" t="n"/>
      <c r="AW177" s="12" t="n"/>
      <c r="AX177" s="12" t="n"/>
      <c r="AY177" s="12" t="n"/>
      <c r="AZ177" s="12" t="n"/>
      <c r="BA177" s="12" t="n"/>
      <c r="BB177" s="12" t="n"/>
      <c r="BC177" s="12" t="n"/>
      <c r="BD177" s="12" t="n"/>
      <c r="BE177" s="12" t="n"/>
      <c r="BF177" s="12" t="n"/>
      <c r="BG177" s="12" t="n"/>
      <c r="BH177" s="12" t="n"/>
      <c r="BI177" s="12" t="n"/>
      <c r="BJ177" s="12" t="n"/>
      <c r="BK177" s="12" t="n"/>
      <c r="BL177" s="12" t="n"/>
      <c r="BM177" s="12" t="n"/>
      <c r="BN177" s="12" t="n"/>
      <c r="BO177" s="12" t="n"/>
      <c r="BP177" s="12" t="n"/>
      <c r="BQ177" s="12" t="n"/>
      <c r="BR177" s="12" t="n"/>
      <c r="BS177" s="12" t="n"/>
      <c r="BT177" s="12" t="n"/>
      <c r="BU177" s="12" t="n"/>
      <c r="BV177" s="12" t="n"/>
      <c r="BW177" s="12" t="n"/>
      <c r="BX177" s="12" t="n"/>
      <c r="BY177" s="12" t="n"/>
      <c r="BZ177" s="12" t="n"/>
      <c r="CA177" s="12" t="n"/>
      <c r="CB177" s="12" t="n"/>
      <c r="CC177" s="12" t="n"/>
      <c r="CD177" s="12" t="n"/>
      <c r="CE177" s="12" t="n"/>
      <c r="CF177" s="12" t="n"/>
      <c r="CG177" s="12" t="n"/>
      <c r="CH177" s="12" t="n"/>
      <c r="CI177" s="12" t="n"/>
      <c r="CJ177" s="12" t="n"/>
      <c r="CK177" s="12" t="n"/>
      <c r="CL177" s="12" t="n"/>
      <c r="CM177" s="12" t="n"/>
      <c r="CN177" s="12" t="n"/>
      <c r="CO177" s="12" t="n"/>
      <c r="CP177" s="12" t="n"/>
      <c r="CQ177" s="12" t="n"/>
      <c r="CR177" s="12" t="n"/>
      <c r="CS177" s="12" t="n"/>
      <c r="CT177" s="12" t="n"/>
      <c r="CU177" s="12" t="n"/>
      <c r="CV177" s="12" t="n"/>
      <c r="CW177" s="12" t="n"/>
      <c r="CX177" s="12" t="n"/>
      <c r="CY177" s="12" t="n"/>
    </row>
    <row r="178" hidden="1" outlineLevel="1">
      <c r="C178" s="60" t="n"/>
      <c r="D178" s="12" t="n"/>
      <c r="E178" s="12" t="n"/>
      <c r="F178" s="12" t="n"/>
      <c r="G178" s="12" t="n"/>
      <c r="H178" s="12" t="n"/>
      <c r="I178" s="12" t="n"/>
      <c r="J178" s="12" t="n"/>
      <c r="K178" s="12" t="n"/>
      <c r="L178" s="12" t="n"/>
      <c r="M178" s="12" t="n"/>
      <c r="N178" s="12" t="n"/>
      <c r="O178" s="12" t="n"/>
      <c r="P178" s="12" t="n"/>
      <c r="Q178" s="12" t="n"/>
      <c r="R178" s="12" t="n"/>
      <c r="S178" s="12" t="n"/>
      <c r="T178" s="12" t="n"/>
      <c r="U178" s="12" t="n"/>
      <c r="V178" s="12" t="n"/>
      <c r="W178" s="12" t="n"/>
      <c r="X178" s="12" t="n"/>
      <c r="Y178" s="12" t="n"/>
      <c r="Z178" s="12" t="n"/>
      <c r="AA178" s="12" t="n"/>
      <c r="AB178" s="12" t="n"/>
      <c r="AC178" s="12" t="n"/>
      <c r="AD178" s="12" t="n"/>
      <c r="AE178" s="12" t="n"/>
      <c r="AF178" s="12" t="n"/>
      <c r="AG178" s="12" t="n"/>
      <c r="AH178" s="12" t="n"/>
      <c r="AI178" s="12" t="n"/>
      <c r="AJ178" s="12" t="n"/>
      <c r="AK178" s="12" t="n"/>
      <c r="AL178" s="12" t="n"/>
      <c r="AM178" s="12" t="n"/>
      <c r="AN178" s="12" t="n"/>
      <c r="AO178" s="12" t="n"/>
      <c r="AP178" s="12" t="n"/>
      <c r="AQ178" s="12" t="n"/>
      <c r="AR178" s="12" t="n"/>
      <c r="AS178" s="12" t="n"/>
      <c r="AT178" s="12" t="n"/>
      <c r="AU178" s="12" t="n"/>
      <c r="AV178" s="12" t="n"/>
      <c r="AW178" s="12" t="n"/>
      <c r="AX178" s="12" t="n"/>
      <c r="AY178" s="12" t="n"/>
      <c r="AZ178" s="12" t="n"/>
      <c r="BA178" s="12" t="n"/>
      <c r="BB178" s="12" t="n"/>
      <c r="BC178" s="12" t="n"/>
      <c r="BD178" s="12" t="n"/>
      <c r="BE178" s="12" t="n"/>
      <c r="BF178" s="12" t="n"/>
      <c r="BG178" s="12" t="n"/>
      <c r="BH178" s="12" t="n"/>
      <c r="BI178" s="12" t="n"/>
      <c r="BJ178" s="12" t="n"/>
      <c r="BK178" s="12" t="n"/>
      <c r="BL178" s="12" t="n"/>
      <c r="BM178" s="12" t="n"/>
      <c r="BN178" s="12" t="n"/>
      <c r="BO178" s="12" t="n"/>
      <c r="BP178" s="12" t="n"/>
      <c r="BQ178" s="12" t="n"/>
      <c r="BR178" s="12" t="n"/>
      <c r="BS178" s="12" t="n"/>
      <c r="BT178" s="12" t="n"/>
      <c r="BU178" s="12" t="n"/>
      <c r="BV178" s="12" t="n"/>
      <c r="BW178" s="12" t="n"/>
      <c r="BX178" s="12" t="n"/>
      <c r="BY178" s="12" t="n"/>
      <c r="BZ178" s="12" t="n"/>
      <c r="CA178" s="12" t="n"/>
      <c r="CB178" s="12" t="n"/>
      <c r="CC178" s="12" t="n"/>
      <c r="CD178" s="12" t="n"/>
      <c r="CE178" s="12" t="n"/>
      <c r="CF178" s="12" t="n"/>
      <c r="CG178" s="12" t="n"/>
      <c r="CH178" s="12" t="n"/>
      <c r="CI178" s="12" t="n"/>
      <c r="CJ178" s="12" t="n"/>
      <c r="CK178" s="12" t="n"/>
      <c r="CL178" s="12" t="n"/>
      <c r="CM178" s="12" t="n"/>
      <c r="CN178" s="12" t="n"/>
      <c r="CO178" s="12" t="n"/>
      <c r="CP178" s="12" t="n"/>
      <c r="CQ178" s="12" t="n"/>
      <c r="CR178" s="12" t="n"/>
      <c r="CS178" s="12" t="n"/>
      <c r="CT178" s="12" t="n"/>
      <c r="CU178" s="12" t="n"/>
      <c r="CV178" s="12" t="n"/>
      <c r="CW178" s="12" t="n"/>
      <c r="CX178" s="12" t="n"/>
      <c r="CY178" s="12" t="n"/>
    </row>
    <row r="179" hidden="1" outlineLevel="1">
      <c r="C179" s="57" t="n"/>
      <c r="D179" s="12" t="n"/>
      <c r="E179" s="12" t="n"/>
      <c r="F179" s="12" t="n"/>
      <c r="G179" s="12" t="n"/>
      <c r="H179" s="12" t="n"/>
      <c r="I179" s="12" t="n"/>
      <c r="J179" s="12" t="n"/>
      <c r="K179" s="12" t="n"/>
      <c r="L179" s="12" t="n"/>
      <c r="M179" s="12" t="n"/>
      <c r="N179" s="12" t="n"/>
      <c r="O179" s="12" t="n"/>
      <c r="P179" s="12" t="n"/>
      <c r="Q179" s="12" t="n"/>
      <c r="R179" s="12" t="n"/>
      <c r="S179" s="12" t="n"/>
      <c r="T179" s="12" t="n"/>
      <c r="U179" s="12" t="n"/>
      <c r="V179" s="12" t="n"/>
      <c r="W179" s="12" t="n"/>
      <c r="X179" s="12" t="n"/>
      <c r="Y179" s="12" t="n"/>
      <c r="Z179" s="12" t="n"/>
      <c r="AA179" s="12" t="n"/>
      <c r="AB179" s="12" t="n"/>
      <c r="AC179" s="12" t="n"/>
      <c r="AD179" s="12" t="n"/>
      <c r="AE179" s="12" t="n"/>
      <c r="AF179" s="12" t="n"/>
      <c r="AG179" s="12" t="n"/>
      <c r="AH179" s="12" t="n"/>
      <c r="AI179" s="12" t="n"/>
      <c r="AJ179" s="12" t="n"/>
      <c r="AK179" s="12" t="n"/>
      <c r="AL179" s="12" t="n"/>
      <c r="AM179" s="12" t="n"/>
      <c r="AN179" s="12" t="n"/>
      <c r="AO179" s="12" t="n"/>
      <c r="AP179" s="12" t="n"/>
      <c r="AQ179" s="12" t="n"/>
      <c r="AR179" s="12" t="n"/>
      <c r="AS179" s="12" t="n"/>
      <c r="AT179" s="12" t="n"/>
      <c r="AU179" s="12" t="n"/>
      <c r="AV179" s="12" t="n"/>
      <c r="AW179" s="12" t="n"/>
      <c r="AX179" s="12" t="n"/>
      <c r="AY179" s="12" t="n"/>
      <c r="AZ179" s="12" t="n"/>
      <c r="BA179" s="12" t="n"/>
      <c r="BB179" s="12" t="n"/>
      <c r="BC179" s="12" t="n"/>
      <c r="BD179" s="12" t="n"/>
      <c r="BE179" s="12" t="n"/>
      <c r="BF179" s="12" t="n"/>
      <c r="BG179" s="12" t="n"/>
      <c r="BH179" s="12" t="n"/>
      <c r="BI179" s="12" t="n"/>
      <c r="BJ179" s="12" t="n"/>
      <c r="BK179" s="12" t="n"/>
      <c r="BL179" s="12" t="n"/>
      <c r="BM179" s="12" t="n"/>
      <c r="BN179" s="12" t="n"/>
      <c r="BO179" s="12" t="n"/>
      <c r="BP179" s="12" t="n"/>
      <c r="BQ179" s="12" t="n"/>
      <c r="BR179" s="12" t="n"/>
      <c r="BS179" s="12" t="n"/>
      <c r="BT179" s="12" t="n"/>
      <c r="BU179" s="12" t="n"/>
      <c r="BV179" s="12" t="n"/>
      <c r="BW179" s="12" t="n"/>
      <c r="BX179" s="12" t="n"/>
      <c r="BY179" s="12" t="n"/>
      <c r="BZ179" s="12" t="n"/>
      <c r="CA179" s="12" t="n"/>
      <c r="CB179" s="12" t="n"/>
      <c r="CC179" s="12" t="n"/>
      <c r="CD179" s="12" t="n"/>
      <c r="CE179" s="12" t="n"/>
      <c r="CF179" s="12" t="n"/>
      <c r="CG179" s="12" t="n"/>
      <c r="CH179" s="12" t="n"/>
      <c r="CI179" s="12" t="n"/>
      <c r="CJ179" s="12" t="n"/>
      <c r="CK179" s="12" t="n"/>
      <c r="CL179" s="12" t="n"/>
      <c r="CM179" s="12" t="n"/>
      <c r="CN179" s="12" t="n"/>
      <c r="CO179" s="12" t="n"/>
      <c r="CP179" s="12" t="n"/>
      <c r="CQ179" s="12" t="n"/>
      <c r="CR179" s="12" t="n"/>
      <c r="CS179" s="12" t="n"/>
      <c r="CT179" s="12" t="n"/>
      <c r="CU179" s="12" t="n"/>
      <c r="CV179" s="12" t="n"/>
      <c r="CW179" s="12" t="n"/>
      <c r="CX179" s="12" t="n"/>
      <c r="CY179" s="12" t="n"/>
    </row>
    <row r="180" collapsed="1" customFormat="1" s="32">
      <c r="A180" s="30" t="n"/>
      <c r="B180" s="3" t="n"/>
      <c r="C180" s="33" t="inlineStr">
        <is>
          <t>Total Assets</t>
        </is>
      </c>
      <c r="D180" s="35" t="n"/>
      <c r="E180" s="35" t="n"/>
      <c r="F180" s="35" t="n"/>
      <c r="G180" s="35" t="n"/>
      <c r="H180" s="35" t="n"/>
      <c r="I180" s="35">
        <f>SUM(I127,I128,I132,I136,I137,I138,I144,I149,I159,I162,I163,I172)</f>
        <v>34800</v>
      </c>
      <c r="J180" s="35">
        <f>SUM(J127,J128,J132,J136,J137,J138,J144,J149,J159,J162,J163,J172)</f>
        <v>34911</v>
      </c>
      <c r="K180" s="35">
        <f>SUM(K127,K128,K132,K136,K137,K138,K144,K149,K159,K162,K163,K172)</f>
        <v>35410</v>
      </c>
      <c r="L180" s="35">
        <f>SUM(L127,L128,L132,L136,L137,L138,L144,L149,L159,L162,L163,L172)</f>
        <v>37669</v>
      </c>
      <c r="M180" s="35">
        <f>SUM(M127,M128,M132,M136,M137,M138,M144,M149,M159,M162,M163,M172)</f>
        <v>37669</v>
      </c>
      <c r="N180" s="35">
        <f>SUM(N127,N128,N132,N136,N137,N138,N144,N149,N159,N162,N163,N172)</f>
        <v>37163</v>
      </c>
      <c r="O180" s="35">
        <f>SUM(O127,O128,O132,O136,O137,O138,O144,O149,O159,O162,O163,O172)</f>
        <v>36231</v>
      </c>
      <c r="P180" s="35">
        <f>SUM(P127,P128,P132,P136,P137,P138,P144,P149,P159,P162,P163,P172)</f>
        <v>37612</v>
      </c>
      <c r="Q180" s="35">
        <f>SUM(Q127,Q128,Q132,Q136,Q137,Q138,Q144,Q149,Q159,Q162,Q163,Q172)</f>
        <v>38724</v>
      </c>
      <c r="R180" s="35">
        <f>SUM(R127,R128,R132,R136,R137,R138,R144,R149,R159,R162,R163,R172)</f>
        <v>38724</v>
      </c>
      <c r="S180" s="35">
        <f>SUM(S127,S128,S132,S136,S137,S138,S144,S149,S159,S162,S163,S172)</f>
        <v>38936</v>
      </c>
      <c r="T180" s="35">
        <f>SUM(T127,T128,T132,T136,T137,T138,T144,T149,T159,T162,T163,T172)</f>
        <v>39004</v>
      </c>
      <c r="U180" s="35">
        <f>SUM(U127,U128,U132,U136,U137,U138,U144,U149,U159,U162,U163,U172)</f>
        <v>39674</v>
      </c>
      <c r="V180" s="35">
        <f>SUM(V127,V128,V132,V136,V137,V138,V144,V149,V159,V162,V163,V172)</f>
        <v>42448</v>
      </c>
      <c r="W180" s="35">
        <f>SUM(W127,W128,W132,W136,W137,W138,W144,W149,W159,W162,W163,W172)</f>
        <v>42448</v>
      </c>
      <c r="X180" s="35">
        <f>SUM(X127,X128,X132,X136,X137,X138,X144,X149,X159,X162,X163,X172)</f>
        <v>42602</v>
      </c>
      <c r="Y180" s="35">
        <f>SUM(Y127,Y128,Y132,Y136,Y137,Y138,Y144,Y149,Y159,Y162,Y163,Y172)</f>
        <v>42333</v>
      </c>
      <c r="Z180" s="35">
        <f>SUM(Z127,Z128,Z132,Z136,Z137,Z138,Z144,Z149,Z159,Z162,Z163,Z172)</f>
        <v>47237</v>
      </c>
      <c r="AA180" s="35">
        <f>SUM(AA127,AA128,AA132,AA136,AA137,AA138,AA144,AA149,AA159,AA162,AA163,AA172)</f>
        <v>48081</v>
      </c>
      <c r="AB180" s="35">
        <f>SUM(AB127,AB128,AB132,AB136,AB137,AB138,AB144,AB149,AB159,AB162,AB163,AB172)</f>
        <v>48081</v>
      </c>
      <c r="AC180" s="35">
        <f>SUM(AC127,AC128,AC132,AC136,AC137,AC138,AC144,AC149,AC159,AC162,AC163,AC172)</f>
        <v>48470</v>
      </c>
      <c r="AD180" s="35">
        <f>SUM(AD127,AD128,AD132,AD136,AD137,AD138,AD144,AD149,AD159,AD162,AD163,AD172)</f>
        <v>51431</v>
      </c>
      <c r="AE180" s="35">
        <f>SUM(AE127,AE128,AE132,AE136,AE137,AE138,AE144,AE149,AE159,AE162,AE163,AE172)</f>
        <v>53289</v>
      </c>
      <c r="AF180" s="35">
        <f>SUM(AF127,AF128,AF132,AF136,AF137,AF138,AF144,AF149,AF159,AF162,AF163,AF172)</f>
        <v>54157</v>
      </c>
      <c r="AG180" s="35">
        <f>SUM(AG127,AG128,AG132,AG136,AG137,AG138,AG144,AG149,AG159,AG162,AG163,AG172)</f>
        <v>54157</v>
      </c>
      <c r="AH180" s="35">
        <f>SUM(AH127,AH128,AH132,AH136,AH137,AH138,AH144,AH149,AH159,AH162,AH163,AH172)</f>
        <v>52449</v>
      </c>
      <c r="AI180" s="35">
        <f>SUM(AI127,AI128,AI132,AI136,AI137,AI138,AI144,AI149,AI159,AI162,AI163,AI172)</f>
        <v>57691</v>
      </c>
      <c r="AJ180" s="35">
        <f>SUM(AJ127,AJ128,AJ132,AJ136,AJ137,AJ138,AJ144,AJ149,AJ159,AJ162,AJ163,AJ172)</f>
        <v>63397.1368177646</v>
      </c>
      <c r="AK180" s="35">
        <f>SUM(AK127,AK128,AK132,AK136,AK137,AK138,AK144,AK149,AK159,AK162,AK163,AK172)</f>
        <v>70674.7446475688</v>
      </c>
      <c r="AL180" s="35">
        <f>SUM(AL127,AL128,AL132,AL136,AL137,AL138,AL144,AL149,AL159,AL162,AL163,AL172)</f>
        <v>70674.7446475688</v>
      </c>
      <c r="AM180" s="35">
        <f>SUM(AM127,AM128,AM132,AM136,AM137,AM138,AM144,AM149,AM159,AM162,AM163,AM172)</f>
        <v>78106.7551247058</v>
      </c>
      <c r="AN180" s="35">
        <f>SUM(AN127,AN128,AN132,AN136,AN137,AN138,AN144,AN149,AN159,AN162,AN163,AN172)</f>
        <v>86466.927264433</v>
      </c>
      <c r="AO180" s="35">
        <f>SUM(AO127,AO128,AO132,AO136,AO137,AO138,AO144,AO149,AO159,AO162,AO163,AO172)</f>
        <v>95720.9487188738</v>
      </c>
      <c r="AP180" s="35">
        <f>SUM(AP127,AP128,AP132,AP136,AP137,AP138,AP144,AP149,AP159,AP162,AP163,AP172)</f>
        <v>105698.099259121</v>
      </c>
      <c r="AQ180" s="35">
        <f>SUM(AQ127,AQ128,AQ132,AQ136,AQ137,AQ138,AQ144,AQ149,AQ159,AQ162,AQ163,AQ172)</f>
        <v>105698.099259121</v>
      </c>
      <c r="AR180" s="35">
        <f>SUM(AR127,AR128,AR132,AR136,AR137,AR138,AR144,AR149,AR159,AR162,AR163,AR172)</f>
        <v>115918.357592747</v>
      </c>
      <c r="AS180" s="35">
        <f>SUM(AS127,AS128,AS132,AS136,AS137,AS138,AS144,AS149,AS159,AS162,AS163,AS172)</f>
        <v>127446.502614642</v>
      </c>
      <c r="AT180" s="35">
        <f>SUM(AT127,AT128,AT132,AT136,AT137,AT138,AT144,AT149,AT159,AT162,AT163,AT172)</f>
        <v>140276.845899675</v>
      </c>
      <c r="AU180" s="35">
        <f>SUM(AU127,AU128,AU132,AU136,AU137,AU138,AU144,AU149,AU159,AU162,AU163,AU172)</f>
        <v>154251.124213781</v>
      </c>
      <c r="AV180" s="35">
        <f>SUM(AV127,AV128,AV132,AV136,AV137,AV138,AV144,AV149,AV159,AV162,AV163,AV172)</f>
        <v>154251.124213781</v>
      </c>
      <c r="AW180" s="35">
        <f>SUM(AW127,AW128,AW132,AW136,AW137,AW138,AW144,AW149,AW159,AW162,AW163,AW172)</f>
        <v>168735.341365036</v>
      </c>
      <c r="AX180" s="35">
        <f>SUM(AX127,AX128,AX132,AX136,AX137,AX138,AX144,AX149,AX159,AX162,AX163,AX172)</f>
        <v>185102.322945013</v>
      </c>
      <c r="AY180" s="35">
        <f>SUM(AY127,AY128,AY132,AY136,AY137,AY138,AY144,AY149,AY159,AY162,AY163,AY172)</f>
        <v>203397.829163651</v>
      </c>
      <c r="AZ180" s="35">
        <f>SUM(AZ127,AZ128,AZ132,AZ136,AZ137,AZ138,AZ144,AZ149,AZ159,AZ162,AZ163,AZ172)</f>
        <v>223499.467650839</v>
      </c>
      <c r="BA180" s="35">
        <f>SUM(BA127,BA128,BA132,BA136,BA137,BA138,BA144,BA149,BA159,BA162,BA163,BA172)</f>
        <v>223499.467650839</v>
      </c>
      <c r="BB180" s="35">
        <f>SUM(BB127,BB128,BB132,BB136,BB137,BB138,BB144,BB149,BB159,BB162,BB163,BB172)</f>
        <v>244549.919254094</v>
      </c>
      <c r="BC180" s="35">
        <f>SUM(BC127,BC128,BC132,BC136,BC137,BC138,BC144,BC149,BC159,BC162,BC163,BC172)</f>
        <v>268350.929049846</v>
      </c>
      <c r="BD180" s="35">
        <f>SUM(BD127,BD128,BD132,BD136,BD137,BD138,BD144,BD149,BD159,BD162,BD163,BD172)</f>
        <v>295033.609741964</v>
      </c>
      <c r="BE180" s="35">
        <f>SUM(BE127,BE128,BE132,BE136,BE137,BE138,BE144,BE149,BE159,BE162,BE163,BE172)</f>
        <v>324547.018543094</v>
      </c>
      <c r="BF180" s="35">
        <f>SUM(BF127,BF128,BF132,BF136,BF137,BF138,BF144,BF149,BF159,BF162,BF163,BF172)</f>
        <v>324547.018543094</v>
      </c>
      <c r="BG180" s="35" t="n"/>
      <c r="BH180" s="35" t="n"/>
      <c r="BI180" s="35" t="n"/>
      <c r="BJ180" s="35" t="n"/>
      <c r="BK180" s="35" t="n"/>
      <c r="BL180" s="35" t="n"/>
      <c r="BM180" s="35" t="n"/>
      <c r="BN180" s="35" t="n"/>
      <c r="BO180" s="35" t="n"/>
      <c r="BP180" s="35" t="n"/>
      <c r="BQ180" s="35" t="n"/>
      <c r="BR180" s="35" t="n"/>
      <c r="BS180" s="35" t="n"/>
      <c r="BT180" s="35" t="n"/>
      <c r="BU180" s="35" t="n"/>
      <c r="BV180" s="35" t="n"/>
      <c r="BW180" s="35" t="n"/>
      <c r="BX180" s="35" t="n"/>
      <c r="BY180" s="35" t="n"/>
      <c r="BZ180" s="35" t="n"/>
      <c r="CA180" s="35" t="n"/>
      <c r="CB180" s="35" t="n"/>
      <c r="CC180" s="35" t="n"/>
      <c r="CD180" s="35" t="n"/>
      <c r="CE180" s="35" t="n"/>
      <c r="CF180" s="35" t="n"/>
      <c r="CG180" s="35" t="n"/>
      <c r="CH180" s="35" t="n"/>
      <c r="CI180" s="35" t="n"/>
      <c r="CJ180" s="35" t="n"/>
      <c r="CK180" s="35" t="n"/>
      <c r="CL180" s="35" t="n"/>
      <c r="CM180" s="35" t="n"/>
      <c r="CN180" s="35" t="n"/>
      <c r="CO180" s="35" t="n"/>
      <c r="CP180" s="35" t="n"/>
      <c r="CQ180" s="35" t="n"/>
      <c r="CR180" s="35" t="n"/>
      <c r="CS180" s="35" t="n"/>
      <c r="CT180" s="35" t="n"/>
      <c r="CU180" s="35" t="n"/>
      <c r="CV180" s="35" t="n"/>
      <c r="CW180" s="35" t="n"/>
      <c r="CX180" s="35" t="n"/>
      <c r="CY180" s="35" t="n"/>
    </row>
    <row r="181">
      <c r="C181" s="14" t="inlineStr">
        <is>
          <t>Accounts payable</t>
        </is>
      </c>
      <c r="D181" s="46" t="n"/>
      <c r="E181" s="46" t="n"/>
      <c r="F181" s="46" t="n"/>
      <c r="G181" s="46" t="n"/>
      <c r="H181" s="12" t="n"/>
      <c r="I181" s="46">
        <f>'Inputs (2)'!D28</f>
        <v>476</v>
      </c>
      <c r="J181" s="46">
        <f>'Inputs (2)'!E28</f>
        <v>547</v>
      </c>
      <c r="K181" s="46">
        <f>'Inputs (2)'!F28</f>
        <v>557</v>
      </c>
      <c r="L181" s="46">
        <f>'Inputs (2)'!G28</f>
        <v>738</v>
      </c>
      <c r="M181" s="12">
        <f>'Inputs (2)'!H28</f>
        <v>738</v>
      </c>
      <c r="N181" s="46">
        <f>'Inputs (2)'!I28</f>
        <v>666</v>
      </c>
      <c r="O181" s="46">
        <f>'Inputs (2)'!J28</f>
        <v>633</v>
      </c>
      <c r="P181" s="46">
        <f>'Inputs (2)'!K28</f>
        <v>615</v>
      </c>
      <c r="Q181" s="46">
        <f>'Inputs (2)'!L28</f>
        <v>926</v>
      </c>
      <c r="R181" s="12">
        <f>'Inputs (2)'!M28</f>
        <v>926</v>
      </c>
      <c r="S181" s="46">
        <f>'Inputs (2)'!N28</f>
        <v>735</v>
      </c>
      <c r="T181" s="46">
        <f>'Inputs (2)'!O28</f>
        <v>643</v>
      </c>
      <c r="U181" s="46">
        <f>'Inputs (2)'!P28</f>
        <v>589</v>
      </c>
      <c r="V181" s="46">
        <f>'Inputs (2)'!Q28</f>
        <v>834</v>
      </c>
      <c r="W181" s="12">
        <f>'Inputs (2)'!R28</f>
        <v>834</v>
      </c>
      <c r="X181" s="46">
        <f>'Inputs (2)'!S28</f>
        <v>790</v>
      </c>
      <c r="Y181" s="46">
        <f>'Inputs (2)'!T28</f>
        <v>835</v>
      </c>
      <c r="Z181" s="46">
        <f>'Inputs (2)'!U28</f>
        <v>911</v>
      </c>
      <c r="AA181" s="46">
        <f>'Inputs (2)'!V28</f>
        <v>929</v>
      </c>
      <c r="AB181" s="12">
        <f>'Inputs (2)'!W28</f>
        <v>929</v>
      </c>
      <c r="AC181" s="46">
        <f>'Inputs (2)'!X28</f>
        <v>993</v>
      </c>
      <c r="AD181" s="46">
        <f>'Inputs (2)'!Y28</f>
        <v>818</v>
      </c>
      <c r="AE181" s="46">
        <f>'Inputs (2)'!Z28</f>
        <v>935</v>
      </c>
      <c r="AF181" s="46">
        <f>'Inputs (2)'!AA28</f>
        <v>999</v>
      </c>
      <c r="AG181" s="12">
        <f>'Inputs (2)'!AB28</f>
        <v>999</v>
      </c>
      <c r="AH181" s="12">
        <f>'Inputs (2)'!AC28</f>
        <v>1030</v>
      </c>
      <c r="AI181" s="12">
        <f>'Inputs (2)'!AD28</f>
        <v>1130</v>
      </c>
      <c r="AJ181" s="12">
        <f>(AJ182/(AJ$5-AI$5))*-AJ$37</f>
        <v>0</v>
      </c>
      <c r="AK181" s="12">
        <f>(AK182/(AK$5-AJ$5))*-AK$37</f>
        <v>0</v>
      </c>
      <c r="AL181" s="12">
        <f>AK181</f>
        <v>0</v>
      </c>
      <c r="AM181" s="12">
        <f>(AM182/(AM$5-AL$5))*-AM$37</f>
        <v>0</v>
      </c>
      <c r="AN181" s="12">
        <f>(AN182/(AN$5-AM$5))*-AN$37</f>
        <v>0</v>
      </c>
      <c r="AO181" s="12">
        <f>(AO182/(AO$5-AN$5))*-AO$37</f>
        <v>0</v>
      </c>
      <c r="AP181" s="12">
        <f>(AP182/(AP$5-AO$5))*-AP$37</f>
        <v>0</v>
      </c>
      <c r="AQ181" s="12">
        <f>AP181</f>
        <v>0</v>
      </c>
      <c r="AR181" s="12">
        <f>(AR182/(AR$5-AQ$5))*-AR$37</f>
        <v>0</v>
      </c>
      <c r="AS181" s="12">
        <f>(AS182/(AS$5-AR$5))*-AS$37</f>
        <v>0</v>
      </c>
      <c r="AT181" s="12">
        <f>(AT182/(AT$5-AS$5))*-AT$37</f>
        <v>0</v>
      </c>
      <c r="AU181" s="12">
        <f>(AU182/(AU$5-AT$5))*-AU$37</f>
        <v>0</v>
      </c>
      <c r="AV181" s="12">
        <f>AU181</f>
        <v>0</v>
      </c>
      <c r="AW181" s="12">
        <f>(AW182/(AW$5-AV$5))*-AW$37</f>
        <v>0</v>
      </c>
      <c r="AX181" s="12">
        <f>(AX182/(AX$5-AW$5))*-AX$37</f>
        <v>0</v>
      </c>
      <c r="AY181" s="12">
        <f>(AY182/(AY$5-AX$5))*-AY$37</f>
        <v>0</v>
      </c>
      <c r="AZ181" s="12">
        <f>(AZ182/(AZ$5-AY$5))*-AZ$37</f>
        <v>0</v>
      </c>
      <c r="BA181" s="12">
        <f>AZ181</f>
        <v>0</v>
      </c>
      <c r="BB181" s="12">
        <f>(BB182/(BB$5-BA$5))*-BB$37</f>
        <v>0</v>
      </c>
      <c r="BC181" s="12">
        <f>(BC182/(BC$5-BB$5))*-BC$37</f>
        <v>0</v>
      </c>
      <c r="BD181" s="12">
        <f>(BD182/(BD$5-BC$5))*-BD$37</f>
        <v>0</v>
      </c>
      <c r="BE181" s="12">
        <f>(BE182/(BE$5-BD$5))*-BE$37</f>
        <v>0</v>
      </c>
      <c r="BF181" s="12">
        <f>BE181</f>
        <v>0</v>
      </c>
      <c r="BG181" s="12" t="n"/>
      <c r="BH181" s="12" t="n"/>
      <c r="BI181" s="12" t="n"/>
      <c r="BJ181" s="12" t="n"/>
      <c r="BK181" s="12" t="n"/>
      <c r="BL181" s="12" t="n"/>
      <c r="BM181" s="12" t="n"/>
      <c r="BN181" s="12" t="n"/>
      <c r="BO181" s="12" t="n"/>
      <c r="BP181" s="12" t="n"/>
      <c r="BQ181" s="12" t="n"/>
      <c r="BR181" s="12" t="n"/>
      <c r="BS181" s="12" t="n"/>
      <c r="BT181" s="12" t="n"/>
      <c r="BU181" s="12" t="n"/>
      <c r="BV181" s="12" t="n"/>
      <c r="BW181" s="12" t="n"/>
      <c r="BX181" s="12" t="n"/>
      <c r="BY181" s="12" t="n"/>
      <c r="BZ181" s="12" t="n"/>
      <c r="CA181" s="12" t="n"/>
      <c r="CB181" s="12" t="n"/>
      <c r="CC181" s="12" t="n"/>
      <c r="CD181" s="12" t="n"/>
      <c r="CE181" s="12" t="n"/>
      <c r="CF181" s="12" t="n"/>
      <c r="CG181" s="12" t="n"/>
      <c r="CH181" s="12" t="n"/>
      <c r="CI181" s="12" t="n"/>
      <c r="CJ181" s="12" t="n"/>
      <c r="CK181" s="12" t="n"/>
      <c r="CL181" s="12" t="n"/>
      <c r="CM181" s="12" t="n"/>
      <c r="CN181" s="12" t="n"/>
      <c r="CO181" s="12" t="n"/>
      <c r="CP181" s="12" t="n"/>
      <c r="CQ181" s="12" t="n"/>
      <c r="CR181" s="12" t="n"/>
      <c r="CS181" s="12" t="n"/>
      <c r="CT181" s="12" t="n"/>
      <c r="CU181" s="12" t="n"/>
      <c r="CV181" s="12" t="n"/>
      <c r="CW181" s="12" t="n"/>
      <c r="CX181" s="12" t="n"/>
      <c r="CY181" s="12" t="n"/>
    </row>
    <row r="182" hidden="1" outlineLevel="1">
      <c r="C182" s="57" t="inlineStr">
        <is>
          <t>DPO</t>
        </is>
      </c>
      <c r="D182" s="12" t="n"/>
      <c r="E182" s="12" t="n"/>
      <c r="F182" s="12" t="n"/>
      <c r="G182" s="12" t="n"/>
      <c r="H182" s="12" t="n"/>
      <c r="I182" s="12" t="str">
        <f>IFERROR(-(I181/I$37)*(I$5-H$5),"")</f>
        <v/>
      </c>
      <c r="J182" s="12" t="str">
        <f>IFERROR(-(J181/J$37)*(J$5-I$5),"")</f>
        <v/>
      </c>
      <c r="K182" s="12" t="str">
        <f>IFERROR(-(K181/K$37)*(K$5-J$5),"")</f>
        <v/>
      </c>
      <c r="L182" s="12" t="str">
        <f>IFERROR(-(L181/L$37)*(L$5-K$5),"")</f>
        <v/>
      </c>
      <c r="M182" s="12" t="n"/>
      <c r="N182" s="12" t="str">
        <f>IFERROR(-(N181/N$37)*(N$5-M$5),"")</f>
        <v/>
      </c>
      <c r="O182" s="12" t="str">
        <f>IFERROR(-(O181/O$37)*(O$5-N$5),"")</f>
        <v/>
      </c>
      <c r="P182" s="12" t="str">
        <f>IFERROR(-(P181/P$37)*(P$5-O$5),"")</f>
        <v/>
      </c>
      <c r="Q182" s="12" t="str">
        <f>IFERROR(-(Q181/Q$37)*(Q$5-P$5),"")</f>
        <v/>
      </c>
      <c r="R182" s="12" t="n"/>
      <c r="S182" s="12" t="str">
        <f>IFERROR(-(S181/S$37)*(S$5-R$5),"")</f>
        <v/>
      </c>
      <c r="T182" s="12" t="str">
        <f>IFERROR(-(T181/T$37)*(T$5-S$5),"")</f>
        <v/>
      </c>
      <c r="U182" s="12" t="str">
        <f>IFERROR(-(U181/U$37)*(U$5-T$5),"")</f>
        <v/>
      </c>
      <c r="V182" s="12" t="str">
        <f>IFERROR(-(V181/V$37)*(V$5-U$5),"")</f>
        <v/>
      </c>
      <c r="W182" s="12" t="n"/>
      <c r="X182" s="12" t="str">
        <f>IFERROR(-(X181/X$37)*(X$5-W$5),"")</f>
        <v/>
      </c>
      <c r="Y182" s="12" t="str">
        <f>IFERROR(-(Y181/Y$37)*(Y$5-X$5),"")</f>
        <v/>
      </c>
      <c r="Z182" s="12" t="str">
        <f>IFERROR(-(Z181/Z$37)*(Z$5-Y$5),"")</f>
        <v/>
      </c>
      <c r="AA182" s="12" t="str">
        <f>IFERROR(-(AA181/AA$37)*(AA$5-Z$5),"")</f>
        <v/>
      </c>
      <c r="AB182" s="12" t="n"/>
      <c r="AC182" s="12" t="str">
        <f>IFERROR(-(AC181/AC$37)*(AC$5-AB$5),"")</f>
        <v/>
      </c>
      <c r="AD182" s="12" t="str">
        <f>IFERROR(-(AD181/AD$37)*(AD$5-AC$5),"")</f>
        <v/>
      </c>
      <c r="AE182" s="12" t="str">
        <f>IFERROR(-(AE181/AE$37)*(AE$5-AD$5),"")</f>
        <v/>
      </c>
      <c r="AF182" s="11" t="str">
        <f>IFERROR(-(AF181/AF$37)*(AF$5-AE$5),"")</f>
        <v/>
      </c>
      <c r="AG182" s="12" t="n"/>
      <c r="AH182" s="11" t="str">
        <f>IFERROR(-(AH181/AH$37)*(AH$5-AG$5),"")</f>
        <v/>
      </c>
      <c r="AI182" s="11" t="str">
        <f>IFERROR(-(AI181/AI$37)*(AI$5-AH$5),"")</f>
        <v/>
      </c>
      <c r="AJ182" s="11">
        <f>Control!$B$27</f>
        <v>0</v>
      </c>
      <c r="AK182" s="11">
        <f>Control!$B$27</f>
        <v>0</v>
      </c>
      <c r="AL182" s="12" t="n"/>
      <c r="AM182" s="11">
        <f>Control!$C$27</f>
        <v>0</v>
      </c>
      <c r="AN182" s="11">
        <f>Control!$C$27</f>
        <v>0</v>
      </c>
      <c r="AO182" s="11">
        <f>Control!$C$27</f>
        <v>0</v>
      </c>
      <c r="AP182" s="11">
        <f>Control!$C$27</f>
        <v>0</v>
      </c>
      <c r="AQ182" s="12" t="n"/>
      <c r="AR182" s="11">
        <f>Control!$D$27</f>
        <v>0</v>
      </c>
      <c r="AS182" s="11">
        <f>Control!$D$27</f>
        <v>0</v>
      </c>
      <c r="AT182" s="11">
        <f>Control!$D$27</f>
        <v>0</v>
      </c>
      <c r="AU182" s="11">
        <f>Control!$D$27</f>
        <v>0</v>
      </c>
      <c r="AV182" s="12" t="n"/>
      <c r="AW182" s="11">
        <f>Control!$E$27</f>
        <v>0</v>
      </c>
      <c r="AX182" s="11">
        <f>Control!$E$27</f>
        <v>0</v>
      </c>
      <c r="AY182" s="11">
        <f>Control!$E$27</f>
        <v>0</v>
      </c>
      <c r="AZ182" s="11">
        <f>Control!$E$27</f>
        <v>0</v>
      </c>
      <c r="BA182" s="12" t="n"/>
      <c r="BB182" s="11">
        <f>Control!$F$27</f>
        <v>0</v>
      </c>
      <c r="BC182" s="11">
        <f>Control!$F$27</f>
        <v>0</v>
      </c>
      <c r="BD182" s="11">
        <f>Control!$F$27</f>
        <v>0</v>
      </c>
      <c r="BE182" s="11">
        <f>Control!$F$27</f>
        <v>0</v>
      </c>
      <c r="BF182" s="12" t="n"/>
      <c r="BG182" s="11" t="n"/>
      <c r="BH182" s="11" t="n"/>
      <c r="BI182" s="11" t="n"/>
      <c r="BJ182" s="11" t="n"/>
      <c r="BK182" s="12" t="n"/>
      <c r="BL182" s="11" t="n"/>
      <c r="BM182" s="11" t="n"/>
      <c r="BN182" s="11" t="n"/>
      <c r="BO182" s="11" t="n"/>
      <c r="BP182" s="12" t="n"/>
      <c r="BQ182" s="11" t="n"/>
      <c r="BR182" s="11" t="n"/>
      <c r="BS182" s="11" t="n"/>
      <c r="BT182" s="11" t="n"/>
      <c r="BU182" s="12" t="n"/>
      <c r="BV182" s="11" t="n"/>
      <c r="BW182" s="11" t="n"/>
      <c r="BX182" s="11" t="n"/>
      <c r="BY182" s="11" t="n"/>
      <c r="BZ182" s="12" t="n"/>
      <c r="CA182" s="11" t="n"/>
      <c r="CB182" s="11" t="n"/>
      <c r="CC182" s="11" t="n"/>
      <c r="CD182" s="11" t="n"/>
      <c r="CE182" s="12" t="n"/>
      <c r="CF182" s="11" t="n"/>
      <c r="CG182" s="11" t="n"/>
      <c r="CH182" s="11" t="n"/>
      <c r="CI182" s="11" t="n"/>
      <c r="CJ182" s="12" t="n"/>
      <c r="CK182" s="11" t="n"/>
      <c r="CL182" s="11" t="n"/>
      <c r="CM182" s="11" t="n"/>
      <c r="CN182" s="11" t="n"/>
      <c r="CO182" s="12" t="n"/>
      <c r="CP182" s="11" t="n"/>
      <c r="CQ182" s="11" t="n"/>
      <c r="CR182" s="11" t="n"/>
      <c r="CS182" s="11" t="n"/>
      <c r="CT182" s="12" t="n"/>
      <c r="CU182" s="11" t="n"/>
      <c r="CV182" s="11" t="n"/>
      <c r="CW182" s="11" t="n"/>
      <c r="CX182" s="11" t="n"/>
      <c r="CY182" s="12" t="n"/>
    </row>
    <row r="183" hidden="1" outlineLevel="1">
      <c r="C183" s="57" t="n"/>
      <c r="D183" s="12" t="n"/>
      <c r="E183" s="12" t="n"/>
      <c r="F183" s="12" t="n"/>
      <c r="G183" s="12" t="n"/>
      <c r="H183" s="12" t="n"/>
      <c r="I183" s="12" t="n"/>
      <c r="J183" s="12" t="n"/>
      <c r="K183" s="12" t="n"/>
      <c r="L183" s="12" t="n"/>
      <c r="M183" s="12" t="n"/>
      <c r="N183" s="12" t="n"/>
      <c r="O183" s="12" t="n"/>
      <c r="P183" s="12" t="n"/>
      <c r="Q183" s="12" t="n"/>
      <c r="R183" s="12" t="n"/>
      <c r="S183" s="12" t="n"/>
      <c r="T183" s="12" t="n"/>
      <c r="U183" s="12" t="n"/>
      <c r="V183" s="12" t="n"/>
      <c r="W183" s="12" t="n"/>
      <c r="X183" s="12" t="n"/>
      <c r="Y183" s="12" t="n"/>
      <c r="Z183" s="12" t="n"/>
      <c r="AA183" s="12" t="n"/>
      <c r="AB183" s="12" t="n"/>
      <c r="AC183" s="12" t="n"/>
      <c r="AD183" s="12" t="n"/>
      <c r="AE183" s="12" t="n"/>
      <c r="AF183" s="12" t="n"/>
      <c r="AG183" s="12" t="n"/>
      <c r="AH183" s="12" t="n"/>
      <c r="AI183" s="12" t="n"/>
      <c r="AJ183" s="12" t="n"/>
      <c r="AK183" s="12" t="n"/>
      <c r="AL183" s="12" t="n"/>
      <c r="AM183" s="12" t="n"/>
      <c r="AN183" s="12" t="n"/>
      <c r="AO183" s="12" t="n"/>
      <c r="AP183" s="12" t="n"/>
      <c r="AQ183" s="12" t="n"/>
      <c r="AR183" s="12" t="n"/>
      <c r="AS183" s="12" t="n"/>
      <c r="AT183" s="12" t="n"/>
      <c r="AU183" s="12" t="n"/>
      <c r="AV183" s="12" t="n"/>
      <c r="AW183" s="12" t="n"/>
      <c r="AX183" s="12" t="n"/>
      <c r="AY183" s="12" t="n"/>
      <c r="AZ183" s="12" t="n"/>
      <c r="BA183" s="12" t="n"/>
      <c r="BB183" s="12" t="n"/>
      <c r="BC183" s="12" t="n"/>
      <c r="BD183" s="12" t="n"/>
      <c r="BE183" s="12" t="n"/>
      <c r="BF183" s="12" t="n"/>
      <c r="BG183" s="12" t="n"/>
      <c r="BH183" s="12" t="n"/>
      <c r="BI183" s="12" t="n"/>
      <c r="BJ183" s="12" t="n"/>
      <c r="BK183" s="12" t="n"/>
      <c r="BL183" s="12" t="n"/>
      <c r="BM183" s="12" t="n"/>
      <c r="BN183" s="12" t="n"/>
      <c r="BO183" s="12" t="n"/>
      <c r="BP183" s="12" t="n"/>
      <c r="BQ183" s="12" t="n"/>
      <c r="BR183" s="12" t="n"/>
      <c r="BS183" s="12" t="n"/>
      <c r="BT183" s="12" t="n"/>
      <c r="BU183" s="12" t="n"/>
      <c r="BV183" s="12" t="n"/>
      <c r="BW183" s="12" t="n"/>
      <c r="BX183" s="12" t="n"/>
      <c r="BY183" s="12" t="n"/>
      <c r="BZ183" s="12" t="n"/>
      <c r="CA183" s="12" t="n"/>
      <c r="CB183" s="12" t="n"/>
      <c r="CC183" s="12" t="n"/>
      <c r="CD183" s="12" t="n"/>
      <c r="CE183" s="12" t="n"/>
      <c r="CF183" s="12" t="n"/>
      <c r="CG183" s="12" t="n"/>
      <c r="CH183" s="12" t="n"/>
      <c r="CI183" s="12" t="n"/>
      <c r="CJ183" s="12" t="n"/>
      <c r="CK183" s="12" t="n"/>
      <c r="CL183" s="12" t="n"/>
      <c r="CM183" s="12" t="n"/>
      <c r="CN183" s="12" t="n"/>
      <c r="CO183" s="12" t="n"/>
      <c r="CP183" s="12" t="n"/>
      <c r="CQ183" s="12" t="n"/>
      <c r="CR183" s="12" t="n"/>
      <c r="CS183" s="12" t="n"/>
      <c r="CT183" s="12" t="n"/>
      <c r="CU183" s="12" t="n"/>
      <c r="CV183" s="12" t="n"/>
      <c r="CW183" s="12" t="n"/>
      <c r="CX183" s="12" t="n"/>
      <c r="CY183" s="12" t="n"/>
    </row>
    <row r="184" hidden="1" outlineLevel="1">
      <c r="C184" s="57" t="n"/>
      <c r="D184" s="12" t="n"/>
      <c r="E184" s="12" t="n"/>
      <c r="F184" s="12" t="n"/>
      <c r="G184" s="12" t="n"/>
      <c r="H184" s="12" t="n"/>
      <c r="I184" s="12" t="n"/>
      <c r="J184" s="12" t="n"/>
      <c r="K184" s="12" t="n"/>
      <c r="L184" s="12" t="n"/>
      <c r="M184" s="12" t="n"/>
      <c r="N184" s="12" t="n"/>
      <c r="O184" s="12" t="n"/>
      <c r="P184" s="12" t="n"/>
      <c r="Q184" s="12" t="n"/>
      <c r="R184" s="12" t="n"/>
      <c r="S184" s="12" t="n"/>
      <c r="T184" s="12" t="n"/>
      <c r="U184" s="12" t="n"/>
      <c r="V184" s="12" t="n"/>
      <c r="W184" s="12" t="n"/>
      <c r="X184" s="12" t="n"/>
      <c r="Y184" s="12" t="n"/>
      <c r="Z184" s="12" t="n"/>
      <c r="AA184" s="12" t="n"/>
      <c r="AB184" s="12" t="n"/>
      <c r="AC184" s="12" t="n"/>
      <c r="AD184" s="12" t="n"/>
      <c r="AE184" s="12" t="n"/>
      <c r="AF184" s="12" t="n"/>
      <c r="AG184" s="12" t="n"/>
      <c r="AH184" s="12" t="n"/>
      <c r="AI184" s="12" t="n"/>
      <c r="AJ184" s="12" t="n"/>
      <c r="AK184" s="12" t="n"/>
      <c r="AL184" s="12" t="n"/>
      <c r="AM184" s="12" t="n"/>
      <c r="AN184" s="12" t="n"/>
      <c r="AO184" s="12" t="n"/>
      <c r="AP184" s="12" t="n"/>
      <c r="AQ184" s="12" t="n"/>
      <c r="AR184" s="12" t="n"/>
      <c r="AS184" s="12" t="n"/>
      <c r="AT184" s="12" t="n"/>
      <c r="AU184" s="12" t="n"/>
      <c r="AV184" s="12" t="n"/>
      <c r="AW184" s="12" t="n"/>
      <c r="AX184" s="12" t="n"/>
      <c r="AY184" s="12" t="n"/>
      <c r="AZ184" s="12" t="n"/>
      <c r="BA184" s="12" t="n"/>
      <c r="BB184" s="12" t="n"/>
      <c r="BC184" s="12" t="n"/>
      <c r="BD184" s="12" t="n"/>
      <c r="BE184" s="12" t="n"/>
      <c r="BF184" s="12" t="n"/>
      <c r="BG184" s="12" t="n"/>
      <c r="BH184" s="12" t="n"/>
      <c r="BI184" s="12" t="n"/>
      <c r="BJ184" s="12" t="n"/>
      <c r="BK184" s="12" t="n"/>
      <c r="BL184" s="12" t="n"/>
      <c r="BM184" s="12" t="n"/>
      <c r="BN184" s="12" t="n"/>
      <c r="BO184" s="12" t="n"/>
      <c r="BP184" s="12" t="n"/>
      <c r="BQ184" s="12" t="n"/>
      <c r="BR184" s="12" t="n"/>
      <c r="BS184" s="12" t="n"/>
      <c r="BT184" s="12" t="n"/>
      <c r="BU184" s="12" t="n"/>
      <c r="BV184" s="12" t="n"/>
      <c r="BW184" s="12" t="n"/>
      <c r="BX184" s="12" t="n"/>
      <c r="BY184" s="12" t="n"/>
      <c r="BZ184" s="12" t="n"/>
      <c r="CA184" s="12" t="n"/>
      <c r="CB184" s="12" t="n"/>
      <c r="CC184" s="12" t="n"/>
      <c r="CD184" s="12" t="n"/>
      <c r="CE184" s="12" t="n"/>
      <c r="CF184" s="12" t="n"/>
      <c r="CG184" s="12" t="n"/>
      <c r="CH184" s="12" t="n"/>
      <c r="CI184" s="12" t="n"/>
      <c r="CJ184" s="12" t="n"/>
      <c r="CK184" s="12" t="n"/>
      <c r="CL184" s="12" t="n"/>
      <c r="CM184" s="12" t="n"/>
      <c r="CN184" s="12" t="n"/>
      <c r="CO184" s="12" t="n"/>
      <c r="CP184" s="12" t="n"/>
      <c r="CQ184" s="12" t="n"/>
      <c r="CR184" s="12" t="n"/>
      <c r="CS184" s="12" t="n"/>
      <c r="CT184" s="12" t="n"/>
      <c r="CU184" s="12" t="n"/>
      <c r="CV184" s="12" t="n"/>
      <c r="CW184" s="12" t="n"/>
      <c r="CX184" s="12" t="n"/>
      <c r="CY184" s="12" t="n"/>
    </row>
    <row r="185" collapsed="1">
      <c r="C185" s="14" t="inlineStr">
        <is>
          <t>Accrued expenses</t>
        </is>
      </c>
      <c r="D185" s="46" t="n"/>
      <c r="E185" s="46" t="n"/>
      <c r="F185" s="46" t="n"/>
      <c r="G185" s="46" t="n"/>
      <c r="H185" s="12" t="n"/>
      <c r="I185" s="46">
        <f>'Inputs (2)'!D29</f>
        <v>5200</v>
      </c>
      <c r="J185" s="46">
        <f>'Inputs (2)'!E29</f>
        <v>5564</v>
      </c>
      <c r="K185" s="46">
        <f>'Inputs (2)'!F29</f>
        <v>5964</v>
      </c>
      <c r="L185" s="46">
        <f>'Inputs (2)'!G29</f>
        <v>6642</v>
      </c>
      <c r="M185" s="12">
        <f>'Inputs (2)'!H29</f>
        <v>6642</v>
      </c>
      <c r="N185" s="46">
        <f>'Inputs (2)'!I29</f>
        <v>5954</v>
      </c>
      <c r="O185" s="46">
        <f>'Inputs (2)'!J29</f>
        <v>6111</v>
      </c>
      <c r="P185" s="46">
        <f>'Inputs (2)'!K29</f>
        <v>6888</v>
      </c>
      <c r="Q185" s="46">
        <f>'Inputs (2)'!L29</f>
        <v>7801</v>
      </c>
      <c r="R185" s="12">
        <f>'Inputs (2)'!M29</f>
        <v>7801</v>
      </c>
      <c r="S185" s="46">
        <f>'Inputs (2)'!N29</f>
        <v>7310</v>
      </c>
      <c r="T185" s="46">
        <f>'Inputs (2)'!O29</f>
        <v>7117</v>
      </c>
      <c r="U185" s="46">
        <f>'Inputs (2)'!P29</f>
        <v>7775</v>
      </c>
      <c r="V185" s="46">
        <f>'Inputs (2)'!Q29</f>
        <v>8517</v>
      </c>
      <c r="W185" s="12">
        <f>'Inputs (2)'!R29</f>
        <v>8517</v>
      </c>
      <c r="X185" s="46">
        <f>'Inputs (2)'!S29</f>
        <v>8062</v>
      </c>
      <c r="Y185" s="46">
        <f>'Inputs (2)'!T29</f>
        <v>8007</v>
      </c>
      <c r="Z185" s="46">
        <f>'Inputs (2)'!U29</f>
        <v>9105</v>
      </c>
      <c r="AA185" s="46">
        <f>'Inputs (2)'!V29</f>
        <v>10393</v>
      </c>
      <c r="AB185" s="12">
        <f>'Inputs (2)'!W29</f>
        <v>10393</v>
      </c>
      <c r="AC185" s="46">
        <f>'Inputs (2)'!X29</f>
        <v>9263</v>
      </c>
      <c r="AD185" s="46">
        <f>'Inputs (2)'!Y29</f>
        <v>10116</v>
      </c>
      <c r="AE185" s="46">
        <f>'Inputs (2)'!Z29</f>
        <v>11979</v>
      </c>
      <c r="AF185" s="46">
        <f>'Inputs (2)'!AA29</f>
        <v>13272</v>
      </c>
      <c r="AG185" s="12">
        <f>'Inputs (2)'!AB29</f>
        <v>13272</v>
      </c>
      <c r="AH185" s="12">
        <f>'Inputs (2)'!AC29</f>
        <v>12327</v>
      </c>
      <c r="AI185" s="12">
        <f>'Inputs (2)'!AD29</f>
        <v>13027</v>
      </c>
      <c r="AJ185" s="12">
        <f>AI185*(1+AJ16)</f>
        <v>15095.3520115566</v>
      </c>
      <c r="AK185" s="12">
        <f>AJ185*(1+AK16)</f>
        <v>17492.1050397487</v>
      </c>
      <c r="AL185" s="12">
        <f>AK185</f>
        <v>17492.1050397487</v>
      </c>
      <c r="AM185" s="12">
        <f>AL185*(1+AM16)</f>
        <v>20269.400706082</v>
      </c>
      <c r="AN185" s="12">
        <f>AM185*(1+AN16)</f>
        <v>23487.6593783374</v>
      </c>
      <c r="AO185" s="12">
        <f>AN185*(1+AO16)</f>
        <v>27216.894622211</v>
      </c>
      <c r="AP185" s="12">
        <f>AO185*(1+AP16)</f>
        <v>31538.2363540122</v>
      </c>
      <c r="AQ185" s="12">
        <f>AP185</f>
        <v>31538.2363540122</v>
      </c>
      <c r="AR185" s="12">
        <f>AQ185*(1+AR16)</f>
        <v>36388.0046490034</v>
      </c>
      <c r="AS185" s="12">
        <f>AR185*(1+AS16)</f>
        <v>41983.5423729218</v>
      </c>
      <c r="AT185" s="12">
        <f>AS185*(1+AT16)</f>
        <v>48439.529652176</v>
      </c>
      <c r="AU185" s="12">
        <f>AT185*(1+AU16)</f>
        <v>55888.2814623425</v>
      </c>
      <c r="AV185" s="12">
        <f>AU185</f>
        <v>55888.2814623425</v>
      </c>
      <c r="AW185" s="12">
        <f>AV185*(1+AW16)</f>
        <v>64203.0180063649</v>
      </c>
      <c r="AX185" s="12">
        <f>AW185*(1+AX16)</f>
        <v>73754.7731522757</v>
      </c>
      <c r="AY185" s="12">
        <f>AX185*(1+AY16)</f>
        <v>84727.5834012098</v>
      </c>
      <c r="AZ185" s="12">
        <f>AY185*(1+AZ16)</f>
        <v>97332.8651447077</v>
      </c>
      <c r="BA185" s="12">
        <f>AZ185</f>
        <v>97332.8651447077</v>
      </c>
      <c r="BB185" s="12">
        <f>BA185*(1+BB16)</f>
        <v>111326.823761352</v>
      </c>
      <c r="BC185" s="12">
        <f>BB185*(1+BC16)</f>
        <v>127332.753128813</v>
      </c>
      <c r="BD185" s="12">
        <f>BC185*(1+BD16)</f>
        <v>145639.922810695</v>
      </c>
      <c r="BE185" s="12">
        <f>BD185*(1+BE16)</f>
        <v>166579.19188198</v>
      </c>
      <c r="BF185" s="12">
        <f>BE185</f>
        <v>166579.19188198</v>
      </c>
      <c r="BG185" s="12" t="n"/>
      <c r="BH185" s="12" t="n"/>
      <c r="BI185" s="12" t="n"/>
      <c r="BJ185" s="12" t="n"/>
      <c r="BK185" s="12" t="n"/>
      <c r="BL185" s="12" t="n"/>
      <c r="BM185" s="12" t="n"/>
      <c r="BN185" s="12" t="n"/>
      <c r="BO185" s="12" t="n"/>
      <c r="BP185" s="12" t="n"/>
      <c r="BQ185" s="12" t="n"/>
      <c r="BR185" s="12" t="n"/>
      <c r="BS185" s="12" t="n"/>
      <c r="BT185" s="12" t="n"/>
      <c r="BU185" s="12" t="n"/>
      <c r="BV185" s="12" t="n"/>
      <c r="BW185" s="12" t="n"/>
      <c r="BX185" s="12" t="n"/>
      <c r="BY185" s="12" t="n"/>
      <c r="BZ185" s="12" t="n"/>
      <c r="CA185" s="12" t="n"/>
      <c r="CB185" s="12" t="n"/>
      <c r="CC185" s="12" t="n"/>
      <c r="CD185" s="12" t="n"/>
      <c r="CE185" s="12" t="n"/>
      <c r="CF185" s="12" t="n"/>
      <c r="CG185" s="12" t="n"/>
      <c r="CH185" s="12" t="n"/>
      <c r="CI185" s="12" t="n"/>
      <c r="CJ185" s="12" t="n"/>
      <c r="CK185" s="12" t="n"/>
      <c r="CL185" s="12" t="n"/>
      <c r="CM185" s="12" t="n"/>
      <c r="CN185" s="12" t="n"/>
      <c r="CO185" s="12" t="n"/>
      <c r="CP185" s="12" t="n"/>
      <c r="CQ185" s="12" t="n"/>
      <c r="CR185" s="12" t="n"/>
      <c r="CS185" s="12" t="n"/>
      <c r="CT185" s="12" t="n"/>
      <c r="CU185" s="12" t="n"/>
      <c r="CV185" s="12" t="n"/>
      <c r="CW185" s="12" t="n"/>
      <c r="CX185" s="12" t="n"/>
      <c r="CY185" s="12" t="n"/>
    </row>
    <row r="186" hidden="1" outlineLevel="1">
      <c r="C186" s="59" t="inlineStr">
        <is>
          <t>%(Var.)</t>
        </is>
      </c>
      <c r="D186" s="12" t="n"/>
      <c r="E186" s="40" t="n"/>
      <c r="F186" s="40" t="n"/>
      <c r="G186" s="40" t="n"/>
      <c r="H186" s="12" t="n"/>
      <c r="I186" s="40" t="str">
        <f>""</f>
        <v/>
      </c>
      <c r="J186" s="40">
        <f>IFERROR(IF(I185=0,"",J185/I185-1),"")</f>
        <v>0.0700000000000001</v>
      </c>
      <c r="K186" s="40">
        <f>IFERROR(IF(J185=0,"",K185/J185-1),"")</f>
        <v>0.0718907260963335</v>
      </c>
      <c r="L186" s="40">
        <f>IFERROR(IF(K185=0,"",L185/K185-1),"")</f>
        <v>0.113682092555332</v>
      </c>
      <c r="M186" s="12">
        <f>IF(L185=0,"",M185/L185-1)</f>
        <v>0</v>
      </c>
      <c r="N186" s="40">
        <f>IFERROR(IF(M185=0,"",N185/M185-1),"")</f>
        <v>-0.103583258054803</v>
      </c>
      <c r="O186" s="40">
        <f>IFERROR(IF(N185=0,"",O185/N185-1),"")</f>
        <v>0.0263688276788714</v>
      </c>
      <c r="P186" s="40">
        <f>IFERROR(IF(O185=0,"",P185/O185-1),"")</f>
        <v>0.127147766323024</v>
      </c>
      <c r="Q186" s="40">
        <f>IFERROR(IF(P185=0,"",Q185/P185-1),"")</f>
        <v>0.132549361207898</v>
      </c>
      <c r="R186" s="12">
        <f>IF(Q185=0,"",R185/Q185-1)</f>
        <v>0</v>
      </c>
      <c r="S186" s="40">
        <f>IFERROR(IF(R185=0,"",S185/R185-1),"")</f>
        <v>-0.0629406486347904</v>
      </c>
      <c r="T186" s="40">
        <f>IFERROR(IF(S185=0,"",T185/S185-1),"")</f>
        <v>-0.0264021887824898</v>
      </c>
      <c r="U186" s="40">
        <f>IFERROR(IF(T185=0,"",U185/T185-1),"")</f>
        <v>0.0924546859631867</v>
      </c>
      <c r="V186" s="40">
        <f>IFERROR(IF(U185=0,"",V185/U185-1),"")</f>
        <v>0.0954340836012861</v>
      </c>
      <c r="W186" s="12">
        <f>IF(V185=0,"",W185/V185-1)</f>
        <v>0</v>
      </c>
      <c r="X186" s="40">
        <f>IFERROR(IF(W185=0,"",X185/W185-1),"")</f>
        <v>-0.053422566631443</v>
      </c>
      <c r="Y186" s="40">
        <f>IFERROR(IF(X185=0,"",Y185/X185-1),"")</f>
        <v>-0.00682212850409325</v>
      </c>
      <c r="Z186" s="40">
        <f>IFERROR(IF(Y185=0,"",Z185/Y185-1),"")</f>
        <v>0.137130011240165</v>
      </c>
      <c r="AA186" s="40">
        <f>IFERROR(IF(Z185=0,"",AA185/Z185-1),"")</f>
        <v>0.141460735859418</v>
      </c>
      <c r="AB186" s="12">
        <f>IF(AA185=0,"",AB185/AA185-1)</f>
        <v>0</v>
      </c>
      <c r="AC186" s="40">
        <f>IFERROR(IF(AB185=0,"",AC185/AB185-1),"")</f>
        <v>-0.108727027807178</v>
      </c>
      <c r="AD186" s="40">
        <f>IFERROR(IF(AC185=0,"",AD185/AC185-1),"")</f>
        <v>0.0920867969340387</v>
      </c>
      <c r="AE186" s="40">
        <f>IFERROR(IF(AD185=0,"",AE185/AD185-1),"")</f>
        <v>0.184163701067616</v>
      </c>
      <c r="AF186" s="55">
        <f>IFERROR(IF(AE185=0,"",AF185/AE185-1),"")</f>
        <v>0.10793889306286</v>
      </c>
      <c r="AG186" s="12">
        <f>IF(AF185=0,"",AG185/AF185-1)</f>
        <v>0</v>
      </c>
      <c r="AH186" s="55">
        <f>IFERROR(IF(AG185=0,"",AH185/AG185-1),"")</f>
        <v>-0.0712025316455697</v>
      </c>
      <c r="AI186" s="55">
        <f>IFERROR(IF(AH185=0,"",AI185/AH185-1),"")</f>
        <v>0.0567859170925611</v>
      </c>
      <c r="AJ186" s="55">
        <f>IFERROR(IF(AI185=0,"",AJ185/AI185-1),"")</f>
        <v>0.158774239007954</v>
      </c>
      <c r="AK186" s="55">
        <f>IF(AJ185=0,"",AK185/AJ185-1)</f>
        <v>0.158774239007954</v>
      </c>
      <c r="AL186" s="12">
        <f>IF(AK185=0,"",AL185/AK185-1)</f>
        <v>0</v>
      </c>
      <c r="AM186" s="55">
        <f>IF(AL185=0,"",AM185/AL185-1)</f>
        <v>0.158774239007954</v>
      </c>
      <c r="AN186" s="55">
        <f>IF(AM185=0,"",AN185/AM185-1)</f>
        <v>0.158774239007954</v>
      </c>
      <c r="AO186" s="55">
        <f>IF(AN185=0,"",AO185/AN185-1)</f>
        <v>0.158774239007954</v>
      </c>
      <c r="AP186" s="55">
        <f>IF(AO185=0,"",AP185/AO185-1)</f>
        <v>0.158774239007954</v>
      </c>
      <c r="AQ186" s="12">
        <f>IF(AP185=0,"",AQ185/AP185-1)</f>
        <v>0</v>
      </c>
      <c r="AR186" s="55">
        <f>IF(AQ185=0,"",AR185/AQ185-1)</f>
        <v>0.153774239007954</v>
      </c>
      <c r="AS186" s="55">
        <f>IF(AR185=0,"",AS185/AR185-1)</f>
        <v>0.153774239007954</v>
      </c>
      <c r="AT186" s="55">
        <f>IF(AS185=0,"",AT185/AS185-1)</f>
        <v>0.153774239007954</v>
      </c>
      <c r="AU186" s="55">
        <f>IF(AT185=0,"",AU185/AT185-1)</f>
        <v>0.153774239007954</v>
      </c>
      <c r="AV186" s="12">
        <f>IF(AU185=0,"",AV185/AU185-1)</f>
        <v>0</v>
      </c>
      <c r="AW186" s="55">
        <f>IF(AV185=0,"",AW185/AV185-1)</f>
        <v>0.148774239007953</v>
      </c>
      <c r="AX186" s="55">
        <f>IF(AW185=0,"",AX185/AW185-1)</f>
        <v>0.148774239007953</v>
      </c>
      <c r="AY186" s="55">
        <f>IF(AX185=0,"",AY185/AX185-1)</f>
        <v>0.148774239007953</v>
      </c>
      <c r="AZ186" s="55">
        <f>IF(AY185=0,"",AZ185/AY185-1)</f>
        <v>0.148774239007953</v>
      </c>
      <c r="BA186" s="12">
        <f>IF(AZ185=0,"",BA185/AZ185-1)</f>
        <v>0</v>
      </c>
      <c r="BB186" s="55">
        <f>IF(BA185=0,"",BB185/BA185-1)</f>
        <v>0.143774239007954</v>
      </c>
      <c r="BC186" s="55">
        <f>IF(BB185=0,"",BC185/BB185-1)</f>
        <v>0.143774239007954</v>
      </c>
      <c r="BD186" s="55">
        <f>IF(BC185=0,"",BD185/BC185-1)</f>
        <v>0.143774239007954</v>
      </c>
      <c r="BE186" s="55">
        <f>IF(BD185=0,"",BE185/BD185-1)</f>
        <v>0.143774239007954</v>
      </c>
      <c r="BF186" s="12">
        <f>IF(BE185=0,"",BF185/BE185-1)</f>
        <v>0</v>
      </c>
      <c r="BG186" s="55" t="n"/>
      <c r="BH186" s="55" t="n"/>
      <c r="BI186" s="55" t="n"/>
      <c r="BJ186" s="55" t="n"/>
      <c r="BK186" s="12" t="n"/>
      <c r="BL186" s="55" t="n"/>
      <c r="BM186" s="55" t="n"/>
      <c r="BN186" s="55" t="n"/>
      <c r="BO186" s="55" t="n"/>
      <c r="BP186" s="12" t="n"/>
      <c r="BQ186" s="55" t="n"/>
      <c r="BR186" s="55" t="n"/>
      <c r="BS186" s="55" t="n"/>
      <c r="BT186" s="55" t="n"/>
      <c r="BU186" s="12" t="n"/>
      <c r="BV186" s="55" t="n"/>
      <c r="BW186" s="55" t="n"/>
      <c r="BX186" s="55" t="n"/>
      <c r="BY186" s="55" t="n"/>
      <c r="BZ186" s="12" t="n"/>
      <c r="CA186" s="55" t="n"/>
      <c r="CB186" s="55" t="n"/>
      <c r="CC186" s="55" t="n"/>
      <c r="CD186" s="55" t="n"/>
      <c r="CE186" s="12" t="n"/>
      <c r="CF186" s="55" t="n"/>
      <c r="CG186" s="55" t="n"/>
      <c r="CH186" s="55" t="n"/>
      <c r="CI186" s="55" t="n"/>
      <c r="CJ186" s="12" t="n"/>
      <c r="CK186" s="55" t="n"/>
      <c r="CL186" s="55" t="n"/>
      <c r="CM186" s="55" t="n"/>
      <c r="CN186" s="55" t="n"/>
      <c r="CO186" s="12" t="n"/>
      <c r="CP186" s="55" t="n"/>
      <c r="CQ186" s="55" t="n"/>
      <c r="CR186" s="55" t="n"/>
      <c r="CS186" s="55" t="n"/>
      <c r="CT186" s="12" t="n"/>
      <c r="CU186" s="55" t="n"/>
      <c r="CV186" s="55" t="n"/>
      <c r="CW186" s="55" t="n"/>
      <c r="CX186" s="55" t="n"/>
      <c r="CY186" s="12" t="n"/>
    </row>
    <row r="187" collapsed="1">
      <c r="C187" s="14" t="inlineStr">
        <is>
          <t>Taxes payable</t>
        </is>
      </c>
      <c r="D187" s="46" t="n"/>
      <c r="E187" s="46" t="n"/>
      <c r="F187" s="46" t="n"/>
      <c r="G187" s="46" t="n"/>
      <c r="H187" s="12" t="n"/>
      <c r="I187" s="46">
        <f>'Inputs (2)'!D30</f>
        <v>0</v>
      </c>
      <c r="J187" s="46">
        <f>'Inputs (2)'!E30</f>
        <v>0</v>
      </c>
      <c r="K187" s="46">
        <f>'Inputs (2)'!F30</f>
        <v>0</v>
      </c>
      <c r="L187" s="46">
        <f>'Inputs (2)'!G30</f>
        <v>0</v>
      </c>
      <c r="M187" s="12">
        <f>'Inputs (2)'!H30</f>
        <v>0</v>
      </c>
      <c r="N187" s="46">
        <f>'Inputs (2)'!I30</f>
        <v>0</v>
      </c>
      <c r="O187" s="46">
        <f>'Inputs (2)'!J30</f>
        <v>0</v>
      </c>
      <c r="P187" s="46">
        <f>'Inputs (2)'!K30</f>
        <v>0</v>
      </c>
      <c r="Q187" s="46">
        <f>'Inputs (2)'!L30</f>
        <v>0</v>
      </c>
      <c r="R187" s="12">
        <f>'Inputs (2)'!M30</f>
        <v>0</v>
      </c>
      <c r="S187" s="46">
        <f>'Inputs (2)'!N30</f>
        <v>0</v>
      </c>
      <c r="T187" s="46">
        <f>'Inputs (2)'!O30</f>
        <v>0</v>
      </c>
      <c r="U187" s="46">
        <f>'Inputs (2)'!P30</f>
        <v>0</v>
      </c>
      <c r="V187" s="46">
        <f>'Inputs (2)'!Q30</f>
        <v>0</v>
      </c>
      <c r="W187" s="12">
        <f>'Inputs (2)'!R30</f>
        <v>0</v>
      </c>
      <c r="X187" s="46">
        <f>'Inputs (2)'!S30</f>
        <v>0</v>
      </c>
      <c r="Y187" s="46">
        <f>'Inputs (2)'!T30</f>
        <v>0</v>
      </c>
      <c r="Z187" s="46">
        <f>'Inputs (2)'!U30</f>
        <v>0</v>
      </c>
      <c r="AA187" s="46">
        <f>'Inputs (2)'!V30</f>
        <v>0</v>
      </c>
      <c r="AB187" s="12">
        <f>'Inputs (2)'!W30</f>
        <v>0</v>
      </c>
      <c r="AC187" s="46">
        <f>'Inputs (2)'!X30</f>
        <v>0</v>
      </c>
      <c r="AD187" s="46">
        <f>'Inputs (2)'!Y30</f>
        <v>0</v>
      </c>
      <c r="AE187" s="46">
        <f>'Inputs (2)'!Z30</f>
        <v>0</v>
      </c>
      <c r="AF187" s="46">
        <f>'Inputs (2)'!AA30</f>
        <v>0</v>
      </c>
      <c r="AG187" s="12">
        <f>'Inputs (2)'!AB30</f>
        <v>0</v>
      </c>
      <c r="AH187" s="12">
        <f>'Inputs (2)'!AC30</f>
        <v>0</v>
      </c>
      <c r="AI187" s="12">
        <f>'Inputs (2)'!AD30</f>
        <v>0</v>
      </c>
      <c r="AJ187" s="12">
        <f>AI187*(1+AJ16)</f>
        <v>0</v>
      </c>
      <c r="AK187" s="12">
        <f>AJ187*(1+AK16)</f>
        <v>0</v>
      </c>
      <c r="AL187" s="12">
        <f>AK187</f>
        <v>0</v>
      </c>
      <c r="AM187" s="12">
        <f>AL187*(1+AM16)</f>
        <v>0</v>
      </c>
      <c r="AN187" s="12">
        <f>AM187*(1+AN16)</f>
        <v>0</v>
      </c>
      <c r="AO187" s="12">
        <f>AN187*(1+AO16)</f>
        <v>0</v>
      </c>
      <c r="AP187" s="12">
        <f>AO187*(1+AP16)</f>
        <v>0</v>
      </c>
      <c r="AQ187" s="12">
        <f>AP187</f>
        <v>0</v>
      </c>
      <c r="AR187" s="12">
        <f>AQ187*(1+AR16)</f>
        <v>0</v>
      </c>
      <c r="AS187" s="12">
        <f>AR187*(1+AS16)</f>
        <v>0</v>
      </c>
      <c r="AT187" s="12">
        <f>AS187*(1+AT16)</f>
        <v>0</v>
      </c>
      <c r="AU187" s="12">
        <f>AT187*(1+AU16)</f>
        <v>0</v>
      </c>
      <c r="AV187" s="12">
        <f>AU187</f>
        <v>0</v>
      </c>
      <c r="AW187" s="12">
        <f>AV187*(1+AW16)</f>
        <v>0</v>
      </c>
      <c r="AX187" s="12">
        <f>AW187*(1+AX16)</f>
        <v>0</v>
      </c>
      <c r="AY187" s="12">
        <f>AX187*(1+AY16)</f>
        <v>0</v>
      </c>
      <c r="AZ187" s="12">
        <f>AY187*(1+AZ16)</f>
        <v>0</v>
      </c>
      <c r="BA187" s="12">
        <f>AZ187</f>
        <v>0</v>
      </c>
      <c r="BB187" s="12">
        <f>BA187*(1+BB16)</f>
        <v>0</v>
      </c>
      <c r="BC187" s="12">
        <f>BB187*(1+BC16)</f>
        <v>0</v>
      </c>
      <c r="BD187" s="12">
        <f>BC187*(1+BD16)</f>
        <v>0</v>
      </c>
      <c r="BE187" s="12">
        <f>BD187*(1+BE16)</f>
        <v>0</v>
      </c>
      <c r="BF187" s="12">
        <f>BE187</f>
        <v>0</v>
      </c>
      <c r="BG187" s="12" t="n"/>
      <c r="BH187" s="12" t="n"/>
      <c r="BI187" s="12" t="n"/>
      <c r="BJ187" s="12" t="n"/>
      <c r="BK187" s="12" t="n"/>
      <c r="BL187" s="12" t="n"/>
      <c r="BM187" s="12" t="n"/>
      <c r="BN187" s="12" t="n"/>
      <c r="BO187" s="12" t="n"/>
      <c r="BP187" s="12" t="n"/>
      <c r="BQ187" s="12" t="n"/>
      <c r="BR187" s="12" t="n"/>
      <c r="BS187" s="12" t="n"/>
      <c r="BT187" s="12" t="n"/>
      <c r="BU187" s="12" t="n"/>
      <c r="BV187" s="12" t="n"/>
      <c r="BW187" s="12" t="n"/>
      <c r="BX187" s="12" t="n"/>
      <c r="BY187" s="12" t="n"/>
      <c r="BZ187" s="12" t="n"/>
      <c r="CA187" s="12" t="n"/>
      <c r="CB187" s="12" t="n"/>
      <c r="CC187" s="12" t="n"/>
      <c r="CD187" s="12" t="n"/>
      <c r="CE187" s="12" t="n"/>
      <c r="CF187" s="12" t="n"/>
      <c r="CG187" s="12" t="n"/>
      <c r="CH187" s="12" t="n"/>
      <c r="CI187" s="12" t="n"/>
      <c r="CJ187" s="12" t="n"/>
      <c r="CK187" s="12" t="n"/>
      <c r="CL187" s="12" t="n"/>
      <c r="CM187" s="12" t="n"/>
      <c r="CN187" s="12" t="n"/>
      <c r="CO187" s="12" t="n"/>
      <c r="CP187" s="12" t="n"/>
      <c r="CQ187" s="12" t="n"/>
      <c r="CR187" s="12" t="n"/>
      <c r="CS187" s="12" t="n"/>
      <c r="CT187" s="12" t="n"/>
      <c r="CU187" s="12" t="n"/>
      <c r="CV187" s="12" t="n"/>
      <c r="CW187" s="12" t="n"/>
      <c r="CX187" s="12" t="n"/>
      <c r="CY187" s="12" t="n"/>
    </row>
    <row r="188">
      <c r="C188" s="14" t="inlineStr">
        <is>
          <t>Other current liabilities (non-debt)</t>
        </is>
      </c>
      <c r="D188" s="46" t="n"/>
      <c r="E188" s="46" t="n"/>
      <c r="F188" s="46" t="n"/>
      <c r="G188" s="46" t="n"/>
      <c r="H188" s="12" t="n"/>
      <c r="I188" s="46">
        <f>'Inputs (2)'!D31</f>
        <v>5150</v>
      </c>
      <c r="J188" s="46">
        <f>'Inputs (2)'!E31</f>
        <v>4537</v>
      </c>
      <c r="K188" s="46">
        <f>'Inputs (2)'!F31</f>
        <v>4390</v>
      </c>
      <c r="L188" s="46">
        <f>'Inputs (2)'!G31</f>
        <v>4990</v>
      </c>
      <c r="M188" s="12">
        <f>'Inputs (2)'!H31</f>
        <v>4990</v>
      </c>
      <c r="N188" s="46">
        <f>'Inputs (2)'!I31</f>
        <v>4530</v>
      </c>
      <c r="O188" s="46">
        <f>'Inputs (2)'!J31</f>
        <v>4606</v>
      </c>
      <c r="P188" s="46">
        <f>'Inputs (2)'!K31</f>
        <v>5016</v>
      </c>
      <c r="Q188" s="46">
        <f>'Inputs (2)'!L31</f>
        <v>5170</v>
      </c>
      <c r="R188" s="12">
        <f>'Inputs (2)'!M31</f>
        <v>5170</v>
      </c>
      <c r="S188" s="46">
        <f>'Inputs (2)'!N31</f>
        <v>5330</v>
      </c>
      <c r="T188" s="46">
        <f>'Inputs (2)'!O31</f>
        <v>5540</v>
      </c>
      <c r="U188" s="46">
        <f>'Inputs (2)'!P31</f>
        <v>4818</v>
      </c>
      <c r="V188" s="46">
        <f>'Inputs (2)'!Q31</f>
        <v>5576</v>
      </c>
      <c r="W188" s="12">
        <f>'Inputs (2)'!R31</f>
        <v>5576</v>
      </c>
      <c r="X188" s="46">
        <f>'Inputs (2)'!S31</f>
        <v>5967</v>
      </c>
      <c r="Y188" s="46">
        <f>'Inputs (2)'!T31</f>
        <v>5666</v>
      </c>
      <c r="Z188" s="46">
        <f>'Inputs (2)'!U31</f>
        <v>6528</v>
      </c>
      <c r="AA188" s="46">
        <f>'Inputs (2)'!V31</f>
        <v>7148</v>
      </c>
      <c r="AB188" s="12">
        <f>'Inputs (2)'!W31</f>
        <v>7148</v>
      </c>
      <c r="AC188" s="46">
        <f>'Inputs (2)'!X31</f>
        <v>7572</v>
      </c>
      <c r="AD188" s="46">
        <f>'Inputs (2)'!Y31</f>
        <v>8095</v>
      </c>
      <c r="AE188" s="46">
        <f>'Inputs (2)'!Z31</f>
        <v>7779</v>
      </c>
      <c r="AF188" s="46">
        <f>'Inputs (2)'!AA31</f>
        <v>7742</v>
      </c>
      <c r="AG188" s="12">
        <f>'Inputs (2)'!AB31</f>
        <v>7742</v>
      </c>
      <c r="AH188" s="12">
        <f>'Inputs (2)'!AC31</f>
        <v>7829</v>
      </c>
      <c r="AI188" s="12">
        <f>'Inputs (2)'!AD31</f>
        <v>8388</v>
      </c>
      <c r="AJ188" s="12">
        <f>AI188</f>
        <v>8388</v>
      </c>
      <c r="AK188" s="12">
        <f>AJ188</f>
        <v>8388</v>
      </c>
      <c r="AL188" s="12">
        <f>AK188</f>
        <v>8388</v>
      </c>
      <c r="AM188" s="12">
        <f>AL188</f>
        <v>8388</v>
      </c>
      <c r="AN188" s="12">
        <f>AM188</f>
        <v>8388</v>
      </c>
      <c r="AO188" s="12">
        <f>AN188</f>
        <v>8388</v>
      </c>
      <c r="AP188" s="12">
        <f>AO188</f>
        <v>8388</v>
      </c>
      <c r="AQ188" s="12">
        <f>AP188</f>
        <v>8388</v>
      </c>
      <c r="AR188" s="12">
        <f>AQ188</f>
        <v>8388</v>
      </c>
      <c r="AS188" s="12">
        <f>AR188</f>
        <v>8388</v>
      </c>
      <c r="AT188" s="12">
        <f>AS188</f>
        <v>8388</v>
      </c>
      <c r="AU188" s="12">
        <f>AT188</f>
        <v>8388</v>
      </c>
      <c r="AV188" s="12">
        <f>AU188</f>
        <v>8388</v>
      </c>
      <c r="AW188" s="12">
        <f>AV188</f>
        <v>8388</v>
      </c>
      <c r="AX188" s="12">
        <f>AW188</f>
        <v>8388</v>
      </c>
      <c r="AY188" s="12">
        <f>AX188</f>
        <v>8388</v>
      </c>
      <c r="AZ188" s="12">
        <f>AY188</f>
        <v>8388</v>
      </c>
      <c r="BA188" s="12">
        <f>AZ188</f>
        <v>8388</v>
      </c>
      <c r="BB188" s="12">
        <f>BA188</f>
        <v>8388</v>
      </c>
      <c r="BC188" s="12">
        <f>BB188</f>
        <v>8388</v>
      </c>
      <c r="BD188" s="12">
        <f>BC188</f>
        <v>8388</v>
      </c>
      <c r="BE188" s="12">
        <f>BD188</f>
        <v>8388</v>
      </c>
      <c r="BF188" s="12">
        <f>BE188</f>
        <v>8388</v>
      </c>
      <c r="BG188" s="12" t="n"/>
      <c r="BH188" s="12" t="n"/>
      <c r="BI188" s="12" t="n"/>
      <c r="BJ188" s="12" t="n"/>
      <c r="BK188" s="12" t="n"/>
      <c r="BL188" s="12" t="n"/>
      <c r="BM188" s="12" t="n"/>
      <c r="BN188" s="12" t="n"/>
      <c r="BO188" s="12" t="n"/>
      <c r="BP188" s="12" t="n"/>
      <c r="BQ188" s="12" t="n"/>
      <c r="BR188" s="12" t="n"/>
      <c r="BS188" s="12" t="n"/>
      <c r="BT188" s="12" t="n"/>
      <c r="BU188" s="12" t="n"/>
      <c r="BV188" s="12" t="n"/>
      <c r="BW188" s="12" t="n"/>
      <c r="BX188" s="12" t="n"/>
      <c r="BY188" s="12" t="n"/>
      <c r="BZ188" s="12" t="n"/>
      <c r="CA188" s="12" t="n"/>
      <c r="CB188" s="12" t="n"/>
      <c r="CC188" s="12" t="n"/>
      <c r="CD188" s="12" t="n"/>
      <c r="CE188" s="12" t="n"/>
      <c r="CF188" s="12" t="n"/>
      <c r="CG188" s="12" t="n"/>
      <c r="CH188" s="12" t="n"/>
      <c r="CI188" s="12" t="n"/>
      <c r="CJ188" s="12" t="n"/>
      <c r="CK188" s="12" t="n"/>
      <c r="CL188" s="12" t="n"/>
      <c r="CM188" s="12" t="n"/>
      <c r="CN188" s="12" t="n"/>
      <c r="CO188" s="12" t="n"/>
      <c r="CP188" s="12" t="n"/>
      <c r="CQ188" s="12" t="n"/>
      <c r="CR188" s="12" t="n"/>
      <c r="CS188" s="12" t="n"/>
      <c r="CT188" s="12" t="n"/>
      <c r="CU188" s="12" t="n"/>
      <c r="CV188" s="12" t="n"/>
      <c r="CW188" s="12" t="n"/>
      <c r="CX188" s="12" t="n"/>
      <c r="CY188" s="12" t="n"/>
    </row>
    <row r="189" hidden="1" outlineLevel="1">
      <c r="C189" s="59" t="inlineStr">
        <is>
          <t>%(Var.)</t>
        </is>
      </c>
      <c r="D189" s="12" t="n"/>
      <c r="E189" s="40" t="n"/>
      <c r="F189" s="40" t="n"/>
      <c r="G189" s="40" t="n"/>
      <c r="H189" s="12" t="n"/>
      <c r="I189" s="40" t="str">
        <f>""</f>
        <v/>
      </c>
      <c r="J189" s="40">
        <f>IFERROR(IF(I188=0,"",J188/I188-1),"")</f>
        <v>-0.119029126213592</v>
      </c>
      <c r="K189" s="40">
        <f>IFERROR(IF(J188=0,"",K188/J188-1),"")</f>
        <v>-0.032400264491955</v>
      </c>
      <c r="L189" s="40">
        <f>IFERROR(IF(K188=0,"",L188/K188-1),"")</f>
        <v>0.136674259681093</v>
      </c>
      <c r="M189" s="12">
        <f>IF(L188=0,"",M188/L188-1)</f>
        <v>0</v>
      </c>
      <c r="N189" s="40">
        <f>IFERROR(IF(M188=0,"",N188/M188-1),"")</f>
        <v>-0.0921843687374749</v>
      </c>
      <c r="O189" s="40">
        <f>IFERROR(IF(N188=0,"",O188/N188-1),"")</f>
        <v>0.0167770419426048</v>
      </c>
      <c r="P189" s="40">
        <f>IFERROR(IF(O188=0,"",P188/O188-1),"")</f>
        <v>0.0890143291359098</v>
      </c>
      <c r="Q189" s="40">
        <f>IFERROR(IF(P188=0,"",Q188/P188-1),"")</f>
        <v>0.0307017543859649</v>
      </c>
      <c r="R189" s="12">
        <f>IF(Q188=0,"",R188/Q188-1)</f>
        <v>0</v>
      </c>
      <c r="S189" s="40">
        <f>IFERROR(IF(R188=0,"",S188/R188-1),"")</f>
        <v>0.0309477756286267</v>
      </c>
      <c r="T189" s="40">
        <f>IFERROR(IF(S188=0,"",T188/S188-1),"")</f>
        <v>0.0393996247654784</v>
      </c>
      <c r="U189" s="40">
        <f>IFERROR(IF(T188=0,"",U188/T188-1),"")</f>
        <v>-0.130324909747292</v>
      </c>
      <c r="V189" s="40">
        <f>IFERROR(IF(U188=0,"",V188/U188-1),"")</f>
        <v>0.157326691573267</v>
      </c>
      <c r="W189" s="12">
        <f>IF(V188=0,"",W188/V188-1)</f>
        <v>0</v>
      </c>
      <c r="X189" s="40">
        <f>IFERROR(IF(W188=0,"",X188/W188-1),"")</f>
        <v>0.0701219512195122</v>
      </c>
      <c r="Y189" s="40">
        <f>IFERROR(IF(X188=0,"",Y188/X188-1),"")</f>
        <v>-0.0504441092676387</v>
      </c>
      <c r="Z189" s="40">
        <f>IFERROR(IF(Y188=0,"",Z188/Y188-1),"")</f>
        <v>0.152135545358277</v>
      </c>
      <c r="AA189" s="40">
        <f>IFERROR(IF(Z188=0,"",AA188/Z188-1),"")</f>
        <v>0.0949754901960784</v>
      </c>
      <c r="AB189" s="12">
        <f>IF(AA188=0,"",AB188/AA188-1)</f>
        <v>0</v>
      </c>
      <c r="AC189" s="40">
        <f>IFERROR(IF(AB188=0,"",AC188/AB188-1),"")</f>
        <v>0.0593172915500839</v>
      </c>
      <c r="AD189" s="40">
        <f>IFERROR(IF(AC188=0,"",AD188/AC188-1),"")</f>
        <v>0.0690702588483889</v>
      </c>
      <c r="AE189" s="40">
        <f>IFERROR(IF(AD188=0,"",AE188/AD188-1),"")</f>
        <v>-0.0390364422483014</v>
      </c>
      <c r="AF189" s="55">
        <f>IFERROR(IF(AE188=0,"",AF188/AE188-1),"")</f>
        <v>-0.00475639542357631</v>
      </c>
      <c r="AG189" s="12">
        <f>IF(AF188=0,"",AG188/AF188-1)</f>
        <v>0</v>
      </c>
      <c r="AH189" s="55">
        <f>IFERROR(IF(AG188=0,"",AH188/AG188-1),"")</f>
        <v>0.011237406354947</v>
      </c>
      <c r="AI189" s="55">
        <f>IFERROR(IF(AH188=0,"",AI188/AH188-1),"")</f>
        <v>0.0714012006641973</v>
      </c>
      <c r="AJ189" s="55">
        <f>IFERROR(IF(AI188=0,"",AJ188/AI188-1),"")</f>
        <v>0</v>
      </c>
      <c r="AK189" s="55">
        <f>IFERROR(IF(AJ188=0,"",AK188/AJ188-1),"")</f>
        <v>0</v>
      </c>
      <c r="AL189" s="12">
        <f>IFERROR(IF(AK188=0,"",AL188/AK188-1),"")</f>
        <v>0</v>
      </c>
      <c r="AM189" s="55">
        <f>IFERROR(IF(AL188=0,"",AM188/AL188-1),"")</f>
        <v>0</v>
      </c>
      <c r="AN189" s="55">
        <f>IFERROR(IF(AM188=0,"",AN188/AM188-1),"")</f>
        <v>0</v>
      </c>
      <c r="AO189" s="55">
        <f>IFERROR(IF(AN188=0,"",AO188/AN188-1),"")</f>
        <v>0</v>
      </c>
      <c r="AP189" s="55">
        <f>IFERROR(IF(AO188=0,"",AP188/AO188-1),"")</f>
        <v>0</v>
      </c>
      <c r="AQ189" s="12">
        <f>IFERROR(IF(AP188=0,"",AQ188/AP188-1),"")</f>
        <v>0</v>
      </c>
      <c r="AR189" s="55">
        <f>IFERROR(IF(AQ188=0,"",AR188/AQ188-1),"")</f>
        <v>0</v>
      </c>
      <c r="AS189" s="55">
        <f>IFERROR(IF(AR188=0,"",AS188/AR188-1),"")</f>
        <v>0</v>
      </c>
      <c r="AT189" s="55">
        <f>IFERROR(IF(AS188=0,"",AT188/AS188-1),"")</f>
        <v>0</v>
      </c>
      <c r="AU189" s="55">
        <f>IFERROR(IF(AT188=0,"",AU188/AT188-1),"")</f>
        <v>0</v>
      </c>
      <c r="AV189" s="12">
        <f>IFERROR(IF(AU188=0,"",AV188/AU188-1),"")</f>
        <v>0</v>
      </c>
      <c r="AW189" s="55">
        <f>IFERROR(IF(AV188=0,"",AW188/AV188-1),"")</f>
        <v>0</v>
      </c>
      <c r="AX189" s="55">
        <f>IFERROR(IF(AW188=0,"",AX188/AW188-1),"")</f>
        <v>0</v>
      </c>
      <c r="AY189" s="55">
        <f>IFERROR(IF(AX188=0,"",AY188/AX188-1),"")</f>
        <v>0</v>
      </c>
      <c r="AZ189" s="55">
        <f>IFERROR(IF(AY188=0,"",AZ188/AY188-1),"")</f>
        <v>0</v>
      </c>
      <c r="BA189" s="12">
        <f>IFERROR(IF(AZ188=0,"",BA188/AZ188-1),"")</f>
        <v>0</v>
      </c>
      <c r="BB189" s="55">
        <f>IFERROR(IF(BA188=0,"",BB188/BA188-1),"")</f>
        <v>0</v>
      </c>
      <c r="BC189" s="55">
        <f>IFERROR(IF(BB188=0,"",BC188/BB188-1),"")</f>
        <v>0</v>
      </c>
      <c r="BD189" s="55">
        <f>IFERROR(IF(BC188=0,"",BD188/BC188-1),"")</f>
        <v>0</v>
      </c>
      <c r="BE189" s="55">
        <f>IFERROR(IF(BD188=0,"",BE188/BD188-1),"")</f>
        <v>0</v>
      </c>
      <c r="BF189" s="12">
        <f>IFERROR(IF(BE188=0,"",BF188/BE188-1),"")</f>
        <v>0</v>
      </c>
      <c r="BG189" s="55" t="n"/>
      <c r="BH189" s="55" t="n"/>
      <c r="BI189" s="55" t="n"/>
      <c r="BJ189" s="55" t="n"/>
      <c r="BK189" s="12" t="n"/>
      <c r="BL189" s="55" t="n"/>
      <c r="BM189" s="55" t="n"/>
      <c r="BN189" s="55" t="n"/>
      <c r="BO189" s="55" t="n"/>
      <c r="BP189" s="12" t="n"/>
      <c r="BQ189" s="55" t="n"/>
      <c r="BR189" s="55" t="n"/>
      <c r="BS189" s="55" t="n"/>
      <c r="BT189" s="55" t="n"/>
      <c r="BU189" s="12" t="n"/>
      <c r="BV189" s="55" t="n"/>
      <c r="BW189" s="55" t="n"/>
      <c r="BX189" s="55" t="n"/>
      <c r="BY189" s="55" t="n"/>
      <c r="BZ189" s="12" t="n"/>
      <c r="CA189" s="55" t="n"/>
      <c r="CB189" s="55" t="n"/>
      <c r="CC189" s="55" t="n"/>
      <c r="CD189" s="55" t="n"/>
      <c r="CE189" s="12" t="n"/>
      <c r="CF189" s="55" t="n"/>
      <c r="CG189" s="55" t="n"/>
      <c r="CH189" s="55" t="n"/>
      <c r="CI189" s="55" t="n"/>
      <c r="CJ189" s="12" t="n"/>
      <c r="CK189" s="55" t="n"/>
      <c r="CL189" s="55" t="n"/>
      <c r="CM189" s="55" t="n"/>
      <c r="CN189" s="55" t="n"/>
      <c r="CO189" s="12" t="n"/>
      <c r="CP189" s="55" t="n"/>
      <c r="CQ189" s="55" t="n"/>
      <c r="CR189" s="55" t="n"/>
      <c r="CS189" s="55" t="n"/>
      <c r="CT189" s="12" t="n"/>
      <c r="CU189" s="55" t="n"/>
      <c r="CV189" s="55" t="n"/>
      <c r="CW189" s="55" t="n"/>
      <c r="CX189" s="55" t="n"/>
      <c r="CY189" s="12" t="n"/>
    </row>
    <row r="190" hidden="1" outlineLevel="1">
      <c r="C190" s="57" t="n"/>
      <c r="D190" s="12" t="n"/>
      <c r="E190" s="12" t="n"/>
      <c r="F190" s="12" t="n"/>
      <c r="G190" s="12" t="n"/>
      <c r="H190" s="12" t="n"/>
      <c r="I190" s="12" t="n"/>
      <c r="J190" s="12" t="n"/>
      <c r="K190" s="12" t="n"/>
      <c r="L190" s="12" t="n"/>
      <c r="M190" s="12" t="n"/>
      <c r="N190" s="12" t="n"/>
      <c r="O190" s="12" t="n"/>
      <c r="P190" s="12" t="n"/>
      <c r="Q190" s="12" t="n"/>
      <c r="R190" s="12" t="n"/>
      <c r="S190" s="12" t="n"/>
      <c r="T190" s="12" t="n"/>
      <c r="U190" s="12" t="n"/>
      <c r="V190" s="12" t="n"/>
      <c r="W190" s="12" t="n"/>
      <c r="X190" s="12" t="n"/>
      <c r="Y190" s="12" t="n"/>
      <c r="Z190" s="12" t="n"/>
      <c r="AA190" s="12" t="n"/>
      <c r="AB190" s="12" t="n"/>
      <c r="AC190" s="12" t="n"/>
      <c r="AD190" s="12" t="n"/>
      <c r="AE190" s="12" t="n"/>
      <c r="AF190" s="12" t="n"/>
      <c r="AG190" s="12" t="n"/>
      <c r="AH190" s="12" t="n"/>
      <c r="AI190" s="12" t="n"/>
      <c r="AJ190" s="12" t="n"/>
      <c r="AK190" s="12" t="n"/>
      <c r="AL190" s="12" t="n"/>
      <c r="AM190" s="12" t="n"/>
      <c r="AN190" s="12" t="n"/>
      <c r="AO190" s="12" t="n"/>
      <c r="AP190" s="12" t="n"/>
      <c r="AQ190" s="12" t="n"/>
      <c r="AR190" s="12" t="n"/>
      <c r="AS190" s="12" t="n"/>
      <c r="AT190" s="12" t="n"/>
      <c r="AU190" s="12" t="n"/>
      <c r="AV190" s="12" t="n"/>
      <c r="AW190" s="12" t="n"/>
      <c r="AX190" s="12" t="n"/>
      <c r="AY190" s="12" t="n"/>
      <c r="AZ190" s="12" t="n"/>
      <c r="BA190" s="12" t="n"/>
      <c r="BB190" s="12" t="n"/>
      <c r="BC190" s="12" t="n"/>
      <c r="BD190" s="12" t="n"/>
      <c r="BE190" s="12" t="n"/>
      <c r="BF190" s="12" t="n"/>
      <c r="BG190" s="12" t="n"/>
      <c r="BH190" s="12" t="n"/>
      <c r="BI190" s="12" t="n"/>
      <c r="BJ190" s="12" t="n"/>
      <c r="BK190" s="12" t="n"/>
      <c r="BL190" s="12" t="n"/>
      <c r="BM190" s="12" t="n"/>
      <c r="BN190" s="12" t="n"/>
      <c r="BO190" s="12" t="n"/>
      <c r="BP190" s="12" t="n"/>
      <c r="BQ190" s="12" t="n"/>
      <c r="BR190" s="12" t="n"/>
      <c r="BS190" s="12" t="n"/>
      <c r="BT190" s="12" t="n"/>
      <c r="BU190" s="12" t="n"/>
      <c r="BV190" s="12" t="n"/>
      <c r="BW190" s="12" t="n"/>
      <c r="BX190" s="12" t="n"/>
      <c r="BY190" s="12" t="n"/>
      <c r="BZ190" s="12" t="n"/>
      <c r="CA190" s="12" t="n"/>
      <c r="CB190" s="12" t="n"/>
      <c r="CC190" s="12" t="n"/>
      <c r="CD190" s="12" t="n"/>
      <c r="CE190" s="12" t="n"/>
      <c r="CF190" s="12" t="n"/>
      <c r="CG190" s="12" t="n"/>
      <c r="CH190" s="12" t="n"/>
      <c r="CI190" s="12" t="n"/>
      <c r="CJ190" s="12" t="n"/>
      <c r="CK190" s="12" t="n"/>
      <c r="CL190" s="12" t="n"/>
      <c r="CM190" s="12" t="n"/>
      <c r="CN190" s="12" t="n"/>
      <c r="CO190" s="12" t="n"/>
      <c r="CP190" s="12" t="n"/>
      <c r="CQ190" s="12" t="n"/>
      <c r="CR190" s="12" t="n"/>
      <c r="CS190" s="12" t="n"/>
      <c r="CT190" s="12" t="n"/>
      <c r="CU190" s="12" t="n"/>
      <c r="CV190" s="12" t="n"/>
      <c r="CW190" s="12" t="n"/>
      <c r="CX190" s="12" t="n"/>
      <c r="CY190" s="12" t="n"/>
    </row>
    <row r="191" hidden="1" outlineLevel="1">
      <c r="C191" s="57" t="inlineStr">
        <is>
          <t xml:space="preserve">Dividendos a Pagar </t>
        </is>
      </c>
      <c r="D191" s="11" t="n"/>
      <c r="E191" s="11" t="n"/>
      <c r="F191" s="11" t="n"/>
      <c r="G191" s="11" t="n"/>
      <c r="H191" s="12" t="n"/>
      <c r="I191" s="11" t="n"/>
      <c r="J191" s="11" t="n"/>
      <c r="K191" s="11" t="n"/>
      <c r="L191" s="11" t="n"/>
      <c r="M191" s="12" t="n"/>
      <c r="N191" s="11" t="n"/>
      <c r="O191" s="11" t="n"/>
      <c r="P191" s="11" t="n"/>
      <c r="Q191" s="11" t="n"/>
      <c r="R191" s="12" t="n"/>
      <c r="S191" s="11" t="n"/>
      <c r="T191" s="11" t="n"/>
      <c r="U191" s="11" t="n"/>
      <c r="V191" s="11" t="n"/>
      <c r="W191" s="12" t="n"/>
      <c r="X191" s="11" t="n"/>
      <c r="Y191" s="11" t="n"/>
      <c r="Z191" s="11" t="n"/>
      <c r="AA191" s="11" t="n"/>
      <c r="AB191" s="12" t="n"/>
      <c r="AC191" s="11" t="n"/>
      <c r="AD191" s="11" t="n"/>
      <c r="AE191" s="11" t="n"/>
      <c r="AF191" s="11" t="n"/>
      <c r="AG191" s="12" t="n"/>
      <c r="AH191" s="11" t="n"/>
      <c r="AI191" s="11" t="n"/>
      <c r="AJ191" s="11" t="n"/>
      <c r="AK191" s="11" t="n"/>
      <c r="AL191" s="12" t="n"/>
      <c r="AM191" s="11" t="n"/>
      <c r="AN191" s="11" t="n"/>
      <c r="AO191" s="11" t="n"/>
      <c r="AP191" s="11" t="n"/>
      <c r="AQ191" s="12" t="n"/>
      <c r="AR191" s="11" t="n"/>
      <c r="AS191" s="11" t="n"/>
      <c r="AT191" s="11" t="n"/>
      <c r="AU191" s="11" t="n"/>
      <c r="AV191" s="12" t="n"/>
      <c r="AW191" s="11" t="n"/>
      <c r="AX191" s="11" t="n"/>
      <c r="AY191" s="11" t="n"/>
      <c r="AZ191" s="11" t="n"/>
      <c r="BA191" s="12" t="n"/>
      <c r="BB191" s="11" t="n"/>
      <c r="BC191" s="11" t="n"/>
      <c r="BD191" s="11" t="n"/>
      <c r="BE191" s="11" t="n"/>
      <c r="BF191" s="12" t="n"/>
      <c r="BG191" s="11" t="n"/>
      <c r="BH191" s="11" t="n"/>
      <c r="BI191" s="11" t="n"/>
      <c r="BJ191" s="11" t="n"/>
      <c r="BK191" s="12" t="n"/>
      <c r="BL191" s="11" t="n"/>
      <c r="BM191" s="11" t="n"/>
      <c r="BN191" s="11" t="n"/>
      <c r="BO191" s="11" t="n"/>
      <c r="BP191" s="12" t="n"/>
      <c r="BQ191" s="11" t="n"/>
      <c r="BR191" s="11" t="n"/>
      <c r="BS191" s="11" t="n"/>
      <c r="BT191" s="11" t="n"/>
      <c r="BU191" s="12" t="n"/>
      <c r="BV191" s="11" t="n"/>
      <c r="BW191" s="11" t="n"/>
      <c r="BX191" s="11" t="n"/>
      <c r="BY191" s="11" t="n"/>
      <c r="BZ191" s="12" t="n"/>
      <c r="CA191" s="11" t="n"/>
      <c r="CB191" s="11" t="n"/>
      <c r="CC191" s="11" t="n"/>
      <c r="CD191" s="11" t="n"/>
      <c r="CE191" s="12" t="n"/>
      <c r="CF191" s="11" t="n"/>
      <c r="CG191" s="11" t="n"/>
      <c r="CH191" s="11" t="n"/>
      <c r="CI191" s="11" t="n"/>
      <c r="CJ191" s="12" t="n"/>
      <c r="CK191" s="11" t="n"/>
      <c r="CL191" s="11" t="n"/>
      <c r="CM191" s="11" t="n"/>
      <c r="CN191" s="11" t="n"/>
      <c r="CO191" s="12" t="n"/>
      <c r="CP191" s="11" t="n"/>
      <c r="CQ191" s="11" t="n"/>
      <c r="CR191" s="11" t="n"/>
      <c r="CS191" s="11" t="n"/>
      <c r="CT191" s="12" t="n"/>
      <c r="CU191" s="11" t="n"/>
      <c r="CV191" s="11" t="n"/>
      <c r="CW191" s="11" t="n"/>
      <c r="CX191" s="11" t="n"/>
      <c r="CY191" s="12" t="n"/>
    </row>
    <row r="192" hidden="1" outlineLevel="1">
      <c r="C192" s="57" t="inlineStr">
        <is>
          <t>Contas a pagar pela aquisição de controladas</t>
        </is>
      </c>
      <c r="D192" s="11" t="n"/>
      <c r="E192" s="11" t="n"/>
      <c r="F192" s="11" t="n"/>
      <c r="G192" s="11" t="n"/>
      <c r="H192" s="12" t="n"/>
      <c r="I192" s="11" t="n"/>
      <c r="J192" s="11" t="n"/>
      <c r="K192" s="11" t="n"/>
      <c r="L192" s="11" t="n"/>
      <c r="M192" s="12" t="n"/>
      <c r="N192" s="11" t="n"/>
      <c r="O192" s="11" t="n"/>
      <c r="P192" s="11" t="n"/>
      <c r="Q192" s="11" t="n"/>
      <c r="R192" s="12" t="n"/>
      <c r="S192" s="11" t="n"/>
      <c r="T192" s="11" t="n"/>
      <c r="U192" s="11" t="n"/>
      <c r="V192" s="11" t="n"/>
      <c r="W192" s="12" t="n"/>
      <c r="X192" s="11" t="n"/>
      <c r="Y192" s="11" t="n"/>
      <c r="Z192" s="11" t="n"/>
      <c r="AA192" s="11" t="n"/>
      <c r="AB192" s="12" t="n"/>
      <c r="AC192" s="11" t="n"/>
      <c r="AD192" s="11" t="n"/>
      <c r="AE192" s="11" t="n"/>
      <c r="AF192" s="11" t="n"/>
      <c r="AG192" s="12" t="n"/>
      <c r="AH192" s="11" t="n"/>
      <c r="AI192" s="11" t="n"/>
      <c r="AJ192" s="11" t="n"/>
      <c r="AK192" s="11" t="n"/>
      <c r="AL192" s="12" t="n"/>
      <c r="AM192" s="11" t="n"/>
      <c r="AN192" s="11" t="n"/>
      <c r="AO192" s="11" t="n"/>
      <c r="AP192" s="11" t="n"/>
      <c r="AQ192" s="12" t="n"/>
      <c r="AR192" s="11" t="n"/>
      <c r="AS192" s="11" t="n"/>
      <c r="AT192" s="11" t="n"/>
      <c r="AU192" s="11" t="n"/>
      <c r="AV192" s="12" t="n"/>
      <c r="AW192" s="11" t="n"/>
      <c r="AX192" s="11" t="n"/>
      <c r="AY192" s="11" t="n"/>
      <c r="AZ192" s="11" t="n"/>
      <c r="BA192" s="12" t="n"/>
      <c r="BB192" s="11" t="n"/>
      <c r="BC192" s="11" t="n"/>
      <c r="BD192" s="11" t="n"/>
      <c r="BE192" s="11" t="n"/>
      <c r="BF192" s="12" t="n"/>
      <c r="BG192" s="11" t="n"/>
      <c r="BH192" s="11" t="n"/>
      <c r="BI192" s="11" t="n"/>
      <c r="BJ192" s="11" t="n"/>
      <c r="BK192" s="12" t="n"/>
      <c r="BL192" s="11" t="n"/>
      <c r="BM192" s="11" t="n"/>
      <c r="BN192" s="11" t="n"/>
      <c r="BO192" s="11" t="n"/>
      <c r="BP192" s="12" t="n"/>
      <c r="BQ192" s="11" t="n"/>
      <c r="BR192" s="11" t="n"/>
      <c r="BS192" s="11" t="n"/>
      <c r="BT192" s="11" t="n"/>
      <c r="BU192" s="12" t="n"/>
      <c r="BV192" s="11" t="n"/>
      <c r="BW192" s="11" t="n"/>
      <c r="BX192" s="11" t="n"/>
      <c r="BY192" s="11" t="n"/>
      <c r="BZ192" s="12" t="n"/>
      <c r="CA192" s="11" t="n"/>
      <c r="CB192" s="11" t="n"/>
      <c r="CC192" s="11" t="n"/>
      <c r="CD192" s="11" t="n"/>
      <c r="CE192" s="12" t="n"/>
      <c r="CF192" s="11" t="n"/>
      <c r="CG192" s="11" t="n"/>
      <c r="CH192" s="11" t="n"/>
      <c r="CI192" s="11" t="n"/>
      <c r="CJ192" s="12" t="n"/>
      <c r="CK192" s="11" t="n"/>
      <c r="CL192" s="11" t="n"/>
      <c r="CM192" s="11" t="n"/>
      <c r="CN192" s="11" t="n"/>
      <c r="CO192" s="12" t="n"/>
      <c r="CP192" s="11" t="n"/>
      <c r="CQ192" s="11" t="n"/>
      <c r="CR192" s="11" t="n"/>
      <c r="CS192" s="11" t="n"/>
      <c r="CT192" s="12" t="n"/>
      <c r="CU192" s="11" t="n"/>
      <c r="CV192" s="11" t="n"/>
      <c r="CW192" s="11" t="n"/>
      <c r="CX192" s="11" t="n"/>
      <c r="CY192" s="12" t="n"/>
    </row>
    <row r="193" hidden="1" outlineLevel="1">
      <c r="C193" s="57" t="inlineStr">
        <is>
          <t>Outros</t>
        </is>
      </c>
      <c r="D193" s="11" t="n"/>
      <c r="E193" s="11" t="n"/>
      <c r="F193" s="11" t="n"/>
      <c r="G193" s="11" t="n"/>
      <c r="H193" s="12" t="n"/>
      <c r="I193" s="11" t="n"/>
      <c r="J193" s="11" t="n"/>
      <c r="K193" s="11" t="n"/>
      <c r="L193" s="11" t="n"/>
      <c r="M193" s="12" t="n"/>
      <c r="N193" s="11" t="n"/>
      <c r="O193" s="11" t="n"/>
      <c r="P193" s="11" t="n"/>
      <c r="Q193" s="11" t="n"/>
      <c r="R193" s="12" t="n"/>
      <c r="S193" s="11" t="n"/>
      <c r="T193" s="11" t="n"/>
      <c r="U193" s="11" t="n"/>
      <c r="V193" s="11" t="n"/>
      <c r="W193" s="12" t="n"/>
      <c r="X193" s="11" t="n"/>
      <c r="Y193" s="11" t="n"/>
      <c r="Z193" s="11" t="n"/>
      <c r="AA193" s="11" t="n"/>
      <c r="AB193" s="12" t="n"/>
      <c r="AC193" s="11" t="n"/>
      <c r="AD193" s="11" t="n"/>
      <c r="AE193" s="11" t="n"/>
      <c r="AF193" s="11" t="n"/>
      <c r="AG193" s="12" t="n"/>
      <c r="AH193" s="11" t="n"/>
      <c r="AI193" s="11" t="n"/>
      <c r="AJ193" s="11" t="n"/>
      <c r="AK193" s="11" t="n"/>
      <c r="AL193" s="12" t="n"/>
      <c r="AM193" s="11" t="n"/>
      <c r="AN193" s="11" t="n"/>
      <c r="AO193" s="11" t="n"/>
      <c r="AP193" s="11" t="n"/>
      <c r="AQ193" s="12" t="n"/>
      <c r="AR193" s="11" t="n"/>
      <c r="AS193" s="11" t="n"/>
      <c r="AT193" s="11" t="n"/>
      <c r="AU193" s="11" t="n"/>
      <c r="AV193" s="12" t="n"/>
      <c r="AW193" s="11" t="n"/>
      <c r="AX193" s="11" t="n"/>
      <c r="AY193" s="11" t="n"/>
      <c r="AZ193" s="11" t="n"/>
      <c r="BA193" s="12" t="n"/>
      <c r="BB193" s="11" t="n"/>
      <c r="BC193" s="11" t="n"/>
      <c r="BD193" s="11" t="n"/>
      <c r="BE193" s="11" t="n"/>
      <c r="BF193" s="12" t="n"/>
      <c r="BG193" s="11" t="n"/>
      <c r="BH193" s="11" t="n"/>
      <c r="BI193" s="11" t="n"/>
      <c r="BJ193" s="11" t="n"/>
      <c r="BK193" s="12" t="n"/>
      <c r="BL193" s="11" t="n"/>
      <c r="BM193" s="11" t="n"/>
      <c r="BN193" s="11" t="n"/>
      <c r="BO193" s="11" t="n"/>
      <c r="BP193" s="12" t="n"/>
      <c r="BQ193" s="11" t="n"/>
      <c r="BR193" s="11" t="n"/>
      <c r="BS193" s="11" t="n"/>
      <c r="BT193" s="11" t="n"/>
      <c r="BU193" s="12" t="n"/>
      <c r="BV193" s="11" t="n"/>
      <c r="BW193" s="11" t="n"/>
      <c r="BX193" s="11" t="n"/>
      <c r="BY193" s="11" t="n"/>
      <c r="BZ193" s="12" t="n"/>
      <c r="CA193" s="11" t="n"/>
      <c r="CB193" s="11" t="n"/>
      <c r="CC193" s="11" t="n"/>
      <c r="CD193" s="11" t="n"/>
      <c r="CE193" s="12" t="n"/>
      <c r="CF193" s="11" t="n"/>
      <c r="CG193" s="11" t="n"/>
      <c r="CH193" s="11" t="n"/>
      <c r="CI193" s="11" t="n"/>
      <c r="CJ193" s="12" t="n"/>
      <c r="CK193" s="11" t="n"/>
      <c r="CL193" s="11" t="n"/>
      <c r="CM193" s="11" t="n"/>
      <c r="CN193" s="11" t="n"/>
      <c r="CO193" s="12" t="n"/>
      <c r="CP193" s="11" t="n"/>
      <c r="CQ193" s="11" t="n"/>
      <c r="CR193" s="11" t="n"/>
      <c r="CS193" s="11" t="n"/>
      <c r="CT193" s="12" t="n"/>
      <c r="CU193" s="11" t="n"/>
      <c r="CV193" s="11" t="n"/>
      <c r="CW193" s="11" t="n"/>
      <c r="CX193" s="11" t="n"/>
      <c r="CY193" s="12" t="n"/>
    </row>
    <row r="194" hidden="1" outlineLevel="1">
      <c r="C194" s="57" t="n"/>
      <c r="D194" s="12" t="n"/>
      <c r="E194" s="12" t="n"/>
      <c r="F194" s="12" t="n"/>
      <c r="G194" s="12" t="n"/>
      <c r="H194" s="12" t="n"/>
      <c r="I194" s="12" t="n"/>
      <c r="J194" s="12" t="n"/>
      <c r="K194" s="12" t="n"/>
      <c r="L194" s="12" t="n"/>
      <c r="M194" s="12" t="n"/>
      <c r="N194" s="12" t="n"/>
      <c r="O194" s="12" t="n"/>
      <c r="P194" s="12" t="n"/>
      <c r="Q194" s="12" t="n"/>
      <c r="R194" s="12" t="n"/>
      <c r="S194" s="12" t="n"/>
      <c r="T194" s="12" t="n"/>
      <c r="U194" s="12" t="n"/>
      <c r="V194" s="12" t="n"/>
      <c r="W194" s="12" t="n"/>
      <c r="X194" s="12" t="n"/>
      <c r="Y194" s="12" t="n"/>
      <c r="Z194" s="12" t="n"/>
      <c r="AA194" s="12" t="n"/>
      <c r="AB194" s="12" t="n"/>
      <c r="AC194" s="12" t="n"/>
      <c r="AD194" s="12" t="n"/>
      <c r="AE194" s="12" t="n"/>
      <c r="AF194" s="12" t="n"/>
      <c r="AG194" s="12" t="n"/>
      <c r="AH194" s="12" t="n"/>
      <c r="AI194" s="12" t="n"/>
      <c r="AJ194" s="12" t="n"/>
      <c r="AK194" s="12" t="n"/>
      <c r="AL194" s="12" t="n"/>
      <c r="AM194" s="12" t="n"/>
      <c r="AN194" s="12" t="n"/>
      <c r="AO194" s="12" t="n"/>
      <c r="AP194" s="12" t="n"/>
      <c r="AQ194" s="12" t="n"/>
      <c r="AR194" s="12" t="n"/>
      <c r="AS194" s="12" t="n"/>
      <c r="AT194" s="12" t="n"/>
      <c r="AU194" s="12" t="n"/>
      <c r="AV194" s="12" t="n"/>
      <c r="AW194" s="12" t="n"/>
      <c r="AX194" s="12" t="n"/>
      <c r="AY194" s="12" t="n"/>
      <c r="AZ194" s="12" t="n"/>
      <c r="BA194" s="12" t="n"/>
      <c r="BB194" s="12" t="n"/>
      <c r="BC194" s="12" t="n"/>
      <c r="BD194" s="12" t="n"/>
      <c r="BE194" s="12" t="n"/>
      <c r="BF194" s="12" t="n"/>
      <c r="BG194" s="12" t="n"/>
      <c r="BH194" s="12" t="n"/>
      <c r="BI194" s="12" t="n"/>
      <c r="BJ194" s="12" t="n"/>
      <c r="BK194" s="12" t="n"/>
      <c r="BL194" s="12" t="n"/>
      <c r="BM194" s="12" t="n"/>
      <c r="BN194" s="12" t="n"/>
      <c r="BO194" s="12" t="n"/>
      <c r="BP194" s="12" t="n"/>
      <c r="BQ194" s="12" t="n"/>
      <c r="BR194" s="12" t="n"/>
      <c r="BS194" s="12" t="n"/>
      <c r="BT194" s="12" t="n"/>
      <c r="BU194" s="12" t="n"/>
      <c r="BV194" s="12" t="n"/>
      <c r="BW194" s="12" t="n"/>
      <c r="BX194" s="12" t="n"/>
      <c r="BY194" s="12" t="n"/>
      <c r="BZ194" s="12" t="n"/>
      <c r="CA194" s="12" t="n"/>
      <c r="CB194" s="12" t="n"/>
      <c r="CC194" s="12" t="n"/>
      <c r="CD194" s="12" t="n"/>
      <c r="CE194" s="12" t="n"/>
      <c r="CF194" s="12" t="n"/>
      <c r="CG194" s="12" t="n"/>
      <c r="CH194" s="12" t="n"/>
      <c r="CI194" s="12" t="n"/>
      <c r="CJ194" s="12" t="n"/>
      <c r="CK194" s="12" t="n"/>
      <c r="CL194" s="12" t="n"/>
      <c r="CM194" s="12" t="n"/>
      <c r="CN194" s="12" t="n"/>
      <c r="CO194" s="12" t="n"/>
      <c r="CP194" s="12" t="n"/>
      <c r="CQ194" s="12" t="n"/>
      <c r="CR194" s="12" t="n"/>
      <c r="CS194" s="12" t="n"/>
      <c r="CT194" s="12" t="n"/>
      <c r="CU194" s="12" t="n"/>
      <c r="CV194" s="12" t="n"/>
      <c r="CW194" s="12" t="n"/>
      <c r="CX194" s="12" t="n"/>
      <c r="CY194" s="12" t="n"/>
    </row>
    <row r="195" collapsed="1">
      <c r="C195" s="14" t="inlineStr">
        <is>
          <t>Current portion of long-term debt</t>
        </is>
      </c>
      <c r="D195" s="46" t="n"/>
      <c r="E195" s="46" t="n"/>
      <c r="F195" s="46" t="n"/>
      <c r="G195" s="46" t="n"/>
      <c r="H195" s="12" t="n"/>
      <c r="I195" s="46">
        <f>'Inputs (2)'!D32</f>
        <v>649</v>
      </c>
      <c r="J195" s="46">
        <f>'Inputs (2)'!E32</f>
        <v>649</v>
      </c>
      <c r="K195" s="46">
        <f>'Inputs (2)'!F32</f>
        <v>650</v>
      </c>
      <c r="L195" s="46">
        <f>'Inputs (2)'!G32</f>
        <v>792</v>
      </c>
      <c r="M195" s="12">
        <f>'Inputs (2)'!H32</f>
        <v>792</v>
      </c>
      <c r="N195" s="46">
        <f>'Inputs (2)'!I32</f>
        <v>778</v>
      </c>
      <c r="O195" s="46">
        <f>'Inputs (2)'!J32</f>
        <v>735</v>
      </c>
      <c r="P195" s="46">
        <f>'Inputs (2)'!K32</f>
        <v>957</v>
      </c>
      <c r="Q195" s="46">
        <f>'Inputs (2)'!L32</f>
        <v>274</v>
      </c>
      <c r="R195" s="12">
        <f>'Inputs (2)'!M32</f>
        <v>274</v>
      </c>
      <c r="S195" s="46">
        <f>'Inputs (2)'!N32</f>
        <v>276</v>
      </c>
      <c r="T195" s="46">
        <f>'Inputs (2)'!O32</f>
        <v>1336</v>
      </c>
      <c r="U195" s="46">
        <f>'Inputs (2)'!P32</f>
        <v>1337</v>
      </c>
      <c r="V195" s="46">
        <f>'Inputs (2)'!Q32</f>
        <v>1337</v>
      </c>
      <c r="W195" s="12">
        <f>'Inputs (2)'!R32</f>
        <v>1337</v>
      </c>
      <c r="X195" s="46">
        <f>'Inputs (2)'!S32</f>
        <v>2086</v>
      </c>
      <c r="Y195" s="46">
        <f>'Inputs (2)'!T32</f>
        <v>1086</v>
      </c>
      <c r="Z195" s="46">
        <f>'Inputs (2)'!U32</f>
        <v>750</v>
      </c>
      <c r="AA195" s="46">
        <f>'Inputs (2)'!V32</f>
        <v>750</v>
      </c>
      <c r="AB195" s="12">
        <f>'Inputs (2)'!W32</f>
        <v>750</v>
      </c>
      <c r="AC195" s="46">
        <f>'Inputs (2)'!X32</f>
        <v>0</v>
      </c>
      <c r="AD195" s="46">
        <f>'Inputs (2)'!Y32</f>
        <v>0</v>
      </c>
      <c r="AE195" s="46">
        <f>'Inputs (2)'!Z32</f>
        <v>0</v>
      </c>
      <c r="AF195" s="46">
        <f>'Inputs (2)'!AA32</f>
        <v>749</v>
      </c>
      <c r="AG195" s="12">
        <f>'Inputs (2)'!AB32</f>
        <v>749</v>
      </c>
      <c r="AH195" s="12">
        <f>'Inputs (2)'!AC32</f>
        <v>1748</v>
      </c>
      <c r="AI195" s="12">
        <f>'Inputs (2)'!AD32</f>
        <v>2459</v>
      </c>
      <c r="AJ195" s="12">
        <f>AI195</f>
        <v>2459</v>
      </c>
      <c r="AK195" s="12">
        <f>AJ195</f>
        <v>2459</v>
      </c>
      <c r="AL195" s="12">
        <f>AK195</f>
        <v>2459</v>
      </c>
      <c r="AM195" s="12">
        <f>AL195</f>
        <v>2459</v>
      </c>
      <c r="AN195" s="12">
        <f>AM195</f>
        <v>2459</v>
      </c>
      <c r="AO195" s="12">
        <f>AN195</f>
        <v>2459</v>
      </c>
      <c r="AP195" s="12">
        <f>AO195</f>
        <v>2459</v>
      </c>
      <c r="AQ195" s="12">
        <f>AP195</f>
        <v>2459</v>
      </c>
      <c r="AR195" s="12">
        <f>AQ195</f>
        <v>2459</v>
      </c>
      <c r="AS195" s="12">
        <f>AR195</f>
        <v>2459</v>
      </c>
      <c r="AT195" s="12">
        <f>AS195</f>
        <v>2459</v>
      </c>
      <c r="AU195" s="12">
        <f>AT195</f>
        <v>2459</v>
      </c>
      <c r="AV195" s="12">
        <f>AU195</f>
        <v>2459</v>
      </c>
      <c r="AW195" s="12">
        <f>AV195</f>
        <v>2459</v>
      </c>
      <c r="AX195" s="12">
        <f>AW195</f>
        <v>2459</v>
      </c>
      <c r="AY195" s="12">
        <f>AX195</f>
        <v>2459</v>
      </c>
      <c r="AZ195" s="12">
        <f>AY195</f>
        <v>2459</v>
      </c>
      <c r="BA195" s="12">
        <f>AZ195</f>
        <v>2459</v>
      </c>
      <c r="BB195" s="12">
        <f>BA195</f>
        <v>2459</v>
      </c>
      <c r="BC195" s="12">
        <f>BB195</f>
        <v>2459</v>
      </c>
      <c r="BD195" s="12">
        <f>BC195</f>
        <v>2459</v>
      </c>
      <c r="BE195" s="12">
        <f>BD195</f>
        <v>2459</v>
      </c>
      <c r="BF195" s="12">
        <f>BE195</f>
        <v>2459</v>
      </c>
      <c r="BG195" s="12" t="n"/>
      <c r="BH195" s="12" t="n"/>
      <c r="BI195" s="12" t="n"/>
      <c r="BJ195" s="12" t="n"/>
      <c r="BK195" s="12" t="n"/>
      <c r="BL195" s="12" t="n"/>
      <c r="BM195" s="12" t="n"/>
      <c r="BN195" s="12" t="n"/>
      <c r="BO195" s="12" t="n"/>
      <c r="BP195" s="12" t="n"/>
      <c r="BQ195" s="12" t="n"/>
      <c r="BR195" s="12" t="n"/>
      <c r="BS195" s="12" t="n"/>
      <c r="BT195" s="12" t="n"/>
      <c r="BU195" s="12" t="n"/>
      <c r="BV195" s="12" t="n"/>
      <c r="BW195" s="12" t="n"/>
      <c r="BX195" s="12" t="n"/>
      <c r="BY195" s="12" t="n"/>
      <c r="BZ195" s="12" t="n"/>
      <c r="CA195" s="12" t="n"/>
      <c r="CB195" s="12" t="n"/>
      <c r="CC195" s="12" t="n"/>
      <c r="CD195" s="12" t="n"/>
      <c r="CE195" s="12" t="n"/>
      <c r="CF195" s="12" t="n"/>
      <c r="CG195" s="12" t="n"/>
      <c r="CH195" s="12" t="n"/>
      <c r="CI195" s="12" t="n"/>
      <c r="CJ195" s="12" t="n"/>
      <c r="CK195" s="12" t="n"/>
      <c r="CL195" s="12" t="n"/>
      <c r="CM195" s="12" t="n"/>
      <c r="CN195" s="12" t="n"/>
      <c r="CO195" s="12" t="n"/>
      <c r="CP195" s="12" t="n"/>
      <c r="CQ195" s="12" t="n"/>
      <c r="CR195" s="12" t="n"/>
      <c r="CS195" s="12" t="n"/>
      <c r="CT195" s="12" t="n"/>
      <c r="CU195" s="12" t="n"/>
      <c r="CV195" s="12" t="n"/>
      <c r="CW195" s="12" t="n"/>
      <c r="CX195" s="12" t="n"/>
      <c r="CY195" s="12" t="n"/>
    </row>
    <row r="196">
      <c r="C196" s="14" t="inlineStr">
        <is>
          <t>Short term debt (Revolving credit facility)</t>
        </is>
      </c>
      <c r="D196" s="46" t="n"/>
      <c r="E196" s="46" t="n"/>
      <c r="F196" s="46" t="n"/>
      <c r="G196" s="46" t="n"/>
      <c r="H196" s="12" t="n"/>
      <c r="I196" s="46">
        <f>'Inputs (2)'!D33</f>
        <v>0</v>
      </c>
      <c r="J196" s="46">
        <f>'Inputs (2)'!E33</f>
        <v>0</v>
      </c>
      <c r="K196" s="46">
        <f>'Inputs (2)'!F33</f>
        <v>0</v>
      </c>
      <c r="L196" s="46">
        <f>'Inputs (2)'!G33</f>
        <v>0</v>
      </c>
      <c r="M196" s="12">
        <f>'Inputs (2)'!H33</f>
        <v>0</v>
      </c>
      <c r="N196" s="46">
        <f>'Inputs (2)'!I33</f>
        <v>0</v>
      </c>
      <c r="O196" s="46">
        <f>'Inputs (2)'!J33</f>
        <v>0</v>
      </c>
      <c r="P196" s="46">
        <f>'Inputs (2)'!K33</f>
        <v>0</v>
      </c>
      <c r="Q196" s="46">
        <f>'Inputs (2)'!L33</f>
        <v>0</v>
      </c>
      <c r="R196" s="12">
        <f>'Inputs (2)'!M33</f>
        <v>0</v>
      </c>
      <c r="S196" s="46">
        <f>'Inputs (2)'!N33</f>
        <v>0</v>
      </c>
      <c r="T196" s="46">
        <f>'Inputs (2)'!O33</f>
        <v>0</v>
      </c>
      <c r="U196" s="46">
        <f>'Inputs (2)'!P33</f>
        <v>0</v>
      </c>
      <c r="V196" s="46">
        <f>'Inputs (2)'!Q33</f>
        <v>0</v>
      </c>
      <c r="W196" s="12">
        <f>'Inputs (2)'!R33</f>
        <v>0</v>
      </c>
      <c r="X196" s="46">
        <f>'Inputs (2)'!S33</f>
        <v>0</v>
      </c>
      <c r="Y196" s="46">
        <f>'Inputs (2)'!T33</f>
        <v>0</v>
      </c>
      <c r="Z196" s="46">
        <f>'Inputs (2)'!U33</f>
        <v>0</v>
      </c>
      <c r="AA196" s="46">
        <f>'Inputs (2)'!V33</f>
        <v>0</v>
      </c>
      <c r="AB196" s="12">
        <f>'Inputs (2)'!W33</f>
        <v>0</v>
      </c>
      <c r="AC196" s="46">
        <f>'Inputs (2)'!X33</f>
        <v>0</v>
      </c>
      <c r="AD196" s="46">
        <f>'Inputs (2)'!Y33</f>
        <v>0</v>
      </c>
      <c r="AE196" s="46">
        <f>'Inputs (2)'!Z33</f>
        <v>0</v>
      </c>
      <c r="AF196" s="46">
        <f>'Inputs (2)'!AA33</f>
        <v>0</v>
      </c>
      <c r="AG196" s="12">
        <f>'Inputs (2)'!AB33</f>
        <v>0</v>
      </c>
      <c r="AH196" s="12">
        <f>'Inputs (2)'!AC33</f>
        <v>0</v>
      </c>
      <c r="AI196" s="12">
        <f>'Inputs (2)'!AD33</f>
        <v>0</v>
      </c>
      <c r="AJ196" s="12">
        <f>AI196</f>
        <v>0</v>
      </c>
      <c r="AK196" s="12">
        <f>AJ196</f>
        <v>0</v>
      </c>
      <c r="AL196" s="12">
        <f>AK196</f>
        <v>0</v>
      </c>
      <c r="AM196" s="12">
        <f>AL196</f>
        <v>0</v>
      </c>
      <c r="AN196" s="12">
        <f>AM196</f>
        <v>0</v>
      </c>
      <c r="AO196" s="12">
        <f>AN196</f>
        <v>0</v>
      </c>
      <c r="AP196" s="12">
        <f>AO196</f>
        <v>0</v>
      </c>
      <c r="AQ196" s="12">
        <f>AP196</f>
        <v>0</v>
      </c>
      <c r="AR196" s="12">
        <f>AQ196</f>
        <v>0</v>
      </c>
      <c r="AS196" s="12">
        <f>AR196</f>
        <v>0</v>
      </c>
      <c r="AT196" s="12">
        <f>AS196</f>
        <v>0</v>
      </c>
      <c r="AU196" s="12">
        <f>AT196</f>
        <v>0</v>
      </c>
      <c r="AV196" s="12">
        <f>AU196</f>
        <v>0</v>
      </c>
      <c r="AW196" s="12">
        <f>AV196</f>
        <v>0</v>
      </c>
      <c r="AX196" s="12">
        <f>AW196</f>
        <v>0</v>
      </c>
      <c r="AY196" s="12">
        <f>AX196</f>
        <v>0</v>
      </c>
      <c r="AZ196" s="12">
        <f>AY196</f>
        <v>0</v>
      </c>
      <c r="BA196" s="12">
        <f>AZ196</f>
        <v>0</v>
      </c>
      <c r="BB196" s="12">
        <f>BA196</f>
        <v>0</v>
      </c>
      <c r="BC196" s="12">
        <f>BB196</f>
        <v>0</v>
      </c>
      <c r="BD196" s="12">
        <f>BC196</f>
        <v>0</v>
      </c>
      <c r="BE196" s="12">
        <f>BD196</f>
        <v>0</v>
      </c>
      <c r="BF196" s="12">
        <f>BE196</f>
        <v>0</v>
      </c>
      <c r="BG196" s="12" t="n"/>
      <c r="BH196" s="12" t="n"/>
      <c r="BI196" s="12" t="n"/>
      <c r="BJ196" s="12" t="n"/>
      <c r="BK196" s="12" t="n"/>
      <c r="BL196" s="12" t="n"/>
      <c r="BM196" s="12" t="n"/>
      <c r="BN196" s="12" t="n"/>
      <c r="BO196" s="12" t="n"/>
      <c r="BP196" s="12" t="n"/>
      <c r="BQ196" s="12" t="n"/>
      <c r="BR196" s="12" t="n"/>
      <c r="BS196" s="12" t="n"/>
      <c r="BT196" s="12" t="n"/>
      <c r="BU196" s="12" t="n"/>
      <c r="BV196" s="12" t="n"/>
      <c r="BW196" s="12" t="n"/>
      <c r="BX196" s="12" t="n"/>
      <c r="BY196" s="12" t="n"/>
      <c r="BZ196" s="12" t="n"/>
      <c r="CA196" s="12" t="n"/>
      <c r="CB196" s="12" t="n"/>
      <c r="CC196" s="12" t="n"/>
      <c r="CD196" s="12" t="n"/>
      <c r="CE196" s="12" t="n"/>
      <c r="CF196" s="12" t="n"/>
      <c r="CG196" s="12" t="n"/>
      <c r="CH196" s="12" t="n"/>
      <c r="CI196" s="12" t="n"/>
      <c r="CJ196" s="12" t="n"/>
      <c r="CK196" s="12" t="n"/>
      <c r="CL196" s="12" t="n"/>
      <c r="CM196" s="12" t="n"/>
      <c r="CN196" s="12" t="n"/>
      <c r="CO196" s="12" t="n"/>
      <c r="CP196" s="12" t="n"/>
      <c r="CQ196" s="12" t="n"/>
      <c r="CR196" s="12" t="n"/>
      <c r="CS196" s="12" t="n"/>
      <c r="CT196" s="12" t="n"/>
      <c r="CU196" s="12" t="n"/>
      <c r="CV196" s="12" t="n"/>
      <c r="CW196" s="12" t="n"/>
      <c r="CX196" s="12" t="n"/>
      <c r="CY196" s="12" t="n"/>
    </row>
    <row r="197">
      <c r="C197" s="14" t="inlineStr">
        <is>
          <t>Short term operating leases</t>
        </is>
      </c>
      <c r="D197" s="46" t="n"/>
      <c r="E197" s="46" t="n"/>
      <c r="F197" s="46" t="n"/>
      <c r="G197" s="46" t="n"/>
      <c r="H197" s="12" t="n"/>
      <c r="I197" s="46">
        <f>'Inputs (2)'!D34</f>
        <v>0</v>
      </c>
      <c r="J197" s="46">
        <f>'Inputs (2)'!E34</f>
        <v>0</v>
      </c>
      <c r="K197" s="46">
        <f>'Inputs (2)'!F34</f>
        <v>0</v>
      </c>
      <c r="L197" s="46">
        <f>'Inputs (2)'!G34</f>
        <v>0</v>
      </c>
      <c r="M197" s="12">
        <f>'Inputs (2)'!H34</f>
        <v>0</v>
      </c>
      <c r="N197" s="46">
        <f>'Inputs (2)'!I34</f>
        <v>0</v>
      </c>
      <c r="O197" s="46">
        <f>'Inputs (2)'!J34</f>
        <v>0</v>
      </c>
      <c r="P197" s="46">
        <f>'Inputs (2)'!K34</f>
        <v>0</v>
      </c>
      <c r="Q197" s="46">
        <f>'Inputs (2)'!L34</f>
        <v>0</v>
      </c>
      <c r="R197" s="12">
        <f>'Inputs (2)'!M34</f>
        <v>0</v>
      </c>
      <c r="S197" s="46">
        <f>'Inputs (2)'!N34</f>
        <v>0</v>
      </c>
      <c r="T197" s="46">
        <f>'Inputs (2)'!O34</f>
        <v>0</v>
      </c>
      <c r="U197" s="46">
        <f>'Inputs (2)'!P34</f>
        <v>0</v>
      </c>
      <c r="V197" s="46">
        <f>'Inputs (2)'!Q34</f>
        <v>0</v>
      </c>
      <c r="W197" s="12">
        <f>'Inputs (2)'!R34</f>
        <v>0</v>
      </c>
      <c r="X197" s="46">
        <f>'Inputs (2)'!S34</f>
        <v>0</v>
      </c>
      <c r="Y197" s="46">
        <f>'Inputs (2)'!T34</f>
        <v>0</v>
      </c>
      <c r="Z197" s="46">
        <f>'Inputs (2)'!U34</f>
        <v>0</v>
      </c>
      <c r="AA197" s="46">
        <f>'Inputs (2)'!V34</f>
        <v>0</v>
      </c>
      <c r="AB197" s="12">
        <f>'Inputs (2)'!W34</f>
        <v>0</v>
      </c>
      <c r="AC197" s="46">
        <f>'Inputs (2)'!X34</f>
        <v>0</v>
      </c>
      <c r="AD197" s="46">
        <f>'Inputs (2)'!Y34</f>
        <v>0</v>
      </c>
      <c r="AE197" s="46">
        <f>'Inputs (2)'!Z34</f>
        <v>0</v>
      </c>
      <c r="AF197" s="46">
        <f>'Inputs (2)'!AA34</f>
        <v>0</v>
      </c>
      <c r="AG197" s="12">
        <f>'Inputs (2)'!AB34</f>
        <v>0</v>
      </c>
      <c r="AH197" s="12">
        <f>'Inputs (2)'!AC34</f>
        <v>0</v>
      </c>
      <c r="AI197" s="12">
        <f>'Inputs (2)'!AD34</f>
        <v>0</v>
      </c>
      <c r="AJ197" s="12">
        <f>AI197</f>
        <v>0</v>
      </c>
      <c r="AK197" s="12">
        <f>AJ197</f>
        <v>0</v>
      </c>
      <c r="AL197" s="12">
        <f>AK197</f>
        <v>0</v>
      </c>
      <c r="AM197" s="12">
        <f>AL197</f>
        <v>0</v>
      </c>
      <c r="AN197" s="12">
        <f>AM197</f>
        <v>0</v>
      </c>
      <c r="AO197" s="12">
        <f>AN197</f>
        <v>0</v>
      </c>
      <c r="AP197" s="12">
        <f>AO197</f>
        <v>0</v>
      </c>
      <c r="AQ197" s="12">
        <f>AP197</f>
        <v>0</v>
      </c>
      <c r="AR197" s="12">
        <f>AQ197</f>
        <v>0</v>
      </c>
      <c r="AS197" s="12">
        <f>AR197</f>
        <v>0</v>
      </c>
      <c r="AT197" s="12">
        <f>AS197</f>
        <v>0</v>
      </c>
      <c r="AU197" s="12">
        <f>AT197</f>
        <v>0</v>
      </c>
      <c r="AV197" s="12">
        <f>AU197</f>
        <v>0</v>
      </c>
      <c r="AW197" s="12">
        <f>AV197</f>
        <v>0</v>
      </c>
      <c r="AX197" s="12">
        <f>AW197</f>
        <v>0</v>
      </c>
      <c r="AY197" s="12">
        <f>AX197</f>
        <v>0</v>
      </c>
      <c r="AZ197" s="12">
        <f>AY197</f>
        <v>0</v>
      </c>
      <c r="BA197" s="12">
        <f>AZ197</f>
        <v>0</v>
      </c>
      <c r="BB197" s="12">
        <f>BA197</f>
        <v>0</v>
      </c>
      <c r="BC197" s="12">
        <f>BB197</f>
        <v>0</v>
      </c>
      <c r="BD197" s="12">
        <f>BC197</f>
        <v>0</v>
      </c>
      <c r="BE197" s="12">
        <f>BD197</f>
        <v>0</v>
      </c>
      <c r="BF197" s="12">
        <f>BE197</f>
        <v>0</v>
      </c>
      <c r="BG197" s="12" t="n"/>
      <c r="BH197" s="12" t="n"/>
      <c r="BI197" s="12" t="n"/>
      <c r="BJ197" s="12" t="n"/>
      <c r="BK197" s="12" t="n"/>
      <c r="BL197" s="12" t="n"/>
      <c r="BM197" s="12" t="n"/>
      <c r="BN197" s="12" t="n"/>
      <c r="BO197" s="12" t="n"/>
      <c r="BP197" s="12" t="n"/>
      <c r="BQ197" s="12" t="n"/>
      <c r="BR197" s="12" t="n"/>
      <c r="BS197" s="12" t="n"/>
      <c r="BT197" s="12" t="n"/>
      <c r="BU197" s="12" t="n"/>
      <c r="BV197" s="12" t="n"/>
      <c r="BW197" s="12" t="n"/>
      <c r="BX197" s="12" t="n"/>
      <c r="BY197" s="12" t="n"/>
      <c r="BZ197" s="12" t="n"/>
      <c r="CA197" s="12" t="n"/>
      <c r="CB197" s="12" t="n"/>
      <c r="CC197" s="12" t="n"/>
      <c r="CD197" s="12" t="n"/>
      <c r="CE197" s="12" t="n"/>
      <c r="CF197" s="12" t="n"/>
      <c r="CG197" s="12" t="n"/>
      <c r="CH197" s="12" t="n"/>
      <c r="CI197" s="12" t="n"/>
      <c r="CJ197" s="12" t="n"/>
      <c r="CK197" s="12" t="n"/>
      <c r="CL197" s="12" t="n"/>
      <c r="CM197" s="12" t="n"/>
      <c r="CN197" s="12" t="n"/>
      <c r="CO197" s="12" t="n"/>
      <c r="CP197" s="12" t="n"/>
      <c r="CQ197" s="12" t="n"/>
      <c r="CR197" s="12" t="n"/>
      <c r="CS197" s="12" t="n"/>
      <c r="CT197" s="12" t="n"/>
      <c r="CU197" s="12" t="n"/>
      <c r="CV197" s="12" t="n"/>
      <c r="CW197" s="12" t="n"/>
      <c r="CX197" s="12" t="n"/>
      <c r="CY197" s="12" t="n"/>
    </row>
    <row r="198" hidden="1" outlineLevel="1">
      <c r="C198" s="59" t="inlineStr">
        <is>
          <t>%(Var.)</t>
        </is>
      </c>
      <c r="D198" s="12" t="n"/>
      <c r="E198" s="40" t="n"/>
      <c r="F198" s="40" t="n"/>
      <c r="G198" s="40" t="n"/>
      <c r="H198" s="12" t="n"/>
      <c r="I198" s="40" t="str">
        <f>""</f>
        <v/>
      </c>
      <c r="J198" s="40" t="str">
        <f>IFERROR(IF(I197=0,"",J197/I197-1),"")</f>
        <v/>
      </c>
      <c r="K198" s="40" t="str">
        <f>IFERROR(IF(J197=0,"",K197/J197-1),"")</f>
        <v/>
      </c>
      <c r="L198" s="40" t="str">
        <f>IFERROR(IF(K197=0,"",L197/K197-1),"")</f>
        <v/>
      </c>
      <c r="M198" s="12" t="str">
        <f>IF(L197=0,"",M197/L197-1)</f>
        <v/>
      </c>
      <c r="N198" s="40" t="str">
        <f>IFERROR(IF(M197=0,"",N197/M197-1),"")</f>
        <v/>
      </c>
      <c r="O198" s="40" t="str">
        <f>IFERROR(IF(N197=0,"",O197/N197-1),"")</f>
        <v/>
      </c>
      <c r="P198" s="40" t="str">
        <f>IFERROR(IF(O197=0,"",P197/O197-1),"")</f>
        <v/>
      </c>
      <c r="Q198" s="40" t="str">
        <f>IFERROR(IF(P197=0,"",Q197/P197-1),"")</f>
        <v/>
      </c>
      <c r="R198" s="12" t="str">
        <f>IF(Q197=0,"",R197/Q197-1)</f>
        <v/>
      </c>
      <c r="S198" s="40" t="str">
        <f>IFERROR(IF(R197=0,"",S197/R197-1),"")</f>
        <v/>
      </c>
      <c r="T198" s="40" t="str">
        <f>IFERROR(IF(S197=0,"",T197/S197-1),"")</f>
        <v/>
      </c>
      <c r="U198" s="40" t="str">
        <f>IFERROR(IF(T197=0,"",U197/T197-1),"")</f>
        <v/>
      </c>
      <c r="V198" s="40" t="str">
        <f>IFERROR(IF(U197=0,"",V197/U197-1),"")</f>
        <v/>
      </c>
      <c r="W198" s="12" t="str">
        <f>IF(V197=0,"",W197/V197-1)</f>
        <v/>
      </c>
      <c r="X198" s="40" t="str">
        <f>IFERROR(IF(W197=0,"",X197/W197-1),"")</f>
        <v/>
      </c>
      <c r="Y198" s="40" t="str">
        <f>IFERROR(IF(X197=0,"",Y197/X197-1),"")</f>
        <v/>
      </c>
      <c r="Z198" s="40" t="str">
        <f>IFERROR(IF(Y197=0,"",Z197/Y197-1),"")</f>
        <v/>
      </c>
      <c r="AA198" s="40" t="str">
        <f>IFERROR(IF(Z197=0,"",AA197/Z197-1),"")</f>
        <v/>
      </c>
      <c r="AB198" s="12" t="str">
        <f>IF(AA197=0,"",AB197/AA197-1)</f>
        <v/>
      </c>
      <c r="AC198" s="40" t="str">
        <f>IFERROR(IF(AB197=0,"",AC197/AB197-1),"")</f>
        <v/>
      </c>
      <c r="AD198" s="40" t="str">
        <f>IFERROR(IF(AC197=0,"",AD197/AC197-1),"")</f>
        <v/>
      </c>
      <c r="AE198" s="40" t="str">
        <f>IFERROR(IF(AD197=0,"",AE197/AD197-1),"")</f>
        <v/>
      </c>
      <c r="AF198" s="11" t="str">
        <f>IFERROR(IF(AE197=0,"",AF197/AE197-1),"")</f>
        <v/>
      </c>
      <c r="AG198" s="12" t="str">
        <f>IF(AF197=0,"",AG197/AF197-1)</f>
        <v/>
      </c>
      <c r="AH198" s="11" t="str">
        <f>IFERROR(IF(AG197=0,"",AH197/AG197-1),"")</f>
        <v/>
      </c>
      <c r="AI198" s="11" t="str">
        <f>IFERROR(IF(AH197=0,"",AI197/AH197-1),"")</f>
        <v/>
      </c>
      <c r="AJ198" s="11" t="str">
        <f>IFERROR(IF(AI197=0,"",AJ197/AI197-1),"")</f>
        <v/>
      </c>
      <c r="AK198" s="11" t="str">
        <f>IFERROR(IF(AJ197=0,"",AK197/AJ197-1),"")</f>
        <v/>
      </c>
      <c r="AL198" s="12" t="str">
        <f>IFERROR(IF(AK197=0,"",AL197/AK197-1),"")</f>
        <v/>
      </c>
      <c r="AM198" s="11" t="str">
        <f>IFERROR(IF(AL197=0,"",AM197/AL197-1),"")</f>
        <v/>
      </c>
      <c r="AN198" s="11" t="str">
        <f>IFERROR(IF(AM197=0,"",AN197/AM197-1),"")</f>
        <v/>
      </c>
      <c r="AO198" s="11" t="str">
        <f>IFERROR(IF(AN197=0,"",AO197/AN197-1),"")</f>
        <v/>
      </c>
      <c r="AP198" s="11" t="str">
        <f>IFERROR(IF(AO197=0,"",AP197/AO197-1),"")</f>
        <v/>
      </c>
      <c r="AQ198" s="12" t="str">
        <f>IFERROR(IF(AP197=0,"",AQ197/AP197-1),"")</f>
        <v/>
      </c>
      <c r="AR198" s="11" t="str">
        <f>IFERROR(IF(AQ197=0,"",AR197/AQ197-1),"")</f>
        <v/>
      </c>
      <c r="AS198" s="11" t="str">
        <f>IFERROR(IF(AR197=0,"",AS197/AR197-1),"")</f>
        <v/>
      </c>
      <c r="AT198" s="11" t="str">
        <f>IFERROR(IF(AS197=0,"",AT197/AS197-1),"")</f>
        <v/>
      </c>
      <c r="AU198" s="11" t="str">
        <f>IFERROR(IF(AT197=0,"",AU197/AT197-1),"")</f>
        <v/>
      </c>
      <c r="AV198" s="12" t="str">
        <f>IFERROR(IF(AU197=0,"",AV197/AU197-1),"")</f>
        <v/>
      </c>
      <c r="AW198" s="11" t="str">
        <f>IFERROR(IF(AV197=0,"",AW197/AV197-1),"")</f>
        <v/>
      </c>
      <c r="AX198" s="11" t="str">
        <f>IFERROR(IF(AW197=0,"",AX197/AW197-1),"")</f>
        <v/>
      </c>
      <c r="AY198" s="11" t="str">
        <f>IFERROR(IF(AX197=0,"",AY197/AX197-1),"")</f>
        <v/>
      </c>
      <c r="AZ198" s="11" t="str">
        <f>IFERROR(IF(AY197=0,"",AZ197/AY197-1),"")</f>
        <v/>
      </c>
      <c r="BA198" s="12" t="str">
        <f>IFERROR(IF(AZ197=0,"",BA197/AZ197-1),"")</f>
        <v/>
      </c>
      <c r="BB198" s="11" t="str">
        <f>IFERROR(IF(BA197=0,"",BB197/BA197-1),"")</f>
        <v/>
      </c>
      <c r="BC198" s="11" t="str">
        <f>IFERROR(IF(BB197=0,"",BC197/BB197-1),"")</f>
        <v/>
      </c>
      <c r="BD198" s="11" t="str">
        <f>IFERROR(IF(BC197=0,"",BD197/BC197-1),"")</f>
        <v/>
      </c>
      <c r="BE198" s="11" t="str">
        <f>IFERROR(IF(BD197=0,"",BE197/BD197-1),"")</f>
        <v/>
      </c>
      <c r="BF198" s="12" t="str">
        <f>IFERROR(IF(BE197=0,"",BF197/BE197-1),"")</f>
        <v/>
      </c>
      <c r="BG198" s="11" t="n"/>
      <c r="BH198" s="11" t="n"/>
      <c r="BI198" s="11" t="n"/>
      <c r="BJ198" s="11" t="n"/>
      <c r="BK198" s="12" t="n"/>
      <c r="BL198" s="11" t="n"/>
      <c r="BM198" s="11" t="n"/>
      <c r="BN198" s="11" t="n"/>
      <c r="BO198" s="11" t="n"/>
      <c r="BP198" s="12" t="n"/>
      <c r="BQ198" s="11" t="n"/>
      <c r="BR198" s="11" t="n"/>
      <c r="BS198" s="11" t="n"/>
      <c r="BT198" s="11" t="n"/>
      <c r="BU198" s="12" t="n"/>
      <c r="BV198" s="11" t="n"/>
      <c r="BW198" s="11" t="n"/>
      <c r="BX198" s="11" t="n"/>
      <c r="BY198" s="11" t="n"/>
      <c r="BZ198" s="12" t="n"/>
      <c r="CA198" s="11" t="n"/>
      <c r="CB198" s="11" t="n"/>
      <c r="CC198" s="11" t="n"/>
      <c r="CD198" s="11" t="n"/>
      <c r="CE198" s="12" t="n"/>
      <c r="CF198" s="11" t="n"/>
      <c r="CG198" s="11" t="n"/>
      <c r="CH198" s="11" t="n"/>
      <c r="CI198" s="11" t="n"/>
      <c r="CJ198" s="12" t="n"/>
      <c r="CK198" s="11" t="n"/>
      <c r="CL198" s="11" t="n"/>
      <c r="CM198" s="11" t="n"/>
      <c r="CN198" s="11" t="n"/>
      <c r="CO198" s="12" t="n"/>
      <c r="CP198" s="11" t="n"/>
      <c r="CQ198" s="11" t="n"/>
      <c r="CR198" s="11" t="n"/>
      <c r="CS198" s="11" t="n"/>
      <c r="CT198" s="12" t="n"/>
      <c r="CU198" s="11" t="n"/>
      <c r="CV198" s="11" t="n"/>
      <c r="CW198" s="11" t="n"/>
      <c r="CX198" s="11" t="n"/>
      <c r="CY198" s="12" t="n"/>
    </row>
    <row r="199" hidden="1" outlineLevel="1">
      <c r="C199" s="57" t="n"/>
      <c r="D199" s="12" t="n"/>
      <c r="E199" s="12" t="n"/>
      <c r="F199" s="12" t="n"/>
      <c r="G199" s="12" t="n"/>
      <c r="H199" s="12" t="n"/>
      <c r="I199" s="12" t="n"/>
      <c r="J199" s="12" t="n"/>
      <c r="K199" s="12" t="n"/>
      <c r="L199" s="12" t="n"/>
      <c r="M199" s="12" t="n"/>
      <c r="N199" s="12" t="n"/>
      <c r="O199" s="12" t="n"/>
      <c r="P199" s="12" t="n"/>
      <c r="Q199" s="12" t="n"/>
      <c r="R199" s="12" t="n"/>
      <c r="S199" s="12" t="n"/>
      <c r="T199" s="12" t="n"/>
      <c r="U199" s="12" t="n"/>
      <c r="V199" s="12" t="n"/>
      <c r="W199" s="12" t="n"/>
      <c r="X199" s="12" t="n"/>
      <c r="Y199" s="12" t="n"/>
      <c r="Z199" s="12" t="n"/>
      <c r="AA199" s="12" t="n"/>
      <c r="AB199" s="12" t="n"/>
      <c r="AC199" s="12" t="n"/>
      <c r="AD199" s="12" t="n"/>
      <c r="AE199" s="12" t="n"/>
      <c r="AF199" s="12" t="n"/>
      <c r="AG199" s="12" t="n"/>
      <c r="AH199" s="12" t="n"/>
      <c r="AI199" s="12" t="n"/>
      <c r="AJ199" s="12" t="n"/>
      <c r="AK199" s="12" t="n"/>
      <c r="AL199" s="12" t="n"/>
      <c r="AM199" s="12" t="n"/>
      <c r="AN199" s="12" t="n"/>
      <c r="AO199" s="12" t="n"/>
      <c r="AP199" s="12" t="n"/>
      <c r="AQ199" s="12" t="n"/>
      <c r="AR199" s="12" t="n"/>
      <c r="AS199" s="12" t="n"/>
      <c r="AT199" s="12" t="n"/>
      <c r="AU199" s="12" t="n"/>
      <c r="AV199" s="12" t="n"/>
      <c r="AW199" s="12" t="n"/>
      <c r="AX199" s="12" t="n"/>
      <c r="AY199" s="12" t="n"/>
      <c r="AZ199" s="12" t="n"/>
      <c r="BA199" s="12" t="n"/>
      <c r="BB199" s="12" t="n"/>
      <c r="BC199" s="12" t="n"/>
      <c r="BD199" s="12" t="n"/>
      <c r="BE199" s="12" t="n"/>
      <c r="BF199" s="12" t="n"/>
      <c r="BG199" s="12" t="n"/>
      <c r="BH199" s="12" t="n"/>
      <c r="BI199" s="12" t="n"/>
      <c r="BJ199" s="12" t="n"/>
      <c r="BK199" s="12" t="n"/>
      <c r="BL199" s="12" t="n"/>
      <c r="BM199" s="12" t="n"/>
      <c r="BN199" s="12" t="n"/>
      <c r="BO199" s="12" t="n"/>
      <c r="BP199" s="12" t="n"/>
      <c r="BQ199" s="12" t="n"/>
      <c r="BR199" s="12" t="n"/>
      <c r="BS199" s="12" t="n"/>
      <c r="BT199" s="12" t="n"/>
      <c r="BU199" s="12" t="n"/>
      <c r="BV199" s="12" t="n"/>
      <c r="BW199" s="12" t="n"/>
      <c r="BX199" s="12" t="n"/>
      <c r="BY199" s="12" t="n"/>
      <c r="BZ199" s="12" t="n"/>
      <c r="CA199" s="12" t="n"/>
      <c r="CB199" s="12" t="n"/>
      <c r="CC199" s="12" t="n"/>
      <c r="CD199" s="12" t="n"/>
      <c r="CE199" s="12" t="n"/>
      <c r="CF199" s="12" t="n"/>
      <c r="CG199" s="12" t="n"/>
      <c r="CH199" s="12" t="n"/>
      <c r="CI199" s="12" t="n"/>
      <c r="CJ199" s="12" t="n"/>
      <c r="CK199" s="12" t="n"/>
      <c r="CL199" s="12" t="n"/>
      <c r="CM199" s="12" t="n"/>
      <c r="CN199" s="12" t="n"/>
      <c r="CO199" s="12" t="n"/>
      <c r="CP199" s="12" t="n"/>
      <c r="CQ199" s="12" t="n"/>
      <c r="CR199" s="12" t="n"/>
      <c r="CS199" s="12" t="n"/>
      <c r="CT199" s="12" t="n"/>
      <c r="CU199" s="12" t="n"/>
      <c r="CV199" s="12" t="n"/>
      <c r="CW199" s="12" t="n"/>
      <c r="CX199" s="12" t="n"/>
      <c r="CY199" s="12" t="n"/>
    </row>
    <row r="200" collapsed="1">
      <c r="C200" s="14" t="inlineStr">
        <is>
          <t>Long term debt</t>
        </is>
      </c>
      <c r="D200" s="46" t="n"/>
      <c r="E200" s="46" t="n"/>
      <c r="F200" s="46" t="n"/>
      <c r="G200" s="46" t="n"/>
      <c r="H200" s="12" t="n"/>
      <c r="I200" s="46">
        <f>'Inputs (2)'!D35</f>
        <v>13221</v>
      </c>
      <c r="J200" s="46">
        <f>'Inputs (2)'!E35</f>
        <v>13250</v>
      </c>
      <c r="K200" s="46">
        <f>'Inputs (2)'!F35</f>
        <v>13211</v>
      </c>
      <c r="L200" s="46">
        <f>'Inputs (2)'!G35</f>
        <v>13109</v>
      </c>
      <c r="M200" s="12">
        <f>'Inputs (2)'!H35</f>
        <v>13109</v>
      </c>
      <c r="N200" s="46">
        <f>'Inputs (2)'!I35</f>
        <v>13868</v>
      </c>
      <c r="O200" s="46">
        <f>'Inputs (2)'!J35</f>
        <v>13746</v>
      </c>
      <c r="P200" s="46">
        <f>'Inputs (2)'!K35</f>
        <v>13577</v>
      </c>
      <c r="Q200" s="46">
        <f>'Inputs (2)'!L35</f>
        <v>13749</v>
      </c>
      <c r="R200" s="12">
        <f>'Inputs (2)'!M35</f>
        <v>13749</v>
      </c>
      <c r="S200" s="46">
        <f>'Inputs (2)'!N35</f>
        <v>15292</v>
      </c>
      <c r="T200" s="46">
        <f>'Inputs (2)'!O35</f>
        <v>14284</v>
      </c>
      <c r="U200" s="46">
        <f>'Inputs (2)'!P35</f>
        <v>14229</v>
      </c>
      <c r="V200" s="46">
        <f>'Inputs (2)'!Q35</f>
        <v>14344</v>
      </c>
      <c r="W200" s="12">
        <f>'Inputs (2)'!R35</f>
        <v>14344</v>
      </c>
      <c r="X200" s="46">
        <f>'Inputs (2)'!S35</f>
        <v>13543</v>
      </c>
      <c r="Y200" s="46">
        <f>'Inputs (2)'!T35</f>
        <v>14519</v>
      </c>
      <c r="Z200" s="46">
        <f>'Inputs (2)'!U35</f>
        <v>17608</v>
      </c>
      <c r="AA200" s="46">
        <f>'Inputs (2)'!V35</f>
        <v>17476</v>
      </c>
      <c r="AB200" s="12">
        <f>'Inputs (2)'!W35</f>
        <v>17476</v>
      </c>
      <c r="AC200" s="46">
        <f>'Inputs (2)'!X35</f>
        <v>18802</v>
      </c>
      <c r="AD200" s="46">
        <f>'Inputs (2)'!Y35</f>
        <v>18970</v>
      </c>
      <c r="AE200" s="46">
        <f>'Inputs (2)'!Z35</f>
        <v>18983</v>
      </c>
      <c r="AF200" s="46">
        <f>'Inputs (2)'!AA35</f>
        <v>18251</v>
      </c>
      <c r="AG200" s="12">
        <f>'Inputs (2)'!AB35</f>
        <v>18251</v>
      </c>
      <c r="AH200" s="12">
        <f>'Inputs (2)'!AC35</f>
        <v>17212</v>
      </c>
      <c r="AI200" s="12">
        <f>'Inputs (2)'!AD35</f>
        <v>22184</v>
      </c>
      <c r="AJ200" s="12">
        <f>AJ206</f>
        <v>22184</v>
      </c>
      <c r="AK200" s="12">
        <f>AK206</f>
        <v>22184</v>
      </c>
      <c r="AL200" s="12">
        <f>AK200</f>
        <v>22184</v>
      </c>
      <c r="AM200" s="12">
        <f>AM206</f>
        <v>22184</v>
      </c>
      <c r="AN200" s="12">
        <f>AN206</f>
        <v>22184</v>
      </c>
      <c r="AO200" s="12">
        <f>AO206</f>
        <v>22184</v>
      </c>
      <c r="AP200" s="12">
        <f>AP206</f>
        <v>22184</v>
      </c>
      <c r="AQ200" s="12">
        <f>AP200</f>
        <v>22184</v>
      </c>
      <c r="AR200" s="12">
        <f>AR206</f>
        <v>22184</v>
      </c>
      <c r="AS200" s="12">
        <f>AS206</f>
        <v>22184</v>
      </c>
      <c r="AT200" s="12">
        <f>AT206</f>
        <v>22184</v>
      </c>
      <c r="AU200" s="12">
        <f>AU206</f>
        <v>22184</v>
      </c>
      <c r="AV200" s="12">
        <f>AU200</f>
        <v>22184</v>
      </c>
      <c r="AW200" s="12">
        <f>AW206</f>
        <v>22184</v>
      </c>
      <c r="AX200" s="12">
        <f>AX206</f>
        <v>22184</v>
      </c>
      <c r="AY200" s="12">
        <f>AY206</f>
        <v>22184</v>
      </c>
      <c r="AZ200" s="12">
        <f>AZ206</f>
        <v>22184</v>
      </c>
      <c r="BA200" s="12">
        <f>AZ200</f>
        <v>22184</v>
      </c>
      <c r="BB200" s="12">
        <f>BB206</f>
        <v>22184</v>
      </c>
      <c r="BC200" s="12">
        <f>BC206</f>
        <v>22184</v>
      </c>
      <c r="BD200" s="12">
        <f>BD206</f>
        <v>22184</v>
      </c>
      <c r="BE200" s="12">
        <f>BE206</f>
        <v>22184</v>
      </c>
      <c r="BF200" s="12">
        <f>BE200</f>
        <v>22184</v>
      </c>
      <c r="BG200" s="12" t="n"/>
      <c r="BH200" s="12" t="n"/>
      <c r="BI200" s="12" t="n"/>
      <c r="BJ200" s="12" t="n"/>
      <c r="BK200" s="12" t="n"/>
      <c r="BL200" s="12" t="n"/>
      <c r="BM200" s="12" t="n"/>
      <c r="BN200" s="12" t="n"/>
      <c r="BO200" s="12" t="n"/>
      <c r="BP200" s="12" t="n"/>
      <c r="BQ200" s="12" t="n"/>
      <c r="BR200" s="12" t="n"/>
      <c r="BS200" s="12" t="n"/>
      <c r="BT200" s="12" t="n"/>
      <c r="BU200" s="12" t="n"/>
      <c r="BV200" s="12" t="n"/>
      <c r="BW200" s="12" t="n"/>
      <c r="BX200" s="12" t="n"/>
      <c r="BY200" s="12" t="n"/>
      <c r="BZ200" s="12" t="n"/>
      <c r="CA200" s="12" t="n"/>
      <c r="CB200" s="12" t="n"/>
      <c r="CC200" s="12" t="n"/>
      <c r="CD200" s="12" t="n"/>
      <c r="CE200" s="12" t="n"/>
      <c r="CF200" s="12" t="n"/>
      <c r="CG200" s="12" t="n"/>
      <c r="CH200" s="12" t="n"/>
      <c r="CI200" s="12" t="n"/>
      <c r="CJ200" s="12" t="n"/>
      <c r="CK200" s="12" t="n"/>
      <c r="CL200" s="12" t="n"/>
      <c r="CM200" s="12" t="n"/>
      <c r="CN200" s="12" t="n"/>
      <c r="CO200" s="12" t="n"/>
      <c r="CP200" s="12" t="n"/>
      <c r="CQ200" s="12" t="n"/>
      <c r="CR200" s="12" t="n"/>
      <c r="CS200" s="12" t="n"/>
      <c r="CT200" s="12" t="n"/>
      <c r="CU200" s="12" t="n"/>
      <c r="CV200" s="12" t="n"/>
      <c r="CW200" s="12" t="n"/>
      <c r="CX200" s="12" t="n"/>
      <c r="CY200" s="12" t="n"/>
    </row>
    <row r="201" hidden="1" outlineLevel="1">
      <c r="C201" s="57" t="n"/>
      <c r="D201" s="12" t="n"/>
      <c r="E201" s="12" t="n"/>
      <c r="F201" s="12" t="n"/>
      <c r="G201" s="12" t="n"/>
      <c r="H201" s="12" t="n"/>
      <c r="I201" s="12" t="n"/>
      <c r="J201" s="12" t="n"/>
      <c r="K201" s="12" t="n"/>
      <c r="L201" s="12" t="n"/>
      <c r="M201" s="12" t="n"/>
      <c r="N201" s="12" t="n"/>
      <c r="O201" s="12" t="n"/>
      <c r="P201" s="12" t="n"/>
      <c r="Q201" s="12" t="n"/>
      <c r="R201" s="12" t="n"/>
      <c r="S201" s="12" t="n"/>
      <c r="T201" s="12" t="n"/>
      <c r="U201" s="12" t="n"/>
      <c r="V201" s="12" t="n"/>
      <c r="W201" s="12" t="n"/>
      <c r="X201" s="12" t="n"/>
      <c r="Y201" s="12" t="n"/>
      <c r="Z201" s="12" t="n"/>
      <c r="AA201" s="12" t="n"/>
      <c r="AB201" s="12" t="n"/>
      <c r="AC201" s="12" t="n"/>
      <c r="AD201" s="12" t="n"/>
      <c r="AE201" s="12" t="n"/>
      <c r="AF201" s="12" t="n"/>
      <c r="AG201" s="12" t="n"/>
      <c r="AH201" s="12" t="n"/>
      <c r="AI201" s="12" t="n"/>
      <c r="AJ201" s="12" t="n"/>
      <c r="AK201" s="12" t="n"/>
      <c r="AL201" s="12" t="n"/>
      <c r="AM201" s="12" t="n"/>
      <c r="AN201" s="12" t="n"/>
      <c r="AO201" s="12" t="n"/>
      <c r="AP201" s="12" t="n"/>
      <c r="AQ201" s="12" t="n"/>
      <c r="AR201" s="12" t="n"/>
      <c r="AS201" s="12" t="n"/>
      <c r="AT201" s="12" t="n"/>
      <c r="AU201" s="12" t="n"/>
      <c r="AV201" s="12" t="n"/>
      <c r="AW201" s="12" t="n"/>
      <c r="AX201" s="12" t="n"/>
      <c r="AY201" s="12" t="n"/>
      <c r="AZ201" s="12" t="n"/>
      <c r="BA201" s="12" t="n"/>
      <c r="BB201" s="12" t="n"/>
      <c r="BC201" s="12" t="n"/>
      <c r="BD201" s="12" t="n"/>
      <c r="BE201" s="12" t="n"/>
      <c r="BF201" s="12" t="n"/>
      <c r="BG201" s="12" t="n"/>
      <c r="BH201" s="12" t="n"/>
      <c r="BI201" s="12" t="n"/>
      <c r="BJ201" s="12" t="n"/>
      <c r="BK201" s="12" t="n"/>
      <c r="BL201" s="12" t="n"/>
      <c r="BM201" s="12" t="n"/>
      <c r="BN201" s="12" t="n"/>
      <c r="BO201" s="12" t="n"/>
      <c r="BP201" s="12" t="n"/>
      <c r="BQ201" s="12" t="n"/>
      <c r="BR201" s="12" t="n"/>
      <c r="BS201" s="12" t="n"/>
      <c r="BT201" s="12" t="n"/>
      <c r="BU201" s="12" t="n"/>
      <c r="BV201" s="12" t="n"/>
      <c r="BW201" s="12" t="n"/>
      <c r="BX201" s="12" t="n"/>
      <c r="BY201" s="12" t="n"/>
      <c r="BZ201" s="12" t="n"/>
      <c r="CA201" s="12" t="n"/>
      <c r="CB201" s="12" t="n"/>
      <c r="CC201" s="12" t="n"/>
      <c r="CD201" s="12" t="n"/>
      <c r="CE201" s="12" t="n"/>
      <c r="CF201" s="12" t="n"/>
      <c r="CG201" s="12" t="n"/>
      <c r="CH201" s="12" t="n"/>
      <c r="CI201" s="12" t="n"/>
      <c r="CJ201" s="12" t="n"/>
      <c r="CK201" s="12" t="n"/>
      <c r="CL201" s="12" t="n"/>
      <c r="CM201" s="12" t="n"/>
      <c r="CN201" s="12" t="n"/>
      <c r="CO201" s="12" t="n"/>
      <c r="CP201" s="12" t="n"/>
      <c r="CQ201" s="12" t="n"/>
      <c r="CR201" s="12" t="n"/>
      <c r="CS201" s="12" t="n"/>
      <c r="CT201" s="12" t="n"/>
      <c r="CU201" s="12" t="n"/>
      <c r="CV201" s="12" t="n"/>
      <c r="CW201" s="12" t="n"/>
      <c r="CX201" s="12" t="n"/>
      <c r="CY201" s="12" t="n"/>
    </row>
    <row r="202" hidden="1" outlineLevel="1">
      <c r="C202" s="57" t="inlineStr">
        <is>
          <t>Current portion of LTD</t>
        </is>
      </c>
      <c r="D202" s="12" t="n"/>
      <c r="E202" s="12" t="n"/>
      <c r="F202" s="12" t="n"/>
      <c r="G202" s="12" t="n"/>
      <c r="H202" s="12" t="n"/>
      <c r="I202" s="12" t="n"/>
      <c r="J202" s="12" t="n"/>
      <c r="K202" s="12" t="n"/>
      <c r="L202" s="12" t="n"/>
      <c r="M202" s="12" t="n"/>
      <c r="N202" s="12" t="n"/>
      <c r="O202" s="12" t="n"/>
      <c r="P202" s="12" t="n"/>
      <c r="Q202" s="12" t="n"/>
      <c r="R202" s="12" t="n"/>
      <c r="S202" s="12" t="n"/>
      <c r="T202" s="12" t="n"/>
      <c r="U202" s="12" t="n"/>
      <c r="V202" s="12" t="n"/>
      <c r="W202" s="12" t="n"/>
      <c r="X202" s="12" t="n"/>
      <c r="Y202" s="12" t="n"/>
      <c r="Z202" s="12" t="n"/>
      <c r="AA202" s="12" t="n"/>
      <c r="AB202" s="12" t="n"/>
      <c r="AC202" s="12" t="n"/>
      <c r="AD202" s="12" t="n"/>
      <c r="AE202" s="12" t="n"/>
      <c r="AF202" s="12" t="n"/>
      <c r="AG202" s="12" t="n"/>
      <c r="AH202" s="12">
        <f>AF195</f>
        <v>749</v>
      </c>
      <c r="AI202" s="62" t="n"/>
      <c r="AJ202" s="62" t="n"/>
      <c r="AK202" s="62" t="n"/>
      <c r="AL202" s="12" t="n"/>
      <c r="AM202" s="12">
        <f>AK195</f>
        <v>2459</v>
      </c>
      <c r="AN202" s="62" t="n"/>
      <c r="AO202" s="62" t="n"/>
      <c r="AP202" s="62" t="n"/>
      <c r="AQ202" s="12" t="n"/>
      <c r="AR202" s="12">
        <f>AP195</f>
        <v>2459</v>
      </c>
      <c r="AS202" s="62" t="n"/>
      <c r="AT202" s="62" t="n"/>
      <c r="AU202" s="62" t="n"/>
      <c r="AV202" s="12" t="n"/>
      <c r="AW202" s="12">
        <f>AU195</f>
        <v>2459</v>
      </c>
      <c r="AX202" s="62" t="n"/>
      <c r="AY202" s="62" t="n"/>
      <c r="AZ202" s="62" t="n"/>
      <c r="BA202" s="12" t="n"/>
      <c r="BB202" s="12">
        <f>AZ195</f>
        <v>2459</v>
      </c>
      <c r="BC202" s="62" t="n"/>
      <c r="BD202" s="62" t="n"/>
      <c r="BE202" s="62" t="n"/>
      <c r="BF202" s="12" t="n"/>
      <c r="BG202" s="12" t="n"/>
      <c r="BH202" s="62" t="n"/>
      <c r="BI202" s="62" t="n"/>
      <c r="BJ202" s="62" t="n"/>
      <c r="BK202" s="12" t="n"/>
      <c r="BL202" s="12" t="n"/>
      <c r="BM202" s="62" t="n"/>
      <c r="BN202" s="62" t="n"/>
      <c r="BO202" s="62" t="n"/>
      <c r="BP202" s="12" t="n"/>
      <c r="BQ202" s="12" t="n"/>
      <c r="BR202" s="62" t="n"/>
      <c r="BS202" s="62" t="n"/>
      <c r="BT202" s="62" t="n"/>
      <c r="BU202" s="12" t="n"/>
      <c r="BV202" s="12" t="n"/>
      <c r="BW202" s="62" t="n"/>
      <c r="BX202" s="62" t="n"/>
      <c r="BY202" s="62" t="n"/>
      <c r="BZ202" s="12" t="n"/>
      <c r="CA202" s="12" t="n"/>
      <c r="CB202" s="62" t="n"/>
      <c r="CC202" s="62" t="n"/>
      <c r="CD202" s="62" t="n"/>
      <c r="CE202" s="12" t="n"/>
      <c r="CF202" s="12" t="n"/>
      <c r="CG202" s="62" t="n"/>
      <c r="CH202" s="62" t="n"/>
      <c r="CI202" s="62" t="n"/>
      <c r="CJ202" s="12" t="n"/>
      <c r="CK202" s="12" t="n"/>
      <c r="CL202" s="62" t="n"/>
      <c r="CM202" s="62" t="n"/>
      <c r="CN202" s="62" t="n"/>
      <c r="CO202" s="12" t="n"/>
      <c r="CP202" s="12" t="n"/>
      <c r="CQ202" s="62" t="n"/>
      <c r="CR202" s="62" t="n"/>
      <c r="CS202" s="62" t="n"/>
      <c r="CT202" s="12" t="n"/>
      <c r="CU202" s="12" t="n"/>
      <c r="CV202" s="62" t="n"/>
      <c r="CW202" s="62" t="n"/>
      <c r="CX202" s="62" t="n"/>
      <c r="CY202" s="12" t="n"/>
    </row>
    <row r="203" hidden="1" outlineLevel="1">
      <c r="C203" s="57" t="n"/>
      <c r="D203" s="12" t="n"/>
      <c r="E203" s="12" t="n"/>
      <c r="F203" s="12" t="n"/>
      <c r="G203" s="12" t="n"/>
      <c r="H203" s="12" t="n"/>
      <c r="I203" s="12" t="n"/>
      <c r="J203" s="12" t="n"/>
      <c r="K203" s="12" t="n"/>
      <c r="L203" s="12" t="n"/>
      <c r="M203" s="12" t="n"/>
      <c r="N203" s="12" t="n"/>
      <c r="O203" s="12" t="n"/>
      <c r="P203" s="12" t="n"/>
      <c r="Q203" s="12" t="n"/>
      <c r="R203" s="12" t="n"/>
      <c r="S203" s="12" t="n"/>
      <c r="T203" s="12" t="n"/>
      <c r="U203" s="12" t="n"/>
      <c r="V203" s="12" t="n"/>
      <c r="W203" s="12" t="n"/>
      <c r="X203" s="12" t="n"/>
      <c r="Y203" s="12" t="n"/>
      <c r="Z203" s="12" t="n"/>
      <c r="AA203" s="12" t="n"/>
      <c r="AB203" s="12" t="n"/>
      <c r="AC203" s="12" t="n"/>
      <c r="AD203" s="12" t="n"/>
      <c r="AE203" s="12" t="n"/>
      <c r="AF203" s="12" t="n"/>
      <c r="AG203" s="12" t="n"/>
      <c r="AH203" s="12" t="n"/>
      <c r="AI203" s="12" t="n"/>
      <c r="AJ203" s="12" t="n"/>
      <c r="AK203" s="12" t="n"/>
      <c r="AL203" s="12" t="n"/>
      <c r="AM203" s="12" t="n"/>
      <c r="AN203" s="12" t="n"/>
      <c r="AO203" s="12" t="n"/>
      <c r="AP203" s="12" t="n"/>
      <c r="AQ203" s="12" t="n"/>
      <c r="AR203" s="12" t="n"/>
      <c r="AS203" s="12" t="n"/>
      <c r="AT203" s="12" t="n"/>
      <c r="AU203" s="12" t="n"/>
      <c r="AV203" s="12" t="n"/>
      <c r="AW203" s="12" t="n"/>
      <c r="AX203" s="12" t="n"/>
      <c r="AY203" s="12" t="n"/>
      <c r="AZ203" s="12" t="n"/>
      <c r="BA203" s="12" t="n"/>
      <c r="BB203" s="12" t="n"/>
      <c r="BC203" s="12" t="n"/>
      <c r="BD203" s="12" t="n"/>
      <c r="BE203" s="12" t="n"/>
      <c r="BF203" s="12" t="n"/>
      <c r="BG203" s="12" t="n"/>
      <c r="BH203" s="12" t="n"/>
      <c r="BI203" s="12" t="n"/>
      <c r="BJ203" s="12" t="n"/>
      <c r="BK203" s="12" t="n"/>
      <c r="BL203" s="12" t="n"/>
      <c r="BM203" s="12" t="n"/>
      <c r="BN203" s="12" t="n"/>
      <c r="BO203" s="12" t="n"/>
      <c r="BP203" s="12" t="n"/>
      <c r="BQ203" s="12" t="n"/>
      <c r="BR203" s="12" t="n"/>
      <c r="BS203" s="12" t="n"/>
      <c r="BT203" s="12" t="n"/>
      <c r="BU203" s="12" t="n"/>
      <c r="BV203" s="12" t="n"/>
      <c r="BW203" s="12" t="n"/>
      <c r="BX203" s="12" t="n"/>
      <c r="BY203" s="12" t="n"/>
      <c r="BZ203" s="12" t="n"/>
      <c r="CA203" s="12" t="n"/>
      <c r="CB203" s="12" t="n"/>
      <c r="CC203" s="12" t="n"/>
      <c r="CD203" s="12" t="n"/>
      <c r="CE203" s="12" t="n"/>
      <c r="CF203" s="12" t="n"/>
      <c r="CG203" s="12" t="n"/>
      <c r="CH203" s="12" t="n"/>
      <c r="CI203" s="12" t="n"/>
      <c r="CJ203" s="12" t="n"/>
      <c r="CK203" s="12" t="n"/>
      <c r="CL203" s="12" t="n"/>
      <c r="CM203" s="12" t="n"/>
      <c r="CN203" s="12" t="n"/>
      <c r="CO203" s="12" t="n"/>
      <c r="CP203" s="12" t="n"/>
      <c r="CQ203" s="12" t="n"/>
      <c r="CR203" s="12" t="n"/>
      <c r="CS203" s="12" t="n"/>
      <c r="CT203" s="12" t="n"/>
      <c r="CU203" s="12" t="n"/>
      <c r="CV203" s="12" t="n"/>
      <c r="CW203" s="12" t="n"/>
      <c r="CX203" s="12" t="n"/>
      <c r="CY203" s="12" t="n"/>
    </row>
    <row r="204" hidden="1" outlineLevel="1">
      <c r="C204" s="57" t="inlineStr">
        <is>
          <t>Reclassification of LTD to CP of LTD</t>
        </is>
      </c>
      <c r="D204" s="12" t="n"/>
      <c r="E204" s="12" t="n"/>
      <c r="F204" s="12" t="n"/>
      <c r="G204" s="12" t="n"/>
      <c r="H204" s="12" t="n"/>
      <c r="I204" s="12" t="n"/>
      <c r="J204" s="12" t="n"/>
      <c r="K204" s="12" t="n"/>
      <c r="L204" s="12" t="n"/>
      <c r="M204" s="12" t="n"/>
      <c r="N204" s="12" t="n"/>
      <c r="O204" s="12" t="n"/>
      <c r="P204" s="12" t="n"/>
      <c r="Q204" s="12" t="n"/>
      <c r="R204" s="12" t="n"/>
      <c r="S204" s="12" t="n"/>
      <c r="T204" s="12" t="n"/>
      <c r="U204" s="12" t="n"/>
      <c r="V204" s="12" t="n"/>
      <c r="W204" s="12" t="n"/>
      <c r="X204" s="12" t="n"/>
      <c r="Y204" s="12" t="n"/>
      <c r="Z204" s="12" t="n"/>
      <c r="AA204" s="12" t="n"/>
      <c r="AB204" s="12" t="n"/>
      <c r="AC204" s="12" t="n"/>
      <c r="AD204" s="12" t="n"/>
      <c r="AE204" s="12" t="n"/>
      <c r="AF204" s="12" t="n"/>
      <c r="AG204" s="12" t="n"/>
      <c r="AH204" s="12" t="n"/>
      <c r="AI204" s="12">
        <f>-AI202</f>
        <v>0</v>
      </c>
      <c r="AJ204" s="12">
        <f>-AJ202</f>
        <v>0</v>
      </c>
      <c r="AK204" s="12">
        <f>-AK202</f>
        <v>0</v>
      </c>
      <c r="AL204" s="12" t="n"/>
      <c r="AM204" s="12" t="n"/>
      <c r="AN204" s="12">
        <f>-AN202</f>
        <v>0</v>
      </c>
      <c r="AO204" s="12">
        <f>-AO202</f>
        <v>0</v>
      </c>
      <c r="AP204" s="12">
        <f>-AP202</f>
        <v>0</v>
      </c>
      <c r="AQ204" s="12" t="n"/>
      <c r="AR204" s="12" t="n"/>
      <c r="AS204" s="12">
        <f>-AS202</f>
        <v>0</v>
      </c>
      <c r="AT204" s="12">
        <f>-AT202</f>
        <v>0</v>
      </c>
      <c r="AU204" s="12">
        <f>-AU202</f>
        <v>0</v>
      </c>
      <c r="AV204" s="12" t="n"/>
      <c r="AW204" s="12" t="n"/>
      <c r="AX204" s="12">
        <f>-AX202</f>
        <v>0</v>
      </c>
      <c r="AY204" s="12">
        <f>-AY202</f>
        <v>0</v>
      </c>
      <c r="AZ204" s="12">
        <f>-AZ202</f>
        <v>0</v>
      </c>
      <c r="BA204" s="12" t="n"/>
      <c r="BB204" s="12" t="n"/>
      <c r="BC204" s="12">
        <f>-BC202</f>
        <v>0</v>
      </c>
      <c r="BD204" s="12">
        <f>-BD202</f>
        <v>0</v>
      </c>
      <c r="BE204" s="12">
        <f>-BE202</f>
        <v>0</v>
      </c>
      <c r="BF204" s="12" t="n"/>
      <c r="BG204" s="12" t="n"/>
      <c r="BH204" s="12" t="n"/>
      <c r="BI204" s="12" t="n"/>
      <c r="BJ204" s="12" t="n"/>
      <c r="BK204" s="12" t="n"/>
      <c r="BL204" s="12" t="n"/>
      <c r="BM204" s="12" t="n"/>
      <c r="BN204" s="12" t="n"/>
      <c r="BO204" s="12" t="n"/>
      <c r="BP204" s="12" t="n"/>
      <c r="BQ204" s="12" t="n"/>
      <c r="BR204" s="12" t="n"/>
      <c r="BS204" s="12" t="n"/>
      <c r="BT204" s="12" t="n"/>
      <c r="BU204" s="12" t="n"/>
      <c r="BV204" s="12" t="n"/>
      <c r="BW204" s="12" t="n"/>
      <c r="BX204" s="12" t="n"/>
      <c r="BY204" s="12" t="n"/>
      <c r="BZ204" s="12" t="n"/>
      <c r="CA204" s="12" t="n"/>
      <c r="CB204" s="12" t="n"/>
      <c r="CC204" s="12" t="n"/>
      <c r="CD204" s="12" t="n"/>
      <c r="CE204" s="12" t="n"/>
      <c r="CF204" s="12" t="n"/>
      <c r="CG204" s="12" t="n"/>
      <c r="CH204" s="12" t="n"/>
      <c r="CI204" s="12" t="n"/>
      <c r="CJ204" s="12" t="n"/>
      <c r="CK204" s="12" t="n"/>
      <c r="CL204" s="12" t="n"/>
      <c r="CM204" s="12" t="n"/>
      <c r="CN204" s="12" t="n"/>
      <c r="CO204" s="12" t="n"/>
      <c r="CP204" s="12" t="n"/>
      <c r="CQ204" s="12" t="n"/>
      <c r="CR204" s="12" t="n"/>
      <c r="CS204" s="12" t="n"/>
      <c r="CT204" s="12" t="n"/>
      <c r="CU204" s="12" t="n"/>
      <c r="CV204" s="12" t="n"/>
      <c r="CW204" s="12" t="n"/>
      <c r="CX204" s="12" t="n"/>
      <c r="CY204" s="12" t="n"/>
    </row>
    <row r="205" hidden="1" outlineLevel="1">
      <c r="C205" s="57" t="inlineStr">
        <is>
          <t>Discretionary (paydown)/borrowing of long term debt</t>
        </is>
      </c>
      <c r="D205" s="12" t="n"/>
      <c r="E205" s="12" t="n"/>
      <c r="F205" s="12" t="n"/>
      <c r="G205" s="12" t="n"/>
      <c r="H205" s="12" t="n"/>
      <c r="I205" s="12" t="n"/>
      <c r="J205" s="12" t="n"/>
      <c r="K205" s="12" t="n"/>
      <c r="L205" s="12" t="n"/>
      <c r="M205" s="12" t="n"/>
      <c r="N205" s="12" t="n"/>
      <c r="O205" s="12" t="n"/>
      <c r="P205" s="12" t="n"/>
      <c r="Q205" s="12" t="n"/>
      <c r="R205" s="12" t="n"/>
      <c r="S205" s="12" t="n"/>
      <c r="T205" s="12" t="n"/>
      <c r="U205" s="12" t="n"/>
      <c r="V205" s="12" t="n"/>
      <c r="W205" s="12" t="n"/>
      <c r="X205" s="12" t="n"/>
      <c r="Y205" s="12" t="n"/>
      <c r="Z205" s="12" t="n"/>
      <c r="AA205" s="12" t="n"/>
      <c r="AB205" s="12" t="n"/>
      <c r="AC205" s="12" t="n"/>
      <c r="AD205" s="12" t="n"/>
      <c r="AE205" s="12" t="n"/>
      <c r="AF205" s="12" t="n"/>
      <c r="AG205" s="12" t="n"/>
      <c r="AH205" s="62" t="n"/>
      <c r="AI205" s="62" t="n"/>
      <c r="AJ205" s="62" t="n"/>
      <c r="AK205" s="62" t="n"/>
      <c r="AL205" s="12" t="n"/>
      <c r="AM205" s="62" t="n"/>
      <c r="AN205" s="62" t="n"/>
      <c r="AO205" s="62" t="n"/>
      <c r="AP205" s="62" t="n"/>
      <c r="AQ205" s="12" t="n"/>
      <c r="AR205" s="62" t="n"/>
      <c r="AS205" s="62" t="n"/>
      <c r="AT205" s="62" t="n"/>
      <c r="AU205" s="62" t="n"/>
      <c r="AV205" s="12" t="n"/>
      <c r="AW205" s="62" t="n"/>
      <c r="AX205" s="62" t="n"/>
      <c r="AY205" s="62" t="n"/>
      <c r="AZ205" s="62" t="n"/>
      <c r="BA205" s="12" t="n"/>
      <c r="BB205" s="62" t="n"/>
      <c r="BC205" s="62" t="n"/>
      <c r="BD205" s="62" t="n"/>
      <c r="BE205" s="62" t="n"/>
      <c r="BF205" s="12" t="n"/>
      <c r="BG205" s="62" t="n"/>
      <c r="BH205" s="62" t="n"/>
      <c r="BI205" s="62" t="n"/>
      <c r="BJ205" s="62" t="n"/>
      <c r="BK205" s="12" t="n"/>
      <c r="BL205" s="62" t="n"/>
      <c r="BM205" s="62" t="n"/>
      <c r="BN205" s="62" t="n"/>
      <c r="BO205" s="62" t="n"/>
      <c r="BP205" s="12" t="n"/>
      <c r="BQ205" s="62" t="n"/>
      <c r="BR205" s="62" t="n"/>
      <c r="BS205" s="62" t="n"/>
      <c r="BT205" s="62" t="n"/>
      <c r="BU205" s="12" t="n"/>
      <c r="BV205" s="62" t="n"/>
      <c r="BW205" s="62" t="n"/>
      <c r="BX205" s="62" t="n"/>
      <c r="BY205" s="62" t="n"/>
      <c r="BZ205" s="12" t="n"/>
      <c r="CA205" s="62" t="n"/>
      <c r="CB205" s="62" t="n"/>
      <c r="CC205" s="62" t="n"/>
      <c r="CD205" s="62" t="n"/>
      <c r="CE205" s="12" t="n"/>
      <c r="CF205" s="62" t="n"/>
      <c r="CG205" s="62" t="n"/>
      <c r="CH205" s="62" t="n"/>
      <c r="CI205" s="62" t="n"/>
      <c r="CJ205" s="12" t="n"/>
      <c r="CK205" s="62" t="n"/>
      <c r="CL205" s="62" t="n"/>
      <c r="CM205" s="62" t="n"/>
      <c r="CN205" s="62" t="n"/>
      <c r="CO205" s="12" t="n"/>
      <c r="CP205" s="62" t="n"/>
      <c r="CQ205" s="62" t="n"/>
      <c r="CR205" s="62" t="n"/>
      <c r="CS205" s="62" t="n"/>
      <c r="CT205" s="12" t="n"/>
      <c r="CU205" s="62" t="n"/>
      <c r="CV205" s="62" t="n"/>
      <c r="CW205" s="62" t="n"/>
      <c r="CX205" s="62" t="n"/>
      <c r="CY205" s="12" t="n"/>
    </row>
    <row r="206" hidden="1" outlineLevel="1">
      <c r="C206" s="57" t="inlineStr">
        <is>
          <t>Long term debt</t>
        </is>
      </c>
      <c r="D206" s="12" t="n"/>
      <c r="E206" s="12" t="n"/>
      <c r="F206" s="12" t="n"/>
      <c r="G206" s="12" t="n"/>
      <c r="H206" s="12" t="n"/>
      <c r="I206" s="12" t="n"/>
      <c r="J206" s="12" t="n"/>
      <c r="K206" s="12" t="n"/>
      <c r="L206" s="12" t="n"/>
      <c r="M206" s="12" t="n"/>
      <c r="N206" s="12" t="n"/>
      <c r="O206" s="12" t="n"/>
      <c r="P206" s="12" t="n"/>
      <c r="Q206" s="12" t="n"/>
      <c r="R206" s="12" t="n"/>
      <c r="S206" s="12" t="n"/>
      <c r="T206" s="12" t="n"/>
      <c r="U206" s="12" t="n"/>
      <c r="V206" s="12" t="n"/>
      <c r="W206" s="12" t="n"/>
      <c r="X206" s="12" t="n"/>
      <c r="Y206" s="12" t="n"/>
      <c r="Z206" s="12" t="n"/>
      <c r="AA206" s="12" t="n"/>
      <c r="AB206" s="12" t="n"/>
      <c r="AC206" s="12" t="n"/>
      <c r="AD206" s="12" t="n"/>
      <c r="AE206" s="12" t="n"/>
      <c r="AF206" s="12" t="n"/>
      <c r="AG206" s="12" t="n"/>
      <c r="AH206" s="12">
        <f>AH200</f>
        <v>17212</v>
      </c>
      <c r="AI206" s="12">
        <f>AI200</f>
        <v>22184</v>
      </c>
      <c r="AJ206" s="12">
        <f>AI206+SUM(AJ204:AJ205)</f>
        <v>22184</v>
      </c>
      <c r="AK206" s="12">
        <f>AJ206+SUM(AK204:AK205)</f>
        <v>22184</v>
      </c>
      <c r="AL206" s="12" t="n"/>
      <c r="AM206" s="12">
        <f>AK206+SUM(AM204:AM205)</f>
        <v>22184</v>
      </c>
      <c r="AN206" s="12">
        <f>AM206+SUM(AN204:AN205)</f>
        <v>22184</v>
      </c>
      <c r="AO206" s="12">
        <f>AN206+SUM(AO204:AO205)</f>
        <v>22184</v>
      </c>
      <c r="AP206" s="12">
        <f>AO206+SUM(AP204:AP205)</f>
        <v>22184</v>
      </c>
      <c r="AQ206" s="12" t="n"/>
      <c r="AR206" s="12">
        <f>AP206+SUM(AR204:AR205)</f>
        <v>22184</v>
      </c>
      <c r="AS206" s="12">
        <f>AR206+SUM(AS204:AS205)</f>
        <v>22184</v>
      </c>
      <c r="AT206" s="12">
        <f>AS206+SUM(AT204:AT205)</f>
        <v>22184</v>
      </c>
      <c r="AU206" s="12">
        <f>AT206+SUM(AU204:AU205)</f>
        <v>22184</v>
      </c>
      <c r="AV206" s="12" t="n"/>
      <c r="AW206" s="12">
        <f>AU206+SUM(AW204:AW205)</f>
        <v>22184</v>
      </c>
      <c r="AX206" s="12">
        <f>AW206+SUM(AX204:AX205)</f>
        <v>22184</v>
      </c>
      <c r="AY206" s="12">
        <f>AX206+SUM(AY204:AY205)</f>
        <v>22184</v>
      </c>
      <c r="AZ206" s="12">
        <f>AY206+SUM(AZ204:AZ205)</f>
        <v>22184</v>
      </c>
      <c r="BA206" s="12" t="n"/>
      <c r="BB206" s="12">
        <f>AZ206+SUM(BB204:BB205)</f>
        <v>22184</v>
      </c>
      <c r="BC206" s="12">
        <f>BB206+SUM(BC204:BC205)</f>
        <v>22184</v>
      </c>
      <c r="BD206" s="12">
        <f>BC206+SUM(BD204:BD205)</f>
        <v>22184</v>
      </c>
      <c r="BE206" s="12">
        <f>BD206+SUM(BE204:BE205)</f>
        <v>22184</v>
      </c>
      <c r="BF206" s="12" t="n"/>
      <c r="BG206" s="12" t="n"/>
      <c r="BH206" s="12" t="n"/>
      <c r="BI206" s="12" t="n"/>
      <c r="BJ206" s="12" t="n"/>
      <c r="BK206" s="12" t="n"/>
      <c r="BL206" s="12" t="n"/>
      <c r="BM206" s="12" t="n"/>
      <c r="BN206" s="12" t="n"/>
      <c r="BO206" s="12" t="n"/>
      <c r="BP206" s="12" t="n"/>
      <c r="BQ206" s="12" t="n"/>
      <c r="BR206" s="12" t="n"/>
      <c r="BS206" s="12" t="n"/>
      <c r="BT206" s="12" t="n"/>
      <c r="BU206" s="12" t="n"/>
      <c r="BV206" s="12" t="n"/>
      <c r="BW206" s="12" t="n"/>
      <c r="BX206" s="12" t="n"/>
      <c r="BY206" s="12" t="n"/>
      <c r="BZ206" s="12" t="n"/>
      <c r="CA206" s="12" t="n"/>
      <c r="CB206" s="12" t="n"/>
      <c r="CC206" s="12" t="n"/>
      <c r="CD206" s="12" t="n"/>
      <c r="CE206" s="12" t="n"/>
      <c r="CF206" s="12" t="n"/>
      <c r="CG206" s="12" t="n"/>
      <c r="CH206" s="12" t="n"/>
      <c r="CI206" s="12" t="n"/>
      <c r="CJ206" s="12" t="n"/>
      <c r="CK206" s="12" t="n"/>
      <c r="CL206" s="12" t="n"/>
      <c r="CM206" s="12" t="n"/>
      <c r="CN206" s="12" t="n"/>
      <c r="CO206" s="12" t="n"/>
      <c r="CP206" s="12" t="n"/>
      <c r="CQ206" s="12" t="n"/>
      <c r="CR206" s="12" t="n"/>
      <c r="CS206" s="12" t="n"/>
      <c r="CT206" s="12" t="n"/>
      <c r="CU206" s="12" t="n"/>
      <c r="CV206" s="12" t="n"/>
      <c r="CW206" s="12" t="n"/>
      <c r="CX206" s="12" t="n"/>
      <c r="CY206" s="12" t="n"/>
    </row>
    <row r="207" hidden="1" outlineLevel="1">
      <c r="C207" s="57" t="n"/>
      <c r="D207" s="12" t="n"/>
      <c r="E207" s="12" t="n"/>
      <c r="F207" s="12" t="n"/>
      <c r="G207" s="12" t="n"/>
      <c r="H207" s="12" t="n"/>
      <c r="I207" s="12" t="n"/>
      <c r="J207" s="12" t="n"/>
      <c r="K207" s="12" t="n"/>
      <c r="L207" s="12" t="n"/>
      <c r="M207" s="12" t="n"/>
      <c r="N207" s="12" t="n"/>
      <c r="O207" s="12" t="n"/>
      <c r="P207" s="12" t="n"/>
      <c r="Q207" s="12" t="n"/>
      <c r="R207" s="12" t="n"/>
      <c r="S207" s="12" t="n"/>
      <c r="T207" s="12" t="n"/>
      <c r="U207" s="12" t="n"/>
      <c r="V207" s="12" t="n"/>
      <c r="W207" s="12" t="n"/>
      <c r="X207" s="12" t="n"/>
      <c r="Y207" s="12" t="n"/>
      <c r="Z207" s="12" t="n"/>
      <c r="AA207" s="12" t="n"/>
      <c r="AB207" s="12" t="n"/>
      <c r="AC207" s="12" t="n"/>
      <c r="AD207" s="12" t="n"/>
      <c r="AE207" s="12" t="n"/>
      <c r="AF207" s="12" t="n"/>
      <c r="AG207" s="12" t="n"/>
      <c r="AH207" s="12" t="n"/>
      <c r="AI207" s="12" t="n"/>
      <c r="AJ207" s="12" t="n"/>
      <c r="AK207" s="12" t="n"/>
      <c r="AL207" s="12" t="n"/>
      <c r="AM207" s="12" t="n"/>
      <c r="AN207" s="12" t="n"/>
      <c r="AO207" s="12" t="n"/>
      <c r="AP207" s="12" t="n"/>
      <c r="AQ207" s="12" t="n"/>
      <c r="AR207" s="12" t="n"/>
      <c r="AS207" s="12" t="n"/>
      <c r="AT207" s="12" t="n"/>
      <c r="AU207" s="12" t="n"/>
      <c r="AV207" s="12" t="n"/>
      <c r="AW207" s="12" t="n"/>
      <c r="AX207" s="12" t="n"/>
      <c r="AY207" s="12" t="n"/>
      <c r="AZ207" s="12" t="n"/>
      <c r="BA207" s="12" t="n"/>
      <c r="BB207" s="12" t="n"/>
      <c r="BC207" s="12" t="n"/>
      <c r="BD207" s="12" t="n"/>
      <c r="BE207" s="12" t="n"/>
      <c r="BF207" s="12" t="n"/>
      <c r="BG207" s="12" t="n"/>
      <c r="BH207" s="12" t="n"/>
      <c r="BI207" s="12" t="n"/>
      <c r="BJ207" s="12" t="n"/>
      <c r="BK207" s="12" t="n"/>
      <c r="BL207" s="12" t="n"/>
      <c r="BM207" s="12" t="n"/>
      <c r="BN207" s="12" t="n"/>
      <c r="BO207" s="12" t="n"/>
      <c r="BP207" s="12" t="n"/>
      <c r="BQ207" s="12" t="n"/>
      <c r="BR207" s="12" t="n"/>
      <c r="BS207" s="12" t="n"/>
      <c r="BT207" s="12" t="n"/>
      <c r="BU207" s="12" t="n"/>
      <c r="BV207" s="12" t="n"/>
      <c r="BW207" s="12" t="n"/>
      <c r="BX207" s="12" t="n"/>
      <c r="BY207" s="12" t="n"/>
      <c r="BZ207" s="12" t="n"/>
      <c r="CA207" s="12" t="n"/>
      <c r="CB207" s="12" t="n"/>
      <c r="CC207" s="12" t="n"/>
      <c r="CD207" s="12" t="n"/>
      <c r="CE207" s="12" t="n"/>
      <c r="CF207" s="12" t="n"/>
      <c r="CG207" s="12" t="n"/>
      <c r="CH207" s="12" t="n"/>
      <c r="CI207" s="12" t="n"/>
      <c r="CJ207" s="12" t="n"/>
      <c r="CK207" s="12" t="n"/>
      <c r="CL207" s="12" t="n"/>
      <c r="CM207" s="12" t="n"/>
      <c r="CN207" s="12" t="n"/>
      <c r="CO207" s="12" t="n"/>
      <c r="CP207" s="12" t="n"/>
      <c r="CQ207" s="12" t="n"/>
      <c r="CR207" s="12" t="n"/>
      <c r="CS207" s="12" t="n"/>
      <c r="CT207" s="12" t="n"/>
      <c r="CU207" s="12" t="n"/>
      <c r="CV207" s="12" t="n"/>
      <c r="CW207" s="12" t="n"/>
      <c r="CX207" s="12" t="n"/>
      <c r="CY207" s="12" t="n"/>
    </row>
    <row r="208" hidden="1" outlineLevel="1">
      <c r="C208" s="57" t="inlineStr">
        <is>
          <t>Discretionary (paydown)/borrowing of convertible debt</t>
        </is>
      </c>
      <c r="D208" s="12" t="n"/>
      <c r="E208" s="12" t="n"/>
      <c r="F208" s="12" t="n"/>
      <c r="G208" s="12" t="n"/>
      <c r="H208" s="12" t="n"/>
      <c r="I208" s="12" t="n"/>
      <c r="J208" s="12" t="n"/>
      <c r="K208" s="12" t="n"/>
      <c r="L208" s="12" t="n"/>
      <c r="M208" s="12" t="n"/>
      <c r="N208" s="12" t="n"/>
      <c r="O208" s="12" t="n"/>
      <c r="P208" s="12" t="n"/>
      <c r="Q208" s="12" t="n"/>
      <c r="R208" s="12" t="n"/>
      <c r="S208" s="12" t="n"/>
      <c r="T208" s="12" t="n"/>
      <c r="U208" s="12" t="n"/>
      <c r="V208" s="12" t="n"/>
      <c r="W208" s="12" t="n"/>
      <c r="X208" s="12" t="n"/>
      <c r="Y208" s="12" t="n"/>
      <c r="Z208" s="12" t="n"/>
      <c r="AA208" s="12" t="n"/>
      <c r="AB208" s="12" t="n"/>
      <c r="AC208" s="12" t="n"/>
      <c r="AD208" s="12" t="n"/>
      <c r="AE208" s="12" t="n"/>
      <c r="AF208" s="12" t="n"/>
      <c r="AG208" s="12" t="n"/>
      <c r="AH208" s="62" t="n"/>
      <c r="AI208" s="62" t="n"/>
      <c r="AJ208" s="62" t="n"/>
      <c r="AK208" s="62" t="n"/>
      <c r="AL208" s="12" t="n"/>
      <c r="AM208" s="62" t="n"/>
      <c r="AN208" s="62" t="n"/>
      <c r="AO208" s="62" t="n"/>
      <c r="AP208" s="62" t="n"/>
      <c r="AQ208" s="12" t="n"/>
      <c r="AR208" s="62" t="n"/>
      <c r="AS208" s="62" t="n"/>
      <c r="AT208" s="62" t="n"/>
      <c r="AU208" s="62" t="n"/>
      <c r="AV208" s="12" t="n"/>
      <c r="AW208" s="62" t="n"/>
      <c r="AX208" s="62" t="n"/>
      <c r="AY208" s="62" t="n"/>
      <c r="AZ208" s="62" t="n"/>
      <c r="BA208" s="12" t="n"/>
      <c r="BB208" s="62" t="n"/>
      <c r="BC208" s="62" t="n"/>
      <c r="BD208" s="62" t="n"/>
      <c r="BE208" s="62" t="n"/>
      <c r="BF208" s="12" t="n"/>
      <c r="BG208" s="62" t="n"/>
      <c r="BH208" s="62" t="n"/>
      <c r="BI208" s="62" t="n"/>
      <c r="BJ208" s="62" t="n"/>
      <c r="BK208" s="12" t="n"/>
      <c r="BL208" s="62" t="n"/>
      <c r="BM208" s="62" t="n"/>
      <c r="BN208" s="62" t="n"/>
      <c r="BO208" s="62" t="n"/>
      <c r="BP208" s="12" t="n"/>
      <c r="BQ208" s="62" t="n"/>
      <c r="BR208" s="62" t="n"/>
      <c r="BS208" s="62" t="n"/>
      <c r="BT208" s="62" t="n"/>
      <c r="BU208" s="12" t="n"/>
      <c r="BV208" s="62" t="n"/>
      <c r="BW208" s="62" t="n"/>
      <c r="BX208" s="62" t="n"/>
      <c r="BY208" s="62" t="n"/>
      <c r="BZ208" s="12" t="n"/>
      <c r="CA208" s="62" t="n"/>
      <c r="CB208" s="62" t="n"/>
      <c r="CC208" s="62" t="n"/>
      <c r="CD208" s="62" t="n"/>
      <c r="CE208" s="12" t="n"/>
      <c r="CF208" s="62" t="n"/>
      <c r="CG208" s="62" t="n"/>
      <c r="CH208" s="62" t="n"/>
      <c r="CI208" s="62" t="n"/>
      <c r="CJ208" s="12" t="n"/>
      <c r="CK208" s="62" t="n"/>
      <c r="CL208" s="62" t="n"/>
      <c r="CM208" s="62" t="n"/>
      <c r="CN208" s="62" t="n"/>
      <c r="CO208" s="12" t="n"/>
      <c r="CP208" s="62" t="n"/>
      <c r="CQ208" s="62" t="n"/>
      <c r="CR208" s="62" t="n"/>
      <c r="CS208" s="62" t="n"/>
      <c r="CT208" s="12" t="n"/>
      <c r="CU208" s="62" t="n"/>
      <c r="CV208" s="62" t="n"/>
      <c r="CW208" s="62" t="n"/>
      <c r="CX208" s="62" t="n"/>
      <c r="CY208" s="12" t="n"/>
    </row>
    <row r="209" hidden="1" outlineLevel="1">
      <c r="C209" s="57" t="inlineStr">
        <is>
          <t>Convertible debt</t>
        </is>
      </c>
      <c r="D209" s="12" t="n"/>
      <c r="E209" s="12" t="n"/>
      <c r="F209" s="12" t="n"/>
      <c r="G209" s="12" t="n"/>
      <c r="H209" s="12" t="n"/>
      <c r="I209" s="12" t="n"/>
      <c r="J209" s="12" t="n"/>
      <c r="K209" s="12" t="n"/>
      <c r="L209" s="12" t="n"/>
      <c r="M209" s="12" t="n"/>
      <c r="N209" s="12" t="n"/>
      <c r="O209" s="12" t="n"/>
      <c r="P209" s="12" t="n"/>
      <c r="Q209" s="12" t="n"/>
      <c r="R209" s="12" t="n"/>
      <c r="S209" s="12" t="n"/>
      <c r="T209" s="12" t="n"/>
      <c r="U209" s="12" t="n"/>
      <c r="V209" s="12" t="n"/>
      <c r="W209" s="12" t="n"/>
      <c r="X209" s="12" t="n"/>
      <c r="Y209" s="12" t="n"/>
      <c r="Z209" s="12" t="n"/>
      <c r="AA209" s="12" t="n"/>
      <c r="AB209" s="12" t="n"/>
      <c r="AC209" s="12" t="n"/>
      <c r="AD209" s="12" t="n"/>
      <c r="AE209" s="12" t="n"/>
      <c r="AF209" s="12" t="n"/>
      <c r="AG209" s="12" t="n"/>
      <c r="AH209" s="12">
        <f>AH221</f>
        <v>0</v>
      </c>
      <c r="AI209" s="12">
        <f>AH209+SUM(AI208)</f>
        <v>0</v>
      </c>
      <c r="AJ209" s="12">
        <f>AI209+SUM(AJ208)</f>
        <v>0</v>
      </c>
      <c r="AK209" s="12">
        <f>AJ209+SUM(AK208)</f>
        <v>0</v>
      </c>
      <c r="AL209" s="12" t="n"/>
      <c r="AM209" s="12">
        <f>AM221</f>
        <v>0</v>
      </c>
      <c r="AN209" s="12">
        <f>AM209+SUM(AN208)</f>
        <v>0</v>
      </c>
      <c r="AO209" s="12">
        <f>AN209+SUM(AO208)</f>
        <v>0</v>
      </c>
      <c r="AP209" s="12">
        <f>AO209+SUM(AP208)</f>
        <v>0</v>
      </c>
      <c r="AQ209" s="12" t="n"/>
      <c r="AR209" s="12">
        <f>AR221</f>
        <v>0</v>
      </c>
      <c r="AS209" s="12">
        <f>AR209+SUM(AS208)</f>
        <v>0</v>
      </c>
      <c r="AT209" s="12">
        <f>AS209+SUM(AT208)</f>
        <v>0</v>
      </c>
      <c r="AU209" s="12">
        <f>AT209+SUM(AU208)</f>
        <v>0</v>
      </c>
      <c r="AV209" s="12" t="n"/>
      <c r="AW209" s="12">
        <f>AW221</f>
        <v>0</v>
      </c>
      <c r="AX209" s="12">
        <f>AW209+SUM(AX208)</f>
        <v>0</v>
      </c>
      <c r="AY209" s="12">
        <f>AX209+SUM(AY208)</f>
        <v>0</v>
      </c>
      <c r="AZ209" s="12">
        <f>AY209+SUM(AZ208)</f>
        <v>0</v>
      </c>
      <c r="BA209" s="12" t="n"/>
      <c r="BB209" s="12">
        <f>BB221</f>
        <v>0</v>
      </c>
      <c r="BC209" s="12">
        <f>BB209+SUM(BC208)</f>
        <v>0</v>
      </c>
      <c r="BD209" s="12">
        <f>BC209+SUM(BD208)</f>
        <v>0</v>
      </c>
      <c r="BE209" s="12">
        <f>BD209+SUM(BE208)</f>
        <v>0</v>
      </c>
      <c r="BF209" s="12" t="n"/>
      <c r="BG209" s="12" t="n"/>
      <c r="BH209" s="12" t="n"/>
      <c r="BI209" s="12" t="n"/>
      <c r="BJ209" s="12" t="n"/>
      <c r="BK209" s="12" t="n"/>
      <c r="BL209" s="12" t="n"/>
      <c r="BM209" s="12" t="n"/>
      <c r="BN209" s="12" t="n"/>
      <c r="BO209" s="12" t="n"/>
      <c r="BP209" s="12" t="n"/>
      <c r="BQ209" s="12" t="n"/>
      <c r="BR209" s="12" t="n"/>
      <c r="BS209" s="12" t="n"/>
      <c r="BT209" s="12" t="n"/>
      <c r="BU209" s="12" t="n"/>
      <c r="BV209" s="12" t="n"/>
      <c r="BW209" s="12" t="n"/>
      <c r="BX209" s="12" t="n"/>
      <c r="BY209" s="12" t="n"/>
      <c r="BZ209" s="12" t="n"/>
      <c r="CA209" s="12" t="n"/>
      <c r="CB209" s="12" t="n"/>
      <c r="CC209" s="12" t="n"/>
      <c r="CD209" s="12" t="n"/>
      <c r="CE209" s="12" t="n"/>
      <c r="CF209" s="12" t="n"/>
      <c r="CG209" s="12" t="n"/>
      <c r="CH209" s="12" t="n"/>
      <c r="CI209" s="12" t="n"/>
      <c r="CJ209" s="12" t="n"/>
      <c r="CK209" s="12" t="n"/>
      <c r="CL209" s="12" t="n"/>
      <c r="CM209" s="12" t="n"/>
      <c r="CN209" s="12" t="n"/>
      <c r="CO209" s="12" t="n"/>
      <c r="CP209" s="12" t="n"/>
      <c r="CQ209" s="12" t="n"/>
      <c r="CR209" s="12" t="n"/>
      <c r="CS209" s="12" t="n"/>
      <c r="CT209" s="12" t="n"/>
      <c r="CU209" s="12" t="n"/>
      <c r="CV209" s="12" t="n"/>
      <c r="CW209" s="12" t="n"/>
      <c r="CX209" s="12" t="n"/>
      <c r="CY209" s="12" t="n"/>
    </row>
    <row r="210" hidden="1" outlineLevel="1">
      <c r="C210" s="57" t="n"/>
      <c r="D210" s="12" t="n"/>
      <c r="E210" s="12" t="n"/>
      <c r="F210" s="12" t="n"/>
      <c r="G210" s="12" t="n"/>
      <c r="H210" s="12" t="n"/>
      <c r="I210" s="12" t="n"/>
      <c r="J210" s="12" t="n"/>
      <c r="K210" s="12" t="n"/>
      <c r="L210" s="12" t="n"/>
      <c r="M210" s="12" t="n"/>
      <c r="N210" s="12" t="n"/>
      <c r="O210" s="12" t="n"/>
      <c r="P210" s="12" t="n"/>
      <c r="Q210" s="12" t="n"/>
      <c r="R210" s="12" t="n"/>
      <c r="S210" s="12" t="n"/>
      <c r="T210" s="12" t="n"/>
      <c r="U210" s="12" t="n"/>
      <c r="V210" s="12" t="n"/>
      <c r="W210" s="12" t="n"/>
      <c r="X210" s="12" t="n"/>
      <c r="Y210" s="12" t="n"/>
      <c r="Z210" s="12" t="n"/>
      <c r="AA210" s="12" t="n"/>
      <c r="AB210" s="12" t="n"/>
      <c r="AC210" s="12" t="n"/>
      <c r="AD210" s="12" t="n"/>
      <c r="AE210" s="12" t="n"/>
      <c r="AF210" s="12" t="n"/>
      <c r="AG210" s="12" t="n"/>
      <c r="AI210" s="12" t="n"/>
      <c r="AJ210" s="12" t="n"/>
      <c r="AK210" s="12" t="n"/>
      <c r="AL210" s="12" t="n"/>
      <c r="AN210" s="12" t="n"/>
      <c r="AO210" s="12" t="n"/>
      <c r="AP210" s="12" t="n"/>
      <c r="AQ210" s="12" t="n"/>
      <c r="AS210" s="12" t="n"/>
      <c r="AT210" s="12" t="n"/>
      <c r="AU210" s="12" t="n"/>
      <c r="AV210" s="12" t="n"/>
      <c r="AX210" s="12" t="n"/>
      <c r="AY210" s="12" t="n"/>
      <c r="AZ210" s="12" t="n"/>
      <c r="BA210" s="12" t="n"/>
      <c r="BC210" s="12" t="n"/>
      <c r="BD210" s="12" t="n"/>
      <c r="BE210" s="12" t="n"/>
      <c r="BF210" s="12" t="n"/>
      <c r="BH210" s="12" t="n"/>
      <c r="BI210" s="12" t="n"/>
      <c r="BJ210" s="12" t="n"/>
      <c r="BK210" s="12" t="n"/>
      <c r="BM210" s="12" t="n"/>
      <c r="BN210" s="12" t="n"/>
      <c r="BO210" s="12" t="n"/>
      <c r="BP210" s="12" t="n"/>
      <c r="BR210" s="12" t="n"/>
      <c r="BS210" s="12" t="n"/>
      <c r="BT210" s="12" t="n"/>
      <c r="BU210" s="12" t="n"/>
      <c r="BW210" s="12" t="n"/>
      <c r="BX210" s="12" t="n"/>
      <c r="BY210" s="12" t="n"/>
      <c r="BZ210" s="12" t="n"/>
      <c r="CB210" s="12" t="n"/>
      <c r="CC210" s="12" t="n"/>
      <c r="CD210" s="12" t="n"/>
      <c r="CE210" s="12" t="n"/>
      <c r="CG210" s="12" t="n"/>
      <c r="CH210" s="12" t="n"/>
      <c r="CI210" s="12" t="n"/>
      <c r="CJ210" s="12" t="n"/>
      <c r="CL210" s="12" t="n"/>
      <c r="CM210" s="12" t="n"/>
      <c r="CN210" s="12" t="n"/>
      <c r="CO210" s="12" t="n"/>
      <c r="CQ210" s="12" t="n"/>
      <c r="CR210" s="12" t="n"/>
      <c r="CS210" s="12" t="n"/>
      <c r="CT210" s="12" t="n"/>
      <c r="CV210" s="12" t="n"/>
      <c r="CW210" s="12" t="n"/>
      <c r="CX210" s="12" t="n"/>
      <c r="CY210" s="12" t="n"/>
    </row>
    <row r="211" hidden="1" outlineLevel="1">
      <c r="C211" s="57" t="inlineStr">
        <is>
          <t>Calculation of short term debt</t>
        </is>
      </c>
      <c r="D211" s="12" t="n"/>
      <c r="E211" s="12" t="n"/>
      <c r="F211" s="12" t="n"/>
      <c r="G211" s="12" t="n"/>
      <c r="H211" s="12" t="n"/>
      <c r="I211" s="12" t="n"/>
      <c r="J211" s="12" t="n"/>
      <c r="K211" s="12" t="n"/>
      <c r="L211" s="12" t="n"/>
      <c r="M211" s="12" t="n"/>
      <c r="N211" s="12" t="n"/>
      <c r="O211" s="12" t="n"/>
      <c r="P211" s="12" t="n"/>
      <c r="Q211" s="12" t="n"/>
      <c r="R211" s="12" t="n"/>
      <c r="S211" s="12" t="n"/>
      <c r="T211" s="12" t="n"/>
      <c r="U211" s="12" t="n"/>
      <c r="V211" s="12" t="n"/>
      <c r="W211" s="12" t="n"/>
      <c r="X211" s="12" t="n"/>
      <c r="Y211" s="12" t="n"/>
      <c r="Z211" s="12" t="n"/>
      <c r="AA211" s="12" t="n"/>
      <c r="AB211" s="12" t="n"/>
      <c r="AC211" s="12" t="n"/>
      <c r="AD211" s="12" t="n"/>
      <c r="AE211" s="12" t="n"/>
      <c r="AF211" s="12" t="n"/>
      <c r="AG211" s="12" t="n"/>
      <c r="AH211" s="12" t="n"/>
      <c r="AI211" s="12" t="n"/>
      <c r="AJ211" s="12" t="n"/>
      <c r="AK211" s="12" t="n"/>
      <c r="AL211" s="12" t="n"/>
      <c r="AM211" s="12" t="n"/>
      <c r="AN211" s="12" t="n"/>
      <c r="AO211" s="12" t="n"/>
      <c r="AP211" s="12" t="n"/>
      <c r="AQ211" s="12" t="n"/>
      <c r="AR211" s="12" t="n"/>
      <c r="AS211" s="12" t="n"/>
      <c r="AT211" s="12" t="n"/>
      <c r="AU211" s="12" t="n"/>
      <c r="AV211" s="12" t="n"/>
      <c r="AW211" s="12" t="n"/>
      <c r="AX211" s="12" t="n"/>
      <c r="AY211" s="12" t="n"/>
      <c r="AZ211" s="12" t="n"/>
      <c r="BA211" s="12" t="n"/>
      <c r="BB211" s="12" t="n"/>
      <c r="BC211" s="12" t="n"/>
      <c r="BD211" s="12" t="n"/>
      <c r="BE211" s="12" t="n"/>
      <c r="BF211" s="12" t="n"/>
      <c r="BG211" s="12" t="n"/>
      <c r="BH211" s="12" t="n"/>
      <c r="BI211" s="12" t="n"/>
      <c r="BJ211" s="12" t="n"/>
      <c r="BK211" s="12" t="n"/>
      <c r="BL211" s="12" t="n"/>
      <c r="BM211" s="12" t="n"/>
      <c r="BN211" s="12" t="n"/>
      <c r="BO211" s="12" t="n"/>
      <c r="BP211" s="12" t="n"/>
      <c r="BQ211" s="12" t="n"/>
      <c r="BR211" s="12" t="n"/>
      <c r="BS211" s="12" t="n"/>
      <c r="BT211" s="12" t="n"/>
      <c r="BU211" s="12" t="n"/>
      <c r="BV211" s="12" t="n"/>
      <c r="BW211" s="12" t="n"/>
      <c r="BX211" s="12" t="n"/>
      <c r="BY211" s="12" t="n"/>
      <c r="BZ211" s="12" t="n"/>
      <c r="CA211" s="12" t="n"/>
      <c r="CB211" s="12" t="n"/>
      <c r="CC211" s="12" t="n"/>
      <c r="CD211" s="12" t="n"/>
      <c r="CE211" s="12" t="n"/>
      <c r="CF211" s="12" t="n"/>
      <c r="CG211" s="12" t="n"/>
      <c r="CH211" s="12" t="n"/>
      <c r="CI211" s="12" t="n"/>
      <c r="CJ211" s="12" t="n"/>
      <c r="CK211" s="12" t="n"/>
      <c r="CL211" s="12" t="n"/>
      <c r="CM211" s="12" t="n"/>
      <c r="CN211" s="12" t="n"/>
      <c r="CO211" s="12" t="n"/>
      <c r="CP211" s="12" t="n"/>
      <c r="CQ211" s="12" t="n"/>
      <c r="CR211" s="12" t="n"/>
      <c r="CS211" s="12" t="n"/>
      <c r="CT211" s="12" t="n"/>
      <c r="CU211" s="12" t="n"/>
      <c r="CV211" s="12" t="n"/>
      <c r="CW211" s="12" t="n"/>
      <c r="CX211" s="12" t="n"/>
      <c r="CY211" s="12" t="n"/>
    </row>
    <row r="212" hidden="1" outlineLevel="1">
      <c r="C212" s="57" t="inlineStr">
        <is>
          <t>Cash @ beginning of the period (end of last period)</t>
        </is>
      </c>
      <c r="D212" s="12" t="n"/>
      <c r="E212" s="12" t="n"/>
      <c r="F212" s="12" t="n"/>
      <c r="G212" s="12" t="n"/>
      <c r="H212" s="12" t="n"/>
      <c r="I212" s="12" t="n"/>
      <c r="J212" s="12" t="n"/>
      <c r="K212" s="12" t="n"/>
      <c r="L212" s="12" t="n"/>
      <c r="M212" s="12" t="n"/>
      <c r="N212" s="12" t="n"/>
      <c r="O212" s="12" t="n"/>
      <c r="P212" s="12" t="n"/>
      <c r="Q212" s="12" t="n"/>
      <c r="R212" s="12" t="n"/>
      <c r="S212" s="12" t="n"/>
      <c r="T212" s="12" t="n"/>
      <c r="U212" s="12" t="n"/>
      <c r="V212" s="12" t="n"/>
      <c r="W212" s="12" t="n"/>
      <c r="X212" s="12" t="n"/>
      <c r="Y212" s="12" t="n"/>
      <c r="Z212" s="12" t="n"/>
      <c r="AA212" s="12" t="n"/>
      <c r="AB212" s="12" t="n"/>
      <c r="AC212" s="12" t="n"/>
      <c r="AD212" s="12" t="n"/>
      <c r="AE212" s="12" t="n"/>
      <c r="AF212" s="12" t="n"/>
      <c r="AG212" s="12" t="n"/>
      <c r="AH212" s="63">
        <f>AG127</f>
        <v>10898</v>
      </c>
      <c r="AI212" s="12" t="n"/>
      <c r="AJ212" s="12" t="n"/>
      <c r="AK212" s="12" t="n"/>
      <c r="AL212" s="12" t="n"/>
      <c r="AM212" s="63">
        <f>AL127</f>
        <v>24125.5095303448</v>
      </c>
      <c r="AN212" s="12" t="n"/>
      <c r="AO212" s="12" t="n"/>
      <c r="AP212" s="12" t="n"/>
      <c r="AQ212" s="12" t="n"/>
      <c r="AR212" s="63">
        <f>AQ127</f>
        <v>57953.1361301587</v>
      </c>
      <c r="AS212" s="12" t="n"/>
      <c r="AT212" s="12" t="n"/>
      <c r="AU212" s="12" t="n"/>
      <c r="AV212" s="12" t="n"/>
      <c r="AW212" s="63">
        <f>AV127</f>
        <v>105153.337652188</v>
      </c>
      <c r="AX212" s="12" t="n"/>
      <c r="AY212" s="12" t="n"/>
      <c r="AZ212" s="12" t="n"/>
      <c r="BA212" s="12" t="n"/>
      <c r="BB212" s="63">
        <f>BA127</f>
        <v>172878.620581265</v>
      </c>
      <c r="BC212" s="12" t="n"/>
      <c r="BD212" s="12" t="n"/>
      <c r="BE212" s="12" t="n"/>
      <c r="BF212" s="12" t="n"/>
      <c r="BG212" s="63" t="n"/>
      <c r="BH212" s="12" t="n"/>
      <c r="BI212" s="12" t="n"/>
      <c r="BJ212" s="12" t="n"/>
      <c r="BK212" s="12" t="n"/>
      <c r="BL212" s="63" t="n"/>
      <c r="BM212" s="12" t="n"/>
      <c r="BN212" s="12" t="n"/>
      <c r="BO212" s="12" t="n"/>
      <c r="BP212" s="12" t="n"/>
      <c r="BQ212" s="63" t="n"/>
      <c r="BR212" s="12" t="n"/>
      <c r="BS212" s="12" t="n"/>
      <c r="BT212" s="12" t="n"/>
      <c r="BU212" s="12" t="n"/>
      <c r="BV212" s="63" t="n"/>
      <c r="BW212" s="12" t="n"/>
      <c r="BX212" s="12" t="n"/>
      <c r="BY212" s="12" t="n"/>
      <c r="BZ212" s="12" t="n"/>
      <c r="CA212" s="63" t="n"/>
      <c r="CB212" s="12" t="n"/>
      <c r="CC212" s="12" t="n"/>
      <c r="CD212" s="12" t="n"/>
      <c r="CE212" s="12" t="n"/>
      <c r="CF212" s="63" t="n"/>
      <c r="CG212" s="12" t="n"/>
      <c r="CH212" s="12" t="n"/>
      <c r="CI212" s="12" t="n"/>
      <c r="CJ212" s="12" t="n"/>
      <c r="CK212" s="63" t="n"/>
      <c r="CL212" s="12" t="n"/>
      <c r="CM212" s="12" t="n"/>
      <c r="CN212" s="12" t="n"/>
      <c r="CO212" s="12" t="n"/>
      <c r="CP212" s="63" t="n"/>
      <c r="CQ212" s="12" t="n"/>
      <c r="CR212" s="12" t="n"/>
      <c r="CS212" s="12" t="n"/>
      <c r="CT212" s="12" t="n"/>
      <c r="CU212" s="63" t="n"/>
      <c r="CV212" s="12" t="n"/>
      <c r="CW212" s="12" t="n"/>
      <c r="CX212" s="12" t="n"/>
      <c r="CY212" s="12" t="n"/>
    </row>
    <row r="213" hidden="1" outlineLevel="1">
      <c r="C213" s="57" t="inlineStr">
        <is>
          <t>Plus: Free cash flows prior to debt during period</t>
        </is>
      </c>
      <c r="D213" s="12" t="n"/>
      <c r="E213" s="12" t="n"/>
      <c r="F213" s="12" t="n"/>
      <c r="G213" s="12" t="n"/>
      <c r="H213" s="12" t="n"/>
      <c r="I213" s="12" t="n"/>
      <c r="J213" s="12" t="n"/>
      <c r="K213" s="12" t="n"/>
      <c r="L213" s="12" t="n"/>
      <c r="M213" s="12" t="n"/>
      <c r="N213" s="12" t="n"/>
      <c r="O213" s="12" t="n"/>
      <c r="P213" s="12" t="n"/>
      <c r="Q213" s="12" t="n"/>
      <c r="R213" s="12" t="n"/>
      <c r="S213" s="12" t="n"/>
      <c r="T213" s="12" t="n"/>
      <c r="U213" s="12" t="n"/>
      <c r="V213" s="12" t="n"/>
      <c r="W213" s="12" t="n"/>
      <c r="X213" s="12" t="n"/>
      <c r="Y213" s="12" t="n"/>
      <c r="Z213" s="12" t="n"/>
      <c r="AA213" s="12" t="n"/>
      <c r="AB213" s="12" t="n"/>
      <c r="AC213" s="12" t="n"/>
      <c r="AD213" s="12" t="n"/>
      <c r="AE213" s="12" t="n"/>
      <c r="AF213" s="12" t="n"/>
      <c r="AG213" s="12" t="inlineStr">
        <is>
          <t>% of sales</t>
        </is>
      </c>
      <c r="AH213" s="64">
        <f>(AH275+AH282)+SUM(AH285:AH291)</f>
        <v>-4318</v>
      </c>
      <c r="AI213" s="64">
        <f>(AI275+AI282)+SUM(AI285:AI291)</f>
        <v>-7209</v>
      </c>
      <c r="AJ213" s="64">
        <f>(AJ275+AJ282)+SUM(AJ285:AJ291)</f>
        <v>0</v>
      </c>
      <c r="AK213" s="64">
        <f>(AK275+AK282)+SUM(AK285:AK291)</f>
        <v>0</v>
      </c>
      <c r="AL213" s="12" t="n"/>
      <c r="AM213" s="64">
        <f>(AM275+AM282)+SUM(AM285:AM291)</f>
        <v>0</v>
      </c>
      <c r="AN213" s="64">
        <f>(AN275+AN282)+SUM(AN285:AN291)</f>
        <v>0</v>
      </c>
      <c r="AO213" s="64">
        <f>(AO275+AO282)+SUM(AO285:AO291)</f>
        <v>0</v>
      </c>
      <c r="AP213" s="64">
        <f>(AP275+AP282)+SUM(AP285:AP291)</f>
        <v>0</v>
      </c>
      <c r="AQ213" s="12" t="n"/>
      <c r="AR213" s="64">
        <f>(AR275+AR282)+SUM(AR285:AR291)</f>
        <v>0</v>
      </c>
      <c r="AS213" s="64">
        <f>(AS275+AS282)+SUM(AS285:AS291)</f>
        <v>0</v>
      </c>
      <c r="AT213" s="64">
        <f>(AT275+AT282)+SUM(AT285:AT291)</f>
        <v>0</v>
      </c>
      <c r="AU213" s="64">
        <f>(AU275+AU282)+SUM(AU285:AU291)</f>
        <v>0</v>
      </c>
      <c r="AV213" s="12" t="n"/>
      <c r="AW213" s="64">
        <f>(AW275+AW282)+SUM(AW285:AW291)</f>
        <v>0</v>
      </c>
      <c r="AX213" s="64">
        <f>(AX275+AX282)+SUM(AX285:AX291)</f>
        <v>0</v>
      </c>
      <c r="AY213" s="64">
        <f>(AY275+AY282)+SUM(AY285:AY291)</f>
        <v>0</v>
      </c>
      <c r="AZ213" s="64">
        <f>(AZ275+AZ282)+SUM(AZ285:AZ291)</f>
        <v>0</v>
      </c>
      <c r="BA213" s="12" t="n"/>
      <c r="BB213" s="64">
        <f>(BB275+BB282)+SUM(BB285:BB291)</f>
        <v>0</v>
      </c>
      <c r="BC213" s="64">
        <f>(BC275+BC282)+SUM(BC285:BC291)</f>
        <v>0</v>
      </c>
      <c r="BD213" s="64">
        <f>(BD275+BD282)+SUM(BD285:BD291)</f>
        <v>0</v>
      </c>
      <c r="BE213" s="64">
        <f>(BE275+BE282)+SUM(BE285:BE291)</f>
        <v>0</v>
      </c>
      <c r="BF213" s="12" t="n"/>
      <c r="BG213" s="64" t="n"/>
      <c r="BH213" s="64" t="n"/>
      <c r="BI213" s="64" t="n"/>
      <c r="BJ213" s="64" t="n"/>
      <c r="BK213" s="12" t="n"/>
      <c r="BL213" s="64" t="n"/>
      <c r="BM213" s="64" t="n"/>
      <c r="BN213" s="64" t="n"/>
      <c r="BO213" s="64" t="n"/>
      <c r="BP213" s="12" t="n"/>
      <c r="BQ213" s="64" t="n"/>
      <c r="BR213" s="64" t="n"/>
      <c r="BS213" s="64" t="n"/>
      <c r="BT213" s="64" t="n"/>
      <c r="BU213" s="12" t="n"/>
      <c r="BV213" s="64" t="n"/>
      <c r="BW213" s="64" t="n"/>
      <c r="BX213" s="64" t="n"/>
      <c r="BY213" s="64" t="n"/>
      <c r="BZ213" s="12" t="n"/>
      <c r="CA213" s="64" t="n"/>
      <c r="CB213" s="64" t="n"/>
      <c r="CC213" s="64" t="n"/>
      <c r="CD213" s="64" t="n"/>
      <c r="CE213" s="12" t="n"/>
      <c r="CF213" s="64" t="n"/>
      <c r="CG213" s="64" t="n"/>
      <c r="CH213" s="64" t="n"/>
      <c r="CI213" s="64" t="n"/>
      <c r="CJ213" s="12" t="n"/>
      <c r="CK213" s="64" t="n"/>
      <c r="CL213" s="64" t="n"/>
      <c r="CM213" s="64" t="n"/>
      <c r="CN213" s="64" t="n"/>
      <c r="CO213" s="12" t="n"/>
      <c r="CP213" s="64" t="n"/>
      <c r="CQ213" s="64" t="n"/>
      <c r="CR213" s="64" t="n"/>
      <c r="CS213" s="64" t="n"/>
      <c r="CT213" s="12" t="n"/>
      <c r="CU213" s="64" t="n"/>
      <c r="CV213" s="64" t="n"/>
      <c r="CW213" s="64" t="n"/>
      <c r="CX213" s="64" t="n"/>
      <c r="CY213" s="12" t="n"/>
    </row>
    <row r="214" hidden="1" outlineLevel="1">
      <c r="C214" s="57" t="inlineStr">
        <is>
          <t>Less: Minimum cash balance</t>
        </is>
      </c>
      <c r="D214" s="12" t="n"/>
      <c r="E214" s="12" t="n"/>
      <c r="F214" s="12" t="n"/>
      <c r="G214" s="12" t="n"/>
      <c r="H214" s="12" t="n"/>
      <c r="I214" s="12" t="n"/>
      <c r="J214" s="12" t="n"/>
      <c r="K214" s="12" t="n"/>
      <c r="L214" s="12" t="n"/>
      <c r="M214" s="12" t="n"/>
      <c r="N214" s="12" t="n"/>
      <c r="O214" s="12" t="n"/>
      <c r="P214" s="12" t="n"/>
      <c r="Q214" s="12" t="n"/>
      <c r="R214" s="12" t="n"/>
      <c r="S214" s="12" t="n"/>
      <c r="T214" s="12" t="n"/>
      <c r="U214" s="12" t="n"/>
      <c r="V214" s="12" t="n"/>
      <c r="W214" s="12" t="n"/>
      <c r="X214" s="12" t="n"/>
      <c r="Y214" s="12" t="n"/>
      <c r="Z214" s="12" t="n"/>
      <c r="AA214" s="12" t="n"/>
      <c r="AB214" s="12" t="n"/>
      <c r="AC214" s="12" t="n"/>
      <c r="AD214" s="12" t="n"/>
      <c r="AE214" s="12" t="n"/>
      <c r="AF214" s="12" t="n"/>
      <c r="AG214" s="52" t="n"/>
      <c r="AH214" s="12">
        <f>($AG$214*AH15)</f>
        <v>0</v>
      </c>
      <c r="AI214" s="12">
        <f>($AG$214*AI15)</f>
        <v>0</v>
      </c>
      <c r="AJ214" s="12">
        <f>($AG$214*AJ15)</f>
        <v>0</v>
      </c>
      <c r="AK214" s="12">
        <f>($AG$214*AK15)</f>
        <v>0</v>
      </c>
      <c r="AL214" s="12" t="n"/>
      <c r="AM214" s="12">
        <f>($AG$214*AM15)</f>
        <v>0</v>
      </c>
      <c r="AN214" s="12">
        <f>($AG$214*AN15)</f>
        <v>0</v>
      </c>
      <c r="AO214" s="12">
        <f>($AG$214*AO15)</f>
        <v>0</v>
      </c>
      <c r="AP214" s="12">
        <f>($AG$214*AP15)</f>
        <v>0</v>
      </c>
      <c r="AQ214" s="12" t="n"/>
      <c r="AR214" s="12">
        <f>($AG$214*AR15)</f>
        <v>0</v>
      </c>
      <c r="AS214" s="12">
        <f>($AG$214*AS15)</f>
        <v>0</v>
      </c>
      <c r="AT214" s="12">
        <f>($AG$214*AT15)</f>
        <v>0</v>
      </c>
      <c r="AU214" s="12">
        <f>($AG$214*AU15)</f>
        <v>0</v>
      </c>
      <c r="AV214" s="12" t="n"/>
      <c r="AW214" s="12">
        <f>($AG$214*AW15)</f>
        <v>0</v>
      </c>
      <c r="AX214" s="12">
        <f>($AG$214*AX15)</f>
        <v>0</v>
      </c>
      <c r="AY214" s="12">
        <f>($AG$214*AY15)</f>
        <v>0</v>
      </c>
      <c r="AZ214" s="12">
        <f>($AG$214*AZ15)</f>
        <v>0</v>
      </c>
      <c r="BA214" s="12" t="n"/>
      <c r="BB214" s="12">
        <f>($AG$214*BB15)</f>
        <v>0</v>
      </c>
      <c r="BC214" s="12">
        <f>($AG$214*BC15)</f>
        <v>0</v>
      </c>
      <c r="BD214" s="12">
        <f>($AG$214*BD15)</f>
        <v>0</v>
      </c>
      <c r="BE214" s="12">
        <f>($AG$214*BE15)</f>
        <v>0</v>
      </c>
      <c r="BF214" s="12" t="n"/>
      <c r="BG214" s="12" t="n"/>
      <c r="BH214" s="12" t="n"/>
      <c r="BI214" s="12" t="n"/>
      <c r="BJ214" s="12" t="n"/>
      <c r="BK214" s="12" t="n"/>
      <c r="BL214" s="12" t="n"/>
      <c r="BM214" s="12" t="n"/>
      <c r="BN214" s="12" t="n"/>
      <c r="BO214" s="12" t="n"/>
      <c r="BP214" s="12" t="n"/>
      <c r="BQ214" s="12" t="n"/>
      <c r="BR214" s="12" t="n"/>
      <c r="BS214" s="12" t="n"/>
      <c r="BT214" s="12" t="n"/>
      <c r="BU214" s="12" t="n"/>
      <c r="BV214" s="12" t="n"/>
      <c r="BW214" s="12" t="n"/>
      <c r="BX214" s="12" t="n"/>
      <c r="BY214" s="12" t="n"/>
      <c r="BZ214" s="12" t="n"/>
      <c r="CA214" s="12" t="n"/>
      <c r="CB214" s="12" t="n"/>
      <c r="CC214" s="12" t="n"/>
      <c r="CD214" s="12" t="n"/>
      <c r="CE214" s="12" t="n"/>
      <c r="CF214" s="12" t="n"/>
      <c r="CG214" s="12" t="n"/>
      <c r="CH214" s="12" t="n"/>
      <c r="CI214" s="12" t="n"/>
      <c r="CJ214" s="12" t="n"/>
      <c r="CK214" s="12" t="n"/>
      <c r="CL214" s="12" t="n"/>
      <c r="CM214" s="12" t="n"/>
      <c r="CN214" s="12" t="n"/>
      <c r="CO214" s="12" t="n"/>
      <c r="CP214" s="12" t="n"/>
      <c r="CQ214" s="12" t="n"/>
      <c r="CR214" s="12" t="n"/>
      <c r="CS214" s="12" t="n"/>
      <c r="CT214" s="12" t="n"/>
      <c r="CU214" s="12" t="n"/>
      <c r="CV214" s="12" t="n"/>
      <c r="CW214" s="12" t="n"/>
      <c r="CX214" s="12" t="n"/>
      <c r="CY214" s="12" t="n"/>
    </row>
    <row r="215" hidden="1" outlineLevel="1">
      <c r="C215" s="57" t="inlineStr">
        <is>
          <t>Total cash available / (debt required) for short term debt paydown</t>
        </is>
      </c>
      <c r="D215" s="12" t="n"/>
      <c r="E215" s="12" t="n"/>
      <c r="F215" s="12" t="n"/>
      <c r="G215" s="12" t="n"/>
      <c r="H215" s="12" t="n"/>
      <c r="I215" s="12" t="n"/>
      <c r="J215" s="12" t="n"/>
      <c r="K215" s="12" t="n"/>
      <c r="L215" s="12" t="n"/>
      <c r="M215" s="12" t="n"/>
      <c r="N215" s="12" t="n"/>
      <c r="O215" s="12" t="n"/>
      <c r="P215" s="12" t="n"/>
      <c r="Q215" s="12" t="n"/>
      <c r="R215" s="12" t="n"/>
      <c r="S215" s="12" t="n"/>
      <c r="T215" s="12" t="n"/>
      <c r="U215" s="12" t="n"/>
      <c r="V215" s="12" t="n"/>
      <c r="W215" s="12" t="n"/>
      <c r="X215" s="12" t="n"/>
      <c r="Y215" s="12" t="n"/>
      <c r="Z215" s="12" t="n"/>
      <c r="AA215" s="12" t="n"/>
      <c r="AB215" s="12" t="n"/>
      <c r="AC215" s="12" t="n"/>
      <c r="AD215" s="12" t="n"/>
      <c r="AE215" s="12" t="n"/>
      <c r="AF215" s="12" t="n"/>
      <c r="AG215" s="12" t="n"/>
      <c r="AH215" s="3">
        <f>AH212+AH213-AH214-AF202+AH204+AH208</f>
        <v>6580</v>
      </c>
      <c r="AI215" s="3">
        <f>AI212+AI213-AI214-AG202+AI204+AI208</f>
        <v>-7209</v>
      </c>
      <c r="AJ215" s="3">
        <f>AJ212+AJ213-AJ214-AH202+AJ204+AJ208</f>
        <v>-749</v>
      </c>
      <c r="AK215" s="3">
        <f>AK212+AK213-AK214-AI202+AK204+AK208</f>
        <v>0</v>
      </c>
      <c r="AL215" s="12" t="n"/>
      <c r="AM215" s="3">
        <f>AM212+AM213-AM214-AK202+AM204+AM208</f>
        <v>24125.5095303448</v>
      </c>
      <c r="AN215" s="3">
        <f>AN212+AN213-AN214-AL202+AN204+AN208</f>
        <v>0</v>
      </c>
      <c r="AO215" s="3">
        <f>AO212+AO213-AO214-AM202+AO204+AO208</f>
        <v>-2459</v>
      </c>
      <c r="AP215" s="3">
        <f>AP212+AP213-AP214-AN202+AP204+AP208</f>
        <v>0</v>
      </c>
      <c r="AQ215" s="12" t="n"/>
      <c r="AR215" s="3">
        <f>AR212+AR213-AR214-AP202+AR204+AR208</f>
        <v>57953.1361301587</v>
      </c>
      <c r="AS215" s="3">
        <f>AS212+AS213-AS214-AQ202+AS204+AS208</f>
        <v>0</v>
      </c>
      <c r="AT215" s="3">
        <f>AT212+AT213-AT214-AR202+AT204+AT208</f>
        <v>-2459</v>
      </c>
      <c r="AU215" s="3">
        <f>AU212+AU213-AU214-AS202+AU204+AU208</f>
        <v>0</v>
      </c>
      <c r="AV215" s="12" t="n"/>
      <c r="AW215" s="3">
        <f>AW212+AW213-AW214-AU202+AW204+AW208</f>
        <v>105153.337652188</v>
      </c>
      <c r="AX215" s="3">
        <f>AX212+AX213-AX214-AV202+AX204+AX208</f>
        <v>0</v>
      </c>
      <c r="AY215" s="3">
        <f>AY212+AY213-AY214-AW202+AY204+AY208</f>
        <v>-2459</v>
      </c>
      <c r="AZ215" s="3">
        <f>AZ212+AZ213-AZ214-AX202+AZ204+AZ208</f>
        <v>0</v>
      </c>
      <c r="BA215" s="12" t="n"/>
      <c r="BB215" s="3">
        <f>BB212+BB213-BB214-AZ202+BB204+BB208</f>
        <v>172878.620581265</v>
      </c>
      <c r="BC215" s="3">
        <f>BC212+BC213-BC214-BA202+BC204+BC208</f>
        <v>0</v>
      </c>
      <c r="BD215" s="3">
        <f>BD212+BD213-BD214-BB202+BD204+BD208</f>
        <v>-2459</v>
      </c>
      <c r="BE215" s="3">
        <f>BE212+BE213-BE214-BC202+BE204+BE208</f>
        <v>0</v>
      </c>
      <c r="BF215" s="12" t="n"/>
      <c r="BG215" s="3" t="n"/>
      <c r="BH215" s="3" t="n"/>
      <c r="BI215" s="3" t="n"/>
      <c r="BJ215" s="3" t="n"/>
      <c r="BK215" s="12" t="n"/>
      <c r="BL215" s="3" t="n"/>
      <c r="BM215" s="3" t="n"/>
      <c r="BN215" s="3" t="n"/>
      <c r="BO215" s="3" t="n"/>
      <c r="BP215" s="12" t="n"/>
      <c r="BQ215" s="3" t="n"/>
      <c r="BR215" s="3" t="n"/>
      <c r="BS215" s="3" t="n"/>
      <c r="BT215" s="3" t="n"/>
      <c r="BU215" s="12" t="n"/>
      <c r="BV215" s="3" t="n"/>
      <c r="BW215" s="3" t="n"/>
      <c r="BX215" s="3" t="n"/>
      <c r="BY215" s="3" t="n"/>
      <c r="BZ215" s="12" t="n"/>
      <c r="CA215" s="3" t="n"/>
      <c r="CB215" s="3" t="n"/>
      <c r="CC215" s="3" t="n"/>
      <c r="CD215" s="3" t="n"/>
      <c r="CE215" s="12" t="n"/>
      <c r="CF215" s="3" t="n"/>
      <c r="CG215" s="3" t="n"/>
      <c r="CH215" s="3" t="n"/>
      <c r="CI215" s="3" t="n"/>
      <c r="CJ215" s="12" t="n"/>
      <c r="CK215" s="3" t="n"/>
      <c r="CL215" s="3" t="n"/>
      <c r="CM215" s="3" t="n"/>
      <c r="CN215" s="3" t="n"/>
      <c r="CO215" s="12" t="n"/>
      <c r="CP215" s="3" t="n"/>
      <c r="CQ215" s="3" t="n"/>
      <c r="CR215" s="3" t="n"/>
      <c r="CS215" s="3" t="n"/>
      <c r="CT215" s="12" t="n"/>
      <c r="CU215" s="3" t="n"/>
      <c r="CV215" s="3" t="n"/>
      <c r="CW215" s="3" t="n"/>
      <c r="CX215" s="3" t="n"/>
      <c r="CY215" s="12" t="n"/>
    </row>
    <row r="216" hidden="1" outlineLevel="1">
      <c r="C216" s="57" t="inlineStr">
        <is>
          <t>Short term debt</t>
        </is>
      </c>
      <c r="D216" s="12" t="n"/>
      <c r="E216" s="12" t="n"/>
      <c r="F216" s="12" t="n"/>
      <c r="G216" s="12" t="n"/>
      <c r="H216" s="12" t="n"/>
      <c r="I216" s="12" t="n"/>
      <c r="J216" s="12" t="n"/>
      <c r="K216" s="12" t="n"/>
      <c r="L216" s="12" t="n"/>
      <c r="M216" s="12" t="n"/>
      <c r="N216" s="12" t="n"/>
      <c r="O216" s="12" t="n"/>
      <c r="P216" s="12" t="n"/>
      <c r="Q216" s="12" t="n"/>
      <c r="R216" s="12" t="n"/>
      <c r="S216" s="12" t="n"/>
      <c r="T216" s="12" t="n"/>
      <c r="U216" s="12" t="n"/>
      <c r="V216" s="12" t="n"/>
      <c r="W216" s="12" t="n"/>
      <c r="X216" s="12" t="n"/>
      <c r="Y216" s="12" t="n"/>
      <c r="Z216" s="12" t="n"/>
      <c r="AA216" s="12" t="n"/>
      <c r="AB216" s="12" t="n"/>
      <c r="AC216" s="12" t="n"/>
      <c r="AD216" s="12" t="n"/>
      <c r="AE216" s="12" t="n"/>
      <c r="AF216" s="12" t="n"/>
      <c r="AG216" s="12" t="n"/>
      <c r="AH216" s="12">
        <f>AH196</f>
        <v>0</v>
      </c>
      <c r="AI216" s="12">
        <f>MAX(0,AH216-AI215)</f>
        <v>7209</v>
      </c>
      <c r="AJ216" s="12">
        <f>MAX(0,AI216-AJ215)</f>
        <v>7958</v>
      </c>
      <c r="AK216" s="12">
        <f>MAX(0,AJ216-AK215)</f>
        <v>7958</v>
      </c>
      <c r="AL216" s="12" t="n"/>
      <c r="AM216" s="12">
        <f>AM196</f>
        <v>0</v>
      </c>
      <c r="AN216" s="12">
        <f>MAX(0,AM216-AN215)</f>
        <v>0</v>
      </c>
      <c r="AO216" s="12">
        <f>MAX(0,AN216-AO215)</f>
        <v>2459</v>
      </c>
      <c r="AP216" s="12">
        <f>MAX(0,AO216-AP215)</f>
        <v>2459</v>
      </c>
      <c r="AQ216" s="12" t="n"/>
      <c r="AR216" s="12">
        <f>AR196</f>
        <v>0</v>
      </c>
      <c r="AS216" s="12">
        <f>MAX(0,AR216-AS215)</f>
        <v>0</v>
      </c>
      <c r="AT216" s="12">
        <f>MAX(0,AS216-AT215)</f>
        <v>2459</v>
      </c>
      <c r="AU216" s="12">
        <f>MAX(0,AT216-AU215)</f>
        <v>2459</v>
      </c>
      <c r="AV216" s="12" t="n"/>
      <c r="AW216" s="12">
        <f>AW196</f>
        <v>0</v>
      </c>
      <c r="AX216" s="12">
        <f>MAX(0,AW216-AX215)</f>
        <v>0</v>
      </c>
      <c r="AY216" s="12">
        <f>MAX(0,AX216-AY215)</f>
        <v>2459</v>
      </c>
      <c r="AZ216" s="12">
        <f>MAX(0,AY216-AZ215)</f>
        <v>2459</v>
      </c>
      <c r="BA216" s="12" t="n"/>
      <c r="BB216" s="12">
        <f>BB196</f>
        <v>0</v>
      </c>
      <c r="BC216" s="12">
        <f>MAX(0,BB216-BC215)</f>
        <v>0</v>
      </c>
      <c r="BD216" s="12">
        <f>MAX(0,BC216-BD215)</f>
        <v>2459</v>
      </c>
      <c r="BE216" s="12">
        <f>MAX(0,BD216-BE215)</f>
        <v>2459</v>
      </c>
      <c r="BF216" s="12" t="n"/>
      <c r="BG216" s="12" t="n"/>
      <c r="BH216" s="12" t="n"/>
      <c r="BI216" s="12" t="n"/>
      <c r="BJ216" s="12" t="n"/>
      <c r="BK216" s="12" t="n"/>
      <c r="BL216" s="12" t="n"/>
      <c r="BM216" s="12" t="n"/>
      <c r="BN216" s="12" t="n"/>
      <c r="BO216" s="12" t="n"/>
      <c r="BP216" s="12" t="n"/>
      <c r="BQ216" s="12" t="n"/>
      <c r="BR216" s="12" t="n"/>
      <c r="BS216" s="12" t="n"/>
      <c r="BT216" s="12" t="n"/>
      <c r="BU216" s="12" t="n"/>
      <c r="BV216" s="12" t="n"/>
      <c r="BW216" s="12" t="n"/>
      <c r="BX216" s="12" t="n"/>
      <c r="BY216" s="12" t="n"/>
      <c r="BZ216" s="12" t="n"/>
      <c r="CA216" s="12" t="n"/>
      <c r="CB216" s="12" t="n"/>
      <c r="CC216" s="12" t="n"/>
      <c r="CD216" s="12" t="n"/>
      <c r="CE216" s="12" t="n"/>
      <c r="CF216" s="12" t="n"/>
      <c r="CG216" s="12" t="n"/>
      <c r="CH216" s="12" t="n"/>
      <c r="CI216" s="12" t="n"/>
      <c r="CJ216" s="12" t="n"/>
      <c r="CK216" s="12" t="n"/>
      <c r="CL216" s="12" t="n"/>
      <c r="CM216" s="12" t="n"/>
      <c r="CN216" s="12" t="n"/>
      <c r="CO216" s="12" t="n"/>
      <c r="CP216" s="12" t="n"/>
      <c r="CQ216" s="12" t="n"/>
      <c r="CR216" s="12" t="n"/>
      <c r="CS216" s="12" t="n"/>
      <c r="CT216" s="12" t="n"/>
      <c r="CU216" s="12" t="n"/>
      <c r="CV216" s="12" t="n"/>
      <c r="CW216" s="12" t="n"/>
      <c r="CX216" s="12" t="n"/>
      <c r="CY216" s="12" t="n"/>
    </row>
    <row r="217" hidden="1" outlineLevel="1">
      <c r="C217" s="57" t="n"/>
      <c r="D217" s="12" t="n"/>
      <c r="E217" s="12" t="n"/>
      <c r="F217" s="12" t="n"/>
      <c r="G217" s="12" t="n"/>
      <c r="H217" s="12" t="n"/>
      <c r="I217" s="12" t="n"/>
      <c r="J217" s="12" t="n"/>
      <c r="K217" s="12" t="n"/>
      <c r="L217" s="12" t="n"/>
      <c r="M217" s="12" t="n"/>
      <c r="N217" s="12" t="n"/>
      <c r="O217" s="12" t="n"/>
      <c r="P217" s="12" t="n"/>
      <c r="Q217" s="12" t="n"/>
      <c r="R217" s="12" t="n"/>
      <c r="S217" s="12" t="n"/>
      <c r="T217" s="12" t="n"/>
      <c r="U217" s="12" t="n"/>
      <c r="V217" s="12" t="n"/>
      <c r="W217" s="12" t="n"/>
      <c r="X217" s="12" t="n"/>
      <c r="Y217" s="12" t="n"/>
      <c r="Z217" s="12" t="n"/>
      <c r="AA217" s="12" t="n"/>
      <c r="AB217" s="12" t="n"/>
      <c r="AC217" s="12" t="n"/>
      <c r="AD217" s="12" t="n"/>
      <c r="AE217" s="12" t="n"/>
      <c r="AF217" s="12" t="n"/>
      <c r="AG217" s="12" t="n"/>
      <c r="AH217" s="12" t="n"/>
      <c r="AI217" s="12" t="n"/>
      <c r="AJ217" s="12" t="n"/>
      <c r="AK217" s="12" t="n"/>
      <c r="AL217" s="12" t="n"/>
      <c r="AM217" s="12" t="n"/>
      <c r="AN217" s="12" t="n"/>
      <c r="AO217" s="12" t="n"/>
      <c r="AP217" s="12" t="n"/>
      <c r="AQ217" s="12" t="n"/>
      <c r="AR217" s="12" t="n"/>
      <c r="AS217" s="12" t="n"/>
      <c r="AT217" s="12" t="n"/>
      <c r="AU217" s="12" t="n"/>
      <c r="AV217" s="12" t="n"/>
      <c r="AW217" s="12" t="n"/>
      <c r="AX217" s="12" t="n"/>
      <c r="AY217" s="12" t="n"/>
      <c r="AZ217" s="12" t="n"/>
      <c r="BA217" s="12" t="n"/>
      <c r="BB217" s="12" t="n"/>
      <c r="BC217" s="12" t="n"/>
      <c r="BD217" s="12" t="n"/>
      <c r="BE217" s="12" t="n"/>
      <c r="BF217" s="12" t="n"/>
      <c r="BG217" s="12" t="n"/>
      <c r="BH217" s="12" t="n"/>
      <c r="BI217" s="12" t="n"/>
      <c r="BJ217" s="12" t="n"/>
      <c r="BK217" s="12" t="n"/>
      <c r="BL217" s="12" t="n"/>
      <c r="BM217" s="12" t="n"/>
      <c r="BN217" s="12" t="n"/>
      <c r="BO217" s="12" t="n"/>
      <c r="BP217" s="12" t="n"/>
      <c r="BQ217" s="12" t="n"/>
      <c r="BR217" s="12" t="n"/>
      <c r="BS217" s="12" t="n"/>
      <c r="BT217" s="12" t="n"/>
      <c r="BU217" s="12" t="n"/>
      <c r="BV217" s="12" t="n"/>
      <c r="BW217" s="12" t="n"/>
      <c r="BX217" s="12" t="n"/>
      <c r="BY217" s="12" t="n"/>
      <c r="BZ217" s="12" t="n"/>
      <c r="CA217" s="12" t="n"/>
      <c r="CB217" s="12" t="n"/>
      <c r="CC217" s="12" t="n"/>
      <c r="CD217" s="12" t="n"/>
      <c r="CE217" s="12" t="n"/>
      <c r="CF217" s="12" t="n"/>
      <c r="CG217" s="12" t="n"/>
      <c r="CH217" s="12" t="n"/>
      <c r="CI217" s="12" t="n"/>
      <c r="CJ217" s="12" t="n"/>
      <c r="CK217" s="12" t="n"/>
      <c r="CL217" s="12" t="n"/>
      <c r="CM217" s="12" t="n"/>
      <c r="CN217" s="12" t="n"/>
      <c r="CO217" s="12" t="n"/>
      <c r="CP217" s="12" t="n"/>
      <c r="CQ217" s="12" t="n"/>
      <c r="CR217" s="12" t="n"/>
      <c r="CS217" s="12" t="n"/>
      <c r="CT217" s="12" t="n"/>
      <c r="CU217" s="12" t="n"/>
      <c r="CV217" s="12" t="n"/>
      <c r="CW217" s="12" t="n"/>
      <c r="CX217" s="12" t="n"/>
      <c r="CY217" s="12" t="n"/>
    </row>
    <row r="218" collapsed="1">
      <c r="C218" s="14" t="inlineStr">
        <is>
          <t>Long term operating leases</t>
        </is>
      </c>
      <c r="D218" s="46" t="n"/>
      <c r="E218" s="46" t="n"/>
      <c r="F218" s="46" t="n"/>
      <c r="G218" s="46" t="n"/>
      <c r="H218" s="12" t="n"/>
      <c r="I218" s="46">
        <f>'Inputs (2)'!D36</f>
        <v>0</v>
      </c>
      <c r="J218" s="46">
        <f>'Inputs (2)'!E36</f>
        <v>0</v>
      </c>
      <c r="K218" s="46">
        <f>'Inputs (2)'!F36</f>
        <v>0</v>
      </c>
      <c r="L218" s="46">
        <f>'Inputs (2)'!G36</f>
        <v>0</v>
      </c>
      <c r="M218" s="12">
        <f>'Inputs (2)'!H36</f>
        <v>0</v>
      </c>
      <c r="N218" s="46">
        <f>'Inputs (2)'!I36</f>
        <v>0</v>
      </c>
      <c r="O218" s="46">
        <f>'Inputs (2)'!J36</f>
        <v>0</v>
      </c>
      <c r="P218" s="46">
        <f>'Inputs (2)'!K36</f>
        <v>0</v>
      </c>
      <c r="Q218" s="46">
        <f>'Inputs (2)'!L36</f>
        <v>0</v>
      </c>
      <c r="R218" s="12">
        <f>'Inputs (2)'!M36</f>
        <v>0</v>
      </c>
      <c r="S218" s="46">
        <f>'Inputs (2)'!N36</f>
        <v>0</v>
      </c>
      <c r="T218" s="46">
        <f>'Inputs (2)'!O36</f>
        <v>0</v>
      </c>
      <c r="U218" s="46">
        <f>'Inputs (2)'!P36</f>
        <v>0</v>
      </c>
      <c r="V218" s="46">
        <f>'Inputs (2)'!Q36</f>
        <v>0</v>
      </c>
      <c r="W218" s="12">
        <f>'Inputs (2)'!R36</f>
        <v>0</v>
      </c>
      <c r="X218" s="46">
        <f>'Inputs (2)'!S36</f>
        <v>0</v>
      </c>
      <c r="Y218" s="46">
        <f>'Inputs (2)'!T36</f>
        <v>0</v>
      </c>
      <c r="Z218" s="46">
        <f>'Inputs (2)'!U36</f>
        <v>0</v>
      </c>
      <c r="AA218" s="46">
        <f>'Inputs (2)'!V36</f>
        <v>0</v>
      </c>
      <c r="AB218" s="12">
        <f>'Inputs (2)'!W36</f>
        <v>0</v>
      </c>
      <c r="AC218" s="46">
        <f>'Inputs (2)'!X36</f>
        <v>0</v>
      </c>
      <c r="AD218" s="46">
        <f>'Inputs (2)'!Y36</f>
        <v>0</v>
      </c>
      <c r="AE218" s="46">
        <f>'Inputs (2)'!Z36</f>
        <v>0</v>
      </c>
      <c r="AF218" s="46">
        <f>'Inputs (2)'!AA36</f>
        <v>0</v>
      </c>
      <c r="AG218" s="12">
        <f>'Inputs (2)'!AB36</f>
        <v>0</v>
      </c>
      <c r="AH218" s="12">
        <f>'Inputs (2)'!AC36</f>
        <v>0</v>
      </c>
      <c r="AI218" s="12">
        <f>'Inputs (2)'!AD36</f>
        <v>0</v>
      </c>
      <c r="AJ218" s="12">
        <f>AI218</f>
        <v>0</v>
      </c>
      <c r="AK218" s="12">
        <f>AJ218</f>
        <v>0</v>
      </c>
      <c r="AL218" s="12">
        <f>AK218</f>
        <v>0</v>
      </c>
      <c r="AM218" s="12">
        <f>AL218</f>
        <v>0</v>
      </c>
      <c r="AN218" s="12">
        <f>AM218</f>
        <v>0</v>
      </c>
      <c r="AO218" s="12">
        <f>AN218</f>
        <v>0</v>
      </c>
      <c r="AP218" s="12">
        <f>AO218</f>
        <v>0</v>
      </c>
      <c r="AQ218" s="12">
        <f>AP218</f>
        <v>0</v>
      </c>
      <c r="AR218" s="12">
        <f>AQ218</f>
        <v>0</v>
      </c>
      <c r="AS218" s="12">
        <f>AR218</f>
        <v>0</v>
      </c>
      <c r="AT218" s="12">
        <f>AS218</f>
        <v>0</v>
      </c>
      <c r="AU218" s="12">
        <f>AT218</f>
        <v>0</v>
      </c>
      <c r="AV218" s="12">
        <f>AU218</f>
        <v>0</v>
      </c>
      <c r="AW218" s="12">
        <f>AV218</f>
        <v>0</v>
      </c>
      <c r="AX218" s="12">
        <f>AW218</f>
        <v>0</v>
      </c>
      <c r="AY218" s="12">
        <f>AX218</f>
        <v>0</v>
      </c>
      <c r="AZ218" s="12">
        <f>AY218</f>
        <v>0</v>
      </c>
      <c r="BA218" s="12">
        <f>AZ218</f>
        <v>0</v>
      </c>
      <c r="BB218" s="12">
        <f>BA218</f>
        <v>0</v>
      </c>
      <c r="BC218" s="12">
        <f>BB218</f>
        <v>0</v>
      </c>
      <c r="BD218" s="12">
        <f>BC218</f>
        <v>0</v>
      </c>
      <c r="BE218" s="12">
        <f>BD218</f>
        <v>0</v>
      </c>
      <c r="BF218" s="12">
        <f>BE218</f>
        <v>0</v>
      </c>
      <c r="BG218" s="12" t="n"/>
      <c r="BH218" s="12" t="n"/>
      <c r="BI218" s="12" t="n"/>
      <c r="BJ218" s="12" t="n"/>
      <c r="BK218" s="12" t="n"/>
      <c r="BL218" s="12" t="n"/>
      <c r="BM218" s="12" t="n"/>
      <c r="BN218" s="12" t="n"/>
      <c r="BO218" s="12" t="n"/>
      <c r="BP218" s="12" t="n"/>
      <c r="BQ218" s="12" t="n"/>
      <c r="BR218" s="12" t="n"/>
      <c r="BS218" s="12" t="n"/>
      <c r="BT218" s="12" t="n"/>
      <c r="BU218" s="12" t="n"/>
      <c r="BV218" s="12" t="n"/>
      <c r="BW218" s="12" t="n"/>
      <c r="BX218" s="12" t="n"/>
      <c r="BY218" s="12" t="n"/>
      <c r="BZ218" s="12" t="n"/>
      <c r="CA218" s="12" t="n"/>
      <c r="CB218" s="12" t="n"/>
      <c r="CC218" s="12" t="n"/>
      <c r="CD218" s="12" t="n"/>
      <c r="CE218" s="12" t="n"/>
      <c r="CF218" s="12" t="n"/>
      <c r="CG218" s="12" t="n"/>
      <c r="CH218" s="12" t="n"/>
      <c r="CI218" s="12" t="n"/>
      <c r="CJ218" s="12" t="n"/>
      <c r="CK218" s="12" t="n"/>
      <c r="CL218" s="12" t="n"/>
      <c r="CM218" s="12" t="n"/>
      <c r="CN218" s="12" t="n"/>
      <c r="CO218" s="12" t="n"/>
      <c r="CP218" s="12" t="n"/>
      <c r="CQ218" s="12" t="n"/>
      <c r="CR218" s="12" t="n"/>
      <c r="CS218" s="12" t="n"/>
      <c r="CT218" s="12" t="n"/>
      <c r="CU218" s="12" t="n"/>
      <c r="CV218" s="12" t="n"/>
      <c r="CW218" s="12" t="n"/>
      <c r="CX218" s="12" t="n"/>
      <c r="CY218" s="12" t="n"/>
    </row>
    <row r="219" hidden="1" outlineLevel="1">
      <c r="C219" s="59" t="inlineStr">
        <is>
          <t>%(Var.)</t>
        </is>
      </c>
      <c r="D219" s="12" t="n"/>
      <c r="E219" s="40" t="n"/>
      <c r="F219" s="40" t="n"/>
      <c r="G219" s="40" t="n"/>
      <c r="H219" s="12" t="n"/>
      <c r="I219" s="40" t="str">
        <f>""</f>
        <v/>
      </c>
      <c r="J219" s="40" t="str">
        <f>IFERROR(IF(I218=0,"",J218/I218-1),"")</f>
        <v/>
      </c>
      <c r="K219" s="40" t="str">
        <f>IFERROR(IF(J218=0,"",K218/J218-1),"")</f>
        <v/>
      </c>
      <c r="L219" s="40" t="str">
        <f>IFERROR(IF(K218=0,"",L218/K218-1),"")</f>
        <v/>
      </c>
      <c r="M219" s="12" t="str">
        <f>IF(L218=0,"",M218/L218-1)</f>
        <v/>
      </c>
      <c r="N219" s="40" t="str">
        <f>IFERROR(IF(M218=0,"",N218/M218-1),"")</f>
        <v/>
      </c>
      <c r="O219" s="40" t="str">
        <f>IFERROR(IF(N218=0,"",O218/N218-1),"")</f>
        <v/>
      </c>
      <c r="P219" s="40" t="str">
        <f>IFERROR(IF(O218=0,"",P218/O218-1),"")</f>
        <v/>
      </c>
      <c r="Q219" s="40" t="str">
        <f>IFERROR(IF(P218=0,"",Q218/P218-1),"")</f>
        <v/>
      </c>
      <c r="R219" s="12" t="str">
        <f>IF(Q218=0,"",R218/Q218-1)</f>
        <v/>
      </c>
      <c r="S219" s="40" t="str">
        <f>IFERROR(IF(R218=0,"",S218/R218-1),"")</f>
        <v/>
      </c>
      <c r="T219" s="40" t="str">
        <f>IFERROR(IF(S218=0,"",T218/S218-1),"")</f>
        <v/>
      </c>
      <c r="U219" s="40" t="str">
        <f>IFERROR(IF(T218=0,"",U218/T218-1),"")</f>
        <v/>
      </c>
      <c r="V219" s="40" t="str">
        <f>IFERROR(IF(U218=0,"",V218/U218-1),"")</f>
        <v/>
      </c>
      <c r="W219" s="12" t="str">
        <f>IF(V218=0,"",W218/V218-1)</f>
        <v/>
      </c>
      <c r="X219" s="40" t="str">
        <f>IFERROR(IF(W218=0,"",X218/W218-1),"")</f>
        <v/>
      </c>
      <c r="Y219" s="40" t="str">
        <f>IFERROR(IF(X218=0,"",Y218/X218-1),"")</f>
        <v/>
      </c>
      <c r="Z219" s="40" t="str">
        <f>IFERROR(IF(Y218=0,"",Z218/Y218-1),"")</f>
        <v/>
      </c>
      <c r="AA219" s="40" t="str">
        <f>IFERROR(IF(Z218=0,"",AA218/Z218-1),"")</f>
        <v/>
      </c>
      <c r="AB219" s="12" t="str">
        <f>IF(AA218=0,"",AB218/AA218-1)</f>
        <v/>
      </c>
      <c r="AC219" s="40" t="str">
        <f>IFERROR(IF(AB218=0,"",AC218/AB218-1),"")</f>
        <v/>
      </c>
      <c r="AD219" s="40" t="str">
        <f>IFERROR(IF(AC218=0,"",AD218/AC218-1),"")</f>
        <v/>
      </c>
      <c r="AE219" s="40" t="str">
        <f>IFERROR(IF(AD218=0,"",AE218/AD218-1),"")</f>
        <v/>
      </c>
      <c r="AF219" s="41" t="str">
        <f>IFERROR(IF(AE218=0,"",AF218/AE218-1),"")</f>
        <v/>
      </c>
      <c r="AG219" s="12" t="str">
        <f>IF(AF218=0,"",AG218/AF218-1)</f>
        <v/>
      </c>
      <c r="AH219" s="11" t="str">
        <f>IFERROR(IF(AG218=0,"",AH218/AG218-1),"")</f>
        <v/>
      </c>
      <c r="AI219" s="11" t="str">
        <f>IFERROR(IF(AH218=0,"",AI218/AH218-1),"")</f>
        <v/>
      </c>
      <c r="AJ219" s="11" t="str">
        <f>IFERROR(IF(AI218=0,"",AJ218/AI218-1),"")</f>
        <v/>
      </c>
      <c r="AK219" s="11" t="str">
        <f>IFERROR(IF(AJ218=0,"",AK218/AJ218-1),"")</f>
        <v/>
      </c>
      <c r="AL219" s="12" t="str">
        <f>IFERROR(IF(AK218=0,"",AL218/AK218-1),"")</f>
        <v/>
      </c>
      <c r="AM219" s="11" t="str">
        <f>IFERROR(IF(AL218=0,"",AM218/AL218-1),"")</f>
        <v/>
      </c>
      <c r="AN219" s="11" t="str">
        <f>IFERROR(IF(AM218=0,"",AN218/AM218-1),"")</f>
        <v/>
      </c>
      <c r="AO219" s="11" t="str">
        <f>IFERROR(IF(AN218=0,"",AO218/AN218-1),"")</f>
        <v/>
      </c>
      <c r="AP219" s="11" t="str">
        <f>IFERROR(IF(AO218=0,"",AP218/AO218-1),"")</f>
        <v/>
      </c>
      <c r="AQ219" s="12" t="str">
        <f>IFERROR(IF(AP218=0,"",AQ218/AP218-1),"")</f>
        <v/>
      </c>
      <c r="AR219" s="11" t="str">
        <f>IFERROR(IF(AQ218=0,"",AR218/AQ218-1),"")</f>
        <v/>
      </c>
      <c r="AS219" s="11" t="str">
        <f>IFERROR(IF(AR218=0,"",AS218/AR218-1),"")</f>
        <v/>
      </c>
      <c r="AT219" s="11" t="str">
        <f>IFERROR(IF(AS218=0,"",AT218/AS218-1),"")</f>
        <v/>
      </c>
      <c r="AU219" s="11" t="str">
        <f>IFERROR(IF(AT218=0,"",AU218/AT218-1),"")</f>
        <v/>
      </c>
      <c r="AV219" s="12" t="str">
        <f>IFERROR(IF(AU218=0,"",AV218/AU218-1),"")</f>
        <v/>
      </c>
      <c r="AW219" s="11" t="str">
        <f>IFERROR(IF(AV218=0,"",AW218/AV218-1),"")</f>
        <v/>
      </c>
      <c r="AX219" s="11" t="str">
        <f>IFERROR(IF(AW218=0,"",AX218/AW218-1),"")</f>
        <v/>
      </c>
      <c r="AY219" s="11" t="str">
        <f>IFERROR(IF(AX218=0,"",AY218/AX218-1),"")</f>
        <v/>
      </c>
      <c r="AZ219" s="11" t="str">
        <f>IFERROR(IF(AY218=0,"",AZ218/AY218-1),"")</f>
        <v/>
      </c>
      <c r="BA219" s="12" t="str">
        <f>IFERROR(IF(AZ218=0,"",BA218/AZ218-1),"")</f>
        <v/>
      </c>
      <c r="BB219" s="11" t="str">
        <f>IFERROR(IF(BA218=0,"",BB218/BA218-1),"")</f>
        <v/>
      </c>
      <c r="BC219" s="11" t="str">
        <f>IFERROR(IF(BB218=0,"",BC218/BB218-1),"")</f>
        <v/>
      </c>
      <c r="BD219" s="11" t="str">
        <f>IFERROR(IF(BC218=0,"",BD218/BC218-1),"")</f>
        <v/>
      </c>
      <c r="BE219" s="11" t="str">
        <f>IFERROR(IF(BD218=0,"",BE218/BD218-1),"")</f>
        <v/>
      </c>
      <c r="BF219" s="12" t="str">
        <f>IFERROR(IF(BE218=0,"",BF218/BE218-1),"")</f>
        <v/>
      </c>
      <c r="BG219" s="11" t="n"/>
      <c r="BH219" s="11" t="n"/>
      <c r="BI219" s="11" t="n"/>
      <c r="BJ219" s="11" t="n"/>
      <c r="BK219" s="12" t="n"/>
      <c r="BL219" s="11" t="n"/>
      <c r="BM219" s="11" t="n"/>
      <c r="BN219" s="11" t="n"/>
      <c r="BO219" s="11" t="n"/>
      <c r="BP219" s="12" t="n"/>
      <c r="BQ219" s="11" t="n"/>
      <c r="BR219" s="11" t="n"/>
      <c r="BS219" s="11" t="n"/>
      <c r="BT219" s="11" t="n"/>
      <c r="BU219" s="12" t="n"/>
      <c r="BV219" s="11" t="n"/>
      <c r="BW219" s="11" t="n"/>
      <c r="BX219" s="11" t="n"/>
      <c r="BY219" s="11" t="n"/>
      <c r="BZ219" s="12" t="n"/>
      <c r="CA219" s="11" t="n"/>
      <c r="CB219" s="11" t="n"/>
      <c r="CC219" s="11" t="n"/>
      <c r="CD219" s="11" t="n"/>
      <c r="CE219" s="12" t="n"/>
      <c r="CF219" s="11" t="n"/>
      <c r="CG219" s="11" t="n"/>
      <c r="CH219" s="11" t="n"/>
      <c r="CI219" s="11" t="n"/>
      <c r="CJ219" s="12" t="n"/>
      <c r="CK219" s="11" t="n"/>
      <c r="CL219" s="11" t="n"/>
      <c r="CM219" s="11" t="n"/>
      <c r="CN219" s="11" t="n"/>
      <c r="CO219" s="12" t="n"/>
      <c r="CP219" s="11" t="n"/>
      <c r="CQ219" s="11" t="n"/>
      <c r="CR219" s="11" t="n"/>
      <c r="CS219" s="11" t="n"/>
      <c r="CT219" s="12" t="n"/>
      <c r="CU219" s="11" t="n"/>
      <c r="CV219" s="11" t="n"/>
      <c r="CW219" s="11" t="n"/>
      <c r="CX219" s="11" t="n"/>
      <c r="CY219" s="12" t="n"/>
    </row>
    <row r="220" hidden="1" outlineLevel="1">
      <c r="C220" s="57" t="n"/>
      <c r="D220" s="12" t="n"/>
      <c r="E220" s="12" t="n"/>
      <c r="F220" s="12" t="n"/>
      <c r="G220" s="12" t="n"/>
      <c r="H220" s="12" t="n"/>
      <c r="I220" s="12" t="n"/>
      <c r="J220" s="12" t="n"/>
      <c r="K220" s="12" t="n"/>
      <c r="L220" s="12" t="n"/>
      <c r="M220" s="12" t="n"/>
      <c r="N220" s="12" t="n"/>
      <c r="O220" s="12" t="n"/>
      <c r="P220" s="12" t="n"/>
      <c r="Q220" s="12" t="n"/>
      <c r="R220" s="12" t="n"/>
      <c r="S220" s="12" t="n"/>
      <c r="T220" s="12" t="n"/>
      <c r="U220" s="12" t="n"/>
      <c r="V220" s="12" t="n"/>
      <c r="W220" s="12" t="n"/>
      <c r="X220" s="12" t="n"/>
      <c r="Y220" s="12" t="n"/>
      <c r="Z220" s="12" t="n"/>
      <c r="AA220" s="12" t="n"/>
      <c r="AB220" s="12" t="n"/>
      <c r="AC220" s="12" t="n"/>
      <c r="AD220" s="12" t="n"/>
      <c r="AE220" s="12" t="n"/>
      <c r="AF220" s="12" t="n"/>
      <c r="AG220" s="12" t="n"/>
      <c r="AH220" s="12" t="n"/>
      <c r="AI220" s="12" t="n"/>
      <c r="AJ220" s="12" t="n"/>
      <c r="AK220" s="12" t="n"/>
      <c r="AL220" s="12" t="n"/>
      <c r="AM220" s="12" t="n"/>
      <c r="AN220" s="12" t="n"/>
      <c r="AO220" s="12" t="n"/>
      <c r="AP220" s="12" t="n"/>
      <c r="AQ220" s="12" t="n"/>
      <c r="AR220" s="12" t="n"/>
      <c r="AS220" s="12" t="n"/>
      <c r="AT220" s="12" t="n"/>
      <c r="AU220" s="12" t="n"/>
      <c r="AV220" s="12" t="n"/>
      <c r="AW220" s="12" t="n"/>
      <c r="AX220" s="12" t="n"/>
      <c r="AY220" s="12" t="n"/>
      <c r="AZ220" s="12" t="n"/>
      <c r="BA220" s="12" t="n"/>
      <c r="BB220" s="12" t="n"/>
      <c r="BC220" s="12" t="n"/>
      <c r="BD220" s="12" t="n"/>
      <c r="BE220" s="12" t="n"/>
      <c r="BF220" s="12" t="n"/>
      <c r="BG220" s="12" t="n"/>
      <c r="BH220" s="12" t="n"/>
      <c r="BI220" s="12" t="n"/>
      <c r="BJ220" s="12" t="n"/>
      <c r="BK220" s="12" t="n"/>
      <c r="BL220" s="12" t="n"/>
      <c r="BM220" s="12" t="n"/>
      <c r="BN220" s="12" t="n"/>
      <c r="BO220" s="12" t="n"/>
      <c r="BP220" s="12" t="n"/>
      <c r="BQ220" s="12" t="n"/>
      <c r="BR220" s="12" t="n"/>
      <c r="BS220" s="12" t="n"/>
      <c r="BT220" s="12" t="n"/>
      <c r="BU220" s="12" t="n"/>
      <c r="BV220" s="12" t="n"/>
      <c r="BW220" s="12" t="n"/>
      <c r="BX220" s="12" t="n"/>
      <c r="BY220" s="12" t="n"/>
      <c r="BZ220" s="12" t="n"/>
      <c r="CA220" s="12" t="n"/>
      <c r="CB220" s="12" t="n"/>
      <c r="CC220" s="12" t="n"/>
      <c r="CD220" s="12" t="n"/>
      <c r="CE220" s="12" t="n"/>
      <c r="CF220" s="12" t="n"/>
      <c r="CG220" s="12" t="n"/>
      <c r="CH220" s="12" t="n"/>
      <c r="CI220" s="12" t="n"/>
      <c r="CJ220" s="12" t="n"/>
      <c r="CK220" s="12" t="n"/>
      <c r="CL220" s="12" t="n"/>
      <c r="CM220" s="12" t="n"/>
      <c r="CN220" s="12" t="n"/>
      <c r="CO220" s="12" t="n"/>
      <c r="CP220" s="12" t="n"/>
      <c r="CQ220" s="12" t="n"/>
      <c r="CR220" s="12" t="n"/>
      <c r="CS220" s="12" t="n"/>
      <c r="CT220" s="12" t="n"/>
      <c r="CU220" s="12" t="n"/>
      <c r="CV220" s="12" t="n"/>
      <c r="CW220" s="12" t="n"/>
      <c r="CX220" s="12" t="n"/>
      <c r="CY220" s="12" t="n"/>
    </row>
    <row r="221" collapsed="1">
      <c r="C221" s="14" t="inlineStr">
        <is>
          <t>Convertible debt</t>
        </is>
      </c>
      <c r="D221" s="46" t="n"/>
      <c r="E221" s="46" t="n"/>
      <c r="F221" s="46" t="n"/>
      <c r="G221" s="46" t="n"/>
      <c r="H221" s="12" t="n"/>
      <c r="I221" s="46">
        <f>'Inputs (2)'!D37</f>
        <v>0</v>
      </c>
      <c r="J221" s="46">
        <f>'Inputs (2)'!E37</f>
        <v>0</v>
      </c>
      <c r="K221" s="46">
        <f>'Inputs (2)'!F37</f>
        <v>0</v>
      </c>
      <c r="L221" s="46">
        <f>'Inputs (2)'!G37</f>
        <v>0</v>
      </c>
      <c r="M221" s="12">
        <f>'Inputs (2)'!H37</f>
        <v>0</v>
      </c>
      <c r="N221" s="46">
        <f>'Inputs (2)'!I37</f>
        <v>0</v>
      </c>
      <c r="O221" s="46">
        <f>'Inputs (2)'!J37</f>
        <v>0</v>
      </c>
      <c r="P221" s="46">
        <f>'Inputs (2)'!K37</f>
        <v>0</v>
      </c>
      <c r="Q221" s="46">
        <f>'Inputs (2)'!L37</f>
        <v>0</v>
      </c>
      <c r="R221" s="12">
        <f>'Inputs (2)'!M37</f>
        <v>0</v>
      </c>
      <c r="S221" s="46">
        <f>'Inputs (2)'!N37</f>
        <v>0</v>
      </c>
      <c r="T221" s="46">
        <f>'Inputs (2)'!O37</f>
        <v>0</v>
      </c>
      <c r="U221" s="46">
        <f>'Inputs (2)'!P37</f>
        <v>0</v>
      </c>
      <c r="V221" s="46">
        <f>'Inputs (2)'!Q37</f>
        <v>0</v>
      </c>
      <c r="W221" s="12">
        <f>'Inputs (2)'!R37</f>
        <v>0</v>
      </c>
      <c r="X221" s="46">
        <f>'Inputs (2)'!S37</f>
        <v>0</v>
      </c>
      <c r="Y221" s="46">
        <f>'Inputs (2)'!T37</f>
        <v>0</v>
      </c>
      <c r="Z221" s="46">
        <f>'Inputs (2)'!U37</f>
        <v>0</v>
      </c>
      <c r="AA221" s="46">
        <f>'Inputs (2)'!V37</f>
        <v>0</v>
      </c>
      <c r="AB221" s="12">
        <f>'Inputs (2)'!W37</f>
        <v>0</v>
      </c>
      <c r="AC221" s="46">
        <f>'Inputs (2)'!X37</f>
        <v>0</v>
      </c>
      <c r="AD221" s="46">
        <f>'Inputs (2)'!Y37</f>
        <v>0</v>
      </c>
      <c r="AE221" s="46">
        <f>'Inputs (2)'!Z37</f>
        <v>0</v>
      </c>
      <c r="AF221" s="46">
        <f>'Inputs (2)'!AA37</f>
        <v>0</v>
      </c>
      <c r="AG221" s="12">
        <f>'Inputs (2)'!AB37</f>
        <v>0</v>
      </c>
      <c r="AH221" s="12">
        <f>'Inputs (2)'!AC37</f>
        <v>0</v>
      </c>
      <c r="AI221" s="12">
        <f>'Inputs (2)'!AD37</f>
        <v>0</v>
      </c>
      <c r="AJ221" s="12">
        <f>AI221</f>
        <v>0</v>
      </c>
      <c r="AK221" s="12">
        <f>AJ221</f>
        <v>0</v>
      </c>
      <c r="AL221" s="12">
        <f>AK221</f>
        <v>0</v>
      </c>
      <c r="AM221" s="12">
        <f>AL221</f>
        <v>0</v>
      </c>
      <c r="AN221" s="12">
        <f>AM221</f>
        <v>0</v>
      </c>
      <c r="AO221" s="12">
        <f>AN221</f>
        <v>0</v>
      </c>
      <c r="AP221" s="12">
        <f>AO221</f>
        <v>0</v>
      </c>
      <c r="AQ221" s="12">
        <f>AP221</f>
        <v>0</v>
      </c>
      <c r="AR221" s="12">
        <f>AQ221</f>
        <v>0</v>
      </c>
      <c r="AS221" s="12">
        <f>AR221</f>
        <v>0</v>
      </c>
      <c r="AT221" s="12">
        <f>AS221</f>
        <v>0</v>
      </c>
      <c r="AU221" s="12">
        <f>AT221</f>
        <v>0</v>
      </c>
      <c r="AV221" s="12">
        <f>AU221</f>
        <v>0</v>
      </c>
      <c r="AW221" s="12">
        <f>AV221</f>
        <v>0</v>
      </c>
      <c r="AX221" s="12">
        <f>AW221</f>
        <v>0</v>
      </c>
      <c r="AY221" s="12">
        <f>AX221</f>
        <v>0</v>
      </c>
      <c r="AZ221" s="12">
        <f>AY221</f>
        <v>0</v>
      </c>
      <c r="BA221" s="12">
        <f>AZ221</f>
        <v>0</v>
      </c>
      <c r="BB221" s="12">
        <f>BA221</f>
        <v>0</v>
      </c>
      <c r="BC221" s="12">
        <f>BB221</f>
        <v>0</v>
      </c>
      <c r="BD221" s="12">
        <f>BC221</f>
        <v>0</v>
      </c>
      <c r="BE221" s="12">
        <f>BD221</f>
        <v>0</v>
      </c>
      <c r="BF221" s="12">
        <f>BE221</f>
        <v>0</v>
      </c>
      <c r="BG221" s="12" t="n"/>
      <c r="BH221" s="12" t="n"/>
      <c r="BI221" s="12" t="n"/>
      <c r="BJ221" s="12" t="n"/>
      <c r="BK221" s="12" t="n"/>
      <c r="BL221" s="12" t="n"/>
      <c r="BM221" s="12" t="n"/>
      <c r="BN221" s="12" t="n"/>
      <c r="BO221" s="12" t="n"/>
      <c r="BP221" s="12" t="n"/>
      <c r="BQ221" s="12" t="n"/>
      <c r="BR221" s="12" t="n"/>
      <c r="BS221" s="12" t="n"/>
      <c r="BT221" s="12" t="n"/>
      <c r="BU221" s="12" t="n"/>
      <c r="BV221" s="12" t="n"/>
      <c r="BW221" s="12" t="n"/>
      <c r="BX221" s="12" t="n"/>
      <c r="BY221" s="12" t="n"/>
      <c r="BZ221" s="12" t="n"/>
      <c r="CA221" s="12" t="n"/>
      <c r="CB221" s="12" t="n"/>
      <c r="CC221" s="12" t="n"/>
      <c r="CD221" s="12" t="n"/>
      <c r="CE221" s="12" t="n"/>
      <c r="CF221" s="12" t="n"/>
      <c r="CG221" s="12" t="n"/>
      <c r="CH221" s="12" t="n"/>
      <c r="CI221" s="12" t="n"/>
      <c r="CJ221" s="12" t="n"/>
      <c r="CK221" s="12" t="n"/>
      <c r="CL221" s="12" t="n"/>
      <c r="CM221" s="12" t="n"/>
      <c r="CN221" s="12" t="n"/>
      <c r="CO221" s="12" t="n"/>
      <c r="CP221" s="12" t="n"/>
      <c r="CQ221" s="12" t="n"/>
      <c r="CR221" s="12" t="n"/>
      <c r="CS221" s="12" t="n"/>
      <c r="CT221" s="12" t="n"/>
      <c r="CU221" s="12" t="n"/>
      <c r="CV221" s="12" t="n"/>
      <c r="CW221" s="12" t="n"/>
      <c r="CX221" s="12" t="n"/>
      <c r="CY221" s="12" t="n"/>
    </row>
    <row r="222">
      <c r="C222" s="14" t="inlineStr">
        <is>
          <t>Deferred income taxes</t>
        </is>
      </c>
      <c r="D222" s="46" t="n"/>
      <c r="E222" s="46" t="n"/>
      <c r="F222" s="46" t="n"/>
      <c r="G222" s="46" t="n"/>
      <c r="H222" s="12" t="n"/>
      <c r="I222" s="46">
        <f>'Inputs (2)'!D38</f>
        <v>391</v>
      </c>
      <c r="J222" s="46">
        <f>'Inputs (2)'!E38</f>
        <v>394</v>
      </c>
      <c r="K222" s="46">
        <f>'Inputs (2)'!F38</f>
        <v>374</v>
      </c>
      <c r="L222" s="46">
        <f>'Inputs (2)'!G38</f>
        <v>395</v>
      </c>
      <c r="M222" s="12">
        <f>'Inputs (2)'!H38</f>
        <v>395</v>
      </c>
      <c r="N222" s="46">
        <f>'Inputs (2)'!I38</f>
        <v>386</v>
      </c>
      <c r="O222" s="46">
        <f>'Inputs (2)'!J38</f>
        <v>371</v>
      </c>
      <c r="P222" s="46">
        <f>'Inputs (2)'!K38</f>
        <v>346</v>
      </c>
      <c r="Q222" s="46">
        <f>'Inputs (2)'!L38</f>
        <v>393</v>
      </c>
      <c r="R222" s="12">
        <f>'Inputs (2)'!M38</f>
        <v>393</v>
      </c>
      <c r="S222" s="46">
        <f>'Inputs (2)'!N38</f>
        <v>389</v>
      </c>
      <c r="T222" s="46">
        <f>'Inputs (2)'!O38</f>
        <v>395</v>
      </c>
      <c r="U222" s="46">
        <f>'Inputs (2)'!P38</f>
        <v>385</v>
      </c>
      <c r="V222" s="46">
        <f>'Inputs (2)'!Q38</f>
        <v>369</v>
      </c>
      <c r="W222" s="12">
        <f>'Inputs (2)'!R38</f>
        <v>369</v>
      </c>
      <c r="X222" s="46">
        <f>'Inputs (2)'!S38</f>
        <v>345</v>
      </c>
      <c r="Y222" s="46">
        <f>'Inputs (2)'!T38</f>
        <v>337</v>
      </c>
      <c r="Z222" s="46">
        <f>'Inputs (2)'!U38</f>
        <v>349</v>
      </c>
      <c r="AA222" s="46">
        <f>'Inputs (2)'!V38</f>
        <v>317</v>
      </c>
      <c r="AB222" s="12">
        <f>'Inputs (2)'!W38</f>
        <v>317</v>
      </c>
      <c r="AC222" s="46">
        <f>'Inputs (2)'!X38</f>
        <v>315</v>
      </c>
      <c r="AD222" s="46">
        <f>'Inputs (2)'!Y38</f>
        <v>361</v>
      </c>
      <c r="AE222" s="46">
        <f>'Inputs (2)'!Z38</f>
        <v>326</v>
      </c>
      <c r="AF222" s="46">
        <f>'Inputs (2)'!AA38</f>
        <v>307</v>
      </c>
      <c r="AG222" s="12">
        <f>'Inputs (2)'!AB38</f>
        <v>307</v>
      </c>
      <c r="AH222" s="12">
        <f>'Inputs (2)'!AC38</f>
        <v>331</v>
      </c>
      <c r="AI222" s="12">
        <f>'Inputs (2)'!AD38</f>
        <v>315</v>
      </c>
      <c r="AJ222" s="12">
        <f>AI222</f>
        <v>315</v>
      </c>
      <c r="AK222" s="12">
        <f>AJ222</f>
        <v>315</v>
      </c>
      <c r="AL222" s="12">
        <f>AK222</f>
        <v>315</v>
      </c>
      <c r="AM222" s="12">
        <f>AL222</f>
        <v>315</v>
      </c>
      <c r="AN222" s="12">
        <f>AM222</f>
        <v>315</v>
      </c>
      <c r="AO222" s="12">
        <f>AN222</f>
        <v>315</v>
      </c>
      <c r="AP222" s="12">
        <f>AO222</f>
        <v>315</v>
      </c>
      <c r="AQ222" s="12">
        <f>AP222</f>
        <v>315</v>
      </c>
      <c r="AR222" s="12">
        <f>AQ222</f>
        <v>315</v>
      </c>
      <c r="AS222" s="12">
        <f>AR222</f>
        <v>315</v>
      </c>
      <c r="AT222" s="12">
        <f>AS222</f>
        <v>315</v>
      </c>
      <c r="AU222" s="12">
        <f>AT222</f>
        <v>315</v>
      </c>
      <c r="AV222" s="12">
        <f>AU222</f>
        <v>315</v>
      </c>
      <c r="AW222" s="12">
        <f>AV222</f>
        <v>315</v>
      </c>
      <c r="AX222" s="12">
        <f>AW222</f>
        <v>315</v>
      </c>
      <c r="AY222" s="12">
        <f>AX222</f>
        <v>315</v>
      </c>
      <c r="AZ222" s="12">
        <f>AY222</f>
        <v>315</v>
      </c>
      <c r="BA222" s="12">
        <f>AZ222</f>
        <v>315</v>
      </c>
      <c r="BB222" s="12">
        <f>BA222</f>
        <v>315</v>
      </c>
      <c r="BC222" s="12">
        <f>BB222</f>
        <v>315</v>
      </c>
      <c r="BD222" s="12">
        <f>BC222</f>
        <v>315</v>
      </c>
      <c r="BE222" s="12">
        <f>BD222</f>
        <v>315</v>
      </c>
      <c r="BF222" s="12">
        <f>BE222</f>
        <v>315</v>
      </c>
      <c r="BG222" s="12" t="n"/>
      <c r="BH222" s="12" t="n"/>
      <c r="BI222" s="12" t="n"/>
      <c r="BJ222" s="12" t="n"/>
      <c r="BK222" s="12" t="n"/>
      <c r="BL222" s="12" t="n"/>
      <c r="BM222" s="12" t="n"/>
      <c r="BN222" s="12" t="n"/>
      <c r="BO222" s="12" t="n"/>
      <c r="BP222" s="12" t="n"/>
      <c r="BQ222" s="12" t="n"/>
      <c r="BR222" s="12" t="n"/>
      <c r="BS222" s="12" t="n"/>
      <c r="BT222" s="12" t="n"/>
      <c r="BU222" s="12" t="n"/>
      <c r="BV222" s="12" t="n"/>
      <c r="BW222" s="12" t="n"/>
      <c r="BX222" s="12" t="n"/>
      <c r="BY222" s="12" t="n"/>
      <c r="BZ222" s="12" t="n"/>
      <c r="CA222" s="12" t="n"/>
      <c r="CB222" s="12" t="n"/>
      <c r="CC222" s="12" t="n"/>
      <c r="CD222" s="12" t="n"/>
      <c r="CE222" s="12" t="n"/>
      <c r="CF222" s="12" t="n"/>
      <c r="CG222" s="12" t="n"/>
      <c r="CH222" s="12" t="n"/>
      <c r="CI222" s="12" t="n"/>
      <c r="CJ222" s="12" t="n"/>
      <c r="CK222" s="12" t="n"/>
      <c r="CL222" s="12" t="n"/>
      <c r="CM222" s="12" t="n"/>
      <c r="CN222" s="12" t="n"/>
      <c r="CO222" s="12" t="n"/>
      <c r="CP222" s="12" t="n"/>
      <c r="CQ222" s="12" t="n"/>
      <c r="CR222" s="12" t="n"/>
      <c r="CS222" s="12" t="n"/>
      <c r="CT222" s="12" t="n"/>
      <c r="CU222" s="12" t="n"/>
      <c r="CV222" s="12" t="n"/>
      <c r="CW222" s="12" t="n"/>
      <c r="CX222" s="12" t="n"/>
      <c r="CY222" s="12" t="n"/>
    </row>
    <row r="223">
      <c r="C223" s="14" t="inlineStr">
        <is>
          <t>Other non-current liabilities</t>
        </is>
      </c>
      <c r="D223" s="46" t="n"/>
      <c r="E223" s="46" t="n"/>
      <c r="F223" s="46" t="n"/>
      <c r="G223" s="46" t="n"/>
      <c r="H223" s="12" t="n"/>
      <c r="I223" s="46">
        <f>'Inputs (2)'!D39</f>
        <v>3260</v>
      </c>
      <c r="J223" s="46">
        <f>'Inputs (2)'!E39</f>
        <v>3401</v>
      </c>
      <c r="K223" s="46">
        <f>'Inputs (2)'!F39</f>
        <v>3462</v>
      </c>
      <c r="L223" s="46">
        <f>'Inputs (2)'!G39</f>
        <v>3591</v>
      </c>
      <c r="M223" s="12">
        <f>'Inputs (2)'!H39</f>
        <v>3591</v>
      </c>
      <c r="N223" s="46">
        <f>'Inputs (2)'!I39</f>
        <v>3851</v>
      </c>
      <c r="O223" s="46">
        <f>'Inputs (2)'!J39</f>
        <v>3767</v>
      </c>
      <c r="P223" s="46">
        <f>'Inputs (2)'!K39</f>
        <v>3770</v>
      </c>
      <c r="Q223" s="46">
        <f>'Inputs (2)'!L39</f>
        <v>4034</v>
      </c>
      <c r="R223" s="12">
        <f>'Inputs (2)'!M39</f>
        <v>4034</v>
      </c>
      <c r="S223" s="46">
        <f>'Inputs (2)'!N39</f>
        <v>4197</v>
      </c>
      <c r="T223" s="46">
        <f>'Inputs (2)'!O39</f>
        <v>4110</v>
      </c>
      <c r="U223" s="46">
        <f>'Inputs (2)'!P39</f>
        <v>4160</v>
      </c>
      <c r="V223" s="46">
        <f>'Inputs (2)'!Q39</f>
        <v>4474</v>
      </c>
      <c r="W223" s="12">
        <f>'Inputs (2)'!R39</f>
        <v>4474</v>
      </c>
      <c r="X223" s="46">
        <f>'Inputs (2)'!S39</f>
        <v>4501</v>
      </c>
      <c r="Y223" s="46">
        <f>'Inputs (2)'!T39</f>
        <v>4401</v>
      </c>
      <c r="Z223" s="46">
        <f>'Inputs (2)'!U39</f>
        <v>4488</v>
      </c>
      <c r="AA223" s="46">
        <f>'Inputs (2)'!V39</f>
        <v>4553</v>
      </c>
      <c r="AB223" s="12">
        <f>'Inputs (2)'!W39</f>
        <v>4553</v>
      </c>
      <c r="AC223" s="46">
        <f>'Inputs (2)'!X39</f>
        <v>4829</v>
      </c>
      <c r="AD223" s="46">
        <f>'Inputs (2)'!Y39</f>
        <v>5197</v>
      </c>
      <c r="AE223" s="46">
        <f>'Inputs (2)'!Z39</f>
        <v>5368</v>
      </c>
      <c r="AF223" s="46">
        <f>'Inputs (2)'!AA39</f>
        <v>5091</v>
      </c>
      <c r="AG223" s="12">
        <f>'Inputs (2)'!AB39</f>
        <v>5091</v>
      </c>
      <c r="AH223" s="12">
        <f>'Inputs (2)'!AC39</f>
        <v>5250</v>
      </c>
      <c r="AI223" s="12">
        <f>'Inputs (2)'!AD39</f>
        <v>4582</v>
      </c>
      <c r="AJ223" s="12">
        <f>AI223</f>
        <v>4582</v>
      </c>
      <c r="AK223" s="12">
        <f>AJ223</f>
        <v>4582</v>
      </c>
      <c r="AL223" s="12">
        <f>AK223</f>
        <v>4582</v>
      </c>
      <c r="AM223" s="12">
        <f>AL223</f>
        <v>4582</v>
      </c>
      <c r="AN223" s="12">
        <f>AM223</f>
        <v>4582</v>
      </c>
      <c r="AO223" s="12">
        <f>AN223</f>
        <v>4582</v>
      </c>
      <c r="AP223" s="12">
        <f>AO223</f>
        <v>4582</v>
      </c>
      <c r="AQ223" s="12">
        <f>AP223</f>
        <v>4582</v>
      </c>
      <c r="AR223" s="12">
        <f>AQ223</f>
        <v>4582</v>
      </c>
      <c r="AS223" s="12">
        <f>AR223</f>
        <v>4582</v>
      </c>
      <c r="AT223" s="12">
        <f>AS223</f>
        <v>4582</v>
      </c>
      <c r="AU223" s="12">
        <f>AT223</f>
        <v>4582</v>
      </c>
      <c r="AV223" s="12">
        <f>AU223</f>
        <v>4582</v>
      </c>
      <c r="AW223" s="12">
        <f>AV223</f>
        <v>4582</v>
      </c>
      <c r="AX223" s="12">
        <f>AW223</f>
        <v>4582</v>
      </c>
      <c r="AY223" s="12">
        <f>AX223</f>
        <v>4582</v>
      </c>
      <c r="AZ223" s="12">
        <f>AY223</f>
        <v>4582</v>
      </c>
      <c r="BA223" s="12">
        <f>AZ223</f>
        <v>4582</v>
      </c>
      <c r="BB223" s="12">
        <f>BA223</f>
        <v>4582</v>
      </c>
      <c r="BC223" s="12">
        <f>BB223</f>
        <v>4582</v>
      </c>
      <c r="BD223" s="12">
        <f>BC223</f>
        <v>4582</v>
      </c>
      <c r="BE223" s="12">
        <f>BD223</f>
        <v>4582</v>
      </c>
      <c r="BF223" s="12">
        <f>BE223</f>
        <v>4582</v>
      </c>
      <c r="BG223" s="12" t="n"/>
      <c r="BH223" s="12" t="n"/>
      <c r="BI223" s="12" t="n"/>
      <c r="BJ223" s="12" t="n"/>
      <c r="BK223" s="12" t="n"/>
      <c r="BL223" s="12" t="n"/>
      <c r="BM223" s="12" t="n"/>
      <c r="BN223" s="12" t="n"/>
      <c r="BO223" s="12" t="n"/>
      <c r="BP223" s="12" t="n"/>
      <c r="BQ223" s="12" t="n"/>
      <c r="BR223" s="12" t="n"/>
      <c r="BS223" s="12" t="n"/>
      <c r="BT223" s="12" t="n"/>
      <c r="BU223" s="12" t="n"/>
      <c r="BV223" s="12" t="n"/>
      <c r="BW223" s="12" t="n"/>
      <c r="BX223" s="12" t="n"/>
      <c r="BY223" s="12" t="n"/>
      <c r="BZ223" s="12" t="n"/>
      <c r="CA223" s="12" t="n"/>
      <c r="CB223" s="12" t="n"/>
      <c r="CC223" s="12" t="n"/>
      <c r="CD223" s="12" t="n"/>
      <c r="CE223" s="12" t="n"/>
      <c r="CF223" s="12" t="n"/>
      <c r="CG223" s="12" t="n"/>
      <c r="CH223" s="12" t="n"/>
      <c r="CI223" s="12" t="n"/>
      <c r="CJ223" s="12" t="n"/>
      <c r="CK223" s="12" t="n"/>
      <c r="CL223" s="12" t="n"/>
      <c r="CM223" s="12" t="n"/>
      <c r="CN223" s="12" t="n"/>
      <c r="CO223" s="12" t="n"/>
      <c r="CP223" s="12" t="n"/>
      <c r="CQ223" s="12" t="n"/>
      <c r="CR223" s="12" t="n"/>
      <c r="CS223" s="12" t="n"/>
      <c r="CT223" s="12" t="n"/>
      <c r="CU223" s="12" t="n"/>
      <c r="CV223" s="12" t="n"/>
      <c r="CW223" s="12" t="n"/>
      <c r="CX223" s="12" t="n"/>
      <c r="CY223" s="12" t="n"/>
    </row>
    <row r="224" hidden="1" outlineLevel="1" ht="12" customHeight="1">
      <c r="C224" s="59" t="inlineStr">
        <is>
          <t>%(Var.)</t>
        </is>
      </c>
      <c r="D224" s="12" t="n"/>
      <c r="E224" s="40" t="n"/>
      <c r="F224" s="40" t="n"/>
      <c r="G224" s="40" t="n"/>
      <c r="H224" s="12" t="n"/>
      <c r="I224" s="40" t="str">
        <f>""</f>
        <v/>
      </c>
      <c r="J224" s="40">
        <f>IF(I223=0,"",J223/I223-1)</f>
        <v>0.0432515337423314</v>
      </c>
      <c r="K224" s="40">
        <f>IF(J223=0,"",K223/J223-1)</f>
        <v>0.0179359012055278</v>
      </c>
      <c r="L224" s="40">
        <f>IF(K223=0,"",L223/K223-1)</f>
        <v>0.0372616984402079</v>
      </c>
      <c r="M224" s="12">
        <f>IF(L223=0,"",M223/L223-1)</f>
        <v>0</v>
      </c>
      <c r="N224" s="40">
        <f>IF(M223=0,"",N223/M223-1)</f>
        <v>0.0724032302979671</v>
      </c>
      <c r="O224" s="40">
        <f>IF(N223=0,"",O223/N223-1)</f>
        <v>-0.0218125162295507</v>
      </c>
      <c r="P224" s="40">
        <f>IF(O223=0,"",P223/O223-1)</f>
        <v>0.00079638970002649</v>
      </c>
      <c r="Q224" s="40">
        <f>IF(P223=0,"",Q223/P223-1)</f>
        <v>0.0700265251989389</v>
      </c>
      <c r="R224" s="12">
        <f>IF(Q223=0,"",R223/Q223-1)</f>
        <v>0</v>
      </c>
      <c r="S224" s="40">
        <f>IF(R223=0,"",S223/R223-1)</f>
        <v>0.040406544372831</v>
      </c>
      <c r="T224" s="40">
        <f>IF(S223=0,"",T223/S223-1)</f>
        <v>-0.0207290922087205</v>
      </c>
      <c r="U224" s="40">
        <f>IF(T223=0,"",U223/T223-1)</f>
        <v>0.0121654501216546</v>
      </c>
      <c r="V224" s="40">
        <f>IF(U223=0,"",V223/U223-1)</f>
        <v>0.0754807692307693</v>
      </c>
      <c r="W224" s="12">
        <f>IF(V223=0,"",W223/V223-1)</f>
        <v>0</v>
      </c>
      <c r="X224" s="40">
        <f>IF(W223=0,"",X223/W223-1)</f>
        <v>0.00603486812695575</v>
      </c>
      <c r="Y224" s="40">
        <f>IF(X223=0,"",Y223/X223-1)</f>
        <v>-0.0222172850477672</v>
      </c>
      <c r="Z224" s="40">
        <f>IF(Y223=0,"",Z223/Y223-1)</f>
        <v>0.0197682344921608</v>
      </c>
      <c r="AA224" s="40">
        <f>IF(Z223=0,"",AA223/Z223-1)</f>
        <v>0.0144830659536541</v>
      </c>
      <c r="AB224" s="12">
        <f>IF(AA223=0,"",AB223/AA223-1)</f>
        <v>0</v>
      </c>
      <c r="AC224" s="40">
        <f>IF(AB223=0,"",AC223/AB223-1)</f>
        <v>0.060619371842741</v>
      </c>
      <c r="AD224" s="40">
        <f>IF(AC223=0,"",AD223/AC223-1)</f>
        <v>0.0762062538827915</v>
      </c>
      <c r="AE224" s="40">
        <f>IF(AD223=0,"",AE223/AD223-1)</f>
        <v>0.0329035982297479</v>
      </c>
      <c r="AF224" s="41">
        <f>IF(AE223=0,"",AF223/AE223-1)</f>
        <v>-0.051602086438152</v>
      </c>
      <c r="AG224" s="12">
        <f>IF(AF223=0,"",AG223/AF223-1)</f>
        <v>0</v>
      </c>
      <c r="AH224" s="41">
        <f>IF(AG223=0,"",AH223/AG223-1)</f>
        <v>0.0312315851502651</v>
      </c>
      <c r="AI224" s="41">
        <f>IF(AH223=0,"",AI223/AH223-1)</f>
        <v>-0.127238095238095</v>
      </c>
      <c r="AJ224" s="41">
        <f>IF(AI223=0,"",AJ223/AI223-1)</f>
        <v>0</v>
      </c>
      <c r="AK224" s="41">
        <f>IF(AJ223=0,"",AK223/AJ223-1)</f>
        <v>0</v>
      </c>
      <c r="AL224" s="12">
        <f>IF(AK223=0,"",AL223/AK223-1)</f>
        <v>0</v>
      </c>
      <c r="AM224" s="41">
        <f>IF(AL223=0,"",AM223/AL223-1)</f>
        <v>0</v>
      </c>
      <c r="AN224" s="41">
        <f>IF(AM223=0,"",AN223/AM223-1)</f>
        <v>0</v>
      </c>
      <c r="AO224" s="41">
        <f>IF(AN223=0,"",AO223/AN223-1)</f>
        <v>0</v>
      </c>
      <c r="AP224" s="41">
        <f>IF(AO223=0,"",AP223/AO223-1)</f>
        <v>0</v>
      </c>
      <c r="AQ224" s="12">
        <f>IF(AP223=0,"",AQ223/AP223-1)</f>
        <v>0</v>
      </c>
      <c r="AR224" s="41">
        <f>IF(AQ223=0,"",AR223/AQ223-1)</f>
        <v>0</v>
      </c>
      <c r="AS224" s="41">
        <f>IF(AR223=0,"",AS223/AR223-1)</f>
        <v>0</v>
      </c>
      <c r="AT224" s="41">
        <f>IF(AS223=0,"",AT223/AS223-1)</f>
        <v>0</v>
      </c>
      <c r="AU224" s="41">
        <f>IF(AT223=0,"",AU223/AT223-1)</f>
        <v>0</v>
      </c>
      <c r="AV224" s="12">
        <f>IF(AU223=0,"",AV223/AU223-1)</f>
        <v>0</v>
      </c>
      <c r="AW224" s="41">
        <f>IF(AV223=0,"",AW223/AV223-1)</f>
        <v>0</v>
      </c>
      <c r="AX224" s="41">
        <f>IF(AW223=0,"",AX223/AW223-1)</f>
        <v>0</v>
      </c>
      <c r="AY224" s="41">
        <f>IF(AX223=0,"",AY223/AX223-1)</f>
        <v>0</v>
      </c>
      <c r="AZ224" s="41">
        <f>IF(AY223=0,"",AZ223/AY223-1)</f>
        <v>0</v>
      </c>
      <c r="BA224" s="12">
        <f>IF(AZ223=0,"",BA223/AZ223-1)</f>
        <v>0</v>
      </c>
      <c r="BB224" s="41">
        <f>IF(BA223=0,"",BB223/BA223-1)</f>
        <v>0</v>
      </c>
      <c r="BC224" s="41">
        <f>IF(BB223=0,"",BC223/BB223-1)</f>
        <v>0</v>
      </c>
      <c r="BD224" s="41">
        <f>IF(BC223=0,"",BD223/BC223-1)</f>
        <v>0</v>
      </c>
      <c r="BE224" s="41">
        <f>IF(BD223=0,"",BE223/BD223-1)</f>
        <v>0</v>
      </c>
      <c r="BF224" s="12">
        <f>IF(BE223=0,"",BF223/BE223-1)</f>
        <v>0</v>
      </c>
      <c r="BG224" s="41" t="n"/>
      <c r="BH224" s="41" t="n"/>
      <c r="BI224" s="41" t="n"/>
      <c r="BJ224" s="41" t="n"/>
      <c r="BK224" s="12" t="n"/>
      <c r="BL224" s="41" t="n"/>
      <c r="BM224" s="41" t="n"/>
      <c r="BN224" s="41" t="n"/>
      <c r="BO224" s="41" t="n"/>
      <c r="BP224" s="12" t="n"/>
      <c r="BQ224" s="41" t="n"/>
      <c r="BR224" s="41" t="n"/>
      <c r="BS224" s="41" t="n"/>
      <c r="BT224" s="41" t="n"/>
      <c r="BU224" s="12" t="n"/>
      <c r="BV224" s="41" t="n"/>
      <c r="BW224" s="41" t="n"/>
      <c r="BX224" s="41" t="n"/>
      <c r="BY224" s="41" t="n"/>
      <c r="BZ224" s="12" t="n"/>
      <c r="CA224" s="41" t="n"/>
      <c r="CB224" s="41" t="n"/>
      <c r="CC224" s="41" t="n"/>
      <c r="CD224" s="41" t="n"/>
      <c r="CE224" s="12" t="n"/>
      <c r="CF224" s="41" t="n"/>
      <c r="CG224" s="41" t="n"/>
      <c r="CH224" s="41" t="n"/>
      <c r="CI224" s="41" t="n"/>
      <c r="CJ224" s="12" t="n"/>
      <c r="CK224" s="41" t="n"/>
      <c r="CL224" s="41" t="n"/>
      <c r="CM224" s="41" t="n"/>
      <c r="CN224" s="41" t="n"/>
      <c r="CO224" s="12" t="n"/>
      <c r="CP224" s="41" t="n"/>
      <c r="CQ224" s="41" t="n"/>
      <c r="CR224" s="41" t="n"/>
      <c r="CS224" s="41" t="n"/>
      <c r="CT224" s="12" t="n"/>
      <c r="CU224" s="41" t="n"/>
      <c r="CV224" s="41" t="n"/>
      <c r="CW224" s="41" t="n"/>
      <c r="CX224" s="41" t="n"/>
      <c r="CY224" s="12" t="n"/>
    </row>
    <row r="225" hidden="1" outlineLevel="1" ht="12" customHeight="1">
      <c r="C225" s="59" t="n"/>
      <c r="D225" s="12" t="n"/>
      <c r="E225" s="12" t="n"/>
      <c r="F225" s="12" t="n"/>
      <c r="G225" s="12" t="n"/>
      <c r="H225" s="12" t="n"/>
      <c r="I225" s="12" t="n"/>
      <c r="J225" s="12" t="n"/>
      <c r="K225" s="12" t="n"/>
      <c r="L225" s="12" t="n"/>
      <c r="M225" s="12" t="n"/>
      <c r="N225" s="12" t="n"/>
      <c r="O225" s="12" t="n"/>
      <c r="P225" s="12" t="n"/>
      <c r="Q225" s="12" t="n"/>
      <c r="R225" s="12" t="n"/>
      <c r="S225" s="12" t="n"/>
      <c r="T225" s="12" t="n"/>
      <c r="U225" s="12" t="n"/>
      <c r="V225" s="12" t="n"/>
      <c r="W225" s="12" t="n"/>
      <c r="X225" s="12" t="n"/>
      <c r="Y225" s="12" t="n"/>
      <c r="Z225" s="12" t="n"/>
      <c r="AA225" s="12" t="n"/>
      <c r="AB225" s="12" t="n"/>
      <c r="AC225" s="12" t="n"/>
      <c r="AD225" s="12" t="n"/>
      <c r="AE225" s="12" t="n"/>
      <c r="AF225" s="12" t="n"/>
      <c r="AG225" s="12" t="n"/>
      <c r="AH225" s="12" t="n"/>
      <c r="AI225" s="12" t="n"/>
      <c r="AJ225" s="12" t="n"/>
      <c r="AK225" s="12" t="n"/>
      <c r="AL225" s="12" t="n"/>
      <c r="AM225" s="12" t="n"/>
      <c r="AN225" s="12" t="n"/>
      <c r="AO225" s="12" t="n"/>
      <c r="AP225" s="12" t="n"/>
      <c r="AQ225" s="12" t="n"/>
      <c r="AR225" s="12" t="n"/>
      <c r="AS225" s="12" t="n"/>
      <c r="AT225" s="12" t="n"/>
      <c r="AU225" s="12" t="n"/>
      <c r="AV225" s="12" t="n"/>
      <c r="AW225" s="12" t="n"/>
      <c r="AX225" s="12" t="n"/>
      <c r="AY225" s="12" t="n"/>
      <c r="AZ225" s="12" t="n"/>
      <c r="BA225" s="12" t="n"/>
      <c r="BB225" s="12" t="n"/>
      <c r="BC225" s="12" t="n"/>
      <c r="BD225" s="12" t="n"/>
      <c r="BE225" s="12" t="n"/>
      <c r="BF225" s="12" t="n"/>
      <c r="BG225" s="12" t="n"/>
      <c r="BH225" s="12" t="n"/>
      <c r="BI225" s="12" t="n"/>
      <c r="BJ225" s="12" t="n"/>
      <c r="BK225" s="12" t="n"/>
      <c r="BL225" s="12" t="n"/>
      <c r="BM225" s="12" t="n"/>
      <c r="BN225" s="12" t="n"/>
      <c r="BO225" s="12" t="n"/>
      <c r="BP225" s="12" t="n"/>
      <c r="BQ225" s="12" t="n"/>
      <c r="BR225" s="12" t="n"/>
      <c r="BS225" s="12" t="n"/>
      <c r="BT225" s="12" t="n"/>
      <c r="BU225" s="12" t="n"/>
      <c r="BV225" s="12" t="n"/>
      <c r="BW225" s="12" t="n"/>
      <c r="BX225" s="12" t="n"/>
      <c r="BY225" s="12" t="n"/>
      <c r="BZ225" s="12" t="n"/>
      <c r="CA225" s="12" t="n"/>
      <c r="CB225" s="12" t="n"/>
      <c r="CC225" s="12" t="n"/>
      <c r="CD225" s="12" t="n"/>
      <c r="CE225" s="12" t="n"/>
      <c r="CF225" s="12" t="n"/>
      <c r="CG225" s="12" t="n"/>
      <c r="CH225" s="12" t="n"/>
      <c r="CI225" s="12" t="n"/>
      <c r="CJ225" s="12" t="n"/>
      <c r="CK225" s="12" t="n"/>
      <c r="CL225" s="12" t="n"/>
      <c r="CM225" s="12" t="n"/>
      <c r="CN225" s="12" t="n"/>
      <c r="CO225" s="12" t="n"/>
      <c r="CP225" s="12" t="n"/>
      <c r="CQ225" s="12" t="n"/>
      <c r="CR225" s="12" t="n"/>
      <c r="CS225" s="12" t="n"/>
      <c r="CT225" s="12" t="n"/>
      <c r="CU225" s="12" t="n"/>
      <c r="CV225" s="12" t="n"/>
      <c r="CW225" s="12" t="n"/>
      <c r="CX225" s="12" t="n"/>
      <c r="CY225" s="12" t="n"/>
    </row>
    <row r="226" hidden="1" outlineLevel="1">
      <c r="C226" s="57" t="inlineStr">
        <is>
          <t>Contas a pagar pela aquisição de controladas</t>
        </is>
      </c>
      <c r="D226" s="11" t="n"/>
      <c r="E226" s="11" t="n"/>
      <c r="F226" s="11" t="n"/>
      <c r="G226" s="11" t="n"/>
      <c r="H226" s="12" t="n"/>
      <c r="I226" s="11" t="n"/>
      <c r="J226" s="11" t="n"/>
      <c r="K226" s="11" t="n"/>
      <c r="L226" s="11" t="n"/>
      <c r="M226" s="12" t="n"/>
      <c r="N226" s="11" t="n"/>
      <c r="O226" s="11" t="n"/>
      <c r="P226" s="11" t="n"/>
      <c r="Q226" s="11" t="n"/>
      <c r="R226" s="12" t="n"/>
      <c r="S226" s="11" t="n"/>
      <c r="T226" s="11" t="n"/>
      <c r="U226" s="11" t="n"/>
      <c r="V226" s="11" t="n"/>
      <c r="W226" s="12" t="n"/>
      <c r="X226" s="11" t="n"/>
      <c r="Y226" s="11" t="n"/>
      <c r="Z226" s="11" t="n"/>
      <c r="AA226" s="11" t="n"/>
      <c r="AB226" s="12" t="n"/>
      <c r="AC226" s="11" t="n"/>
      <c r="AD226" s="11" t="n"/>
      <c r="AE226" s="11" t="n"/>
      <c r="AF226" s="11" t="n"/>
      <c r="AG226" s="12" t="n"/>
      <c r="AH226" s="12" t="n"/>
      <c r="AI226" s="12" t="n"/>
      <c r="AJ226" s="12" t="n"/>
      <c r="AK226" s="12" t="n"/>
      <c r="AL226" s="12" t="n"/>
      <c r="AM226" s="12" t="n"/>
      <c r="AN226" s="12" t="n"/>
      <c r="AO226" s="12" t="n"/>
      <c r="AP226" s="12" t="n"/>
      <c r="AQ226" s="12" t="n"/>
      <c r="AR226" s="12" t="n"/>
      <c r="AS226" s="12" t="n"/>
      <c r="AT226" s="12" t="n"/>
      <c r="AU226" s="12" t="n"/>
      <c r="AV226" s="12" t="n"/>
      <c r="AW226" s="12" t="n"/>
      <c r="AX226" s="12" t="n"/>
      <c r="AY226" s="12" t="n"/>
      <c r="AZ226" s="12" t="n"/>
      <c r="BA226" s="12" t="n"/>
      <c r="BB226" s="12" t="n"/>
      <c r="BC226" s="12" t="n"/>
      <c r="BD226" s="12" t="n"/>
      <c r="BE226" s="12" t="n"/>
      <c r="BF226" s="12" t="n"/>
      <c r="BG226" s="12" t="n"/>
      <c r="BH226" s="12" t="n"/>
      <c r="BI226" s="12" t="n"/>
      <c r="BJ226" s="12" t="n"/>
      <c r="BK226" s="12" t="n"/>
      <c r="BL226" s="12" t="n"/>
      <c r="BM226" s="12" t="n"/>
      <c r="BN226" s="12" t="n"/>
      <c r="BO226" s="12" t="n"/>
      <c r="BP226" s="12" t="n"/>
      <c r="BQ226" s="12" t="n"/>
      <c r="BR226" s="12" t="n"/>
      <c r="BS226" s="12" t="n"/>
      <c r="BT226" s="12" t="n"/>
      <c r="BU226" s="12" t="n"/>
      <c r="BV226" s="12" t="n"/>
      <c r="BW226" s="12" t="n"/>
      <c r="BX226" s="12" t="n"/>
      <c r="BY226" s="12" t="n"/>
      <c r="BZ226" s="12" t="n"/>
      <c r="CA226" s="12" t="n"/>
      <c r="CB226" s="12" t="n"/>
      <c r="CC226" s="12" t="n"/>
      <c r="CD226" s="12" t="n"/>
      <c r="CE226" s="12" t="n"/>
      <c r="CF226" s="12" t="n"/>
      <c r="CG226" s="12" t="n"/>
      <c r="CH226" s="12" t="n"/>
      <c r="CI226" s="12" t="n"/>
      <c r="CJ226" s="12" t="n"/>
      <c r="CK226" s="12" t="n"/>
      <c r="CL226" s="12" t="n"/>
      <c r="CM226" s="12" t="n"/>
      <c r="CN226" s="12" t="n"/>
      <c r="CO226" s="12" t="n"/>
      <c r="CP226" s="12" t="n"/>
      <c r="CQ226" s="12" t="n"/>
      <c r="CR226" s="12" t="n"/>
      <c r="CS226" s="12" t="n"/>
      <c r="CT226" s="12" t="n"/>
      <c r="CU226" s="12" t="n"/>
      <c r="CV226" s="12" t="n"/>
      <c r="CW226" s="12" t="n"/>
      <c r="CX226" s="12" t="n"/>
      <c r="CY226" s="12" t="n"/>
    </row>
    <row r="227" hidden="1" outlineLevel="1">
      <c r="C227" s="57" t="inlineStr">
        <is>
          <t xml:space="preserve">Outras Obrigações </t>
        </is>
      </c>
      <c r="D227" s="11" t="n"/>
      <c r="E227" s="11" t="n"/>
      <c r="F227" s="11" t="n"/>
      <c r="G227" s="11" t="n"/>
      <c r="H227" s="12" t="n"/>
      <c r="I227" s="11" t="n"/>
      <c r="J227" s="11" t="n"/>
      <c r="K227" s="11" t="n"/>
      <c r="L227" s="11" t="n"/>
      <c r="M227" s="12" t="n"/>
      <c r="N227" s="11" t="n"/>
      <c r="O227" s="11" t="n"/>
      <c r="P227" s="11" t="n"/>
      <c r="Q227" s="11" t="n"/>
      <c r="R227" s="12" t="n"/>
      <c r="S227" s="11" t="n"/>
      <c r="T227" s="11" t="n"/>
      <c r="U227" s="11" t="n"/>
      <c r="V227" s="11" t="n"/>
      <c r="W227" s="12" t="n"/>
      <c r="X227" s="11" t="n"/>
      <c r="Y227" s="11" t="n"/>
      <c r="Z227" s="11" t="n"/>
      <c r="AA227" s="11" t="n"/>
      <c r="AB227" s="12" t="n"/>
      <c r="AC227" s="11" t="n"/>
      <c r="AD227" s="11" t="n"/>
      <c r="AE227" s="11" t="n"/>
      <c r="AF227" s="11" t="n"/>
      <c r="AG227" s="12" t="n"/>
      <c r="AH227" s="12" t="n"/>
      <c r="AI227" s="12" t="n"/>
      <c r="AJ227" s="12" t="n"/>
      <c r="AK227" s="12" t="n"/>
      <c r="AL227" s="12" t="n"/>
      <c r="AM227" s="12" t="n"/>
      <c r="AN227" s="12" t="n"/>
      <c r="AO227" s="12" t="n"/>
      <c r="AP227" s="12" t="n"/>
      <c r="AQ227" s="12" t="n"/>
      <c r="AR227" s="12" t="n"/>
      <c r="AS227" s="12" t="n"/>
      <c r="AT227" s="12" t="n"/>
      <c r="AU227" s="12" t="n"/>
      <c r="AV227" s="12" t="n"/>
      <c r="AW227" s="12" t="n"/>
      <c r="AX227" s="12" t="n"/>
      <c r="AY227" s="12" t="n"/>
      <c r="AZ227" s="12" t="n"/>
      <c r="BA227" s="12" t="n"/>
      <c r="BB227" s="12" t="n"/>
      <c r="BC227" s="12" t="n"/>
      <c r="BD227" s="12" t="n"/>
      <c r="BE227" s="12" t="n"/>
      <c r="BF227" s="12" t="n"/>
      <c r="BG227" s="12" t="n"/>
      <c r="BH227" s="12" t="n"/>
      <c r="BI227" s="12" t="n"/>
      <c r="BJ227" s="12" t="n"/>
      <c r="BK227" s="12" t="n"/>
      <c r="BL227" s="12" t="n"/>
      <c r="BM227" s="12" t="n"/>
      <c r="BN227" s="12" t="n"/>
      <c r="BO227" s="12" t="n"/>
      <c r="BP227" s="12" t="n"/>
      <c r="BQ227" s="12" t="n"/>
      <c r="BR227" s="12" t="n"/>
      <c r="BS227" s="12" t="n"/>
      <c r="BT227" s="12" t="n"/>
      <c r="BU227" s="12" t="n"/>
      <c r="BV227" s="12" t="n"/>
      <c r="BW227" s="12" t="n"/>
      <c r="BX227" s="12" t="n"/>
      <c r="BY227" s="12" t="n"/>
      <c r="BZ227" s="12" t="n"/>
      <c r="CA227" s="12" t="n"/>
      <c r="CB227" s="12" t="n"/>
      <c r="CC227" s="12" t="n"/>
      <c r="CD227" s="12" t="n"/>
      <c r="CE227" s="12" t="n"/>
      <c r="CF227" s="12" t="n"/>
      <c r="CG227" s="12" t="n"/>
      <c r="CH227" s="12" t="n"/>
      <c r="CI227" s="12" t="n"/>
      <c r="CJ227" s="12" t="n"/>
      <c r="CK227" s="12" t="n"/>
      <c r="CL227" s="12" t="n"/>
      <c r="CM227" s="12" t="n"/>
      <c r="CN227" s="12" t="n"/>
      <c r="CO227" s="12" t="n"/>
      <c r="CP227" s="12" t="n"/>
      <c r="CQ227" s="12" t="n"/>
      <c r="CR227" s="12" t="n"/>
      <c r="CS227" s="12" t="n"/>
      <c r="CT227" s="12" t="n"/>
      <c r="CU227" s="12" t="n"/>
      <c r="CV227" s="12" t="n"/>
      <c r="CW227" s="12" t="n"/>
      <c r="CX227" s="12" t="n"/>
      <c r="CY227" s="12" t="n"/>
    </row>
    <row r="228" hidden="1" outlineLevel="1">
      <c r="C228" s="57" t="inlineStr">
        <is>
          <t xml:space="preserve">Provisão de Risco Cíveis, Trabalhistas e Tributários </t>
        </is>
      </c>
      <c r="D228" s="11" t="n"/>
      <c r="E228" s="11" t="n"/>
      <c r="F228" s="11" t="n"/>
      <c r="G228" s="11" t="n"/>
      <c r="H228" s="12" t="n"/>
      <c r="I228" s="11" t="n"/>
      <c r="J228" s="11" t="n"/>
      <c r="K228" s="11" t="n"/>
      <c r="L228" s="11" t="n"/>
      <c r="M228" s="12" t="n"/>
      <c r="N228" s="11" t="n"/>
      <c r="O228" s="11" t="n"/>
      <c r="P228" s="11" t="n"/>
      <c r="Q228" s="11" t="n"/>
      <c r="R228" s="12" t="n"/>
      <c r="S228" s="11" t="n"/>
      <c r="T228" s="11" t="n"/>
      <c r="U228" s="11" t="n"/>
      <c r="V228" s="11" t="n"/>
      <c r="W228" s="12" t="n"/>
      <c r="X228" s="11" t="n"/>
      <c r="Y228" s="11" t="n"/>
      <c r="Z228" s="11" t="n"/>
      <c r="AA228" s="11" t="n"/>
      <c r="AB228" s="12" t="n"/>
      <c r="AC228" s="11" t="n"/>
      <c r="AD228" s="11" t="n"/>
      <c r="AE228" s="11" t="n"/>
      <c r="AF228" s="11" t="n"/>
      <c r="AG228" s="12" t="n"/>
      <c r="AH228" s="12" t="n"/>
      <c r="AI228" s="12" t="n"/>
      <c r="AJ228" s="12" t="n"/>
      <c r="AK228" s="12" t="n"/>
      <c r="AL228" s="12" t="n"/>
      <c r="AM228" s="12" t="n"/>
      <c r="AN228" s="12" t="n"/>
      <c r="AO228" s="12" t="n"/>
      <c r="AP228" s="12" t="n"/>
      <c r="AQ228" s="12" t="n"/>
      <c r="AR228" s="12" t="n"/>
      <c r="AS228" s="12" t="n"/>
      <c r="AT228" s="12" t="n"/>
      <c r="AU228" s="12" t="n"/>
      <c r="AV228" s="12" t="n"/>
      <c r="AW228" s="12" t="n"/>
      <c r="AX228" s="12" t="n"/>
      <c r="AY228" s="12" t="n"/>
      <c r="AZ228" s="12" t="n"/>
      <c r="BA228" s="12" t="n"/>
      <c r="BB228" s="12" t="n"/>
      <c r="BC228" s="12" t="n"/>
      <c r="BD228" s="12" t="n"/>
      <c r="BE228" s="12" t="n"/>
      <c r="BF228" s="12" t="n"/>
      <c r="BG228" s="12" t="n"/>
      <c r="BH228" s="12" t="n"/>
      <c r="BI228" s="12" t="n"/>
      <c r="BJ228" s="12" t="n"/>
      <c r="BK228" s="12" t="n"/>
      <c r="BL228" s="12" t="n"/>
      <c r="BM228" s="12" t="n"/>
      <c r="BN228" s="12" t="n"/>
      <c r="BO228" s="12" t="n"/>
      <c r="BP228" s="12" t="n"/>
      <c r="BQ228" s="12" t="n"/>
      <c r="BR228" s="12" t="n"/>
      <c r="BS228" s="12" t="n"/>
      <c r="BT228" s="12" t="n"/>
      <c r="BU228" s="12" t="n"/>
      <c r="BV228" s="12" t="n"/>
      <c r="BW228" s="12" t="n"/>
      <c r="BX228" s="12" t="n"/>
      <c r="BY228" s="12" t="n"/>
      <c r="BZ228" s="12" t="n"/>
      <c r="CA228" s="12" t="n"/>
      <c r="CB228" s="12" t="n"/>
      <c r="CC228" s="12" t="n"/>
      <c r="CD228" s="12" t="n"/>
      <c r="CE228" s="12" t="n"/>
      <c r="CF228" s="12" t="n"/>
      <c r="CG228" s="12" t="n"/>
      <c r="CH228" s="12" t="n"/>
      <c r="CI228" s="12" t="n"/>
      <c r="CJ228" s="12" t="n"/>
      <c r="CK228" s="12" t="n"/>
      <c r="CL228" s="12" t="n"/>
      <c r="CM228" s="12" t="n"/>
      <c r="CN228" s="12" t="n"/>
      <c r="CO228" s="12" t="n"/>
      <c r="CP228" s="12" t="n"/>
      <c r="CQ228" s="12" t="n"/>
      <c r="CR228" s="12" t="n"/>
      <c r="CS228" s="12" t="n"/>
      <c r="CT228" s="12" t="n"/>
      <c r="CU228" s="12" t="n"/>
      <c r="CV228" s="12" t="n"/>
      <c r="CW228" s="12" t="n"/>
      <c r="CX228" s="12" t="n"/>
      <c r="CY228" s="12" t="n"/>
    </row>
    <row r="229" hidden="1" outlineLevel="1">
      <c r="C229" s="57" t="n"/>
      <c r="D229" s="12" t="n"/>
      <c r="E229" s="12" t="n"/>
      <c r="F229" s="12" t="n"/>
      <c r="G229" s="12" t="n"/>
      <c r="H229" s="12" t="n"/>
      <c r="I229" s="12" t="n"/>
      <c r="J229" s="12" t="n"/>
      <c r="K229" s="12" t="n"/>
      <c r="L229" s="12" t="n"/>
      <c r="M229" s="12" t="n"/>
      <c r="N229" s="12" t="n"/>
      <c r="O229" s="12" t="n"/>
      <c r="P229" s="12" t="n"/>
      <c r="Q229" s="12" t="n"/>
      <c r="R229" s="12" t="n"/>
      <c r="S229" s="12" t="n"/>
      <c r="T229" s="12" t="n"/>
      <c r="U229" s="12" t="n"/>
      <c r="V229" s="12" t="n"/>
      <c r="W229" s="12" t="n"/>
      <c r="X229" s="12" t="n"/>
      <c r="Y229" s="12" t="n"/>
      <c r="Z229" s="12" t="n"/>
      <c r="AA229" s="12" t="n"/>
      <c r="AB229" s="12" t="n"/>
      <c r="AC229" s="12" t="n"/>
      <c r="AD229" s="12" t="n"/>
      <c r="AE229" s="12" t="n"/>
      <c r="AF229" s="12" t="n"/>
      <c r="AG229" s="12" t="n"/>
      <c r="AH229" s="12" t="n"/>
      <c r="AI229" s="12" t="n"/>
      <c r="AJ229" s="12" t="n"/>
      <c r="AK229" s="12" t="n"/>
      <c r="AL229" s="12" t="n"/>
      <c r="AM229" s="12" t="n"/>
      <c r="AN229" s="12" t="n"/>
      <c r="AO229" s="12" t="n"/>
      <c r="AP229" s="12" t="n"/>
      <c r="AQ229" s="12" t="n"/>
      <c r="AR229" s="12" t="n"/>
      <c r="AS229" s="12" t="n"/>
      <c r="AT229" s="12" t="n"/>
      <c r="AU229" s="12" t="n"/>
      <c r="AV229" s="12" t="n"/>
      <c r="AW229" s="12" t="n"/>
      <c r="AX229" s="12" t="n"/>
      <c r="AY229" s="12" t="n"/>
      <c r="AZ229" s="12" t="n"/>
      <c r="BA229" s="12" t="n"/>
      <c r="BB229" s="12" t="n"/>
      <c r="BC229" s="12" t="n"/>
      <c r="BD229" s="12" t="n"/>
      <c r="BE229" s="12" t="n"/>
      <c r="BF229" s="12" t="n"/>
      <c r="BG229" s="12" t="n"/>
      <c r="BH229" s="12" t="n"/>
      <c r="BI229" s="12" t="n"/>
      <c r="BJ229" s="12" t="n"/>
      <c r="BK229" s="12" t="n"/>
      <c r="BL229" s="12" t="n"/>
      <c r="BM229" s="12" t="n"/>
      <c r="BN229" s="12" t="n"/>
      <c r="BO229" s="12" t="n"/>
      <c r="BP229" s="12" t="n"/>
      <c r="BQ229" s="12" t="n"/>
      <c r="BR229" s="12" t="n"/>
      <c r="BS229" s="12" t="n"/>
      <c r="BT229" s="12" t="n"/>
      <c r="BU229" s="12" t="n"/>
      <c r="BV229" s="12" t="n"/>
      <c r="BW229" s="12" t="n"/>
      <c r="BX229" s="12" t="n"/>
      <c r="BY229" s="12" t="n"/>
      <c r="BZ229" s="12" t="n"/>
      <c r="CA229" s="12" t="n"/>
      <c r="CB229" s="12" t="n"/>
      <c r="CC229" s="12" t="n"/>
      <c r="CD229" s="12" t="n"/>
      <c r="CE229" s="12" t="n"/>
      <c r="CF229" s="12" t="n"/>
      <c r="CG229" s="12" t="n"/>
      <c r="CH229" s="12" t="n"/>
      <c r="CI229" s="12" t="n"/>
      <c r="CJ229" s="12" t="n"/>
      <c r="CK229" s="12" t="n"/>
      <c r="CL229" s="12" t="n"/>
      <c r="CM229" s="12" t="n"/>
      <c r="CN229" s="12" t="n"/>
      <c r="CO229" s="12" t="n"/>
      <c r="CP229" s="12" t="n"/>
      <c r="CQ229" s="12" t="n"/>
      <c r="CR229" s="12" t="n"/>
      <c r="CS229" s="12" t="n"/>
      <c r="CT229" s="12" t="n"/>
      <c r="CU229" s="12" t="n"/>
      <c r="CV229" s="12" t="n"/>
      <c r="CW229" s="12" t="n"/>
      <c r="CX229" s="12" t="n"/>
      <c r="CY229" s="12" t="n"/>
    </row>
    <row r="230" collapsed="1" customFormat="1" s="32">
      <c r="A230" s="30" t="n"/>
      <c r="B230" s="30" t="n"/>
      <c r="C230" s="65" t="inlineStr">
        <is>
          <t>Total Liabilities</t>
        </is>
      </c>
      <c r="D230" s="35" t="n"/>
      <c r="E230" s="35" t="n"/>
      <c r="F230" s="35" t="n"/>
      <c r="G230" s="35" t="n"/>
      <c r="H230" s="35" t="n"/>
      <c r="I230" s="35">
        <f>SUM(I181+I185+I187+I188+I195+I196+I197+I200+I218+I221+I222+I223)</f>
        <v>28347</v>
      </c>
      <c r="J230" s="35">
        <f>SUM(J181+J185+J187+J188+J195+J196+J197+J200+J218+J221+J222+J223)</f>
        <v>28342</v>
      </c>
      <c r="K230" s="35">
        <f>SUM(K181+K185+K187+K188+K195+K196+K197+K200+K218+K221+K222+K223)</f>
        <v>28608</v>
      </c>
      <c r="L230" s="35">
        <f>SUM(L181+L185+L187+L188+L195+L196+L197+L200+L218+L221+L222+L223)</f>
        <v>30257</v>
      </c>
      <c r="M230" s="35">
        <f>SUM(M181,M185,M187,M188,M195,M196,M200,M197,M218,M221,M222,M223)</f>
        <v>30257</v>
      </c>
      <c r="N230" s="35">
        <f>SUM(N181+N185+N187+N188+N195+N196+N197+N200+N218+N221+N222+N223)</f>
        <v>30033</v>
      </c>
      <c r="O230" s="35">
        <f>SUM(O181+O185+O187+O188+O195+O196+O197+O200+O218+O221+O222+O223)</f>
        <v>29969</v>
      </c>
      <c r="P230" s="35">
        <f>SUM(P181+P185+P187+P188+P195+P196+P197+P200+P218+P221+P222+P223)</f>
        <v>31169</v>
      </c>
      <c r="Q230" s="35">
        <f>SUM(Q181+Q185+Q187+Q188+Q195+Q196+Q197+Q200+Q218+Q221+Q222+Q223)</f>
        <v>32347</v>
      </c>
      <c r="R230" s="35">
        <f>SUM(R181,R185,R187,R188,R195,R196,R200,R197,R218,R221,R222,R223)</f>
        <v>32347</v>
      </c>
      <c r="S230" s="35">
        <f>SUM(S181+S185+S187+S188+S195+S196+S197+S200+S218+S221+S222+S223)</f>
        <v>33529</v>
      </c>
      <c r="T230" s="35">
        <f>SUM(T181+T185+T187+T188+T195+T196+T197+T200+T218+T221+T222+T223)</f>
        <v>33425</v>
      </c>
      <c r="U230" s="35">
        <f>SUM(U181+U185+U187+U188+U195+U196+U197+U200+U218+U221+U222+U223)</f>
        <v>33293</v>
      </c>
      <c r="V230" s="35">
        <f>SUM(V181+V185+V187+V188+V195+V196+V197+V200+V218+V221+V222+V223)</f>
        <v>35451</v>
      </c>
      <c r="W230" s="35">
        <f>SUM(W181,W185,W187,W188,W195,W196,W200,W197,W218,W221,W222,W223)</f>
        <v>35451</v>
      </c>
      <c r="X230" s="35">
        <f>SUM(X181+X185+X187+X188+X195+X196+X197+X200+X218+X221+X222+X223)</f>
        <v>35294</v>
      </c>
      <c r="Y230" s="35">
        <f>SUM(Y181+Y185+Y187+Y188+Y195+Y196+Y197+Y200+Y218+Y221+Y222+Y223)</f>
        <v>34851</v>
      </c>
      <c r="Z230" s="35">
        <f>SUM(Z181+Z185+Z187+Z188+Z195+Z196+Z197+Z200+Z218+Z221+Z222+Z223)</f>
        <v>39739</v>
      </c>
      <c r="AA230" s="35">
        <f>SUM(AA181+AA185+AA187+AA188+AA195+AA196+AA197+AA200+AA218+AA221+AA222+AA223)</f>
        <v>41566</v>
      </c>
      <c r="AB230" s="35">
        <f>SUM(AB181,AB185,AB187,AB188,AB195,AB196,AB200,AB197,AB218,AB221,AB222,AB223)</f>
        <v>41566</v>
      </c>
      <c r="AC230" s="35">
        <f>SUM(AC181+AC185+AC187+AC188+AC195+AC196+AC197+AC200+AC218+AC221+AC222+AC223)</f>
        <v>41774</v>
      </c>
      <c r="AD230" s="35">
        <f>SUM(AD181+AD185+AD187+AD188+AD195+AD196+AD197+AD200+AD218+AD221+AD222+AD223)</f>
        <v>43557</v>
      </c>
      <c r="AE230" s="35">
        <f>SUM(AE181+AE185+AE187+AE188+AE195+AE196+AE197+AE200+AE218+AE221+AE222+AE223)</f>
        <v>45370</v>
      </c>
      <c r="AF230" s="35">
        <f>SUM(AF181+AF185+AF187+AF188+AF195+AF196+AF197+AF200+AF218+AF221+AF222+AF223)</f>
        <v>46411</v>
      </c>
      <c r="AG230" s="35">
        <f>SUM(AG181,AG185,AG187,AG188,AG195,AG196,AG200,AG197,AG218,AG221,AG222,AG223)</f>
        <v>46411</v>
      </c>
      <c r="AH230" s="35">
        <f>SUM(AH181+AH185+AH187+AH188+AH195+AH196+AH197+AH200+AH218+AH221+AH222+AH223)</f>
        <v>45727</v>
      </c>
      <c r="AI230" s="35">
        <f>SUM(AI181+AI185+AI187+AI188+AI195+AI196+AI197+AI200+AI218+AI221+AI222+AI223)</f>
        <v>52085</v>
      </c>
      <c r="AJ230" s="35">
        <f>SUM(AJ181+AJ185+AJ187+AJ188+AJ195+AJ196+AJ197+AJ200+AJ218+AJ221+AJ222+AJ223)</f>
        <v>53023.3520115566</v>
      </c>
      <c r="AK230" s="35">
        <f>SUM(AK181+AK185+AK187+AK188+AK195+AK196+AK197+AK200+AK218+AK221+AK222+AK223)</f>
        <v>55420.1050397487</v>
      </c>
      <c r="AL230" s="35">
        <f>SUM(AL181,AL185,AL187,AL188,AL195,AL196,AL200,AL197,AL218,AL221,AL222,AL223)</f>
        <v>55420.1050397487</v>
      </c>
      <c r="AM230" s="35">
        <f>SUM(AM181+AM185+AM187+AM188+AM195+AM196+AM197+AM200+AM218+AM221+AM222+AM223)</f>
        <v>58197.400706082</v>
      </c>
      <c r="AN230" s="35">
        <f>SUM(AN181+AN185+AN187+AN188+AN195+AN196+AN197+AN200+AN218+AN221+AN222+AN223)</f>
        <v>61415.6593783374</v>
      </c>
      <c r="AO230" s="35">
        <f>SUM(AO181+AO185+AO187+AO188+AO195+AO196+AO197+AO200+AO218+AO221+AO222+AO223)</f>
        <v>65144.894622211</v>
      </c>
      <c r="AP230" s="35">
        <f>SUM(AP181+AP185+AP187+AP188+AP195+AP196+AP197+AP200+AP218+AP221+AP222+AP223)</f>
        <v>69466.2363540122</v>
      </c>
      <c r="AQ230" s="35">
        <f>SUM(AQ181,AQ185,AQ187,AQ188,AQ195,AQ196,AQ200,AQ197,AQ218,AQ221,AQ222,AQ223)</f>
        <v>69466.2363540122</v>
      </c>
      <c r="AR230" s="35">
        <f>SUM(AR181+AR185+AR187+AR188+AR195+AR196+AR197+AR200+AR218+AR221+AR222+AR223)</f>
        <v>74316.0046490034</v>
      </c>
      <c r="AS230" s="35">
        <f>SUM(AS181+AS185+AS187+AS188+AS195+AS196+AS197+AS200+AS218+AS221+AS222+AS223)</f>
        <v>79911.5423729218</v>
      </c>
      <c r="AT230" s="35">
        <f>SUM(AT181+AT185+AT187+AT188+AT195+AT196+AT197+AT200+AT218+AT221+AT222+AT223)</f>
        <v>86367.529652176</v>
      </c>
      <c r="AU230" s="35">
        <f>SUM(AU181+AU185+AU187+AU188+AU195+AU196+AU197+AU200+AU218+AU221+AU222+AU223)</f>
        <v>93816.2814623425</v>
      </c>
      <c r="AV230" s="35">
        <f>SUM(AV181,AV185,AV187,AV188,AV195,AV196,AV200,AV197,AV218,AV221,AV222,AV223)</f>
        <v>93816.2814623425</v>
      </c>
      <c r="AW230" s="35">
        <f>SUM(AW181+AW185+AW187+AW188+AW195+AW196+AW197+AW200+AW218+AW221+AW222+AW223)</f>
        <v>102131.018006365</v>
      </c>
      <c r="AX230" s="35">
        <f>SUM(AX181+AX185+AX187+AX188+AX195+AX196+AX197+AX200+AX218+AX221+AX222+AX223)</f>
        <v>111682.773152276</v>
      </c>
      <c r="AY230" s="35">
        <f>SUM(AY181+AY185+AY187+AY188+AY195+AY196+AY197+AY200+AY218+AY221+AY222+AY223)</f>
        <v>122655.58340121</v>
      </c>
      <c r="AZ230" s="35">
        <f>SUM(AZ181+AZ185+AZ187+AZ188+AZ195+AZ196+AZ197+AZ200+AZ218+AZ221+AZ222+AZ223)</f>
        <v>135260.865144708</v>
      </c>
      <c r="BA230" s="35">
        <f>SUM(BA181,BA185,BA187,BA188,BA195,BA196,BA200,BA197,BA218,BA221,BA222,BA223)</f>
        <v>135260.865144708</v>
      </c>
      <c r="BB230" s="35">
        <f>SUM(BB181+BB185+BB187+BB188+BB195+BB196+BB197+BB200+BB218+BB221+BB222+BB223)</f>
        <v>149254.823761352</v>
      </c>
      <c r="BC230" s="35">
        <f>SUM(BC181+BC185+BC187+BC188+BC195+BC196+BC197+BC200+BC218+BC221+BC222+BC223)</f>
        <v>165260.753128813</v>
      </c>
      <c r="BD230" s="35">
        <f>SUM(BD181+BD185+BD187+BD188+BD195+BD196+BD197+BD200+BD218+BD221+BD222+BD223)</f>
        <v>183567.922810695</v>
      </c>
      <c r="BE230" s="35">
        <f>SUM(BE181+BE185+BE187+BE188+BE195+BE196+BE197+BE200+BE218+BE221+BE222+BE223)</f>
        <v>204507.19188198</v>
      </c>
      <c r="BF230" s="35">
        <f>SUM(BF181,BF185,BF187,BF188,BF195,BF196,BF200,BF197,BF218,BF221,BF222,BF223)</f>
        <v>204507.19188198</v>
      </c>
      <c r="BG230" s="35" t="n"/>
      <c r="BH230" s="35" t="n"/>
      <c r="BI230" s="35" t="n"/>
      <c r="BJ230" s="35" t="n"/>
      <c r="BK230" s="35" t="n"/>
      <c r="BL230" s="35" t="n"/>
      <c r="BM230" s="35" t="n"/>
      <c r="BN230" s="35" t="n"/>
      <c r="BO230" s="35" t="n"/>
      <c r="BP230" s="35" t="n"/>
      <c r="BQ230" s="35" t="n"/>
      <c r="BR230" s="35" t="n"/>
      <c r="BS230" s="35" t="n"/>
      <c r="BT230" s="35" t="n"/>
      <c r="BU230" s="35" t="n"/>
      <c r="BV230" s="35" t="n"/>
      <c r="BW230" s="35" t="n"/>
      <c r="BX230" s="35" t="n"/>
      <c r="BY230" s="35" t="n"/>
      <c r="BZ230" s="35" t="n"/>
      <c r="CA230" s="35" t="n"/>
      <c r="CB230" s="35" t="n"/>
      <c r="CC230" s="35" t="n"/>
      <c r="CD230" s="35" t="n"/>
      <c r="CE230" s="35" t="n"/>
      <c r="CF230" s="35" t="n"/>
      <c r="CG230" s="35" t="n"/>
      <c r="CH230" s="35" t="n"/>
      <c r="CI230" s="35" t="n"/>
      <c r="CJ230" s="35" t="n"/>
      <c r="CK230" s="35" t="n"/>
      <c r="CL230" s="35" t="n"/>
      <c r="CM230" s="35" t="n"/>
      <c r="CN230" s="35" t="n"/>
      <c r="CO230" s="35" t="n"/>
      <c r="CP230" s="35" t="n"/>
      <c r="CQ230" s="35" t="n"/>
      <c r="CR230" s="35" t="n"/>
      <c r="CS230" s="35" t="n"/>
      <c r="CT230" s="35" t="n"/>
      <c r="CU230" s="35" t="n"/>
      <c r="CV230" s="35" t="n"/>
      <c r="CW230" s="35" t="n"/>
      <c r="CX230" s="35" t="n"/>
      <c r="CY230" s="35" t="n"/>
    </row>
    <row r="231">
      <c r="C231" s="14" t="inlineStr">
        <is>
          <t>Minority interest</t>
        </is>
      </c>
      <c r="D231" s="46" t="n"/>
      <c r="E231" s="46" t="n"/>
      <c r="F231" s="46" t="n"/>
      <c r="G231" s="46" t="n"/>
      <c r="H231" s="12" t="n"/>
      <c r="I231" s="46">
        <f>'Inputs (2)'!D41</f>
        <v>98</v>
      </c>
      <c r="J231" s="46">
        <f>'Inputs (2)'!E41</f>
        <v>98</v>
      </c>
      <c r="K231" s="46">
        <f>'Inputs (2)'!F41</f>
        <v>70</v>
      </c>
      <c r="L231" s="46">
        <f>'Inputs (2)'!G41</f>
        <v>71</v>
      </c>
      <c r="M231" s="12">
        <f>'Inputs (2)'!H41</f>
        <v>71</v>
      </c>
      <c r="N231" s="46">
        <f>'Inputs (2)'!I41</f>
        <v>68</v>
      </c>
      <c r="O231" s="46">
        <f>'Inputs (2)'!J41</f>
        <v>65</v>
      </c>
      <c r="P231" s="46">
        <f>'Inputs (2)'!K41</f>
        <v>62</v>
      </c>
      <c r="Q231" s="46">
        <f>'Inputs (2)'!L41</f>
        <v>58</v>
      </c>
      <c r="R231" s="12">
        <f>'Inputs (2)'!M41</f>
        <v>58</v>
      </c>
      <c r="S231" s="46">
        <f>'Inputs (2)'!N41</f>
        <v>56</v>
      </c>
      <c r="T231" s="46">
        <f>'Inputs (2)'!O41</f>
        <v>53</v>
      </c>
      <c r="U231" s="46">
        <f>'Inputs (2)'!P41</f>
        <v>49</v>
      </c>
      <c r="V231" s="46">
        <f>'Inputs (2)'!Q41</f>
        <v>46</v>
      </c>
      <c r="W231" s="12">
        <f>'Inputs (2)'!R41</f>
        <v>46</v>
      </c>
      <c r="X231" s="46">
        <f>'Inputs (2)'!S41</f>
        <v>43</v>
      </c>
      <c r="Y231" s="46">
        <f>'Inputs (2)'!T41</f>
        <v>39</v>
      </c>
      <c r="Z231" s="46">
        <f>'Inputs (2)'!U41</f>
        <v>35</v>
      </c>
      <c r="AA231" s="46">
        <f>'Inputs (2)'!V41</f>
        <v>30</v>
      </c>
      <c r="AB231" s="12">
        <f>'Inputs (2)'!W41</f>
        <v>30</v>
      </c>
      <c r="AC231" s="46">
        <f>'Inputs (2)'!X41</f>
        <v>25</v>
      </c>
      <c r="AD231" s="46">
        <f>'Inputs (2)'!Y41</f>
        <v>21</v>
      </c>
      <c r="AE231" s="46">
        <f>'Inputs (2)'!Z41</f>
        <v>15</v>
      </c>
      <c r="AF231" s="46">
        <f>'Inputs (2)'!AA41</f>
        <v>9</v>
      </c>
      <c r="AG231" s="12">
        <f>'Inputs (2)'!AB41</f>
        <v>9</v>
      </c>
      <c r="AH231" s="12">
        <f>'Inputs (2)'!AC41</f>
        <v>3</v>
      </c>
      <c r="AI231" s="12">
        <f>'Inputs (2)'!AD41</f>
        <v>-5</v>
      </c>
      <c r="AJ231" s="12">
        <f>AI231</f>
        <v>-5</v>
      </c>
      <c r="AK231" s="12">
        <f>AJ231</f>
        <v>-5</v>
      </c>
      <c r="AL231" s="12">
        <f>AK231</f>
        <v>-5</v>
      </c>
      <c r="AM231" s="12">
        <f>AL231</f>
        <v>-5</v>
      </c>
      <c r="AN231" s="12">
        <f>AM231</f>
        <v>-5</v>
      </c>
      <c r="AO231" s="12">
        <f>AN231</f>
        <v>-5</v>
      </c>
      <c r="AP231" s="12">
        <f>AO231</f>
        <v>-5</v>
      </c>
      <c r="AQ231" s="12">
        <f>AP231</f>
        <v>-5</v>
      </c>
      <c r="AR231" s="12">
        <f>AQ231</f>
        <v>-5</v>
      </c>
      <c r="AS231" s="12">
        <f>AR231</f>
        <v>-5</v>
      </c>
      <c r="AT231" s="12">
        <f>AS231</f>
        <v>-5</v>
      </c>
      <c r="AU231" s="12">
        <f>AT231</f>
        <v>-5</v>
      </c>
      <c r="AV231" s="12">
        <f>AU231</f>
        <v>-5</v>
      </c>
      <c r="AW231" s="12">
        <f>AV231</f>
        <v>-5</v>
      </c>
      <c r="AX231" s="12">
        <f>AW231</f>
        <v>-5</v>
      </c>
      <c r="AY231" s="12">
        <f>AX231</f>
        <v>-5</v>
      </c>
      <c r="AZ231" s="12">
        <f>AY231</f>
        <v>-5</v>
      </c>
      <c r="BA231" s="12">
        <f>AZ231</f>
        <v>-5</v>
      </c>
      <c r="BB231" s="12">
        <f>BA231</f>
        <v>-5</v>
      </c>
      <c r="BC231" s="12">
        <f>BB231</f>
        <v>-5</v>
      </c>
      <c r="BD231" s="12">
        <f>BC231</f>
        <v>-5</v>
      </c>
      <c r="BE231" s="12">
        <f>BD231</f>
        <v>-5</v>
      </c>
      <c r="BF231" s="12">
        <f>BE231</f>
        <v>-5</v>
      </c>
      <c r="BG231" s="12" t="n"/>
      <c r="BH231" s="12" t="n"/>
      <c r="BI231" s="12" t="n"/>
      <c r="BJ231" s="12" t="n"/>
      <c r="BK231" s="12" t="n"/>
      <c r="BL231" s="12" t="n"/>
      <c r="BM231" s="12" t="n"/>
      <c r="BN231" s="12" t="n"/>
      <c r="BO231" s="12" t="n"/>
      <c r="BP231" s="12" t="n"/>
      <c r="BQ231" s="12" t="n"/>
      <c r="BR231" s="12" t="n"/>
      <c r="BS231" s="12" t="n"/>
      <c r="BT231" s="12" t="n"/>
      <c r="BU231" s="12" t="n"/>
      <c r="BV231" s="12" t="n"/>
      <c r="BW231" s="12" t="n"/>
      <c r="BX231" s="12" t="n"/>
      <c r="BY231" s="12" t="n"/>
      <c r="BZ231" s="12" t="n"/>
      <c r="CA231" s="12" t="n"/>
      <c r="CB231" s="12" t="n"/>
      <c r="CC231" s="12" t="n"/>
      <c r="CD231" s="12" t="n"/>
      <c r="CE231" s="12" t="n"/>
      <c r="CF231" s="12" t="n"/>
      <c r="CG231" s="12" t="n"/>
      <c r="CH231" s="12" t="n"/>
      <c r="CI231" s="12" t="n"/>
      <c r="CJ231" s="12" t="n"/>
      <c r="CK231" s="12" t="n"/>
      <c r="CL231" s="12" t="n"/>
      <c r="CM231" s="12" t="n"/>
      <c r="CN231" s="12" t="n"/>
      <c r="CO231" s="12" t="n"/>
      <c r="CP231" s="12" t="n"/>
      <c r="CQ231" s="12" t="n"/>
      <c r="CR231" s="12" t="n"/>
      <c r="CS231" s="12" t="n"/>
      <c r="CT231" s="12" t="n"/>
      <c r="CU231" s="12" t="n"/>
      <c r="CV231" s="12" t="n"/>
      <c r="CW231" s="12" t="n"/>
      <c r="CX231" s="12" t="n"/>
      <c r="CY231" s="12" t="n"/>
    </row>
    <row r="232" hidden="1" outlineLevel="1" customFormat="1" s="66">
      <c r="A232" s="37" t="n"/>
      <c r="B232" s="37" t="n"/>
      <c r="C232" s="59" t="n"/>
      <c r="D232" s="42" t="n"/>
      <c r="E232" s="42" t="n"/>
      <c r="F232" s="42" t="n"/>
      <c r="G232" s="42" t="n"/>
      <c r="H232" s="42" t="n"/>
      <c r="I232" s="42" t="n"/>
      <c r="J232" s="42" t="n"/>
      <c r="K232" s="42" t="n"/>
      <c r="L232" s="42" t="n"/>
      <c r="M232" s="42" t="n"/>
      <c r="N232" s="42" t="n"/>
      <c r="O232" s="42" t="n"/>
      <c r="P232" s="42" t="n"/>
      <c r="Q232" s="42" t="n"/>
      <c r="R232" s="42" t="n"/>
      <c r="S232" s="42" t="n"/>
      <c r="T232" s="42" t="n"/>
      <c r="U232" s="42" t="n"/>
      <c r="V232" s="42" t="n"/>
      <c r="W232" s="42" t="n"/>
      <c r="X232" s="42" t="n"/>
      <c r="Y232" s="42" t="n"/>
      <c r="Z232" s="42" t="n"/>
      <c r="AA232" s="42" t="n"/>
      <c r="AB232" s="42" t="n"/>
      <c r="AC232" s="42" t="n"/>
      <c r="AD232" s="42" t="n"/>
      <c r="AE232" s="42" t="n"/>
      <c r="AF232" s="42" t="n"/>
      <c r="AG232" s="42" t="n"/>
      <c r="AH232" s="42" t="n"/>
      <c r="AI232" s="42" t="n"/>
      <c r="AJ232" s="42" t="n"/>
      <c r="AK232" s="42" t="n"/>
      <c r="AL232" s="42" t="n"/>
      <c r="AM232" s="42" t="n"/>
      <c r="AN232" s="42" t="n"/>
      <c r="AO232" s="42" t="n"/>
      <c r="AP232" s="42" t="n"/>
      <c r="AQ232" s="42" t="n"/>
      <c r="AR232" s="42" t="n"/>
      <c r="AS232" s="42" t="n"/>
      <c r="AT232" s="42" t="n"/>
      <c r="AU232" s="42" t="n"/>
      <c r="AV232" s="42" t="n"/>
      <c r="AW232" s="42" t="n"/>
      <c r="AX232" s="42" t="n"/>
      <c r="AY232" s="42" t="n"/>
      <c r="AZ232" s="42" t="n"/>
      <c r="BA232" s="42" t="n"/>
      <c r="BB232" s="42" t="n"/>
      <c r="BC232" s="42" t="n"/>
      <c r="BD232" s="42" t="n"/>
      <c r="BE232" s="42" t="n"/>
      <c r="BF232" s="42" t="n"/>
      <c r="BG232" s="42" t="n"/>
      <c r="BH232" s="42" t="n"/>
      <c r="BI232" s="42" t="n"/>
      <c r="BJ232" s="42" t="n"/>
      <c r="BK232" s="42" t="n"/>
      <c r="BL232" s="42" t="n"/>
      <c r="BM232" s="42" t="n"/>
      <c r="BN232" s="42" t="n"/>
      <c r="BO232" s="42" t="n"/>
      <c r="BP232" s="42" t="n"/>
      <c r="BQ232" s="42" t="n"/>
      <c r="BR232" s="42" t="n"/>
      <c r="BS232" s="42" t="n"/>
      <c r="BT232" s="42" t="n"/>
      <c r="BU232" s="42" t="n"/>
      <c r="BV232" s="42" t="n"/>
      <c r="BW232" s="42" t="n"/>
      <c r="BX232" s="42" t="n"/>
      <c r="BY232" s="42" t="n"/>
      <c r="BZ232" s="42" t="n"/>
      <c r="CA232" s="42" t="n"/>
      <c r="CB232" s="42" t="n"/>
      <c r="CC232" s="42" t="n"/>
      <c r="CD232" s="42" t="n"/>
      <c r="CE232" s="42" t="n"/>
      <c r="CF232" s="42" t="n"/>
      <c r="CG232" s="42" t="n"/>
      <c r="CH232" s="42" t="n"/>
      <c r="CI232" s="42" t="n"/>
      <c r="CJ232" s="42" t="n"/>
      <c r="CK232" s="42" t="n"/>
      <c r="CL232" s="42" t="n"/>
      <c r="CM232" s="42" t="n"/>
      <c r="CN232" s="42" t="n"/>
      <c r="CO232" s="42" t="n"/>
      <c r="CP232" s="42" t="n"/>
      <c r="CQ232" s="42" t="n"/>
      <c r="CR232" s="42" t="n"/>
      <c r="CS232" s="42" t="n"/>
      <c r="CT232" s="42" t="n"/>
      <c r="CU232" s="42" t="n"/>
      <c r="CV232" s="42" t="n"/>
      <c r="CW232" s="42" t="n"/>
      <c r="CX232" s="42" t="n"/>
      <c r="CY232" s="42" t="n"/>
    </row>
    <row r="233" hidden="1" outlineLevel="1" customFormat="1" s="66">
      <c r="A233" s="37" t="n"/>
      <c r="B233" s="37" t="n"/>
      <c r="C233" s="57" t="inlineStr">
        <is>
          <t>Minority Interest Expense - % YoY</t>
        </is>
      </c>
      <c r="D233" s="42" t="n"/>
      <c r="E233" s="58" t="n"/>
      <c r="F233" s="42" t="n"/>
      <c r="G233" s="42" t="n"/>
      <c r="H233" s="58" t="n"/>
      <c r="I233" s="42" t="n"/>
      <c r="J233" s="58">
        <f>IF(I118=0,0,J118/I118-1)</f>
        <v>-1</v>
      </c>
      <c r="K233" s="42" t="n"/>
      <c r="L233" s="42" t="n"/>
      <c r="M233" s="58" t="n"/>
      <c r="N233" s="58">
        <f>IF(I118=0,0,N118/I118-1)</f>
        <v>-4</v>
      </c>
      <c r="O233" s="58">
        <f>IF(J118=0,0,O118/J118-1)</f>
        <v>0</v>
      </c>
      <c r="P233" s="58">
        <f>IF(K118=0,0,P118/K118-1)</f>
        <v>-0.727272727272727</v>
      </c>
      <c r="Q233" s="58">
        <f>IF(L118=0,0,Q118/L118-1)</f>
        <v>-5</v>
      </c>
      <c r="R233" s="58" t="n"/>
      <c r="S233" s="58">
        <f>IF(N118=0,0,S118/N118-1)</f>
        <v>-0.333333333333333</v>
      </c>
      <c r="T233" s="58">
        <f>IF(O118=0,0,T118/O118-1)</f>
        <v>0</v>
      </c>
      <c r="U233" s="58">
        <f>IF(P118=0,0,U118/P118-1)</f>
        <v>0.333333333333333</v>
      </c>
      <c r="V233" s="58">
        <f>IF(Q118=0,0,V118/Q118-1)</f>
        <v>-0.25</v>
      </c>
      <c r="W233" s="58">
        <f>IF(R119=0,0,W119/R119-1)</f>
        <v>-0.0769230769230769</v>
      </c>
      <c r="X233" s="58">
        <f>IF(S118=0,0,X118/S118-1)</f>
        <v>0.5</v>
      </c>
      <c r="Y233" s="58">
        <f>IF(T118=0,0,Y118/T118-1)</f>
        <v>0.333333333333333</v>
      </c>
      <c r="Z233" s="58">
        <f>IF(U118=0,0,Z118/U118-1)</f>
        <v>0</v>
      </c>
      <c r="AA233" s="58">
        <f>IF(V118=0,0,AA118/V118-1)</f>
        <v>0.666666666666667</v>
      </c>
      <c r="AB233" s="58">
        <f>IF(W119=0,0,AB119/W119-1)</f>
        <v>0.333333333333333</v>
      </c>
      <c r="AC233" s="58">
        <f>IF(X118=0,0,AC118/X118-1)</f>
        <v>0.666666666666667</v>
      </c>
      <c r="AD233" s="58">
        <f>IF(Y118=0,0,AD118/Y118-1)</f>
        <v>0</v>
      </c>
      <c r="AE233" s="58">
        <f>IF(Z118=0,0,AE118/Z118-1)</f>
        <v>0.5</v>
      </c>
      <c r="AF233" s="58">
        <f>IF(AA118=0,0,AF118/AA118-1)</f>
        <v>0.2</v>
      </c>
      <c r="AG233" s="58">
        <f>IF(AB119=0,0,AG119/AB119-1)</f>
        <v>0.3125</v>
      </c>
      <c r="AH233" s="62">
        <f>IF(AC118=0,0,AH118/AC118-1)</f>
        <v>0.2</v>
      </c>
      <c r="AI233" s="62">
        <f>IF(AD118=0,0,AI118/AD118-1)</f>
        <v>1</v>
      </c>
      <c r="AJ233" s="62" t="n"/>
      <c r="AK233" s="62" t="n"/>
      <c r="AL233" s="58">
        <f>IF(AG119=0,0,AL119/AG119-1)</f>
        <v>-0.333333333333333</v>
      </c>
      <c r="AM233" s="62" t="n"/>
      <c r="AN233" s="62" t="n"/>
      <c r="AO233" s="62" t="n"/>
      <c r="AP233" s="62" t="n"/>
      <c r="AQ233" s="58">
        <f>IF(AL119=0,0,AQ119/AL119-1)</f>
        <v>-1</v>
      </c>
      <c r="AR233" s="62" t="n"/>
      <c r="AS233" s="62" t="n"/>
      <c r="AT233" s="62" t="n"/>
      <c r="AU233" s="62" t="n"/>
      <c r="AV233" s="58">
        <f>IF(AQ119=0,0,AV119/AQ119-1)</f>
        <v>0</v>
      </c>
      <c r="AW233" s="62" t="n"/>
      <c r="AX233" s="62" t="n"/>
      <c r="AY233" s="62" t="n"/>
      <c r="AZ233" s="62" t="n"/>
      <c r="BA233" s="58">
        <f>IF(AV119=0,0,BA119/AV119-1)</f>
        <v>0</v>
      </c>
      <c r="BB233" s="62" t="n"/>
      <c r="BC233" s="62" t="n"/>
      <c r="BD233" s="62" t="n"/>
      <c r="BE233" s="62" t="n"/>
      <c r="BF233" s="58">
        <f>IF(BA119=0,0,BF119/BA119-1)</f>
        <v>0</v>
      </c>
      <c r="BG233" s="62" t="n"/>
      <c r="BH233" s="62" t="n"/>
      <c r="BI233" s="62" t="n"/>
      <c r="BJ233" s="62" t="n"/>
      <c r="BK233" s="58" t="n"/>
      <c r="BL233" s="62" t="n"/>
      <c r="BM233" s="62" t="n"/>
      <c r="BN233" s="62" t="n"/>
      <c r="BO233" s="62" t="n"/>
      <c r="BP233" s="58" t="n"/>
      <c r="BQ233" s="62" t="n"/>
      <c r="BR233" s="62" t="n"/>
      <c r="BS233" s="62" t="n"/>
      <c r="BT233" s="62" t="n"/>
      <c r="BU233" s="58" t="n"/>
      <c r="BV233" s="62" t="n"/>
      <c r="BW233" s="62" t="n"/>
      <c r="BX233" s="62" t="n"/>
      <c r="BY233" s="62" t="n"/>
      <c r="BZ233" s="58" t="n"/>
      <c r="CA233" s="62" t="n"/>
      <c r="CB233" s="62" t="n"/>
      <c r="CC233" s="62" t="n"/>
      <c r="CD233" s="62" t="n"/>
      <c r="CE233" s="58" t="n"/>
      <c r="CF233" s="62" t="n"/>
      <c r="CG233" s="62" t="n"/>
      <c r="CH233" s="62" t="n"/>
      <c r="CI233" s="62" t="n"/>
      <c r="CJ233" s="58" t="n"/>
      <c r="CK233" s="62" t="n"/>
      <c r="CL233" s="62" t="n"/>
      <c r="CM233" s="62" t="n"/>
      <c r="CN233" s="62" t="n"/>
      <c r="CO233" s="58" t="n"/>
      <c r="CP233" s="62" t="n"/>
      <c r="CQ233" s="62" t="n"/>
      <c r="CR233" s="62" t="n"/>
      <c r="CS233" s="62" t="n"/>
      <c r="CT233" s="58" t="n"/>
      <c r="CU233" s="62" t="n"/>
      <c r="CV233" s="62" t="n"/>
      <c r="CW233" s="62" t="n"/>
      <c r="CX233" s="62" t="n"/>
      <c r="CY233" s="58" t="n"/>
    </row>
    <row r="234" hidden="1" outlineLevel="1" customFormat="1" s="66">
      <c r="A234" s="37" t="n"/>
      <c r="B234" s="37" t="n"/>
      <c r="C234" s="57" t="inlineStr">
        <is>
          <t>Dividends (enter as -)</t>
        </is>
      </c>
      <c r="D234" s="42" t="n"/>
      <c r="E234" s="42" t="n"/>
      <c r="F234" s="42" t="n"/>
      <c r="G234" s="42" t="n"/>
      <c r="H234" s="42" t="n"/>
      <c r="I234" s="42" t="n"/>
      <c r="J234" s="42" t="n"/>
      <c r="K234" s="42" t="n"/>
      <c r="L234" s="42" t="n"/>
      <c r="M234" s="42" t="n"/>
      <c r="N234" s="42" t="n"/>
      <c r="O234" s="42" t="n"/>
      <c r="P234" s="42" t="n"/>
      <c r="Q234" s="42" t="n"/>
      <c r="R234" s="42" t="n"/>
      <c r="S234" s="42" t="n"/>
      <c r="T234" s="42" t="n"/>
      <c r="U234" s="42" t="n"/>
      <c r="V234" s="42" t="n"/>
      <c r="W234" s="42" t="n"/>
      <c r="X234" s="42" t="n"/>
      <c r="Y234" s="42" t="n"/>
      <c r="Z234" s="42" t="n"/>
      <c r="AA234" s="42" t="n"/>
      <c r="AB234" s="42" t="n"/>
      <c r="AC234" s="42" t="n"/>
      <c r="AD234" s="42" t="n"/>
      <c r="AE234" s="42" t="n"/>
      <c r="AF234" s="42" t="n"/>
      <c r="AG234" s="42" t="n"/>
      <c r="AH234" s="62" t="n"/>
      <c r="AI234" s="62" t="n"/>
      <c r="AJ234" s="62" t="n"/>
      <c r="AK234" s="62" t="n"/>
      <c r="AL234" s="42" t="n"/>
      <c r="AM234" s="62" t="n"/>
      <c r="AN234" s="62" t="n"/>
      <c r="AO234" s="62" t="n"/>
      <c r="AP234" s="62" t="n"/>
      <c r="AQ234" s="42" t="n"/>
      <c r="AR234" s="62" t="n"/>
      <c r="AS234" s="62" t="n"/>
      <c r="AT234" s="62" t="n"/>
      <c r="AU234" s="62" t="n"/>
      <c r="AV234" s="42" t="n"/>
      <c r="AW234" s="62" t="n"/>
      <c r="AX234" s="62" t="n"/>
      <c r="AY234" s="62" t="n"/>
      <c r="AZ234" s="62" t="n"/>
      <c r="BA234" s="42" t="n"/>
      <c r="BB234" s="62" t="n"/>
      <c r="BC234" s="62" t="n"/>
      <c r="BD234" s="62" t="n"/>
      <c r="BE234" s="62" t="n"/>
      <c r="BF234" s="42" t="n"/>
      <c r="BG234" s="62" t="n"/>
      <c r="BH234" s="62" t="n"/>
      <c r="BI234" s="62" t="n"/>
      <c r="BJ234" s="62" t="n"/>
      <c r="BK234" s="42" t="n"/>
      <c r="BL234" s="62" t="n"/>
      <c r="BM234" s="62" t="n"/>
      <c r="BN234" s="62" t="n"/>
      <c r="BO234" s="62" t="n"/>
      <c r="BP234" s="42" t="n"/>
      <c r="BQ234" s="62" t="n"/>
      <c r="BR234" s="62" t="n"/>
      <c r="BS234" s="62" t="n"/>
      <c r="BT234" s="62" t="n"/>
      <c r="BU234" s="42" t="n"/>
      <c r="BV234" s="62" t="n"/>
      <c r="BW234" s="62" t="n"/>
      <c r="BX234" s="62" t="n"/>
      <c r="BY234" s="62" t="n"/>
      <c r="BZ234" s="42" t="n"/>
      <c r="CA234" s="62" t="n"/>
      <c r="CB234" s="62" t="n"/>
      <c r="CC234" s="62" t="n"/>
      <c r="CD234" s="62" t="n"/>
      <c r="CE234" s="42" t="n"/>
      <c r="CF234" s="62" t="n"/>
      <c r="CG234" s="62" t="n"/>
      <c r="CH234" s="62" t="n"/>
      <c r="CI234" s="62" t="n"/>
      <c r="CJ234" s="42" t="n"/>
      <c r="CK234" s="62" t="n"/>
      <c r="CL234" s="62" t="n"/>
      <c r="CM234" s="62" t="n"/>
      <c r="CN234" s="62" t="n"/>
      <c r="CO234" s="42" t="n"/>
      <c r="CP234" s="62" t="n"/>
      <c r="CQ234" s="62" t="n"/>
      <c r="CR234" s="62" t="n"/>
      <c r="CS234" s="62" t="n"/>
      <c r="CT234" s="42" t="n"/>
      <c r="CU234" s="62" t="n"/>
      <c r="CV234" s="62" t="n"/>
      <c r="CW234" s="62" t="n"/>
      <c r="CX234" s="62" t="n"/>
      <c r="CY234" s="42" t="n"/>
    </row>
    <row r="235" hidden="1" outlineLevel="1" customFormat="1" s="66">
      <c r="A235" s="37" t="n"/>
      <c r="B235" s="37" t="n"/>
      <c r="C235" s="59" t="n"/>
      <c r="D235" s="42" t="n"/>
      <c r="E235" s="42" t="n"/>
      <c r="F235" s="42" t="n"/>
      <c r="G235" s="42" t="n"/>
      <c r="H235" s="42" t="n"/>
      <c r="I235" s="42" t="n"/>
      <c r="J235" s="42" t="n"/>
      <c r="K235" s="42" t="n"/>
      <c r="L235" s="42" t="n"/>
      <c r="M235" s="42" t="n"/>
      <c r="N235" s="42" t="n"/>
      <c r="O235" s="42" t="n"/>
      <c r="P235" s="42" t="n"/>
      <c r="Q235" s="42" t="n"/>
      <c r="R235" s="42" t="n"/>
      <c r="S235" s="42" t="n"/>
      <c r="T235" s="42" t="n"/>
      <c r="U235" s="42" t="n"/>
      <c r="V235" s="42" t="n"/>
      <c r="W235" s="42" t="n"/>
      <c r="X235" s="42" t="n"/>
      <c r="Y235" s="42" t="n"/>
      <c r="Z235" s="42" t="n"/>
      <c r="AA235" s="42" t="n"/>
      <c r="AB235" s="42" t="n"/>
      <c r="AC235" s="42" t="n"/>
      <c r="AD235" s="42" t="n"/>
      <c r="AE235" s="42" t="n"/>
      <c r="AF235" s="42" t="n"/>
      <c r="AG235" s="42" t="n"/>
      <c r="AH235" s="42" t="n"/>
      <c r="AI235" s="42" t="n"/>
      <c r="AJ235" s="42" t="n"/>
      <c r="AK235" s="42" t="n"/>
      <c r="AL235" s="42" t="n"/>
      <c r="AM235" s="42" t="n"/>
      <c r="AN235" s="42" t="n"/>
      <c r="AO235" s="42" t="n"/>
      <c r="AP235" s="42" t="n"/>
      <c r="AQ235" s="42" t="n"/>
      <c r="AR235" s="42" t="n"/>
      <c r="AS235" s="42" t="n"/>
      <c r="AT235" s="42" t="n"/>
      <c r="AU235" s="42" t="n"/>
      <c r="AV235" s="42" t="n"/>
      <c r="AW235" s="42" t="n"/>
      <c r="AX235" s="42" t="n"/>
      <c r="AY235" s="42" t="n"/>
      <c r="AZ235" s="42" t="n"/>
      <c r="BA235" s="42" t="n"/>
      <c r="BB235" s="42" t="n"/>
      <c r="BC235" s="42" t="n"/>
      <c r="BD235" s="42" t="n"/>
      <c r="BE235" s="42" t="n"/>
      <c r="BF235" s="42" t="n"/>
      <c r="BG235" s="42" t="n"/>
      <c r="BH235" s="42" t="n"/>
      <c r="BI235" s="42" t="n"/>
      <c r="BJ235" s="42" t="n"/>
      <c r="BK235" s="42" t="n"/>
      <c r="BL235" s="42" t="n"/>
      <c r="BM235" s="42" t="n"/>
      <c r="BN235" s="42" t="n"/>
      <c r="BO235" s="42" t="n"/>
      <c r="BP235" s="42" t="n"/>
      <c r="BQ235" s="42" t="n"/>
      <c r="BR235" s="42" t="n"/>
      <c r="BS235" s="42" t="n"/>
      <c r="BT235" s="42" t="n"/>
      <c r="BU235" s="42" t="n"/>
      <c r="BV235" s="42" t="n"/>
      <c r="BW235" s="42" t="n"/>
      <c r="BX235" s="42" t="n"/>
      <c r="BY235" s="42" t="n"/>
      <c r="BZ235" s="42" t="n"/>
      <c r="CA235" s="42" t="n"/>
      <c r="CB235" s="42" t="n"/>
      <c r="CC235" s="42" t="n"/>
      <c r="CD235" s="42" t="n"/>
      <c r="CE235" s="42" t="n"/>
      <c r="CF235" s="42" t="n"/>
      <c r="CG235" s="42" t="n"/>
      <c r="CH235" s="42" t="n"/>
      <c r="CI235" s="42" t="n"/>
      <c r="CJ235" s="42" t="n"/>
      <c r="CK235" s="42" t="n"/>
      <c r="CL235" s="42" t="n"/>
      <c r="CM235" s="42" t="n"/>
      <c r="CN235" s="42" t="n"/>
      <c r="CO235" s="42" t="n"/>
      <c r="CP235" s="42" t="n"/>
      <c r="CQ235" s="42" t="n"/>
      <c r="CR235" s="42" t="n"/>
      <c r="CS235" s="42" t="n"/>
      <c r="CT235" s="42" t="n"/>
      <c r="CU235" s="42" t="n"/>
      <c r="CV235" s="42" t="n"/>
      <c r="CW235" s="42" t="n"/>
      <c r="CX235" s="42" t="n"/>
      <c r="CY235" s="42" t="n"/>
    </row>
    <row r="236" collapsed="1">
      <c r="C236" s="14" t="inlineStr">
        <is>
          <t>Convertible Preferred Stock</t>
        </is>
      </c>
      <c r="D236" s="46" t="n"/>
      <c r="E236" s="46" t="n"/>
      <c r="F236" s="46" t="n"/>
      <c r="G236" s="46" t="n"/>
      <c r="H236" s="12" t="n"/>
      <c r="I236" s="46">
        <f>'Inputs (2)'!D42</f>
        <v>0</v>
      </c>
      <c r="J236" s="46">
        <f>'Inputs (2)'!E42</f>
        <v>0</v>
      </c>
      <c r="K236" s="46">
        <f>'Inputs (2)'!F42</f>
        <v>0</v>
      </c>
      <c r="L236" s="46">
        <f>'Inputs (2)'!G42</f>
        <v>0</v>
      </c>
      <c r="M236" s="12">
        <f>'Inputs (2)'!H42</f>
        <v>0</v>
      </c>
      <c r="N236" s="46">
        <f>'Inputs (2)'!I42</f>
        <v>0</v>
      </c>
      <c r="O236" s="46">
        <f>'Inputs (2)'!J42</f>
        <v>0</v>
      </c>
      <c r="P236" s="46">
        <f>'Inputs (2)'!K42</f>
        <v>0</v>
      </c>
      <c r="Q236" s="46">
        <f>'Inputs (2)'!L42</f>
        <v>0</v>
      </c>
      <c r="R236" s="12">
        <f>'Inputs (2)'!M42</f>
        <v>0</v>
      </c>
      <c r="S236" s="46">
        <f>'Inputs (2)'!N42</f>
        <v>0</v>
      </c>
      <c r="T236" s="46">
        <f>'Inputs (2)'!O42</f>
        <v>0</v>
      </c>
      <c r="U236" s="46">
        <f>'Inputs (2)'!P42</f>
        <v>0</v>
      </c>
      <c r="V236" s="46">
        <f>'Inputs (2)'!Q42</f>
        <v>0</v>
      </c>
      <c r="W236" s="12">
        <f>'Inputs (2)'!R42</f>
        <v>0</v>
      </c>
      <c r="X236" s="46">
        <f>'Inputs (2)'!S42</f>
        <v>0</v>
      </c>
      <c r="Y236" s="46">
        <f>'Inputs (2)'!T42</f>
        <v>0</v>
      </c>
      <c r="Z236" s="46">
        <f>'Inputs (2)'!U42</f>
        <v>0</v>
      </c>
      <c r="AA236" s="46">
        <f>'Inputs (2)'!V42</f>
        <v>0</v>
      </c>
      <c r="AB236" s="12">
        <f>'Inputs (2)'!W42</f>
        <v>0</v>
      </c>
      <c r="AC236" s="46">
        <f>'Inputs (2)'!X42</f>
        <v>0</v>
      </c>
      <c r="AD236" s="46">
        <f>'Inputs (2)'!Y42</f>
        <v>0</v>
      </c>
      <c r="AE236" s="46">
        <f>'Inputs (2)'!Z42</f>
        <v>0</v>
      </c>
      <c r="AF236" s="46">
        <f>'Inputs (2)'!AA42</f>
        <v>0</v>
      </c>
      <c r="AG236" s="12">
        <f>'Inputs (2)'!AB42</f>
        <v>0</v>
      </c>
      <c r="AH236" s="12">
        <f>'Inputs (2)'!AC42</f>
        <v>0</v>
      </c>
      <c r="AI236" s="12">
        <f>'Inputs (2)'!AD42</f>
        <v>0</v>
      </c>
      <c r="AJ236" s="12">
        <f>AI236</f>
        <v>0</v>
      </c>
      <c r="AK236" s="12">
        <f>AJ236</f>
        <v>0</v>
      </c>
      <c r="AL236" s="12">
        <f>AK236</f>
        <v>0</v>
      </c>
      <c r="AM236" s="12">
        <f>AL236</f>
        <v>0</v>
      </c>
      <c r="AN236" s="12">
        <f>AM236</f>
        <v>0</v>
      </c>
      <c r="AO236" s="12">
        <f>AN236</f>
        <v>0</v>
      </c>
      <c r="AP236" s="12">
        <f>AO236</f>
        <v>0</v>
      </c>
      <c r="AQ236" s="12">
        <f>AP236</f>
        <v>0</v>
      </c>
      <c r="AR236" s="12">
        <f>AQ236</f>
        <v>0</v>
      </c>
      <c r="AS236" s="12">
        <f>AR236</f>
        <v>0</v>
      </c>
      <c r="AT236" s="12">
        <f>AS236</f>
        <v>0</v>
      </c>
      <c r="AU236" s="12">
        <f>AT236</f>
        <v>0</v>
      </c>
      <c r="AV236" s="12">
        <f>AU236</f>
        <v>0</v>
      </c>
      <c r="AW236" s="12">
        <f>AV236</f>
        <v>0</v>
      </c>
      <c r="AX236" s="12">
        <f>AW236</f>
        <v>0</v>
      </c>
      <c r="AY236" s="12">
        <f>AX236</f>
        <v>0</v>
      </c>
      <c r="AZ236" s="12">
        <f>AY236</f>
        <v>0</v>
      </c>
      <c r="BA236" s="12">
        <f>AZ236</f>
        <v>0</v>
      </c>
      <c r="BB236" s="12">
        <f>BA236</f>
        <v>0</v>
      </c>
      <c r="BC236" s="12">
        <f>BB236</f>
        <v>0</v>
      </c>
      <c r="BD236" s="12">
        <f>BC236</f>
        <v>0</v>
      </c>
      <c r="BE236" s="12">
        <f>BD236</f>
        <v>0</v>
      </c>
      <c r="BF236" s="12">
        <f>BE236</f>
        <v>0</v>
      </c>
      <c r="BG236" s="12" t="n"/>
      <c r="BH236" s="12" t="n"/>
      <c r="BI236" s="12" t="n"/>
      <c r="BJ236" s="12" t="n"/>
      <c r="BK236" s="12" t="n"/>
      <c r="BL236" s="12" t="n"/>
      <c r="BM236" s="12" t="n"/>
      <c r="BN236" s="12" t="n"/>
      <c r="BO236" s="12" t="n"/>
      <c r="BP236" s="12" t="n"/>
      <c r="BQ236" s="12" t="n"/>
      <c r="BR236" s="12" t="n"/>
      <c r="BS236" s="12" t="n"/>
      <c r="BT236" s="12" t="n"/>
      <c r="BU236" s="12" t="n"/>
      <c r="BV236" s="12" t="n"/>
      <c r="BW236" s="12" t="n"/>
      <c r="BX236" s="12" t="n"/>
      <c r="BY236" s="12" t="n"/>
      <c r="BZ236" s="12" t="n"/>
      <c r="CA236" s="12" t="n"/>
      <c r="CB236" s="12" t="n"/>
      <c r="CC236" s="12" t="n"/>
      <c r="CD236" s="12" t="n"/>
      <c r="CE236" s="12" t="n"/>
      <c r="CF236" s="12" t="n"/>
      <c r="CG236" s="12" t="n"/>
      <c r="CH236" s="12" t="n"/>
      <c r="CI236" s="12" t="n"/>
      <c r="CJ236" s="12" t="n"/>
      <c r="CK236" s="12" t="n"/>
      <c r="CL236" s="12" t="n"/>
      <c r="CM236" s="12" t="n"/>
      <c r="CN236" s="12" t="n"/>
      <c r="CO236" s="12" t="n"/>
      <c r="CP236" s="12" t="n"/>
      <c r="CQ236" s="12" t="n"/>
      <c r="CR236" s="12" t="n"/>
      <c r="CS236" s="12" t="n"/>
      <c r="CT236" s="12" t="n"/>
      <c r="CU236" s="12" t="n"/>
      <c r="CV236" s="12" t="n"/>
      <c r="CW236" s="12" t="n"/>
      <c r="CX236" s="12" t="n"/>
      <c r="CY236" s="12" t="n"/>
    </row>
    <row r="237">
      <c r="C237" s="13" t="inlineStr">
        <is>
          <t>Common Stock and APIC</t>
        </is>
      </c>
      <c r="D237" s="46" t="n"/>
      <c r="E237" s="46" t="n"/>
      <c r="F237" s="46" t="n"/>
      <c r="G237" s="46" t="n"/>
      <c r="H237" s="12" t="n"/>
      <c r="I237" s="46">
        <f>'Inputs (2)'!D43</f>
        <v>4949</v>
      </c>
      <c r="J237" s="46">
        <f>'Inputs (2)'!E43</f>
        <v>5053</v>
      </c>
      <c r="K237" s="46">
        <f>'Inputs (2)'!F43</f>
        <v>5026</v>
      </c>
      <c r="L237" s="46">
        <f>'Inputs (2)'!G43</f>
        <v>5061</v>
      </c>
      <c r="M237" s="12">
        <f>'Inputs (2)'!H43</f>
        <v>5061</v>
      </c>
      <c r="N237" s="46">
        <f>'Inputs (2)'!I43</f>
        <v>5026</v>
      </c>
      <c r="O237" s="46">
        <f>'Inputs (2)'!J43</f>
        <v>5163</v>
      </c>
      <c r="P237" s="46">
        <f>'Inputs (2)'!K43</f>
        <v>5269</v>
      </c>
      <c r="Q237" s="46">
        <f>'Inputs (2)'!L43</f>
        <v>5298</v>
      </c>
      <c r="R237" s="12">
        <f>'Inputs (2)'!M43</f>
        <v>5298</v>
      </c>
      <c r="S237" s="46">
        <f>'Inputs (2)'!N43</f>
        <v>5376</v>
      </c>
      <c r="T237" s="46">
        <f>'Inputs (2)'!O43</f>
        <v>5622</v>
      </c>
      <c r="U237" s="46">
        <f>'Inputs (2)'!P43</f>
        <v>5791</v>
      </c>
      <c r="V237" s="46">
        <f>'Inputs (2)'!Q43</f>
        <v>5893</v>
      </c>
      <c r="W237" s="12">
        <f>'Inputs (2)'!R43</f>
        <v>5893</v>
      </c>
      <c r="X237" s="46">
        <f>'Inputs (2)'!S43</f>
        <v>5920</v>
      </c>
      <c r="Y237" s="46">
        <f>'Inputs (2)'!T43</f>
        <v>6089</v>
      </c>
      <c r="Z237" s="46">
        <f>'Inputs (2)'!U43</f>
        <v>6290</v>
      </c>
      <c r="AA237" s="46">
        <f>'Inputs (2)'!V43</f>
        <v>6442</v>
      </c>
      <c r="AB237" s="12">
        <f>'Inputs (2)'!W43</f>
        <v>6442</v>
      </c>
      <c r="AC237" s="46">
        <f>'Inputs (2)'!X43</f>
        <v>6326</v>
      </c>
      <c r="AD237" s="46">
        <f>'Inputs (2)'!Y43</f>
        <v>6562</v>
      </c>
      <c r="AE237" s="46">
        <f>'Inputs (2)'!Z43</f>
        <v>6757</v>
      </c>
      <c r="AF237" s="46">
        <f>'Inputs (2)'!AA43</f>
        <v>6907</v>
      </c>
      <c r="AG237" s="12">
        <f>'Inputs (2)'!AB43</f>
        <v>6907</v>
      </c>
      <c r="AH237" s="12">
        <f>'Inputs (2)'!AC43</f>
        <v>6843</v>
      </c>
      <c r="AI237" s="12">
        <f>'Inputs (2)'!AD43</f>
        <v>7070</v>
      </c>
      <c r="AJ237" s="12">
        <f>AI237+AJ241</f>
        <v>7070</v>
      </c>
      <c r="AK237" s="12">
        <f>AJ237+AK241</f>
        <v>7070</v>
      </c>
      <c r="AL237" s="12">
        <f>AK237</f>
        <v>7070</v>
      </c>
      <c r="AM237" s="12">
        <f>AL237+AM241</f>
        <v>7070</v>
      </c>
      <c r="AN237" s="12">
        <f>AM237+AN241</f>
        <v>7070</v>
      </c>
      <c r="AO237" s="12">
        <f>AN237+AO241</f>
        <v>7070</v>
      </c>
      <c r="AP237" s="12">
        <f>AO237+AP241</f>
        <v>7070</v>
      </c>
      <c r="AQ237" s="12">
        <f>AP237</f>
        <v>7070</v>
      </c>
      <c r="AR237" s="12">
        <f>AQ237+AR241</f>
        <v>7070</v>
      </c>
      <c r="AS237" s="12">
        <f>AR237+AS241</f>
        <v>7070</v>
      </c>
      <c r="AT237" s="12">
        <f>AS237+AT241</f>
        <v>7070</v>
      </c>
      <c r="AU237" s="12">
        <f>AT237+AU241</f>
        <v>7070</v>
      </c>
      <c r="AV237" s="12">
        <f>AU237</f>
        <v>7070</v>
      </c>
      <c r="AW237" s="12">
        <f>AV237+AW241</f>
        <v>7070</v>
      </c>
      <c r="AX237" s="12">
        <f>AW237+AX241</f>
        <v>7070</v>
      </c>
      <c r="AY237" s="12">
        <f>AX237+AY241</f>
        <v>7070</v>
      </c>
      <c r="AZ237" s="12">
        <f>AY237+AZ241</f>
        <v>7070</v>
      </c>
      <c r="BA237" s="12">
        <f>AZ237</f>
        <v>7070</v>
      </c>
      <c r="BB237" s="12">
        <f>BA237+BB241</f>
        <v>7070</v>
      </c>
      <c r="BC237" s="12">
        <f>BB237+BC241</f>
        <v>7070</v>
      </c>
      <c r="BD237" s="12">
        <f>BC237+BD241</f>
        <v>7070</v>
      </c>
      <c r="BE237" s="12">
        <f>BD237+BE241</f>
        <v>7070</v>
      </c>
      <c r="BF237" s="12">
        <f>BE237</f>
        <v>7070</v>
      </c>
      <c r="BG237" s="12" t="n"/>
      <c r="BH237" s="12" t="n"/>
      <c r="BI237" s="12" t="n"/>
      <c r="BJ237" s="12" t="n"/>
      <c r="BK237" s="12" t="n"/>
      <c r="BL237" s="12" t="n"/>
      <c r="BM237" s="12" t="n"/>
      <c r="BN237" s="12" t="n"/>
      <c r="BO237" s="12" t="n"/>
      <c r="BP237" s="12" t="n"/>
      <c r="BQ237" s="12" t="n"/>
      <c r="BR237" s="12" t="n"/>
      <c r="BS237" s="12" t="n"/>
      <c r="BT237" s="12" t="n"/>
      <c r="BU237" s="12" t="n"/>
      <c r="BV237" s="12" t="n"/>
      <c r="BW237" s="12" t="n"/>
      <c r="BX237" s="12" t="n"/>
      <c r="BY237" s="12" t="n"/>
      <c r="BZ237" s="12" t="n"/>
      <c r="CA237" s="12" t="n"/>
      <c r="CB237" s="12" t="n"/>
      <c r="CC237" s="12" t="n"/>
      <c r="CD237" s="12" t="n"/>
      <c r="CE237" s="12" t="n"/>
      <c r="CF237" s="12" t="n"/>
      <c r="CG237" s="12" t="n"/>
      <c r="CH237" s="12" t="n"/>
      <c r="CI237" s="12" t="n"/>
      <c r="CJ237" s="12" t="n"/>
      <c r="CK237" s="12" t="n"/>
      <c r="CL237" s="12" t="n"/>
      <c r="CM237" s="12" t="n"/>
      <c r="CN237" s="12" t="n"/>
      <c r="CO237" s="12" t="n"/>
      <c r="CP237" s="12" t="n"/>
      <c r="CQ237" s="12" t="n"/>
      <c r="CR237" s="12" t="n"/>
      <c r="CS237" s="12" t="n"/>
      <c r="CT237" s="12" t="n"/>
      <c r="CU237" s="12" t="n"/>
      <c r="CV237" s="12" t="n"/>
      <c r="CW237" s="12" t="n"/>
      <c r="CX237" s="12" t="n"/>
      <c r="CY237" s="12" t="n"/>
    </row>
    <row r="238" hidden="1" outlineLevel="1" customFormat="1" s="66">
      <c r="A238" s="37" t="n"/>
      <c r="B238" s="37" t="n"/>
      <c r="C238" s="67" t="n"/>
      <c r="D238" s="42" t="n"/>
      <c r="E238" s="42" t="n"/>
      <c r="F238" s="42" t="n"/>
      <c r="G238" s="42" t="n"/>
      <c r="H238" s="42" t="n"/>
      <c r="I238" s="42" t="n"/>
      <c r="J238" s="42" t="n"/>
      <c r="K238" s="42" t="n"/>
      <c r="L238" s="42" t="n"/>
      <c r="M238" s="42" t="n"/>
      <c r="N238" s="42" t="n"/>
      <c r="O238" s="42" t="n"/>
      <c r="P238" s="42" t="n"/>
      <c r="Q238" s="42" t="n"/>
      <c r="R238" s="42" t="n"/>
      <c r="S238" s="42" t="n"/>
      <c r="T238" s="42" t="n"/>
      <c r="U238" s="42" t="n"/>
      <c r="V238" s="42" t="n"/>
      <c r="W238" s="42" t="n"/>
      <c r="X238" s="42" t="n"/>
      <c r="Y238" s="42" t="n"/>
      <c r="Z238" s="42" t="n"/>
      <c r="AA238" s="42" t="n"/>
      <c r="AB238" s="42" t="n"/>
      <c r="AC238" s="42" t="n"/>
      <c r="AD238" s="42" t="n"/>
      <c r="AE238" s="42" t="n"/>
      <c r="AF238" s="42" t="n"/>
      <c r="AG238" s="42" t="n"/>
      <c r="AH238" s="42" t="n"/>
      <c r="AI238" s="42" t="n"/>
      <c r="AJ238" s="42" t="n"/>
      <c r="AK238" s="42" t="n"/>
      <c r="AL238" s="42" t="n"/>
      <c r="AM238" s="42" t="n"/>
      <c r="AN238" s="42" t="n"/>
      <c r="AO238" s="42" t="n"/>
      <c r="AP238" s="42" t="n"/>
      <c r="AQ238" s="42" t="n"/>
      <c r="AR238" s="42" t="n"/>
      <c r="AS238" s="42" t="n"/>
      <c r="AT238" s="42" t="n"/>
      <c r="AU238" s="42" t="n"/>
      <c r="AV238" s="42" t="n"/>
      <c r="AW238" s="42" t="n"/>
      <c r="AX238" s="42" t="n"/>
      <c r="AY238" s="42" t="n"/>
      <c r="AZ238" s="42" t="n"/>
      <c r="BA238" s="42" t="n"/>
      <c r="BB238" s="42" t="n"/>
      <c r="BC238" s="42" t="n"/>
      <c r="BD238" s="42" t="n"/>
      <c r="BE238" s="42" t="n"/>
      <c r="BF238" s="42" t="n"/>
      <c r="BG238" s="42" t="n"/>
      <c r="BH238" s="42" t="n"/>
      <c r="BI238" s="42" t="n"/>
      <c r="BJ238" s="42" t="n"/>
      <c r="BK238" s="42" t="n"/>
      <c r="BL238" s="42" t="n"/>
      <c r="BM238" s="42" t="n"/>
      <c r="BN238" s="42" t="n"/>
      <c r="BO238" s="42" t="n"/>
      <c r="BP238" s="42" t="n"/>
      <c r="BQ238" s="42" t="n"/>
      <c r="BR238" s="42" t="n"/>
      <c r="BS238" s="42" t="n"/>
      <c r="BT238" s="42" t="n"/>
      <c r="BU238" s="42" t="n"/>
      <c r="BV238" s="42" t="n"/>
      <c r="BW238" s="42" t="n"/>
      <c r="BX238" s="42" t="n"/>
      <c r="BY238" s="42" t="n"/>
      <c r="BZ238" s="42" t="n"/>
      <c r="CA238" s="42" t="n"/>
      <c r="CB238" s="42" t="n"/>
      <c r="CC238" s="42" t="n"/>
      <c r="CD238" s="42" t="n"/>
      <c r="CE238" s="42" t="n"/>
      <c r="CF238" s="42" t="n"/>
      <c r="CG238" s="42" t="n"/>
      <c r="CH238" s="42" t="n"/>
      <c r="CI238" s="42" t="n"/>
      <c r="CJ238" s="42" t="n"/>
      <c r="CK238" s="42" t="n"/>
      <c r="CL238" s="42" t="n"/>
      <c r="CM238" s="42" t="n"/>
      <c r="CN238" s="42" t="n"/>
      <c r="CO238" s="42" t="n"/>
      <c r="CP238" s="42" t="n"/>
      <c r="CQ238" s="42" t="n"/>
      <c r="CR238" s="42" t="n"/>
      <c r="CS238" s="42" t="n"/>
      <c r="CT238" s="42" t="n"/>
      <c r="CU238" s="42" t="n"/>
      <c r="CV238" s="42" t="n"/>
      <c r="CW238" s="42" t="n"/>
      <c r="CX238" s="42" t="n"/>
      <c r="CY238" s="42" t="n"/>
    </row>
    <row r="239" hidden="1" outlineLevel="1" customFormat="1" s="66">
      <c r="A239" s="37" t="n"/>
      <c r="B239" s="37" t="n"/>
      <c r="C239" s="67" t="inlineStr">
        <is>
          <t>Diluted Shares outstanding</t>
        </is>
      </c>
      <c r="D239" s="42" t="n"/>
      <c r="E239" s="42" t="n"/>
      <c r="F239" s="42" t="n"/>
      <c r="G239" s="42" t="n"/>
      <c r="H239" s="42" t="n"/>
      <c r="I239" s="42" t="n"/>
      <c r="J239" s="42" t="n"/>
      <c r="K239" s="42" t="n"/>
      <c r="L239" s="42" t="n"/>
      <c r="M239" s="42" t="n"/>
      <c r="N239" s="42" t="n"/>
      <c r="O239" s="42" t="n"/>
      <c r="P239" s="42" t="n"/>
      <c r="Q239" s="42" t="n"/>
      <c r="R239" s="42" t="n"/>
      <c r="S239" s="42" t="n"/>
      <c r="T239" s="42" t="n"/>
      <c r="U239" s="42" t="n"/>
      <c r="V239" s="42" t="n"/>
      <c r="W239" s="42" t="n"/>
      <c r="X239" s="42" t="n"/>
      <c r="Y239" s="42" t="n"/>
      <c r="Z239" s="42" t="n"/>
      <c r="AA239" s="42" t="n"/>
      <c r="AB239" s="42" t="n"/>
      <c r="AC239" s="42" t="n"/>
      <c r="AD239" s="42" t="n"/>
      <c r="AE239" s="42" t="n"/>
      <c r="AF239" s="42" t="n"/>
      <c r="AG239" s="42" t="n"/>
      <c r="AH239" s="42" t="n"/>
      <c r="AI239" s="42" t="n"/>
      <c r="AJ239" s="42" t="n"/>
      <c r="AK239" s="42" t="n"/>
      <c r="AL239" s="42" t="n"/>
      <c r="AM239" s="42" t="n"/>
      <c r="AN239" s="42" t="n"/>
      <c r="AO239" s="42" t="n"/>
      <c r="AP239" s="42" t="n"/>
      <c r="AQ239" s="42" t="n"/>
      <c r="AR239" s="42" t="n"/>
      <c r="AS239" s="42" t="n"/>
      <c r="AT239" s="42" t="n"/>
      <c r="AU239" s="42" t="n"/>
      <c r="AV239" s="42" t="n"/>
      <c r="AW239" s="42" t="n"/>
      <c r="AX239" s="42" t="n"/>
      <c r="AY239" s="42" t="n"/>
      <c r="AZ239" s="42" t="n"/>
      <c r="BA239" s="42" t="n"/>
      <c r="BB239" s="42" t="n"/>
      <c r="BC239" s="42" t="n"/>
      <c r="BD239" s="42" t="n"/>
      <c r="BE239" s="42" t="n"/>
      <c r="BF239" s="42" t="n"/>
      <c r="BG239" s="42" t="n"/>
      <c r="BH239" s="42" t="n"/>
      <c r="BI239" s="42" t="n"/>
      <c r="BJ239" s="42" t="n"/>
      <c r="BK239" s="42" t="n"/>
      <c r="BL239" s="42" t="n"/>
      <c r="BM239" s="42" t="n"/>
      <c r="BN239" s="42" t="n"/>
      <c r="BO239" s="42" t="n"/>
      <c r="BP239" s="42" t="n"/>
      <c r="BQ239" s="42" t="n"/>
      <c r="BR239" s="42" t="n"/>
      <c r="BS239" s="42" t="n"/>
      <c r="BT239" s="42" t="n"/>
      <c r="BU239" s="42" t="n"/>
      <c r="BV239" s="42" t="n"/>
      <c r="BW239" s="42" t="n"/>
      <c r="BX239" s="42" t="n"/>
      <c r="BY239" s="42" t="n"/>
      <c r="BZ239" s="42" t="n"/>
      <c r="CA239" s="42" t="n"/>
      <c r="CB239" s="42" t="n"/>
      <c r="CC239" s="42" t="n"/>
      <c r="CD239" s="42" t="n"/>
      <c r="CE239" s="42" t="n"/>
      <c r="CF239" s="42" t="n"/>
      <c r="CG239" s="42" t="n"/>
      <c r="CH239" s="42" t="n"/>
      <c r="CI239" s="42" t="n"/>
      <c r="CJ239" s="42" t="n"/>
      <c r="CK239" s="42" t="n"/>
      <c r="CL239" s="42" t="n"/>
      <c r="CM239" s="42" t="n"/>
      <c r="CN239" s="42" t="n"/>
      <c r="CO239" s="42" t="n"/>
      <c r="CP239" s="42" t="n"/>
      <c r="CQ239" s="42" t="n"/>
      <c r="CR239" s="42" t="n"/>
      <c r="CS239" s="42" t="n"/>
      <c r="CT239" s="42" t="n"/>
      <c r="CU239" s="42" t="n"/>
      <c r="CV239" s="42" t="n"/>
      <c r="CW239" s="42" t="n"/>
      <c r="CX239" s="42" t="n"/>
      <c r="CY239" s="42" t="n"/>
    </row>
    <row r="240" hidden="1" outlineLevel="1" customFormat="1" s="66">
      <c r="A240" s="37" t="n"/>
      <c r="B240" s="37" t="n"/>
      <c r="C240" s="67" t="inlineStr">
        <is>
          <t>Treasury share $ repurchases</t>
        </is>
      </c>
      <c r="D240" s="42" t="n"/>
      <c r="E240" s="42" t="n"/>
      <c r="F240" s="42" t="n"/>
      <c r="G240" s="42" t="n"/>
      <c r="H240" s="42" t="n"/>
      <c r="I240" s="42" t="n"/>
      <c r="J240" s="42" t="n"/>
      <c r="K240" s="42" t="n"/>
      <c r="L240" s="42" t="n"/>
      <c r="M240" s="42" t="n"/>
      <c r="N240" s="42" t="n"/>
      <c r="O240" s="42" t="n"/>
      <c r="P240" s="42" t="n"/>
      <c r="Q240" s="42" t="n"/>
      <c r="R240" s="42" t="n"/>
      <c r="S240" s="42" t="n"/>
      <c r="T240" s="42" t="n"/>
      <c r="U240" s="42" t="n"/>
      <c r="V240" s="42" t="n"/>
      <c r="W240" s="42" t="n"/>
      <c r="X240" s="42" t="n"/>
      <c r="Y240" s="42" t="n"/>
      <c r="Z240" s="42" t="n"/>
      <c r="AA240" s="42" t="n"/>
      <c r="AB240" s="42" t="n"/>
      <c r="AC240" s="42" t="n"/>
      <c r="AD240" s="42" t="n"/>
      <c r="AE240" s="42" t="n"/>
      <c r="AF240" s="42" t="n"/>
      <c r="AG240" s="42" t="n"/>
      <c r="AH240" s="11" t="n"/>
      <c r="AI240" s="11" t="n"/>
      <c r="AJ240" s="11" t="n"/>
      <c r="AK240" s="11" t="n"/>
      <c r="AL240" s="42" t="n"/>
      <c r="AM240" s="11" t="n"/>
      <c r="AN240" s="11" t="n"/>
      <c r="AO240" s="11" t="n"/>
      <c r="AP240" s="11" t="n"/>
      <c r="AQ240" s="42" t="n"/>
      <c r="AR240" s="11" t="n"/>
      <c r="AS240" s="11" t="n"/>
      <c r="AT240" s="11" t="n"/>
      <c r="AU240" s="11" t="n"/>
      <c r="AV240" s="42" t="n"/>
      <c r="AW240" s="11" t="n"/>
      <c r="AX240" s="11" t="n"/>
      <c r="AY240" s="11" t="n"/>
      <c r="AZ240" s="11" t="n"/>
      <c r="BA240" s="42" t="n"/>
      <c r="BB240" s="11" t="n"/>
      <c r="BC240" s="11" t="n"/>
      <c r="BD240" s="11" t="n"/>
      <c r="BE240" s="11" t="n"/>
      <c r="BF240" s="42" t="n"/>
      <c r="BG240" s="11" t="n"/>
      <c r="BH240" s="11" t="n"/>
      <c r="BI240" s="11" t="n"/>
      <c r="BJ240" s="11" t="n"/>
      <c r="BK240" s="42" t="n"/>
      <c r="BL240" s="11" t="n"/>
      <c r="BM240" s="11" t="n"/>
      <c r="BN240" s="11" t="n"/>
      <c r="BO240" s="11" t="n"/>
      <c r="BP240" s="42" t="n"/>
      <c r="BQ240" s="11" t="n"/>
      <c r="BR240" s="11" t="n"/>
      <c r="BS240" s="11" t="n"/>
      <c r="BT240" s="11" t="n"/>
      <c r="BU240" s="42" t="n"/>
      <c r="BV240" s="11" t="n"/>
      <c r="BW240" s="11" t="n"/>
      <c r="BX240" s="11" t="n"/>
      <c r="BY240" s="11" t="n"/>
      <c r="BZ240" s="42" t="n"/>
      <c r="CA240" s="11" t="n"/>
      <c r="CB240" s="11" t="n"/>
      <c r="CC240" s="11" t="n"/>
      <c r="CD240" s="11" t="n"/>
      <c r="CE240" s="42" t="n"/>
      <c r="CF240" s="11" t="n"/>
      <c r="CG240" s="11" t="n"/>
      <c r="CH240" s="11" t="n"/>
      <c r="CI240" s="11" t="n"/>
      <c r="CJ240" s="42" t="n"/>
      <c r="CK240" s="11" t="n"/>
      <c r="CL240" s="11" t="n"/>
      <c r="CM240" s="11" t="n"/>
      <c r="CN240" s="11" t="n"/>
      <c r="CO240" s="42" t="n"/>
      <c r="CP240" s="11" t="n"/>
      <c r="CQ240" s="11" t="n"/>
      <c r="CR240" s="11" t="n"/>
      <c r="CS240" s="11" t="n"/>
      <c r="CT240" s="42" t="n"/>
      <c r="CU240" s="11" t="n"/>
      <c r="CV240" s="11" t="n"/>
      <c r="CW240" s="11" t="n"/>
      <c r="CX240" s="11" t="n"/>
      <c r="CY240" s="42" t="n"/>
    </row>
    <row r="241" hidden="1" outlineLevel="1" customFormat="1" s="66">
      <c r="A241" s="37" t="n"/>
      <c r="B241" s="37" t="n"/>
      <c r="C241" s="67" t="inlineStr">
        <is>
          <t>Value of shares issued</t>
        </is>
      </c>
      <c r="D241" s="42" t="n"/>
      <c r="E241" s="42" t="n"/>
      <c r="F241" s="42" t="n"/>
      <c r="G241" s="42" t="n"/>
      <c r="H241" s="42" t="n"/>
      <c r="I241" s="42" t="n"/>
      <c r="J241" s="42" t="n"/>
      <c r="K241" s="42" t="n"/>
      <c r="L241" s="42" t="n"/>
      <c r="M241" s="42" t="n"/>
      <c r="N241" s="42" t="n"/>
      <c r="O241" s="42" t="n"/>
      <c r="P241" s="42" t="n"/>
      <c r="Q241" s="42" t="n"/>
      <c r="R241" s="42" t="n"/>
      <c r="S241" s="42" t="n"/>
      <c r="T241" s="42" t="n"/>
      <c r="U241" s="42" t="n"/>
      <c r="V241" s="42" t="n"/>
      <c r="W241" s="42" t="n"/>
      <c r="X241" s="42" t="n"/>
      <c r="Y241" s="42" t="n"/>
      <c r="Z241" s="42" t="n"/>
      <c r="AA241" s="42" t="n"/>
      <c r="AB241" s="42" t="n"/>
      <c r="AC241" s="42" t="n"/>
      <c r="AD241" s="42" t="n"/>
      <c r="AE241" s="42" t="n"/>
      <c r="AF241" s="42" t="n"/>
      <c r="AG241" s="42" t="n"/>
      <c r="AH241" s="11" t="n"/>
      <c r="AI241" s="11" t="n"/>
      <c r="AJ241" s="11" t="n"/>
      <c r="AK241" s="11" t="n"/>
      <c r="AL241" s="42" t="n"/>
      <c r="AM241" s="11" t="n"/>
      <c r="AN241" s="11" t="n"/>
      <c r="AO241" s="11" t="n"/>
      <c r="AP241" s="11" t="n"/>
      <c r="AQ241" s="42" t="n"/>
      <c r="AR241" s="11" t="n"/>
      <c r="AS241" s="11" t="n"/>
      <c r="AT241" s="11" t="n"/>
      <c r="AU241" s="11" t="n"/>
      <c r="AV241" s="42" t="n"/>
      <c r="AW241" s="11" t="n"/>
      <c r="AX241" s="11" t="n"/>
      <c r="AY241" s="11" t="n"/>
      <c r="AZ241" s="11" t="n"/>
      <c r="BA241" s="42" t="n"/>
      <c r="BB241" s="11" t="n"/>
      <c r="BC241" s="11" t="n"/>
      <c r="BD241" s="11" t="n"/>
      <c r="BE241" s="11" t="n"/>
      <c r="BF241" s="42" t="n"/>
      <c r="BG241" s="11" t="n"/>
      <c r="BH241" s="11" t="n"/>
      <c r="BI241" s="11" t="n"/>
      <c r="BJ241" s="11" t="n"/>
      <c r="BK241" s="42" t="n"/>
      <c r="BL241" s="11" t="n"/>
      <c r="BM241" s="11" t="n"/>
      <c r="BN241" s="11" t="n"/>
      <c r="BO241" s="11" t="n"/>
      <c r="BP241" s="42" t="n"/>
      <c r="BQ241" s="11" t="n"/>
      <c r="BR241" s="11" t="n"/>
      <c r="BS241" s="11" t="n"/>
      <c r="BT241" s="11" t="n"/>
      <c r="BU241" s="42" t="n"/>
      <c r="BV241" s="11" t="n"/>
      <c r="BW241" s="11" t="n"/>
      <c r="BX241" s="11" t="n"/>
      <c r="BY241" s="11" t="n"/>
      <c r="BZ241" s="42" t="n"/>
      <c r="CA241" s="11" t="n"/>
      <c r="CB241" s="11" t="n"/>
      <c r="CC241" s="11" t="n"/>
      <c r="CD241" s="11" t="n"/>
      <c r="CE241" s="42" t="n"/>
      <c r="CF241" s="11" t="n"/>
      <c r="CG241" s="11" t="n"/>
      <c r="CH241" s="11" t="n"/>
      <c r="CI241" s="11" t="n"/>
      <c r="CJ241" s="42" t="n"/>
      <c r="CK241" s="11" t="n"/>
      <c r="CL241" s="11" t="n"/>
      <c r="CM241" s="11" t="n"/>
      <c r="CN241" s="11" t="n"/>
      <c r="CO241" s="42" t="n"/>
      <c r="CP241" s="11" t="n"/>
      <c r="CQ241" s="11" t="n"/>
      <c r="CR241" s="11" t="n"/>
      <c r="CS241" s="11" t="n"/>
      <c r="CT241" s="42" t="n"/>
      <c r="CU241" s="11" t="n"/>
      <c r="CV241" s="11" t="n"/>
      <c r="CW241" s="11" t="n"/>
      <c r="CX241" s="11" t="n"/>
      <c r="CY241" s="42" t="n"/>
    </row>
    <row r="242" hidden="1" outlineLevel="1" customFormat="1" s="66">
      <c r="A242" s="37" t="n"/>
      <c r="B242" s="37" t="n"/>
      <c r="C242" s="67" t="inlineStr">
        <is>
          <t>Expected average share price</t>
        </is>
      </c>
      <c r="D242" s="42" t="n"/>
      <c r="E242" s="42" t="n"/>
      <c r="F242" s="42" t="n"/>
      <c r="G242" s="42" t="n"/>
      <c r="H242" s="42" t="n"/>
      <c r="I242" s="42" t="n"/>
      <c r="J242" s="42" t="n"/>
      <c r="K242" s="42" t="n"/>
      <c r="L242" s="42" t="n"/>
      <c r="M242" s="42" t="n"/>
      <c r="N242" s="42" t="n"/>
      <c r="O242" s="42" t="n"/>
      <c r="P242" s="42" t="n"/>
      <c r="Q242" s="42" t="n"/>
      <c r="R242" s="42" t="n"/>
      <c r="S242" s="42" t="n"/>
      <c r="T242" s="42" t="n"/>
      <c r="U242" s="42" t="n"/>
      <c r="V242" s="42" t="n"/>
      <c r="W242" s="42" t="n"/>
      <c r="X242" s="42" t="n"/>
      <c r="Y242" s="42" t="n"/>
      <c r="Z242" s="42" t="n"/>
      <c r="AA242" s="42" t="n"/>
      <c r="AB242" s="42" t="n"/>
      <c r="AC242" s="42" t="n"/>
      <c r="AD242" s="42" t="n"/>
      <c r="AE242" s="42" t="n"/>
      <c r="AF242" s="42" t="n"/>
      <c r="AG242" s="42" t="n"/>
      <c r="AH242" s="68">
        <f>AF242*(1+AH243)</f>
        <v>0</v>
      </c>
      <c r="AI242" s="68">
        <f>AH242*(1+AI243)</f>
        <v>0</v>
      </c>
      <c r="AJ242" s="68">
        <f>AH242*(1+AJ243)</f>
        <v>0</v>
      </c>
      <c r="AK242" s="68">
        <f>AJ242*(1+AK243)</f>
        <v>0</v>
      </c>
      <c r="AL242" s="42" t="n"/>
      <c r="AM242" s="68">
        <f>AK242*(1+AM243)</f>
        <v>0</v>
      </c>
      <c r="AN242" s="68">
        <f>AM242*(1+AN243)</f>
        <v>0</v>
      </c>
      <c r="AO242" s="68">
        <f>AM242*(1+AO243)</f>
        <v>0</v>
      </c>
      <c r="AP242" s="68">
        <f>AO242*(1+AP243)</f>
        <v>0</v>
      </c>
      <c r="AQ242" s="42" t="n"/>
      <c r="AR242" s="68">
        <f>AP242*(1+AR243)</f>
        <v>0</v>
      </c>
      <c r="AS242" s="68">
        <f>AR242*(1+AS243)</f>
        <v>0</v>
      </c>
      <c r="AT242" s="68">
        <f>AR242*(1+AT243)</f>
        <v>0</v>
      </c>
      <c r="AU242" s="68">
        <f>AT242*(1+AU243)</f>
        <v>0</v>
      </c>
      <c r="AV242" s="42" t="n"/>
      <c r="AW242" s="68">
        <f>AU242*(1+AW243)</f>
        <v>0</v>
      </c>
      <c r="AX242" s="68">
        <f>AW242*(1+AX243)</f>
        <v>0</v>
      </c>
      <c r="AY242" s="68">
        <f>AW242*(1+AY243)</f>
        <v>0</v>
      </c>
      <c r="AZ242" s="68">
        <f>AY242*(1+AZ243)</f>
        <v>0</v>
      </c>
      <c r="BA242" s="42" t="n"/>
      <c r="BB242" s="68">
        <f>AZ242*(1+BB243)</f>
        <v>0</v>
      </c>
      <c r="BC242" s="68">
        <f>BB242*(1+BC243)</f>
        <v>0</v>
      </c>
      <c r="BD242" s="68">
        <f>BB242*(1+BD243)</f>
        <v>0</v>
      </c>
      <c r="BE242" s="68">
        <f>BD242*(1+BE243)</f>
        <v>0</v>
      </c>
      <c r="BF242" s="42" t="n"/>
      <c r="BG242" s="68" t="n"/>
      <c r="BH242" s="68" t="n"/>
      <c r="BI242" s="68" t="n"/>
      <c r="BJ242" s="68" t="n"/>
      <c r="BK242" s="42" t="n"/>
      <c r="BL242" s="68" t="n"/>
      <c r="BM242" s="68" t="n"/>
      <c r="BN242" s="68" t="n"/>
      <c r="BO242" s="68" t="n"/>
      <c r="BP242" s="42" t="n"/>
      <c r="BQ242" s="68" t="n"/>
      <c r="BR242" s="68" t="n"/>
      <c r="BS242" s="68" t="n"/>
      <c r="BT242" s="68" t="n"/>
      <c r="BU242" s="42" t="n"/>
      <c r="BV242" s="68" t="n"/>
      <c r="BW242" s="68" t="n"/>
      <c r="BX242" s="68" t="n"/>
      <c r="BY242" s="68" t="n"/>
      <c r="BZ242" s="42" t="n"/>
      <c r="CA242" s="68" t="n"/>
      <c r="CB242" s="68" t="n"/>
      <c r="CC242" s="68" t="n"/>
      <c r="CD242" s="68" t="n"/>
      <c r="CE242" s="42" t="n"/>
      <c r="CF242" s="68" t="n"/>
      <c r="CG242" s="68" t="n"/>
      <c r="CH242" s="68" t="n"/>
      <c r="CI242" s="68" t="n"/>
      <c r="CJ242" s="42" t="n"/>
      <c r="CK242" s="68" t="n"/>
      <c r="CL242" s="68" t="n"/>
      <c r="CM242" s="68" t="n"/>
      <c r="CN242" s="68" t="n"/>
      <c r="CO242" s="42" t="n"/>
      <c r="CP242" s="68" t="n"/>
      <c r="CQ242" s="68" t="n"/>
      <c r="CR242" s="68" t="n"/>
      <c r="CS242" s="68" t="n"/>
      <c r="CT242" s="42" t="n"/>
      <c r="CU242" s="68" t="n"/>
      <c r="CV242" s="68" t="n"/>
      <c r="CW242" s="68" t="n"/>
      <c r="CX242" s="68" t="n"/>
      <c r="CY242" s="42" t="n"/>
    </row>
    <row r="243" hidden="1" outlineLevel="1" customFormat="1" s="66">
      <c r="A243" s="37" t="n"/>
      <c r="B243" s="37" t="n"/>
      <c r="C243" s="67" t="inlineStr">
        <is>
          <t>Consensus EPS growth</t>
        </is>
      </c>
      <c r="D243" s="42" t="n"/>
      <c r="E243" s="42" t="n"/>
      <c r="F243" s="42" t="n"/>
      <c r="G243" s="42" t="n"/>
      <c r="H243" s="42" t="n"/>
      <c r="I243" s="42" t="n"/>
      <c r="J243" s="42" t="n"/>
      <c r="K243" s="42" t="n"/>
      <c r="L243" s="42" t="n"/>
      <c r="M243" s="42" t="n"/>
      <c r="N243" s="42" t="n"/>
      <c r="O243" s="42" t="n"/>
      <c r="P243" s="42" t="n"/>
      <c r="Q243" s="42" t="n"/>
      <c r="R243" s="42" t="n"/>
      <c r="S243" s="42" t="n"/>
      <c r="T243" s="42" t="n"/>
      <c r="U243" s="42" t="n"/>
      <c r="V243" s="42" t="n"/>
      <c r="W243" s="42" t="n"/>
      <c r="X243" s="42" t="n"/>
      <c r="Y243" s="42" t="n"/>
      <c r="Z243" s="42" t="n"/>
      <c r="AA243" s="42" t="n"/>
      <c r="AB243" s="42" t="n"/>
      <c r="AC243" s="42" t="n"/>
      <c r="AD243" s="42" t="n"/>
      <c r="AE243" s="42" t="n"/>
      <c r="AF243" s="42" t="n"/>
      <c r="AG243" s="42" t="n"/>
      <c r="AH243" s="58">
        <f>$AL$248</f>
        <v>0</v>
      </c>
      <c r="AI243" s="58">
        <f>$AL$248</f>
        <v>0</v>
      </c>
      <c r="AJ243" s="58">
        <f>$AL$248</f>
        <v>0</v>
      </c>
      <c r="AK243" s="58">
        <f>$AL$248</f>
        <v>0</v>
      </c>
      <c r="AL243" s="42" t="n"/>
      <c r="AM243" s="58">
        <f>$AL$248</f>
        <v>0</v>
      </c>
      <c r="AN243" s="58">
        <f>$AL$248</f>
        <v>0</v>
      </c>
      <c r="AO243" s="58">
        <f>$AL$248</f>
        <v>0</v>
      </c>
      <c r="AP243" s="58">
        <f>$AL$248</f>
        <v>0</v>
      </c>
      <c r="AQ243" s="42" t="n"/>
      <c r="AR243" s="58">
        <f>$AL$248</f>
        <v>0</v>
      </c>
      <c r="AS243" s="58">
        <f>$AL$248</f>
        <v>0</v>
      </c>
      <c r="AT243" s="58">
        <f>$AL$248</f>
        <v>0</v>
      </c>
      <c r="AU243" s="58">
        <f>$AL$248</f>
        <v>0</v>
      </c>
      <c r="AV243" s="42" t="n"/>
      <c r="AW243" s="58">
        <f>$AL$248</f>
        <v>0</v>
      </c>
      <c r="AX243" s="58">
        <f>$AL$248</f>
        <v>0</v>
      </c>
      <c r="AY243" s="58">
        <f>$AL$248</f>
        <v>0</v>
      </c>
      <c r="AZ243" s="58">
        <f>$AL$248</f>
        <v>0</v>
      </c>
      <c r="BA243" s="42" t="n"/>
      <c r="BB243" s="58">
        <f>$AL$248</f>
        <v>0</v>
      </c>
      <c r="BC243" s="58">
        <f>$AL$248</f>
        <v>0</v>
      </c>
      <c r="BD243" s="58">
        <f>$AL$248</f>
        <v>0</v>
      </c>
      <c r="BE243" s="58">
        <f>$AL$248</f>
        <v>0</v>
      </c>
      <c r="BF243" s="42" t="n"/>
      <c r="BG243" s="58" t="n"/>
      <c r="BH243" s="58" t="n"/>
      <c r="BI243" s="58" t="n"/>
      <c r="BJ243" s="58" t="n"/>
      <c r="BK243" s="42" t="n"/>
      <c r="BL243" s="58" t="n"/>
      <c r="BM243" s="58" t="n"/>
      <c r="BN243" s="58" t="n"/>
      <c r="BO243" s="58" t="n"/>
      <c r="BP243" s="42" t="n"/>
      <c r="BQ243" s="58" t="n"/>
      <c r="BR243" s="58" t="n"/>
      <c r="BS243" s="58" t="n"/>
      <c r="BT243" s="58" t="n"/>
      <c r="BU243" s="42" t="n"/>
      <c r="BV243" s="58" t="n"/>
      <c r="BW243" s="58" t="n"/>
      <c r="BX243" s="58" t="n"/>
      <c r="BY243" s="58" t="n"/>
      <c r="BZ243" s="42" t="n"/>
      <c r="CA243" s="58" t="n"/>
      <c r="CB243" s="58" t="n"/>
      <c r="CC243" s="58" t="n"/>
      <c r="CD243" s="58" t="n"/>
      <c r="CE243" s="42" t="n"/>
      <c r="CF243" s="58" t="n"/>
      <c r="CG243" s="58" t="n"/>
      <c r="CH243" s="58" t="n"/>
      <c r="CI243" s="58" t="n"/>
      <c r="CJ243" s="42" t="n"/>
      <c r="CK243" s="58" t="n"/>
      <c r="CL243" s="58" t="n"/>
      <c r="CM243" s="58" t="n"/>
      <c r="CN243" s="58" t="n"/>
      <c r="CO243" s="42" t="n"/>
      <c r="CP243" s="58" t="n"/>
      <c r="CQ243" s="58" t="n"/>
      <c r="CR243" s="58" t="n"/>
      <c r="CS243" s="58" t="n"/>
      <c r="CT243" s="42" t="n"/>
      <c r="CU243" s="58" t="n"/>
      <c r="CV243" s="58" t="n"/>
      <c r="CW243" s="58" t="n"/>
      <c r="CX243" s="58" t="n"/>
      <c r="CY243" s="42" t="n"/>
    </row>
    <row r="244" hidden="1" outlineLevel="1" customFormat="1" s="66">
      <c r="A244" s="37" t="n"/>
      <c r="B244" s="37" t="n"/>
      <c r="C244" s="67" t="n"/>
      <c r="D244" s="42" t="n"/>
      <c r="E244" s="42" t="n"/>
      <c r="F244" s="42" t="n"/>
      <c r="G244" s="42" t="n"/>
      <c r="H244" s="42" t="n"/>
      <c r="I244" s="42" t="n"/>
      <c r="J244" s="42" t="n"/>
      <c r="K244" s="42" t="n"/>
      <c r="L244" s="42" t="n"/>
      <c r="M244" s="42" t="n"/>
      <c r="N244" s="42" t="n"/>
      <c r="O244" s="42" t="n"/>
      <c r="P244" s="42" t="n"/>
      <c r="Q244" s="42" t="n"/>
      <c r="R244" s="42" t="n"/>
      <c r="S244" s="42" t="n"/>
      <c r="T244" s="42" t="n"/>
      <c r="U244" s="42" t="n"/>
      <c r="V244" s="42" t="n"/>
      <c r="W244" s="42" t="n"/>
      <c r="X244" s="42" t="n"/>
      <c r="Y244" s="42" t="n"/>
      <c r="Z244" s="42" t="n"/>
      <c r="AA244" s="42" t="n"/>
      <c r="AB244" s="42" t="n"/>
      <c r="AC244" s="42" t="n"/>
      <c r="AD244" s="42" t="n"/>
      <c r="AE244" s="42" t="n"/>
      <c r="AF244" s="42" t="n"/>
      <c r="AG244" s="42" t="n"/>
      <c r="AH244" s="12" t="n"/>
      <c r="AI244" s="12" t="n"/>
      <c r="AJ244" s="12" t="n"/>
      <c r="AK244" s="12" t="n"/>
      <c r="AL244" s="42" t="n"/>
      <c r="AM244" s="12" t="n"/>
      <c r="AN244" s="12" t="n"/>
      <c r="AO244" s="12" t="n"/>
      <c r="AP244" s="12" t="n"/>
      <c r="AQ244" s="42" t="n"/>
      <c r="AR244" s="12" t="n"/>
      <c r="AS244" s="12" t="n"/>
      <c r="AT244" s="12" t="n"/>
      <c r="AU244" s="12" t="n"/>
      <c r="AV244" s="42" t="n"/>
      <c r="AW244" s="12" t="n"/>
      <c r="AX244" s="12" t="n"/>
      <c r="AY244" s="12" t="n"/>
      <c r="AZ244" s="12" t="n"/>
      <c r="BA244" s="42" t="n"/>
      <c r="BB244" s="12" t="n"/>
      <c r="BC244" s="12" t="n"/>
      <c r="BD244" s="12" t="n"/>
      <c r="BE244" s="12" t="n"/>
      <c r="BF244" s="42" t="n"/>
      <c r="BG244" s="12" t="n"/>
      <c r="BH244" s="12" t="n"/>
      <c r="BI244" s="12" t="n"/>
      <c r="BJ244" s="12" t="n"/>
      <c r="BK244" s="42" t="n"/>
      <c r="BL244" s="12" t="n"/>
      <c r="BM244" s="12" t="n"/>
      <c r="BN244" s="12" t="n"/>
      <c r="BO244" s="12" t="n"/>
      <c r="BP244" s="42" t="n"/>
      <c r="BQ244" s="12" t="n"/>
      <c r="BR244" s="12" t="n"/>
      <c r="BS244" s="12" t="n"/>
      <c r="BT244" s="12" t="n"/>
      <c r="BU244" s="42" t="n"/>
      <c r="BV244" s="12" t="n"/>
      <c r="BW244" s="12" t="n"/>
      <c r="BX244" s="12" t="n"/>
      <c r="BY244" s="12" t="n"/>
      <c r="BZ244" s="42" t="n"/>
      <c r="CA244" s="12" t="n"/>
      <c r="CB244" s="12" t="n"/>
      <c r="CC244" s="12" t="n"/>
      <c r="CD244" s="12" t="n"/>
      <c r="CE244" s="42" t="n"/>
      <c r="CF244" s="12" t="n"/>
      <c r="CG244" s="12" t="n"/>
      <c r="CH244" s="12" t="n"/>
      <c r="CI244" s="12" t="n"/>
      <c r="CJ244" s="42" t="n"/>
      <c r="CK244" s="12" t="n"/>
      <c r="CL244" s="12" t="n"/>
      <c r="CM244" s="12" t="n"/>
      <c r="CN244" s="12" t="n"/>
      <c r="CO244" s="42" t="n"/>
      <c r="CP244" s="12" t="n"/>
      <c r="CQ244" s="12" t="n"/>
      <c r="CR244" s="12" t="n"/>
      <c r="CS244" s="12" t="n"/>
      <c r="CT244" s="42" t="n"/>
      <c r="CU244" s="12" t="n"/>
      <c r="CV244" s="12" t="n"/>
      <c r="CW244" s="12" t="n"/>
      <c r="CX244" s="12" t="n"/>
      <c r="CY244" s="42" t="n"/>
    </row>
    <row r="245" hidden="1" outlineLevel="1" customFormat="1" s="66">
      <c r="A245" s="37" t="n"/>
      <c r="B245" s="37" t="n"/>
      <c r="C245" s="67" t="inlineStr">
        <is>
          <t>Shares repurchased</t>
        </is>
      </c>
      <c r="D245" s="42" t="n"/>
      <c r="E245" s="42" t="n"/>
      <c r="F245" s="42" t="n"/>
      <c r="G245" s="42" t="n"/>
      <c r="H245" s="42" t="n"/>
      <c r="I245" s="42" t="n"/>
      <c r="J245" s="42" t="n"/>
      <c r="K245" s="42" t="n"/>
      <c r="L245" s="42" t="n"/>
      <c r="M245" s="42" t="n"/>
      <c r="N245" s="42" t="n"/>
      <c r="O245" s="42" t="n"/>
      <c r="P245" s="42" t="n"/>
      <c r="Q245" s="42" t="n"/>
      <c r="R245" s="42" t="n"/>
      <c r="S245" s="42" t="n"/>
      <c r="T245" s="42" t="n"/>
      <c r="U245" s="42" t="n"/>
      <c r="V245" s="42" t="n"/>
      <c r="W245" s="42" t="n"/>
      <c r="X245" s="42" t="n"/>
      <c r="Y245" s="42" t="n"/>
      <c r="Z245" s="42" t="n"/>
      <c r="AA245" s="42" t="n"/>
      <c r="AB245" s="42" t="n"/>
      <c r="AC245" s="42" t="n"/>
      <c r="AD245" s="42" t="n"/>
      <c r="AE245" s="42" t="n"/>
      <c r="AF245" s="42" t="n"/>
      <c r="AG245" s="42" t="n"/>
      <c r="AH245" s="69" t="str">
        <f>IFERROR(-AH240/AH242,"")</f>
        <v/>
      </c>
      <c r="AI245" s="69" t="str">
        <f>IFERROR(-AI240/AI242,"")</f>
        <v/>
      </c>
      <c r="AJ245" s="69" t="str">
        <f>IFERROR(-AJ240/AJ242,"")</f>
        <v/>
      </c>
      <c r="AK245" s="69" t="str">
        <f>IFERROR(-AK240/AK242,"")</f>
        <v/>
      </c>
      <c r="AL245" s="42" t="n"/>
      <c r="AM245" s="69" t="str">
        <f>IFERROR(-AM240/AM242,"")</f>
        <v/>
      </c>
      <c r="AN245" s="69" t="str">
        <f>IFERROR(-AN240/AN242,"")</f>
        <v/>
      </c>
      <c r="AO245" s="69" t="str">
        <f>IFERROR(-AO240/AO242,"")</f>
        <v/>
      </c>
      <c r="AP245" s="69" t="str">
        <f>IFERROR(-AP240/AP242,"")</f>
        <v/>
      </c>
      <c r="AQ245" s="42" t="n"/>
      <c r="AR245" s="69" t="str">
        <f>IFERROR(-AR240/AR242,"")</f>
        <v/>
      </c>
      <c r="AS245" s="69" t="str">
        <f>IFERROR(-AS240/AS242,"")</f>
        <v/>
      </c>
      <c r="AT245" s="69" t="str">
        <f>IFERROR(-AT240/AT242,"")</f>
        <v/>
      </c>
      <c r="AU245" s="69" t="str">
        <f>IFERROR(-AU240/AU242,"")</f>
        <v/>
      </c>
      <c r="AV245" s="42" t="n"/>
      <c r="AW245" s="69" t="str">
        <f>IFERROR(-AW240/AW242,"")</f>
        <v/>
      </c>
      <c r="AX245" s="69" t="str">
        <f>IFERROR(-AX240/AX242,"")</f>
        <v/>
      </c>
      <c r="AY245" s="69" t="str">
        <f>IFERROR(-AY240/AY242,"")</f>
        <v/>
      </c>
      <c r="AZ245" s="69" t="str">
        <f>IFERROR(-AZ240/AZ242,"")</f>
        <v/>
      </c>
      <c r="BA245" s="42" t="n"/>
      <c r="BB245" s="69" t="str">
        <f>IFERROR(-BB240/BB242,"")</f>
        <v/>
      </c>
      <c r="BC245" s="69" t="str">
        <f>IFERROR(-BC240/BC242,"")</f>
        <v/>
      </c>
      <c r="BD245" s="69" t="str">
        <f>IFERROR(-BD240/BD242,"")</f>
        <v/>
      </c>
      <c r="BE245" s="69" t="str">
        <f>IFERROR(-BE240/BE242,"")</f>
        <v/>
      </c>
      <c r="BF245" s="42" t="n"/>
      <c r="BG245" s="69" t="n"/>
      <c r="BH245" s="69" t="n"/>
      <c r="BI245" s="69" t="n"/>
      <c r="BJ245" s="69" t="n"/>
      <c r="BK245" s="42" t="n"/>
      <c r="BL245" s="69" t="n"/>
      <c r="BM245" s="69" t="n"/>
      <c r="BN245" s="69" t="n"/>
      <c r="BO245" s="69" t="n"/>
      <c r="BP245" s="42" t="n"/>
      <c r="BQ245" s="69" t="n"/>
      <c r="BR245" s="69" t="n"/>
      <c r="BS245" s="69" t="n"/>
      <c r="BT245" s="69" t="n"/>
      <c r="BU245" s="42" t="n"/>
      <c r="BV245" s="69" t="n"/>
      <c r="BW245" s="69" t="n"/>
      <c r="BX245" s="69" t="n"/>
      <c r="BY245" s="69" t="n"/>
      <c r="BZ245" s="42" t="n"/>
      <c r="CA245" s="69" t="n"/>
      <c r="CB245" s="69" t="n"/>
      <c r="CC245" s="69" t="n"/>
      <c r="CD245" s="69" t="n"/>
      <c r="CE245" s="42" t="n"/>
      <c r="CF245" s="69" t="n"/>
      <c r="CG245" s="69" t="n"/>
      <c r="CH245" s="69" t="n"/>
      <c r="CI245" s="69" t="n"/>
      <c r="CJ245" s="42" t="n"/>
      <c r="CK245" s="69" t="n"/>
      <c r="CL245" s="69" t="n"/>
      <c r="CM245" s="69" t="n"/>
      <c r="CN245" s="69" t="n"/>
      <c r="CO245" s="42" t="n"/>
      <c r="CP245" s="69" t="n"/>
      <c r="CQ245" s="69" t="n"/>
      <c r="CR245" s="69" t="n"/>
      <c r="CS245" s="69" t="n"/>
      <c r="CT245" s="42" t="n"/>
      <c r="CU245" s="69" t="n"/>
      <c r="CV245" s="69" t="n"/>
      <c r="CW245" s="69" t="n"/>
      <c r="CX245" s="69" t="n"/>
      <c r="CY245" s="42" t="n"/>
    </row>
    <row r="246" hidden="1" outlineLevel="1" customFormat="1" s="66">
      <c r="A246" s="37" t="n"/>
      <c r="B246" s="37" t="n"/>
      <c r="C246" s="67" t="inlineStr">
        <is>
          <t>Shares issued</t>
        </is>
      </c>
      <c r="D246" s="42" t="n"/>
      <c r="E246" s="42" t="n"/>
      <c r="F246" s="42" t="n"/>
      <c r="G246" s="42" t="n"/>
      <c r="H246" s="42" t="n"/>
      <c r="I246" s="42" t="n"/>
      <c r="J246" s="42" t="n"/>
      <c r="K246" s="42" t="n"/>
      <c r="L246" s="42" t="n"/>
      <c r="M246" s="42" t="n"/>
      <c r="N246" s="42" t="n"/>
      <c r="O246" s="42" t="n"/>
      <c r="P246" s="42" t="n"/>
      <c r="Q246" s="42" t="n"/>
      <c r="R246" s="42" t="n"/>
      <c r="S246" s="42" t="n"/>
      <c r="T246" s="42" t="n"/>
      <c r="U246" s="42" t="n"/>
      <c r="V246" s="42" t="n"/>
      <c r="W246" s="42" t="n"/>
      <c r="X246" s="42" t="n"/>
      <c r="Y246" s="42" t="n"/>
      <c r="Z246" s="42" t="n"/>
      <c r="AA246" s="42" t="n"/>
      <c r="AB246" s="42" t="n"/>
      <c r="AC246" s="42" t="n"/>
      <c r="AD246" s="42" t="n"/>
      <c r="AE246" s="42" t="n"/>
      <c r="AF246" s="9" t="n"/>
      <c r="AG246" s="42" t="n"/>
      <c r="AH246" s="69" t="str">
        <f>IFERROR(AH241/AH242,"")</f>
        <v/>
      </c>
      <c r="AI246" s="69" t="str">
        <f>IFERROR(AI241/AI242,"")</f>
        <v/>
      </c>
      <c r="AJ246" s="69" t="str">
        <f>IFERROR(AJ241/AJ242,"")</f>
        <v/>
      </c>
      <c r="AK246" s="69" t="str">
        <f>IFERROR(AK241/AK242,"")</f>
        <v/>
      </c>
      <c r="AL246" s="42" t="n"/>
      <c r="AM246" s="69" t="str">
        <f>IFERROR(AM241/AM242,"")</f>
        <v/>
      </c>
      <c r="AN246" s="69" t="str">
        <f>IFERROR(AN241/AN242,"")</f>
        <v/>
      </c>
      <c r="AO246" s="69" t="str">
        <f>IFERROR(AO241/AO242,"")</f>
        <v/>
      </c>
      <c r="AP246" s="69" t="str">
        <f>IFERROR(AP241/AP242,"")</f>
        <v/>
      </c>
      <c r="AQ246" s="42" t="n"/>
      <c r="AR246" s="69" t="str">
        <f>IFERROR(AR241/AR242,"")</f>
        <v/>
      </c>
      <c r="AS246" s="69" t="str">
        <f>IFERROR(AS241/AS242,"")</f>
        <v/>
      </c>
      <c r="AT246" s="69" t="str">
        <f>IFERROR(AT241/AT242,"")</f>
        <v/>
      </c>
      <c r="AU246" s="69" t="str">
        <f>IFERROR(AU241/AU242,"")</f>
        <v/>
      </c>
      <c r="AV246" s="42" t="n"/>
      <c r="AW246" s="69" t="str">
        <f>IFERROR(AW241/AW242,"")</f>
        <v/>
      </c>
      <c r="AX246" s="69" t="str">
        <f>IFERROR(AX241/AX242,"")</f>
        <v/>
      </c>
      <c r="AY246" s="69" t="str">
        <f>IFERROR(AY241/AY242,"")</f>
        <v/>
      </c>
      <c r="AZ246" s="69" t="str">
        <f>IFERROR(AZ241/AZ242,"")</f>
        <v/>
      </c>
      <c r="BA246" s="42" t="n"/>
      <c r="BB246" s="69" t="str">
        <f>IFERROR(BB241/BB242,"")</f>
        <v/>
      </c>
      <c r="BC246" s="69" t="str">
        <f>IFERROR(BC241/BC242,"")</f>
        <v/>
      </c>
      <c r="BD246" s="69" t="str">
        <f>IFERROR(BD241/BD242,"")</f>
        <v/>
      </c>
      <c r="BE246" s="69" t="str">
        <f>IFERROR(BE241/BE242,"")</f>
        <v/>
      </c>
      <c r="BF246" s="42" t="n"/>
      <c r="BG246" s="69" t="n"/>
      <c r="BH246" s="69" t="n"/>
      <c r="BI246" s="69" t="n"/>
      <c r="BJ246" s="69" t="n"/>
      <c r="BK246" s="42" t="n"/>
      <c r="BL246" s="69" t="n"/>
      <c r="BM246" s="69" t="n"/>
      <c r="BN246" s="69" t="n"/>
      <c r="BO246" s="69" t="n"/>
      <c r="BP246" s="42" t="n"/>
      <c r="BQ246" s="69" t="n"/>
      <c r="BR246" s="69" t="n"/>
      <c r="BS246" s="69" t="n"/>
      <c r="BT246" s="69" t="n"/>
      <c r="BU246" s="42" t="n"/>
      <c r="BV246" s="69" t="n"/>
      <c r="BW246" s="69" t="n"/>
      <c r="BX246" s="69" t="n"/>
      <c r="BY246" s="69" t="n"/>
      <c r="BZ246" s="42" t="n"/>
      <c r="CA246" s="69" t="n"/>
      <c r="CB246" s="69" t="n"/>
      <c r="CC246" s="69" t="n"/>
      <c r="CD246" s="69" t="n"/>
      <c r="CE246" s="42" t="n"/>
      <c r="CF246" s="69" t="n"/>
      <c r="CG246" s="69" t="n"/>
      <c r="CH246" s="69" t="n"/>
      <c r="CI246" s="69" t="n"/>
      <c r="CJ246" s="42" t="n"/>
      <c r="CK246" s="69" t="n"/>
      <c r="CL246" s="69" t="n"/>
      <c r="CM246" s="69" t="n"/>
      <c r="CN246" s="69" t="n"/>
      <c r="CO246" s="42" t="n"/>
      <c r="CP246" s="69" t="n"/>
      <c r="CQ246" s="69" t="n"/>
      <c r="CR246" s="69" t="n"/>
      <c r="CS246" s="69" t="n"/>
      <c r="CT246" s="42" t="n"/>
      <c r="CU246" s="69" t="n"/>
      <c r="CV246" s="69" t="n"/>
      <c r="CW246" s="69" t="n"/>
      <c r="CX246" s="69" t="n"/>
      <c r="CY246" s="42" t="n"/>
    </row>
    <row r="247" hidden="1" outlineLevel="1" customFormat="1" s="66">
      <c r="A247" s="37" t="n"/>
      <c r="B247" s="37" t="n"/>
      <c r="C247" s="67" t="inlineStr">
        <is>
          <t>End of period basic shares outstanding</t>
        </is>
      </c>
      <c r="D247" s="42" t="n"/>
      <c r="E247" s="42" t="n"/>
      <c r="F247" s="42" t="n"/>
      <c r="G247" s="42" t="n"/>
      <c r="H247" s="42" t="n"/>
      <c r="I247" s="42" t="n"/>
      <c r="J247" s="42" t="n"/>
      <c r="K247" s="42" t="n"/>
      <c r="L247" s="42" t="n"/>
      <c r="M247" s="42" t="n"/>
      <c r="N247" s="42" t="n"/>
      <c r="O247" s="42" t="n"/>
      <c r="P247" s="42" t="n"/>
      <c r="Q247" s="42" t="n"/>
      <c r="R247" s="42" t="n"/>
      <c r="S247" s="42" t="n"/>
      <c r="T247" s="42" t="n"/>
      <c r="U247" s="42" t="n"/>
      <c r="V247" s="42" t="n"/>
      <c r="W247" s="42" t="n"/>
      <c r="X247" s="42" t="n"/>
      <c r="Y247" s="42" t="n"/>
      <c r="Z247" s="42" t="n"/>
      <c r="AA247" s="42" t="n"/>
      <c r="AB247" s="42" t="n"/>
      <c r="AC247" s="42" t="n"/>
      <c r="AD247" s="42" t="n"/>
      <c r="AE247" s="42" t="n"/>
      <c r="AF247" s="42" t="n"/>
      <c r="AG247" s="42" t="n"/>
      <c r="AH247" s="3" t="str">
        <f>IFERROR(AG247+AH246-AH245,"")</f>
        <v/>
      </c>
      <c r="AI247" s="3" t="str">
        <f>IFERROR(AH247+AI246-AI245,"")</f>
        <v/>
      </c>
      <c r="AJ247" s="69" t="str">
        <f>IFERROR(AH247+AJ246-AJ245,"")</f>
        <v/>
      </c>
      <c r="AK247" s="69" t="str">
        <f>IFERROR(AJ247+AK246-AK245,"")</f>
        <v/>
      </c>
      <c r="AL247" s="42" t="n"/>
      <c r="AM247" s="3" t="str">
        <f>IFERROR(AK247+AM246-AM245,"")</f>
        <v/>
      </c>
      <c r="AN247" s="3" t="str">
        <f>IFERROR(AM247+AN246-AN245,"")</f>
        <v/>
      </c>
      <c r="AO247" s="69" t="str">
        <f>IFERROR(AM247+AO246-AO245,"")</f>
        <v/>
      </c>
      <c r="AP247" s="69" t="str">
        <f>IFERROR(AO247+AP246-AP245,"")</f>
        <v/>
      </c>
      <c r="AQ247" s="42" t="n"/>
      <c r="AR247" s="3" t="str">
        <f>IFERROR(AP247+AR246-AR245,"")</f>
        <v/>
      </c>
      <c r="AS247" s="3" t="str">
        <f>IFERROR(AR247+AS246-AS245,"")</f>
        <v/>
      </c>
      <c r="AT247" s="69" t="str">
        <f>IFERROR(AR247+AT246-AT245,"")</f>
        <v/>
      </c>
      <c r="AU247" s="69" t="str">
        <f>IFERROR(AT247+AU246-AU245,"")</f>
        <v/>
      </c>
      <c r="AV247" s="42" t="n"/>
      <c r="AW247" s="3" t="str">
        <f>IFERROR(AU247+AW246-AW245,"")</f>
        <v/>
      </c>
      <c r="AX247" s="3" t="str">
        <f>IFERROR(AW247+AX246-AX245,"")</f>
        <v/>
      </c>
      <c r="AY247" s="69" t="str">
        <f>IFERROR(AW247+AY246-AY245,"")</f>
        <v/>
      </c>
      <c r="AZ247" s="69" t="str">
        <f>IFERROR(AY247+AZ246-AZ245,"")</f>
        <v/>
      </c>
      <c r="BA247" s="42" t="n"/>
      <c r="BB247" s="3" t="str">
        <f>IFERROR(AZ247+BB246-BB245,"")</f>
        <v/>
      </c>
      <c r="BC247" s="3" t="str">
        <f>IFERROR(BB247+BC246-BC245,"")</f>
        <v/>
      </c>
      <c r="BD247" s="69" t="str">
        <f>IFERROR(BB247+BD246-BD245,"")</f>
        <v/>
      </c>
      <c r="BE247" s="69" t="str">
        <f>IFERROR(BD247+BE246-BE245,"")</f>
        <v/>
      </c>
      <c r="BF247" s="42" t="n"/>
      <c r="BG247" s="3" t="n"/>
      <c r="BH247" s="3" t="n"/>
      <c r="BI247" s="69" t="n"/>
      <c r="BJ247" s="69" t="n"/>
      <c r="BK247" s="42" t="n"/>
      <c r="BL247" s="3" t="n"/>
      <c r="BM247" s="3" t="n"/>
      <c r="BN247" s="69" t="n"/>
      <c r="BO247" s="69" t="n"/>
      <c r="BP247" s="42" t="n"/>
      <c r="BQ247" s="3" t="n"/>
      <c r="BR247" s="3" t="n"/>
      <c r="BS247" s="69" t="n"/>
      <c r="BT247" s="69" t="n"/>
      <c r="BU247" s="42" t="n"/>
      <c r="BV247" s="3" t="n"/>
      <c r="BW247" s="3" t="n"/>
      <c r="BX247" s="69" t="n"/>
      <c r="BY247" s="69" t="n"/>
      <c r="BZ247" s="42" t="n"/>
      <c r="CA247" s="3" t="n"/>
      <c r="CB247" s="3" t="n"/>
      <c r="CC247" s="69" t="n"/>
      <c r="CD247" s="69" t="n"/>
      <c r="CE247" s="42" t="n"/>
      <c r="CF247" s="3" t="n"/>
      <c r="CG247" s="3" t="n"/>
      <c r="CH247" s="69" t="n"/>
      <c r="CI247" s="69" t="n"/>
      <c r="CJ247" s="42" t="n"/>
      <c r="CK247" s="3" t="n"/>
      <c r="CL247" s="3" t="n"/>
      <c r="CM247" s="69" t="n"/>
      <c r="CN247" s="69" t="n"/>
      <c r="CO247" s="42" t="n"/>
      <c r="CP247" s="3" t="n"/>
      <c r="CQ247" s="3" t="n"/>
      <c r="CR247" s="69" t="n"/>
      <c r="CS247" s="69" t="n"/>
      <c r="CT247" s="42" t="n"/>
      <c r="CU247" s="3" t="n"/>
      <c r="CV247" s="3" t="n"/>
      <c r="CW247" s="69" t="n"/>
      <c r="CX247" s="69" t="n"/>
      <c r="CY247" s="42" t="n"/>
    </row>
    <row r="248" hidden="1" outlineLevel="1" customFormat="1" s="66">
      <c r="A248" s="37" t="n"/>
      <c r="B248" s="37" t="n"/>
      <c r="C248" s="67" t="inlineStr">
        <is>
          <t>Weighted average basic shares outstanding</t>
        </is>
      </c>
      <c r="D248" s="42" t="n"/>
      <c r="E248" s="42" t="n"/>
      <c r="F248" s="42" t="n"/>
      <c r="G248" s="42" t="n"/>
      <c r="H248" s="42" t="n"/>
      <c r="I248" s="42" t="n"/>
      <c r="J248" s="42" t="n"/>
      <c r="K248" s="42" t="n"/>
      <c r="L248" s="42" t="n"/>
      <c r="M248" s="42" t="n"/>
      <c r="N248" s="42" t="n"/>
      <c r="O248" s="42" t="n"/>
      <c r="P248" s="42" t="n"/>
      <c r="Q248" s="42" t="n"/>
      <c r="R248" s="42" t="n"/>
      <c r="S248" s="42" t="n"/>
      <c r="T248" s="42" t="n"/>
      <c r="U248" s="42" t="n"/>
      <c r="V248" s="42" t="n"/>
      <c r="W248" s="42" t="n"/>
      <c r="X248" s="42" t="n"/>
      <c r="Y248" s="42" t="n"/>
      <c r="Z248" s="42" t="n"/>
      <c r="AA248" s="42" t="n"/>
      <c r="AB248" s="42" t="n"/>
      <c r="AC248" s="42" t="n"/>
      <c r="AD248" s="42" t="n"/>
      <c r="AE248" s="42" t="n"/>
      <c r="AF248" s="42" t="n"/>
      <c r="AG248" s="42" t="n"/>
      <c r="AH248" s="69" t="str">
        <f>IFERROR(AVERAGE(AG247,AH247),"")</f>
        <v/>
      </c>
      <c r="AI248" s="69" t="str">
        <f>IFERROR(AVERAGE(AH247,AI247),"")</f>
        <v/>
      </c>
      <c r="AJ248" s="69" t="str">
        <f>IFERROR(AVERAGE(AH247,AJ247),"")</f>
        <v/>
      </c>
      <c r="AK248" s="69" t="str">
        <f>IFERROR(AVERAGE(AJ247,AK247),"")</f>
        <v/>
      </c>
      <c r="AL248" s="42" t="n"/>
      <c r="AM248" s="69" t="str">
        <f>IFERROR(AVERAGE(AL247,AM247),"")</f>
        <v/>
      </c>
      <c r="AN248" s="69" t="str">
        <f>IFERROR(AVERAGE(AM247,AN247),"")</f>
        <v/>
      </c>
      <c r="AO248" s="69" t="str">
        <f>IFERROR(AVERAGE(AM247,AO247),"")</f>
        <v/>
      </c>
      <c r="AP248" s="69" t="str">
        <f>IFERROR(AVERAGE(AO247,AP247),"")</f>
        <v/>
      </c>
      <c r="AQ248" s="42" t="n"/>
      <c r="AR248" s="69" t="str">
        <f>IFERROR(AVERAGE(AQ247,AR247),"")</f>
        <v/>
      </c>
      <c r="AS248" s="69" t="str">
        <f>IFERROR(AVERAGE(AR247,AS247),"")</f>
        <v/>
      </c>
      <c r="AT248" s="69" t="str">
        <f>IFERROR(AVERAGE(AR247,AT247),"")</f>
        <v/>
      </c>
      <c r="AU248" s="69" t="str">
        <f>IFERROR(AVERAGE(AT247,AU247),"")</f>
        <v/>
      </c>
      <c r="AV248" s="42" t="n"/>
      <c r="AW248" s="69" t="str">
        <f>IFERROR(AVERAGE(AV247,AW247),"")</f>
        <v/>
      </c>
      <c r="AX248" s="69" t="str">
        <f>IFERROR(AVERAGE(AW247,AX247),"")</f>
        <v/>
      </c>
      <c r="AY248" s="69" t="str">
        <f>IFERROR(AVERAGE(AW247,AY247),"")</f>
        <v/>
      </c>
      <c r="AZ248" s="69" t="str">
        <f>IFERROR(AVERAGE(AY247,AZ247),"")</f>
        <v/>
      </c>
      <c r="BA248" s="42" t="n"/>
      <c r="BB248" s="69" t="str">
        <f>IFERROR(AVERAGE(BA247,BB247),"")</f>
        <v/>
      </c>
      <c r="BC248" s="69" t="str">
        <f>IFERROR(AVERAGE(BB247,BC247),"")</f>
        <v/>
      </c>
      <c r="BD248" s="69" t="str">
        <f>IFERROR(AVERAGE(BB247,BD247),"")</f>
        <v/>
      </c>
      <c r="BE248" s="69" t="str">
        <f>IFERROR(AVERAGE(BD247,BE247),"")</f>
        <v/>
      </c>
      <c r="BF248" s="42" t="n"/>
      <c r="BG248" s="69" t="n"/>
      <c r="BH248" s="69" t="n"/>
      <c r="BI248" s="69" t="n"/>
      <c r="BJ248" s="69" t="n"/>
      <c r="BK248" s="42" t="n"/>
      <c r="BL248" s="69" t="n"/>
      <c r="BM248" s="69" t="n"/>
      <c r="BN248" s="69" t="n"/>
      <c r="BO248" s="69" t="n"/>
      <c r="BP248" s="42" t="n"/>
      <c r="BQ248" s="69" t="n"/>
      <c r="BR248" s="69" t="n"/>
      <c r="BS248" s="69" t="n"/>
      <c r="BT248" s="69" t="n"/>
      <c r="BU248" s="42" t="n"/>
      <c r="BV248" s="69" t="n"/>
      <c r="BW248" s="69" t="n"/>
      <c r="BX248" s="69" t="n"/>
      <c r="BY248" s="69" t="n"/>
      <c r="BZ248" s="42" t="n"/>
      <c r="CA248" s="69" t="n"/>
      <c r="CB248" s="69" t="n"/>
      <c r="CC248" s="69" t="n"/>
      <c r="CD248" s="69" t="n"/>
      <c r="CE248" s="42" t="n"/>
      <c r="CF248" s="69" t="n"/>
      <c r="CG248" s="69" t="n"/>
      <c r="CH248" s="69" t="n"/>
      <c r="CI248" s="69" t="n"/>
      <c r="CJ248" s="42" t="n"/>
      <c r="CK248" s="69" t="n"/>
      <c r="CL248" s="69" t="n"/>
      <c r="CM248" s="69" t="n"/>
      <c r="CN248" s="69" t="n"/>
      <c r="CO248" s="42" t="n"/>
      <c r="CP248" s="69" t="n"/>
      <c r="CQ248" s="69" t="n"/>
      <c r="CR248" s="69" t="n"/>
      <c r="CS248" s="69" t="n"/>
      <c r="CT248" s="42" t="n"/>
      <c r="CU248" s="69" t="n"/>
      <c r="CV248" s="69" t="n"/>
      <c r="CW248" s="69" t="n"/>
      <c r="CX248" s="69" t="n"/>
      <c r="CY248" s="42" t="n"/>
    </row>
    <row r="249" hidden="1" outlineLevel="1" customFormat="1" s="66">
      <c r="A249" s="37" t="n"/>
      <c r="B249" s="37" t="n"/>
      <c r="C249" s="67" t="n"/>
      <c r="D249" s="42" t="n"/>
      <c r="E249" s="42" t="n"/>
      <c r="F249" s="42" t="n"/>
      <c r="G249" s="42" t="n"/>
      <c r="H249" s="12" t="n"/>
      <c r="I249" s="42" t="n"/>
      <c r="J249" s="42" t="n"/>
      <c r="K249" s="42" t="n"/>
      <c r="L249" s="42" t="n"/>
      <c r="M249" s="12" t="n"/>
      <c r="N249" s="42" t="n"/>
      <c r="O249" s="42" t="n"/>
      <c r="P249" s="42" t="n"/>
      <c r="Q249" s="42" t="n"/>
      <c r="R249" s="12" t="n"/>
      <c r="S249" s="42" t="n"/>
      <c r="T249" s="42" t="n"/>
      <c r="U249" s="42" t="n"/>
      <c r="V249" s="42" t="n"/>
      <c r="W249" s="12" t="n"/>
      <c r="X249" s="42" t="n"/>
      <c r="Y249" s="42" t="n"/>
      <c r="Z249" s="42" t="n"/>
      <c r="AA249" s="42" t="n"/>
      <c r="AB249" s="12" t="n"/>
      <c r="AC249" s="42" t="n"/>
      <c r="AD249" s="42" t="n"/>
      <c r="AE249" s="42" t="n"/>
      <c r="AF249" s="42" t="n"/>
      <c r="AG249" s="12" t="n"/>
      <c r="AH249" s="42" t="n"/>
      <c r="AI249" s="42" t="n"/>
      <c r="AJ249" s="42" t="n"/>
      <c r="AK249" s="42" t="n"/>
      <c r="AL249" s="12" t="n"/>
      <c r="AM249" s="42" t="n"/>
      <c r="AN249" s="42" t="n"/>
      <c r="AO249" s="42" t="n"/>
      <c r="AP249" s="42" t="n"/>
      <c r="AQ249" s="12" t="n"/>
      <c r="AR249" s="42" t="n"/>
      <c r="AS249" s="42" t="n"/>
      <c r="AT249" s="42" t="n"/>
      <c r="AU249" s="42" t="n"/>
      <c r="AV249" s="12" t="n"/>
      <c r="AW249" s="42" t="n"/>
      <c r="AX249" s="42" t="n"/>
      <c r="AY249" s="42" t="n"/>
      <c r="AZ249" s="42" t="n"/>
      <c r="BA249" s="12" t="n"/>
      <c r="BB249" s="42" t="n"/>
      <c r="BC249" s="42" t="n"/>
      <c r="BD249" s="42" t="n"/>
      <c r="BE249" s="42" t="n"/>
      <c r="BF249" s="12" t="n"/>
      <c r="BG249" s="42" t="n"/>
      <c r="BH249" s="42" t="n"/>
      <c r="BI249" s="42" t="n"/>
      <c r="BJ249" s="42" t="n"/>
      <c r="BK249" s="12" t="n"/>
      <c r="BL249" s="42" t="n"/>
      <c r="BM249" s="42" t="n"/>
      <c r="BN249" s="42" t="n"/>
      <c r="BO249" s="42" t="n"/>
      <c r="BP249" s="12" t="n"/>
      <c r="BQ249" s="42" t="n"/>
      <c r="BR249" s="42" t="n"/>
      <c r="BS249" s="42" t="n"/>
      <c r="BT249" s="42" t="n"/>
      <c r="BU249" s="12" t="n"/>
      <c r="BV249" s="42" t="n"/>
      <c r="BW249" s="42" t="n"/>
      <c r="BX249" s="42" t="n"/>
      <c r="BY249" s="42" t="n"/>
      <c r="BZ249" s="12" t="n"/>
      <c r="CA249" s="42" t="n"/>
      <c r="CB249" s="42" t="n"/>
      <c r="CC249" s="42" t="n"/>
      <c r="CD249" s="42" t="n"/>
      <c r="CE249" s="12" t="n"/>
      <c r="CF249" s="42" t="n"/>
      <c r="CG249" s="42" t="n"/>
      <c r="CH249" s="42" t="n"/>
      <c r="CI249" s="42" t="n"/>
      <c r="CJ249" s="12" t="n"/>
      <c r="CK249" s="42" t="n"/>
      <c r="CL249" s="42" t="n"/>
      <c r="CM249" s="42" t="n"/>
      <c r="CN249" s="42" t="n"/>
      <c r="CO249" s="12" t="n"/>
      <c r="CP249" s="42" t="n"/>
      <c r="CQ249" s="42" t="n"/>
      <c r="CR249" s="42" t="n"/>
      <c r="CS249" s="42" t="n"/>
      <c r="CT249" s="12" t="n"/>
      <c r="CU249" s="42" t="n"/>
      <c r="CV249" s="42" t="n"/>
      <c r="CW249" s="42" t="n"/>
      <c r="CX249" s="42" t="n"/>
      <c r="CY249" s="12" t="n"/>
    </row>
    <row r="250" collapsed="1">
      <c r="C250" s="14" t="inlineStr">
        <is>
          <t>Treasury stock (contra account)</t>
        </is>
      </c>
      <c r="D250" s="46" t="n"/>
      <c r="E250" s="46" t="n"/>
      <c r="F250" s="46" t="n"/>
      <c r="G250" s="46" t="n"/>
      <c r="H250" s="12" t="n"/>
      <c r="I250" s="46">
        <f>'Inputs (2)'!D44</f>
        <v>-38024</v>
      </c>
      <c r="J250" s="46">
        <f>'Inputs (2)'!E44</f>
        <v>-39729</v>
      </c>
      <c r="K250" s="46">
        <f>'Inputs (2)'!F44</f>
        <v>-41282</v>
      </c>
      <c r="L250" s="46">
        <f>'Inputs (2)'!G44</f>
        <v>-42588</v>
      </c>
      <c r="M250" s="12">
        <f>'Inputs (2)'!H44</f>
        <v>-42588</v>
      </c>
      <c r="N250" s="46">
        <f>'Inputs (2)'!I44</f>
        <v>-44994</v>
      </c>
      <c r="O250" s="46">
        <f>'Inputs (2)'!J44</f>
        <v>-47359</v>
      </c>
      <c r="P250" s="46">
        <f>'Inputs (2)'!K44</f>
        <v>-48916</v>
      </c>
      <c r="Q250" s="46">
        <f>'Inputs (2)'!L44</f>
        <v>-51354</v>
      </c>
      <c r="R250" s="12">
        <f>'Inputs (2)'!M44</f>
        <v>-51354</v>
      </c>
      <c r="S250" s="46">
        <f>'Inputs (2)'!N44</f>
        <v>-54241</v>
      </c>
      <c r="T250" s="46">
        <f>'Inputs (2)'!O44</f>
        <v>-56659</v>
      </c>
      <c r="U250" s="46">
        <f>'Inputs (2)'!P44</f>
        <v>-58573</v>
      </c>
      <c r="V250" s="46">
        <f>'Inputs (2)'!Q44</f>
        <v>-60429</v>
      </c>
      <c r="W250" s="12">
        <f>'Inputs (2)'!R44</f>
        <v>-60429</v>
      </c>
      <c r="X250" s="46">
        <f>'Inputs (2)'!S44</f>
        <v>-62434</v>
      </c>
      <c r="Y250" s="46">
        <f>'Inputs (2)'!T44</f>
        <v>-65067</v>
      </c>
      <c r="Z250" s="46">
        <f>'Inputs (2)'!U44</f>
        <v>-68035</v>
      </c>
      <c r="AA250" s="46">
        <f>'Inputs (2)'!V44</f>
        <v>-71431</v>
      </c>
      <c r="AB250" s="12">
        <f>'Inputs (2)'!W44</f>
        <v>-71431</v>
      </c>
      <c r="AC250" s="46">
        <f>'Inputs (2)'!X44</f>
        <v>-73995</v>
      </c>
      <c r="AD250" s="46">
        <f>'Inputs (2)'!Y44</f>
        <v>-76299</v>
      </c>
      <c r="AE250" s="46">
        <f>'Inputs (2)'!Z44</f>
        <v>-79670</v>
      </c>
      <c r="AF250" s="46">
        <f>'Inputs (2)'!AA44</f>
        <v>-83224</v>
      </c>
      <c r="AG250" s="12">
        <f>'Inputs (2)'!AB44</f>
        <v>-83224</v>
      </c>
      <c r="AH250" s="12">
        <f>'Inputs (2)'!AC44</f>
        <v>-87342</v>
      </c>
      <c r="AI250" s="12">
        <f>'Inputs (2)'!AD44</f>
        <v>-92226</v>
      </c>
      <c r="AJ250" s="12">
        <f>AI250</f>
        <v>-92226</v>
      </c>
      <c r="AK250" s="12">
        <f>AJ250</f>
        <v>-92226</v>
      </c>
      <c r="AL250" s="12">
        <f>AK250</f>
        <v>-92226</v>
      </c>
      <c r="AM250" s="12">
        <f>AL250</f>
        <v>-92226</v>
      </c>
      <c r="AN250" s="12">
        <f>AM250</f>
        <v>-92226</v>
      </c>
      <c r="AO250" s="12">
        <f>AN250</f>
        <v>-92226</v>
      </c>
      <c r="AP250" s="12">
        <f>AO250</f>
        <v>-92226</v>
      </c>
      <c r="AQ250" s="12">
        <f>AP250</f>
        <v>-92226</v>
      </c>
      <c r="AR250" s="12">
        <f>AQ250</f>
        <v>-92226</v>
      </c>
      <c r="AS250" s="12">
        <f>AR250</f>
        <v>-92226</v>
      </c>
      <c r="AT250" s="12">
        <f>AS250</f>
        <v>-92226</v>
      </c>
      <c r="AU250" s="12">
        <f>AT250</f>
        <v>-92226</v>
      </c>
      <c r="AV250" s="12">
        <f>AU250</f>
        <v>-92226</v>
      </c>
      <c r="AW250" s="12">
        <f>AV250</f>
        <v>-92226</v>
      </c>
      <c r="AX250" s="12">
        <f>AW250</f>
        <v>-92226</v>
      </c>
      <c r="AY250" s="12">
        <f>AX250</f>
        <v>-92226</v>
      </c>
      <c r="AZ250" s="12">
        <f>AY250</f>
        <v>-92226</v>
      </c>
      <c r="BA250" s="12">
        <f>AZ250</f>
        <v>-92226</v>
      </c>
      <c r="BB250" s="12">
        <f>BA250</f>
        <v>-92226</v>
      </c>
      <c r="BC250" s="12">
        <f>BB250</f>
        <v>-92226</v>
      </c>
      <c r="BD250" s="12">
        <f>BC250</f>
        <v>-92226</v>
      </c>
      <c r="BE250" s="12">
        <f>BD250</f>
        <v>-92226</v>
      </c>
      <c r="BF250" s="12">
        <f>BE250</f>
        <v>-92226</v>
      </c>
      <c r="BG250" s="12" t="n"/>
      <c r="BH250" s="12" t="n"/>
      <c r="BI250" s="12" t="n"/>
      <c r="BJ250" s="12" t="n"/>
      <c r="BK250" s="12" t="n"/>
      <c r="BL250" s="12" t="n"/>
      <c r="BM250" s="12" t="n"/>
      <c r="BN250" s="12" t="n"/>
      <c r="BO250" s="12" t="n"/>
      <c r="BP250" s="12" t="n"/>
      <c r="BQ250" s="12" t="n"/>
      <c r="BR250" s="12" t="n"/>
      <c r="BS250" s="12" t="n"/>
      <c r="BT250" s="12" t="n"/>
      <c r="BU250" s="12" t="n"/>
      <c r="BV250" s="12" t="n"/>
      <c r="BW250" s="12" t="n"/>
      <c r="BX250" s="12" t="n"/>
      <c r="BY250" s="12" t="n"/>
      <c r="BZ250" s="12" t="n"/>
      <c r="CA250" s="12" t="n"/>
      <c r="CB250" s="12" t="n"/>
      <c r="CC250" s="12" t="n"/>
      <c r="CD250" s="12" t="n"/>
      <c r="CE250" s="12" t="n"/>
      <c r="CF250" s="12" t="n"/>
      <c r="CG250" s="12" t="n"/>
      <c r="CH250" s="12" t="n"/>
      <c r="CI250" s="12" t="n"/>
      <c r="CJ250" s="12" t="n"/>
      <c r="CK250" s="12" t="n"/>
      <c r="CL250" s="12" t="n"/>
      <c r="CM250" s="12" t="n"/>
      <c r="CN250" s="12" t="n"/>
      <c r="CO250" s="12" t="n"/>
      <c r="CP250" s="12" t="n"/>
      <c r="CQ250" s="12" t="n"/>
      <c r="CR250" s="12" t="n"/>
      <c r="CS250" s="12" t="n"/>
      <c r="CT250" s="12" t="n"/>
      <c r="CU250" s="12" t="n"/>
      <c r="CV250" s="12" t="n"/>
      <c r="CW250" s="12" t="n"/>
      <c r="CX250" s="12" t="n"/>
      <c r="CY250" s="12" t="n"/>
    </row>
    <row r="251">
      <c r="C251" s="14" t="inlineStr">
        <is>
          <t>Comprehensive (accumulated) loss</t>
        </is>
      </c>
      <c r="D251" s="46" t="n"/>
      <c r="E251" s="46" t="n"/>
      <c r="F251" s="46" t="n"/>
      <c r="G251" s="46" t="n"/>
      <c r="H251" s="12" t="n"/>
      <c r="I251" s="46">
        <f>'Inputs (2)'!D45</f>
        <v>-738</v>
      </c>
      <c r="J251" s="46">
        <f>'Inputs (2)'!E45</f>
        <v>-653</v>
      </c>
      <c r="K251" s="46">
        <f>'Inputs (2)'!F45</f>
        <v>-791</v>
      </c>
      <c r="L251" s="46">
        <f>'Inputs (2)'!G45</f>
        <v>-809</v>
      </c>
      <c r="M251" s="12">
        <f>'Inputs (2)'!H45</f>
        <v>-809</v>
      </c>
      <c r="N251" s="46">
        <f>'Inputs (2)'!I45</f>
        <v>-798</v>
      </c>
      <c r="O251" s="46">
        <f>'Inputs (2)'!J45</f>
        <v>-1232</v>
      </c>
      <c r="P251" s="46">
        <f>'Inputs (2)'!K45</f>
        <v>-1617</v>
      </c>
      <c r="Q251" s="46">
        <f>'Inputs (2)'!L45</f>
        <v>-1253</v>
      </c>
      <c r="R251" s="12">
        <f>'Inputs (2)'!M45</f>
        <v>-1253</v>
      </c>
      <c r="S251" s="46">
        <f>'Inputs (2)'!N45</f>
        <v>-1229</v>
      </c>
      <c r="T251" s="46">
        <f>'Inputs (2)'!O45</f>
        <v>-1189</v>
      </c>
      <c r="U251" s="46">
        <f>'Inputs (2)'!P45</f>
        <v>-1297</v>
      </c>
      <c r="V251" s="46">
        <f>'Inputs (2)'!Q45</f>
        <v>-1099</v>
      </c>
      <c r="W251" s="12">
        <f>'Inputs (2)'!R45</f>
        <v>-1099</v>
      </c>
      <c r="X251" s="46">
        <f>'Inputs (2)'!S45</f>
        <v>-1202</v>
      </c>
      <c r="Y251" s="46">
        <f>'Inputs (2)'!T45</f>
        <v>-1205</v>
      </c>
      <c r="Z251" s="46">
        <f>'Inputs (2)'!U45</f>
        <v>-1073</v>
      </c>
      <c r="AA251" s="46">
        <f>'Inputs (2)'!V45</f>
        <v>-1433</v>
      </c>
      <c r="AB251" s="12">
        <f>'Inputs (2)'!W45</f>
        <v>-1433</v>
      </c>
      <c r="AC251" s="46">
        <f>'Inputs (2)'!X45</f>
        <v>-1155</v>
      </c>
      <c r="AD251" s="46">
        <f>'Inputs (2)'!Y45</f>
        <v>-919</v>
      </c>
      <c r="AE251" s="46">
        <f>'Inputs (2)'!Z45</f>
        <v>-935</v>
      </c>
      <c r="AF251" s="46">
        <f>'Inputs (2)'!AA45</f>
        <v>-981</v>
      </c>
      <c r="AG251" s="12">
        <f>'Inputs (2)'!AB45</f>
        <v>-981</v>
      </c>
      <c r="AH251" s="12">
        <f>'Inputs (2)'!AC45</f>
        <v>-928</v>
      </c>
      <c r="AI251" s="12">
        <f>'Inputs (2)'!AD45</f>
        <v>-1004</v>
      </c>
      <c r="AJ251" s="12">
        <f>AI251</f>
        <v>-1004</v>
      </c>
      <c r="AK251" s="12">
        <f>AJ251</f>
        <v>-1004</v>
      </c>
      <c r="AL251" s="12">
        <f>AK251</f>
        <v>-1004</v>
      </c>
      <c r="AM251" s="12">
        <f>AL251</f>
        <v>-1004</v>
      </c>
      <c r="AN251" s="12">
        <f>AM251</f>
        <v>-1004</v>
      </c>
      <c r="AO251" s="12">
        <f>AN251</f>
        <v>-1004</v>
      </c>
      <c r="AP251" s="12">
        <f>AO251</f>
        <v>-1004</v>
      </c>
      <c r="AQ251" s="12">
        <f>AP251</f>
        <v>-1004</v>
      </c>
      <c r="AR251" s="12">
        <f>AQ251</f>
        <v>-1004</v>
      </c>
      <c r="AS251" s="12">
        <f>AR251</f>
        <v>-1004</v>
      </c>
      <c r="AT251" s="12">
        <f>AS251</f>
        <v>-1004</v>
      </c>
      <c r="AU251" s="12">
        <f>AT251</f>
        <v>-1004</v>
      </c>
      <c r="AV251" s="12">
        <f>AU251</f>
        <v>-1004</v>
      </c>
      <c r="AW251" s="12">
        <f>AV251</f>
        <v>-1004</v>
      </c>
      <c r="AX251" s="12">
        <f>AW251</f>
        <v>-1004</v>
      </c>
      <c r="AY251" s="12">
        <f>AX251</f>
        <v>-1004</v>
      </c>
      <c r="AZ251" s="12">
        <f>AY251</f>
        <v>-1004</v>
      </c>
      <c r="BA251" s="12">
        <f>AZ251</f>
        <v>-1004</v>
      </c>
      <c r="BB251" s="12">
        <f>BA251</f>
        <v>-1004</v>
      </c>
      <c r="BC251" s="12">
        <f>BB251</f>
        <v>-1004</v>
      </c>
      <c r="BD251" s="12">
        <f>BC251</f>
        <v>-1004</v>
      </c>
      <c r="BE251" s="12">
        <f>BD251</f>
        <v>-1004</v>
      </c>
      <c r="BF251" s="12">
        <f>BE251</f>
        <v>-1004</v>
      </c>
      <c r="BG251" s="12" t="n"/>
      <c r="BH251" s="12" t="n"/>
      <c r="BI251" s="12" t="n"/>
      <c r="BJ251" s="12" t="n"/>
      <c r="BK251" s="12" t="n"/>
      <c r="BL251" s="12" t="n"/>
      <c r="BM251" s="12" t="n"/>
      <c r="BN251" s="12" t="n"/>
      <c r="BO251" s="12" t="n"/>
      <c r="BP251" s="12" t="n"/>
      <c r="BQ251" s="12" t="n"/>
      <c r="BR251" s="12" t="n"/>
      <c r="BS251" s="12" t="n"/>
      <c r="BT251" s="12" t="n"/>
      <c r="BU251" s="12" t="n"/>
      <c r="BV251" s="12" t="n"/>
      <c r="BW251" s="12" t="n"/>
      <c r="BX251" s="12" t="n"/>
      <c r="BY251" s="12" t="n"/>
      <c r="BZ251" s="12" t="n"/>
      <c r="CA251" s="12" t="n"/>
      <c r="CB251" s="12" t="n"/>
      <c r="CC251" s="12" t="n"/>
      <c r="CD251" s="12" t="n"/>
      <c r="CE251" s="12" t="n"/>
      <c r="CF251" s="12" t="n"/>
      <c r="CG251" s="12" t="n"/>
      <c r="CH251" s="12" t="n"/>
      <c r="CI251" s="12" t="n"/>
      <c r="CJ251" s="12" t="n"/>
      <c r="CK251" s="12" t="n"/>
      <c r="CL251" s="12" t="n"/>
      <c r="CM251" s="12" t="n"/>
      <c r="CN251" s="12" t="n"/>
      <c r="CO251" s="12" t="n"/>
      <c r="CP251" s="12" t="n"/>
      <c r="CQ251" s="12" t="n"/>
      <c r="CR251" s="12" t="n"/>
      <c r="CS251" s="12" t="n"/>
      <c r="CT251" s="12" t="n"/>
      <c r="CU251" s="12" t="n"/>
      <c r="CV251" s="12" t="n"/>
      <c r="CW251" s="12" t="n"/>
      <c r="CX251" s="12" t="n"/>
      <c r="CY251" s="12" t="n"/>
    </row>
    <row r="252">
      <c r="C252" s="14" t="inlineStr">
        <is>
          <t>Other equity account</t>
        </is>
      </c>
      <c r="D252" s="46" t="n"/>
      <c r="E252" s="46" t="n"/>
      <c r="F252" s="46" t="n"/>
      <c r="G252" s="46" t="n"/>
      <c r="H252" s="12" t="n"/>
      <c r="I252" s="46">
        <f>'Inputs (2)'!D46</f>
        <v>28</v>
      </c>
      <c r="J252" s="46">
        <f>'Inputs (2)'!E46</f>
        <v>29</v>
      </c>
      <c r="K252" s="46">
        <f>'Inputs (2)'!F46</f>
        <v>29</v>
      </c>
      <c r="L252" s="46">
        <f>'Inputs (2)'!G46</f>
        <v>29</v>
      </c>
      <c r="M252" s="12">
        <f>'Inputs (2)'!H46</f>
        <v>29</v>
      </c>
      <c r="N252" s="46">
        <f>'Inputs (2)'!I46</f>
        <v>28</v>
      </c>
      <c r="O252" s="46">
        <f>'Inputs (2)'!J46</f>
        <v>26</v>
      </c>
      <c r="P252" s="46">
        <f>'Inputs (2)'!K46</f>
        <v>20</v>
      </c>
      <c r="Q252" s="46">
        <f>'Inputs (2)'!L46</f>
        <v>21</v>
      </c>
      <c r="R252" s="12">
        <f>'Inputs (2)'!M46</f>
        <v>21</v>
      </c>
      <c r="S252" s="46">
        <f>'Inputs (2)'!N46</f>
        <v>21</v>
      </c>
      <c r="T252" s="46">
        <f>'Inputs (2)'!O46</f>
        <v>22</v>
      </c>
      <c r="U252" s="46">
        <f>'Inputs (2)'!P46</f>
        <v>21</v>
      </c>
      <c r="V252" s="46">
        <f>'Inputs (2)'!Q46</f>
        <v>22</v>
      </c>
      <c r="W252" s="12">
        <f>'Inputs (2)'!R46</f>
        <v>22</v>
      </c>
      <c r="X252" s="46">
        <f>'Inputs (2)'!S46</f>
        <v>22</v>
      </c>
      <c r="Y252" s="46">
        <f>'Inputs (2)'!T46</f>
        <v>22</v>
      </c>
      <c r="Z252" s="46">
        <f>'Inputs (2)'!U46</f>
        <v>23</v>
      </c>
      <c r="AA252" s="46">
        <f>'Inputs (2)'!V46</f>
        <v>0</v>
      </c>
      <c r="AB252" s="12">
        <f>'Inputs (2)'!W46</f>
        <v>0</v>
      </c>
      <c r="AC252" s="46">
        <f>'Inputs (2)'!X46</f>
        <v>0</v>
      </c>
      <c r="AD252" s="46">
        <f>'Inputs (2)'!Y46</f>
        <v>0</v>
      </c>
      <c r="AE252" s="46">
        <f>'Inputs (2)'!Z46</f>
        <v>0</v>
      </c>
      <c r="AF252" s="46">
        <f>'Inputs (2)'!AA46</f>
        <v>0</v>
      </c>
      <c r="AG252" s="12">
        <f>'Inputs (2)'!AB46</f>
        <v>0</v>
      </c>
      <c r="AH252" s="12">
        <f>'Inputs (2)'!AC46</f>
        <v>0</v>
      </c>
      <c r="AI252" s="12">
        <f>'Inputs (2)'!AD46</f>
        <v>0</v>
      </c>
      <c r="AJ252" s="12">
        <f>AI252</f>
        <v>0</v>
      </c>
      <c r="AK252" s="12">
        <f>AJ252</f>
        <v>0</v>
      </c>
      <c r="AL252" s="12">
        <f>AK252</f>
        <v>0</v>
      </c>
      <c r="AM252" s="12">
        <f>AL252</f>
        <v>0</v>
      </c>
      <c r="AN252" s="12">
        <f>AM252</f>
        <v>0</v>
      </c>
      <c r="AO252" s="12">
        <f>AN252</f>
        <v>0</v>
      </c>
      <c r="AP252" s="12">
        <f>AO252</f>
        <v>0</v>
      </c>
      <c r="AQ252" s="12">
        <f>AP252</f>
        <v>0</v>
      </c>
      <c r="AR252" s="12">
        <f>AQ252</f>
        <v>0</v>
      </c>
      <c r="AS252" s="12">
        <f>AR252</f>
        <v>0</v>
      </c>
      <c r="AT252" s="12">
        <f>AS252</f>
        <v>0</v>
      </c>
      <c r="AU252" s="12">
        <f>AT252</f>
        <v>0</v>
      </c>
      <c r="AV252" s="12">
        <f>AU252</f>
        <v>0</v>
      </c>
      <c r="AW252" s="12">
        <f>AV252</f>
        <v>0</v>
      </c>
      <c r="AX252" s="12">
        <f>AW252</f>
        <v>0</v>
      </c>
      <c r="AY252" s="12">
        <f>AX252</f>
        <v>0</v>
      </c>
      <c r="AZ252" s="12">
        <f>AY252</f>
        <v>0</v>
      </c>
      <c r="BA252" s="12">
        <f>AZ252</f>
        <v>0</v>
      </c>
      <c r="BB252" s="12">
        <f>BA252</f>
        <v>0</v>
      </c>
      <c r="BC252" s="12">
        <f>BB252</f>
        <v>0</v>
      </c>
      <c r="BD252" s="12">
        <f>BC252</f>
        <v>0</v>
      </c>
      <c r="BE252" s="12">
        <f>BD252</f>
        <v>0</v>
      </c>
      <c r="BF252" s="12">
        <f>BE252</f>
        <v>0</v>
      </c>
      <c r="BG252" s="12" t="n"/>
      <c r="BH252" s="12" t="n"/>
      <c r="BI252" s="12" t="n"/>
      <c r="BJ252" s="12" t="n"/>
      <c r="BK252" s="12" t="n"/>
      <c r="BL252" s="12" t="n"/>
      <c r="BM252" s="12" t="n"/>
      <c r="BN252" s="12" t="n"/>
      <c r="BO252" s="12" t="n"/>
      <c r="BP252" s="12" t="n"/>
      <c r="BQ252" s="12" t="n"/>
      <c r="BR252" s="12" t="n"/>
      <c r="BS252" s="12" t="n"/>
      <c r="BT252" s="12" t="n"/>
      <c r="BU252" s="12" t="n"/>
      <c r="BV252" s="12" t="n"/>
      <c r="BW252" s="12" t="n"/>
      <c r="BX252" s="12" t="n"/>
      <c r="BY252" s="12" t="n"/>
      <c r="BZ252" s="12" t="n"/>
      <c r="CA252" s="12" t="n"/>
      <c r="CB252" s="12" t="n"/>
      <c r="CC252" s="12" t="n"/>
      <c r="CD252" s="12" t="n"/>
      <c r="CE252" s="12" t="n"/>
      <c r="CF252" s="12" t="n"/>
      <c r="CG252" s="12" t="n"/>
      <c r="CH252" s="12" t="n"/>
      <c r="CI252" s="12" t="n"/>
      <c r="CJ252" s="12" t="n"/>
      <c r="CK252" s="12" t="n"/>
      <c r="CL252" s="12" t="n"/>
      <c r="CM252" s="12" t="n"/>
      <c r="CN252" s="12" t="n"/>
      <c r="CO252" s="12" t="n"/>
      <c r="CP252" s="12" t="n"/>
      <c r="CQ252" s="12" t="n"/>
      <c r="CR252" s="12" t="n"/>
      <c r="CS252" s="12" t="n"/>
      <c r="CT252" s="12" t="n"/>
      <c r="CU252" s="12" t="n"/>
      <c r="CV252" s="12" t="n"/>
      <c r="CW252" s="12" t="n"/>
      <c r="CX252" s="12" t="n"/>
      <c r="CY252" s="12" t="n"/>
    </row>
    <row r="253">
      <c r="C253" s="15" t="inlineStr">
        <is>
          <t>Retained earnings</t>
        </is>
      </c>
      <c r="D253" s="46" t="n"/>
      <c r="E253" s="46" t="n"/>
      <c r="F253" s="46" t="n"/>
      <c r="G253" s="46" t="n"/>
      <c r="H253" s="12" t="n"/>
      <c r="I253" s="46">
        <f>'Inputs (2)'!D47</f>
        <v>40140</v>
      </c>
      <c r="J253" s="46">
        <f>'Inputs (2)'!E47</f>
        <v>41771</v>
      </c>
      <c r="K253" s="46">
        <f>'Inputs (2)'!F47</f>
        <v>43750</v>
      </c>
      <c r="L253" s="46">
        <f>'Inputs (2)'!G47</f>
        <v>45648</v>
      </c>
      <c r="M253" s="12">
        <f>'Inputs (2)'!H47</f>
        <v>45648</v>
      </c>
      <c r="N253" s="46">
        <f>'Inputs (2)'!I47</f>
        <v>47800</v>
      </c>
      <c r="O253" s="46">
        <f>'Inputs (2)'!J47</f>
        <v>49599</v>
      </c>
      <c r="P253" s="46">
        <f>'Inputs (2)'!K47</f>
        <v>51625</v>
      </c>
      <c r="Q253" s="46">
        <f>'Inputs (2)'!L47</f>
        <v>53607</v>
      </c>
      <c r="R253" s="12">
        <f>'Inputs (2)'!M47</f>
        <v>53607</v>
      </c>
      <c r="S253" s="46">
        <f>'Inputs (2)'!N47</f>
        <v>55424</v>
      </c>
      <c r="T253" s="46">
        <f>'Inputs (2)'!O47</f>
        <v>57730</v>
      </c>
      <c r="U253" s="46">
        <f>'Inputs (2)'!P47</f>
        <v>60390</v>
      </c>
      <c r="V253" s="46">
        <f>'Inputs (2)'!Q47</f>
        <v>62564</v>
      </c>
      <c r="W253" s="12">
        <f>'Inputs (2)'!R47</f>
        <v>62564</v>
      </c>
      <c r="X253" s="46">
        <f>'Inputs (2)'!S47</f>
        <v>64959</v>
      </c>
      <c r="Y253" s="46">
        <f>'Inputs (2)'!T47</f>
        <v>67604</v>
      </c>
      <c r="Z253" s="46">
        <f>'Inputs (2)'!U47</f>
        <v>70258</v>
      </c>
      <c r="AA253" s="46">
        <f>'Inputs (2)'!V47</f>
        <v>72907</v>
      </c>
      <c r="AB253" s="12">
        <f>'Inputs (2)'!W47</f>
        <v>72907</v>
      </c>
      <c r="AC253" s="46">
        <f>'Inputs (2)'!X47</f>
        <v>75495</v>
      </c>
      <c r="AD253" s="46">
        <f>'Inputs (2)'!Y47</f>
        <v>78509</v>
      </c>
      <c r="AE253" s="46">
        <f>'Inputs (2)'!Z47</f>
        <v>81752</v>
      </c>
      <c r="AF253" s="46">
        <f>'Inputs (2)'!AA47</f>
        <v>85035</v>
      </c>
      <c r="AG253" s="12">
        <f>'Inputs (2)'!AB47</f>
        <v>85035</v>
      </c>
      <c r="AH253" s="12">
        <f>'Inputs (2)'!AC47</f>
        <v>88146</v>
      </c>
      <c r="AI253" s="12">
        <f>'Inputs (2)'!AD47</f>
        <v>91771</v>
      </c>
      <c r="AJ253" s="12">
        <f>AI253+AJ120+AJ121</f>
        <v>96538.784806208</v>
      </c>
      <c r="AK253" s="12">
        <f>AJ253+AK120+AK121</f>
        <v>101419.63960782</v>
      </c>
      <c r="AL253" s="12">
        <f>AK253</f>
        <v>101419.63960782</v>
      </c>
      <c r="AM253" s="12">
        <f>AL253+AM120+AM121</f>
        <v>106074.354418624</v>
      </c>
      <c r="AN253" s="12">
        <f>AM253+AN120+AN121</f>
        <v>111216.267886096</v>
      </c>
      <c r="AO253" s="12">
        <f>AN253+AO120+AO121</f>
        <v>116741.054096663</v>
      </c>
      <c r="AP253" s="12">
        <f>AO253+AP120+AP121</f>
        <v>122396.862905109</v>
      </c>
      <c r="AQ253" s="12">
        <f>AP253</f>
        <v>122396.862905109</v>
      </c>
      <c r="AR253" s="12">
        <f>AQ253+AR120+AR121</f>
        <v>127767.352943743</v>
      </c>
      <c r="AS253" s="12">
        <f>AR253+AS120+AS121</f>
        <v>133699.96024172</v>
      </c>
      <c r="AT253" s="12">
        <f>AS253+AT120+AT121</f>
        <v>140074.316247499</v>
      </c>
      <c r="AU253" s="12">
        <f>AT253+AU120+AU121</f>
        <v>146599.842751439</v>
      </c>
      <c r="AV253" s="12">
        <f>AU253</f>
        <v>146599.842751439</v>
      </c>
      <c r="AW253" s="12">
        <f>AV253+AW120+AW121</f>
        <v>152769.323358671</v>
      </c>
      <c r="AX253" s="12">
        <f>AW253+AX120+AX121</f>
        <v>159584.549792737</v>
      </c>
      <c r="AY253" s="12">
        <f>AX253+AY120+AY121</f>
        <v>166907.245762442</v>
      </c>
      <c r="AZ253" s="12">
        <f>AY253+AZ120+AZ121</f>
        <v>174403.602506131</v>
      </c>
      <c r="BA253" s="12">
        <f>AZ253</f>
        <v>174403.602506131</v>
      </c>
      <c r="BB253" s="12">
        <f>BA253+BB120+BB121</f>
        <v>181460.095492742</v>
      </c>
      <c r="BC253" s="12">
        <f>BB253+BC120+BC121</f>
        <v>189255.175921033</v>
      </c>
      <c r="BD253" s="12">
        <f>BC253+BD120+BD121</f>
        <v>197630.686931269</v>
      </c>
      <c r="BE253" s="12">
        <f>BD253+BE120+BE121</f>
        <v>206204.826661114</v>
      </c>
      <c r="BF253" s="12">
        <f>BE253</f>
        <v>206204.826661114</v>
      </c>
      <c r="BG253" s="12" t="n"/>
      <c r="BH253" s="12" t="n"/>
      <c r="BI253" s="12" t="n"/>
      <c r="BJ253" s="12" t="n"/>
      <c r="BK253" s="12" t="n"/>
      <c r="BL253" s="12" t="n"/>
      <c r="BM253" s="12" t="n"/>
      <c r="BN253" s="12" t="n"/>
      <c r="BO253" s="12" t="n"/>
      <c r="BP253" s="12" t="n"/>
      <c r="BQ253" s="12" t="n"/>
      <c r="BR253" s="12" t="n"/>
      <c r="BS253" s="12" t="n"/>
      <c r="BT253" s="12" t="n"/>
      <c r="BU253" s="12" t="n"/>
      <c r="BV253" s="12" t="n"/>
      <c r="BW253" s="12" t="n"/>
      <c r="BX253" s="12" t="n"/>
      <c r="BY253" s="12" t="n"/>
      <c r="BZ253" s="12" t="n"/>
      <c r="CA253" s="12" t="n"/>
      <c r="CB253" s="12" t="n"/>
      <c r="CC253" s="12" t="n"/>
      <c r="CD253" s="12" t="n"/>
      <c r="CE253" s="12" t="n"/>
      <c r="CF253" s="12" t="n"/>
      <c r="CG253" s="12" t="n"/>
      <c r="CH253" s="12" t="n"/>
      <c r="CI253" s="12" t="n"/>
      <c r="CJ253" s="12" t="n"/>
      <c r="CK253" s="12" t="n"/>
      <c r="CL253" s="12" t="n"/>
      <c r="CM253" s="12" t="n"/>
      <c r="CN253" s="12" t="n"/>
      <c r="CO253" s="12" t="n"/>
      <c r="CP253" s="12" t="n"/>
      <c r="CQ253" s="12" t="n"/>
      <c r="CR253" s="12" t="n"/>
      <c r="CS253" s="12" t="n"/>
      <c r="CT253" s="12" t="n"/>
      <c r="CU253" s="12" t="n"/>
      <c r="CV253" s="12" t="n"/>
      <c r="CW253" s="12" t="n"/>
      <c r="CX253" s="12" t="n"/>
      <c r="CY253" s="12" t="n"/>
    </row>
    <row r="254" customFormat="1" s="32">
      <c r="A254" s="30" t="inlineStr">
        <is>
          <t xml:space="preserve"> </t>
        </is>
      </c>
      <c r="B254" s="30" t="n"/>
      <c r="C254" s="65" t="inlineStr">
        <is>
          <t>Total Shareholders' Equity</t>
        </is>
      </c>
      <c r="D254" s="35" t="n"/>
      <c r="E254" s="35" t="n"/>
      <c r="F254" s="35" t="n"/>
      <c r="G254" s="35" t="n"/>
      <c r="H254" s="35" t="n"/>
      <c r="I254" s="35">
        <f>SUM(I231+I236+I237+I250+I251+I252+I253)</f>
        <v>6453</v>
      </c>
      <c r="J254" s="35">
        <f>SUM(J231+J236+J237+J250+J251+J252+J253)</f>
        <v>6569</v>
      </c>
      <c r="K254" s="35">
        <f>SUM(K231+K236+K237+K250+K251+K252+K253)</f>
        <v>6802</v>
      </c>
      <c r="L254" s="35">
        <f>SUM(L231+L236+L237+L250+L251+L252+L253)</f>
        <v>7412</v>
      </c>
      <c r="M254" s="35">
        <f>SUM(M231,M236,M237,M250,M251,M252,M253)</f>
        <v>7412</v>
      </c>
      <c r="N254" s="35">
        <f>SUM(N231+N236+N237+N250+N251+N252+N253)</f>
        <v>7130</v>
      </c>
      <c r="O254" s="35">
        <f>SUM(O231+O236+O237+O250+O251+O252+O253)</f>
        <v>6262</v>
      </c>
      <c r="P254" s="35">
        <f>SUM(P231+P236+P237+P250+P251+P252+P253)</f>
        <v>6443</v>
      </c>
      <c r="Q254" s="35">
        <f>SUM(Q231+Q236+Q237+Q250+Q251+Q252+Q253)</f>
        <v>6377</v>
      </c>
      <c r="R254" s="35">
        <f>SUM(R231,R236,R237,R250,R251,R252,R253)</f>
        <v>6377</v>
      </c>
      <c r="S254" s="35">
        <f>SUM(S231+S236+S237+S250+S251+S252+S253)</f>
        <v>5407</v>
      </c>
      <c r="T254" s="35">
        <f>SUM(T231+T236+T237+T250+T251+T252+T253)</f>
        <v>5579</v>
      </c>
      <c r="U254" s="35">
        <f>SUM(U231+U236+U237+U250+U251+U252+U253)</f>
        <v>6381</v>
      </c>
      <c r="V254" s="35">
        <f>SUM(V231+V236+V237+V250+V251+V252+V253)</f>
        <v>6997</v>
      </c>
      <c r="W254" s="35">
        <f>SUM(W231,W236,W237,W250,W251,W252,W253)</f>
        <v>6997</v>
      </c>
      <c r="X254" s="35">
        <f>SUM(X231+X236+X237+X250+X251+X252+X253)</f>
        <v>7308</v>
      </c>
      <c r="Y254" s="35">
        <f>SUM(Y231+Y236+Y237+Y250+Y251+Y252+Y253)</f>
        <v>7482</v>
      </c>
      <c r="Z254" s="35">
        <f>SUM(Z231+Z236+Z237+Z250+Z251+Z252+Z253)</f>
        <v>7498</v>
      </c>
      <c r="AA254" s="35">
        <f>SUM(AA231+AA236+AA237+AA250+AA251+AA252+AA253)</f>
        <v>6515</v>
      </c>
      <c r="AB254" s="35">
        <f>SUM(AB231,AB236,AB237,AB250,AB251,AB252,AB253)</f>
        <v>6515</v>
      </c>
      <c r="AC254" s="35">
        <f>SUM(AC231+AC236+AC237+AC250+AC251+AC252+AC253)</f>
        <v>6696</v>
      </c>
      <c r="AD254" s="35">
        <f>SUM(AD231+AD236+AD237+AD250+AD251+AD252+AD253)</f>
        <v>7874</v>
      </c>
      <c r="AE254" s="35">
        <f>SUM(AE231+AE236+AE237+AE250+AE251+AE252+AE253)</f>
        <v>7919</v>
      </c>
      <c r="AF254" s="35">
        <f>SUM(AF231+AF236+AF237+AF250+AF251+AF252+AF253)</f>
        <v>7746</v>
      </c>
      <c r="AG254" s="35">
        <f>SUM(AG231,AG236,AG237,AG250,AG251,AG252,AG253)</f>
        <v>7746</v>
      </c>
      <c r="AH254" s="35">
        <f>SUM(AH231+AH236+AH237+AH250+AH251+AH252+AH253)</f>
        <v>6722</v>
      </c>
      <c r="AI254" s="35">
        <f>SUM(AI231+AI236+AI237+AI250+AI251+AI252+AI253)</f>
        <v>5606</v>
      </c>
      <c r="AJ254" s="35">
        <f>SUM(AJ231+AJ236+AJ237+AJ250+AJ251+AJ252+AJ253)</f>
        <v>10373.784806208</v>
      </c>
      <c r="AK254" s="35">
        <f>SUM(AK231+AK236+AK237+AK250+AK251+AK252+AK253)</f>
        <v>15254.63960782</v>
      </c>
      <c r="AL254" s="35">
        <f>SUM(AL231,AL236,AL237,AL250,AL251,AL252,AL253)</f>
        <v>15254.63960782</v>
      </c>
      <c r="AM254" s="35">
        <f>SUM(AM231+AM236+AM237+AM250+AM251+AM252+AM253)</f>
        <v>19909.3544186239</v>
      </c>
      <c r="AN254" s="35">
        <f>SUM(AN231+AN236+AN237+AN250+AN251+AN252+AN253)</f>
        <v>25051.2678860955</v>
      </c>
      <c r="AO254" s="35">
        <f>SUM(AO231+AO236+AO237+AO250+AO251+AO252+AO253)</f>
        <v>30576.0540966628</v>
      </c>
      <c r="AP254" s="35">
        <f>SUM(AP231+AP236+AP237+AP250+AP251+AP252+AP253)</f>
        <v>36231.8629051092</v>
      </c>
      <c r="AQ254" s="35">
        <f>SUM(AQ231,AQ236,AQ237,AQ250,AQ251,AQ252,AQ253)</f>
        <v>36231.8629051092</v>
      </c>
      <c r="AR254" s="35">
        <f>SUM(AR231+AR236+AR237+AR250+AR251+AR252+AR253)</f>
        <v>41602.3529437434</v>
      </c>
      <c r="AS254" s="35">
        <f>SUM(AS231+AS236+AS237+AS250+AS251+AS252+AS253)</f>
        <v>47534.9602417203</v>
      </c>
      <c r="AT254" s="35">
        <f>SUM(AT231+AT236+AT237+AT250+AT251+AT252+AT253)</f>
        <v>53909.3162474992</v>
      </c>
      <c r="AU254" s="35">
        <f>SUM(AU231+AU236+AU237+AU250+AU251+AU252+AU253)</f>
        <v>60434.8427514389</v>
      </c>
      <c r="AV254" s="35">
        <f>SUM(AV231,AV236,AV237,AV250,AV251,AV252,AV253)</f>
        <v>60434.8427514389</v>
      </c>
      <c r="AW254" s="35">
        <f>SUM(AW231+AW236+AW237+AW250+AW251+AW252+AW253)</f>
        <v>66604.3233586707</v>
      </c>
      <c r="AX254" s="35">
        <f>SUM(AX231+AX236+AX237+AX250+AX251+AX252+AX253)</f>
        <v>73419.5497927371</v>
      </c>
      <c r="AY254" s="35">
        <f>SUM(AY231+AY236+AY237+AY250+AY251+AY252+AY253)</f>
        <v>80742.2457624416</v>
      </c>
      <c r="AZ254" s="35">
        <f>SUM(AZ231+AZ236+AZ237+AZ250+AZ251+AZ252+AZ253)</f>
        <v>88238.6025061311</v>
      </c>
      <c r="BA254" s="35">
        <f>SUM(BA231,BA236,BA237,BA250,BA251,BA252,BA253)</f>
        <v>88238.6025061311</v>
      </c>
      <c r="BB254" s="35">
        <f>SUM(BB231+BB236+BB237+BB250+BB251+BB252+BB253)</f>
        <v>95295.095492742</v>
      </c>
      <c r="BC254" s="35">
        <f>SUM(BC231+BC236+BC237+BC250+BC251+BC252+BC253)</f>
        <v>103090.175921033</v>
      </c>
      <c r="BD254" s="35">
        <f>SUM(BD231+BD236+BD237+BD250+BD251+BD252+BD253)</f>
        <v>111465.686931268</v>
      </c>
      <c r="BE254" s="35">
        <f>SUM(BE231+BE236+BE237+BE250+BE251+BE252+BE253)</f>
        <v>120039.826661114</v>
      </c>
      <c r="BF254" s="35">
        <f>SUM(BF231,BF236,BF237,BF250,BF251,BF252,BF253)</f>
        <v>120039.826661114</v>
      </c>
      <c r="BG254" s="35" t="n"/>
      <c r="BH254" s="35" t="n"/>
      <c r="BI254" s="35" t="n"/>
      <c r="BJ254" s="35" t="n"/>
      <c r="BK254" s="35" t="n"/>
      <c r="BL254" s="35" t="n"/>
      <c r="BM254" s="35" t="n"/>
      <c r="BN254" s="35" t="n"/>
      <c r="BO254" s="35" t="n"/>
      <c r="BP254" s="35" t="n"/>
      <c r="BQ254" s="35" t="n"/>
      <c r="BR254" s="35" t="n"/>
      <c r="BS254" s="35" t="n"/>
      <c r="BT254" s="35" t="n"/>
      <c r="BU254" s="35" t="n"/>
      <c r="BV254" s="35" t="n"/>
      <c r="BW254" s="35" t="n"/>
      <c r="BX254" s="35" t="n"/>
      <c r="BY254" s="35" t="n"/>
      <c r="BZ254" s="35" t="n"/>
      <c r="CA254" s="35" t="n"/>
      <c r="CB254" s="35" t="n"/>
      <c r="CC254" s="35" t="n"/>
      <c r="CD254" s="35" t="n"/>
      <c r="CE254" s="35" t="n"/>
      <c r="CF254" s="35" t="n"/>
      <c r="CG254" s="35" t="n"/>
      <c r="CH254" s="35" t="n"/>
      <c r="CI254" s="35" t="n"/>
      <c r="CJ254" s="35" t="n"/>
      <c r="CK254" s="35" t="n"/>
      <c r="CL254" s="35" t="n"/>
      <c r="CM254" s="35" t="n"/>
      <c r="CN254" s="35" t="n"/>
      <c r="CO254" s="35" t="n"/>
      <c r="CP254" s="35" t="n"/>
      <c r="CQ254" s="35" t="n"/>
      <c r="CR254" s="35" t="n"/>
      <c r="CS254" s="35" t="n"/>
      <c r="CT254" s="35" t="n"/>
      <c r="CU254" s="35" t="n"/>
      <c r="CV254" s="35" t="n"/>
      <c r="CW254" s="35" t="n"/>
      <c r="CX254" s="35" t="n"/>
      <c r="CY254" s="35" t="n"/>
    </row>
    <row r="255">
      <c r="C255" s="10" t="n"/>
      <c r="D255" s="12" t="n"/>
      <c r="E255" s="12" t="n"/>
      <c r="F255" s="12" t="n"/>
      <c r="G255" s="12" t="n"/>
      <c r="H255" s="12" t="n"/>
      <c r="I255" s="12" t="n"/>
      <c r="J255" s="12" t="n"/>
      <c r="K255" s="12" t="n"/>
      <c r="L255" s="12" t="n"/>
      <c r="M255" s="12" t="n"/>
      <c r="N255" s="12" t="n"/>
      <c r="O255" s="12" t="n"/>
      <c r="P255" s="12" t="n"/>
      <c r="Q255" s="12" t="n"/>
      <c r="R255" s="12" t="n"/>
      <c r="S255" s="12" t="n"/>
      <c r="T255" s="12" t="n"/>
      <c r="U255" s="12" t="n"/>
      <c r="V255" s="12" t="n"/>
      <c r="W255" s="12" t="n"/>
      <c r="X255" s="12" t="n"/>
      <c r="Y255" s="12" t="n"/>
      <c r="Z255" s="12" t="n"/>
      <c r="AA255" s="12" t="n"/>
      <c r="AB255" s="12" t="n"/>
      <c r="AC255" s="12" t="n"/>
      <c r="AD255" s="12" t="n"/>
      <c r="AE255" s="12" t="n"/>
      <c r="AF255" s="12" t="n"/>
      <c r="AG255" s="12" t="n"/>
      <c r="AH255" s="12" t="n"/>
      <c r="AI255" s="12" t="n"/>
      <c r="AJ255" s="12" t="n"/>
      <c r="AK255" s="12" t="n"/>
      <c r="AL255" s="12" t="n"/>
      <c r="AM255" s="12" t="n"/>
      <c r="AN255" s="12" t="n"/>
      <c r="AO255" s="12" t="n"/>
      <c r="AP255" s="12" t="n"/>
      <c r="AQ255" s="12" t="n"/>
      <c r="AR255" s="12" t="n"/>
      <c r="AS255" s="12" t="n"/>
      <c r="AT255" s="12" t="n"/>
      <c r="AU255" s="12" t="n"/>
      <c r="AV255" s="12" t="n"/>
      <c r="AW255" s="12" t="n"/>
      <c r="AX255" s="12" t="n"/>
      <c r="AY255" s="12" t="n"/>
      <c r="AZ255" s="12" t="n"/>
      <c r="BA255" s="12" t="n"/>
      <c r="BB255" s="12" t="n"/>
      <c r="BC255" s="12" t="n"/>
      <c r="BD255" s="12" t="n"/>
      <c r="BE255" s="12" t="n"/>
      <c r="BF255" s="12" t="n"/>
      <c r="BG255" s="12" t="n"/>
      <c r="BH255" s="12" t="n"/>
      <c r="BI255" s="12" t="n"/>
      <c r="BJ255" s="12" t="n"/>
      <c r="BK255" s="12" t="n"/>
      <c r="BL255" s="12" t="n"/>
      <c r="BM255" s="12" t="n"/>
      <c r="BN255" s="12" t="n"/>
      <c r="BO255" s="12" t="n"/>
      <c r="BP255" s="12" t="n"/>
      <c r="BQ255" s="12" t="n"/>
      <c r="BR255" s="12" t="n"/>
      <c r="BS255" s="12" t="n"/>
      <c r="BT255" s="12" t="n"/>
      <c r="BU255" s="12" t="n"/>
      <c r="BV255" s="12" t="n"/>
      <c r="BW255" s="12" t="n"/>
      <c r="BX255" s="12" t="n"/>
      <c r="BY255" s="12" t="n"/>
      <c r="BZ255" s="12" t="n"/>
      <c r="CA255" s="12" t="n"/>
      <c r="CB255" s="12" t="n"/>
      <c r="CC255" s="12" t="n"/>
      <c r="CD255" s="12" t="n"/>
      <c r="CE255" s="12" t="n"/>
      <c r="CF255" s="12" t="n"/>
      <c r="CG255" s="12" t="n"/>
      <c r="CH255" s="12" t="n"/>
      <c r="CI255" s="12" t="n"/>
      <c r="CJ255" s="12" t="n"/>
      <c r="CK255" s="12" t="n"/>
      <c r="CL255" s="12" t="n"/>
      <c r="CM255" s="12" t="n"/>
      <c r="CN255" s="12" t="n"/>
      <c r="CO255" s="12" t="n"/>
      <c r="CP255" s="12" t="n"/>
      <c r="CQ255" s="12" t="n"/>
      <c r="CR255" s="12" t="n"/>
      <c r="CS255" s="12" t="n"/>
      <c r="CT255" s="12" t="n"/>
      <c r="CU255" s="12" t="n"/>
      <c r="CV255" s="12" t="n"/>
      <c r="CW255" s="12" t="n"/>
      <c r="CX255" s="12" t="n"/>
      <c r="CY255" s="12" t="n"/>
    </row>
    <row r="256" customFormat="1" s="32">
      <c r="A256" s="30" t="n"/>
      <c r="B256" s="3" t="n"/>
      <c r="C256" s="33" t="inlineStr">
        <is>
          <t>Total Liabilities + Shareholders' Equity</t>
        </is>
      </c>
      <c r="D256" s="35" t="n"/>
      <c r="E256" s="35" t="n"/>
      <c r="F256" s="35" t="n"/>
      <c r="G256" s="35" t="n"/>
      <c r="H256" s="35" t="n"/>
      <c r="I256" s="35">
        <f>I254+I230</f>
        <v>34800</v>
      </c>
      <c r="J256" s="35">
        <f>J254+J230</f>
        <v>34911</v>
      </c>
      <c r="K256" s="35">
        <f>K254+K230</f>
        <v>35410</v>
      </c>
      <c r="L256" s="35">
        <f>L254+L230</f>
        <v>37669</v>
      </c>
      <c r="M256" s="35">
        <f>M254+M230</f>
        <v>37669</v>
      </c>
      <c r="N256" s="35">
        <f>N254+N230</f>
        <v>37163</v>
      </c>
      <c r="O256" s="35">
        <f>O254+O230</f>
        <v>36231</v>
      </c>
      <c r="P256" s="35">
        <f>P254+P230</f>
        <v>37612</v>
      </c>
      <c r="Q256" s="35">
        <f>Q254+Q230</f>
        <v>38724</v>
      </c>
      <c r="R256" s="35">
        <f>R254+R230</f>
        <v>38724</v>
      </c>
      <c r="S256" s="35">
        <f>S254+S230</f>
        <v>38936</v>
      </c>
      <c r="T256" s="35">
        <f>T254+T230</f>
        <v>39004</v>
      </c>
      <c r="U256" s="35">
        <f>U254+U230</f>
        <v>39674</v>
      </c>
      <c r="V256" s="35">
        <f>V254+V230</f>
        <v>42448</v>
      </c>
      <c r="W256" s="35">
        <f>W254+W230</f>
        <v>42448</v>
      </c>
      <c r="X256" s="35">
        <f>X254+X230</f>
        <v>42602</v>
      </c>
      <c r="Y256" s="35">
        <f>Y254+Y230</f>
        <v>42333</v>
      </c>
      <c r="Z256" s="35">
        <f>Z254+Z230</f>
        <v>47237</v>
      </c>
      <c r="AA256" s="35">
        <f>AA254+AA230</f>
        <v>48081</v>
      </c>
      <c r="AB256" s="35">
        <f>AB254+AB230</f>
        <v>48081</v>
      </c>
      <c r="AC256" s="35">
        <f>AC254+AC230</f>
        <v>48470</v>
      </c>
      <c r="AD256" s="35">
        <f>AD254+AD230</f>
        <v>51431</v>
      </c>
      <c r="AE256" s="35">
        <f>AE254+AE230</f>
        <v>53289</v>
      </c>
      <c r="AF256" s="35">
        <f>AF254+AF230</f>
        <v>54157</v>
      </c>
      <c r="AG256" s="35">
        <f>AG254+AG230</f>
        <v>54157</v>
      </c>
      <c r="AH256" s="35">
        <f>AH254+AH230</f>
        <v>52449</v>
      </c>
      <c r="AI256" s="35">
        <f>AI254+AI230</f>
        <v>57691</v>
      </c>
      <c r="AJ256" s="35">
        <f>AJ254+AJ230</f>
        <v>63397.1368177646</v>
      </c>
      <c r="AK256" s="35">
        <f>AK254+AK230</f>
        <v>70674.7446475688</v>
      </c>
      <c r="AL256" s="35">
        <f>AL254+AL230</f>
        <v>70674.7446475688</v>
      </c>
      <c r="AM256" s="35">
        <f>AM254+AM230</f>
        <v>78106.7551247058</v>
      </c>
      <c r="AN256" s="35">
        <f>AN254+AN230</f>
        <v>86466.927264433</v>
      </c>
      <c r="AO256" s="35">
        <f>AO254+AO230</f>
        <v>95720.9487188738</v>
      </c>
      <c r="AP256" s="35">
        <f>AP254+AP230</f>
        <v>105698.099259121</v>
      </c>
      <c r="AQ256" s="35">
        <f>AQ254+AQ230</f>
        <v>105698.099259121</v>
      </c>
      <c r="AR256" s="35">
        <f>AR254+AR230</f>
        <v>115918.357592747</v>
      </c>
      <c r="AS256" s="35">
        <f>AS254+AS230</f>
        <v>127446.502614642</v>
      </c>
      <c r="AT256" s="35">
        <f>AT254+AT230</f>
        <v>140276.845899675</v>
      </c>
      <c r="AU256" s="35">
        <f>AU254+AU230</f>
        <v>154251.124213781</v>
      </c>
      <c r="AV256" s="35">
        <f>AV254+AV230</f>
        <v>154251.124213781</v>
      </c>
      <c r="AW256" s="35">
        <f>AW254+AW230</f>
        <v>168735.341365036</v>
      </c>
      <c r="AX256" s="35">
        <f>AX254+AX230</f>
        <v>185102.322945013</v>
      </c>
      <c r="AY256" s="35">
        <f>AY254+AY230</f>
        <v>203397.829163651</v>
      </c>
      <c r="AZ256" s="35">
        <f>AZ254+AZ230</f>
        <v>223499.467650839</v>
      </c>
      <c r="BA256" s="35">
        <f>BA254+BA230</f>
        <v>223499.467650839</v>
      </c>
      <c r="BB256" s="35">
        <f>BB254+BB230</f>
        <v>244549.919254094</v>
      </c>
      <c r="BC256" s="35">
        <f>BC254+BC230</f>
        <v>268350.929049846</v>
      </c>
      <c r="BD256" s="35">
        <f>BD254+BD230</f>
        <v>295033.609741964</v>
      </c>
      <c r="BE256" s="35">
        <f>BE254+BE230</f>
        <v>324547.018543094</v>
      </c>
      <c r="BF256" s="35">
        <f>BF254+BF230</f>
        <v>324547.018543094</v>
      </c>
      <c r="BG256" s="35" t="n"/>
      <c r="BH256" s="35" t="n"/>
      <c r="BI256" s="35" t="n"/>
      <c r="BJ256" s="35" t="n"/>
      <c r="BK256" s="35" t="n"/>
      <c r="BL256" s="35" t="n"/>
      <c r="BM256" s="35" t="n"/>
      <c r="BN256" s="35" t="n"/>
      <c r="BO256" s="35" t="n"/>
      <c r="BP256" s="35" t="n"/>
      <c r="BQ256" s="35" t="n"/>
      <c r="BR256" s="35" t="n"/>
      <c r="BS256" s="35" t="n"/>
      <c r="BT256" s="35" t="n"/>
      <c r="BU256" s="35" t="n"/>
      <c r="BV256" s="35" t="n"/>
      <c r="BW256" s="35" t="n"/>
      <c r="BX256" s="35" t="n"/>
      <c r="BY256" s="35" t="n"/>
      <c r="BZ256" s="35" t="n"/>
      <c r="CA256" s="35" t="n"/>
      <c r="CB256" s="35" t="n"/>
      <c r="CC256" s="35" t="n"/>
      <c r="CD256" s="35" t="n"/>
      <c r="CE256" s="35" t="n"/>
      <c r="CF256" s="35" t="n"/>
      <c r="CG256" s="35" t="n"/>
      <c r="CH256" s="35" t="n"/>
      <c r="CI256" s="35" t="n"/>
      <c r="CJ256" s="35" t="n"/>
      <c r="CK256" s="35" t="n"/>
      <c r="CL256" s="35" t="n"/>
      <c r="CM256" s="35" t="n"/>
      <c r="CN256" s="35" t="n"/>
      <c r="CO256" s="35" t="n"/>
      <c r="CP256" s="35" t="n"/>
      <c r="CQ256" s="35" t="n"/>
      <c r="CR256" s="35" t="n"/>
      <c r="CS256" s="35" t="n"/>
      <c r="CT256" s="35" t="n"/>
      <c r="CU256" s="35" t="n"/>
      <c r="CV256" s="35" t="n"/>
      <c r="CW256" s="35" t="n"/>
      <c r="CX256" s="35" t="n"/>
      <c r="CY256" s="35" t="n"/>
    </row>
    <row r="257">
      <c r="C257" s="18" t="n"/>
      <c r="D257" s="3" t="n"/>
      <c r="E257" s="3" t="n"/>
      <c r="F257" s="3" t="n"/>
      <c r="G257" s="3" t="n"/>
      <c r="H257" s="3" t="n"/>
      <c r="I257" s="3" t="n"/>
      <c r="J257" s="3" t="n"/>
      <c r="K257" s="3" t="n"/>
      <c r="L257" s="3" t="n"/>
      <c r="M257" s="3" t="n"/>
      <c r="N257" s="3" t="n"/>
      <c r="O257" s="3" t="n"/>
      <c r="P257" s="3" t="n"/>
      <c r="Q257" s="3" t="n"/>
      <c r="R257" s="3" t="n"/>
      <c r="S257" s="3" t="n"/>
      <c r="T257" s="3" t="n"/>
      <c r="U257" s="3" t="n"/>
      <c r="V257" s="3" t="n"/>
      <c r="W257" s="3" t="n"/>
      <c r="X257" s="3" t="n"/>
      <c r="Y257" s="3" t="n"/>
      <c r="Z257" s="3" t="n"/>
      <c r="AA257" s="3" t="n"/>
      <c r="AB257" s="3" t="n"/>
      <c r="AC257" s="3" t="n"/>
      <c r="AD257" s="3" t="n"/>
      <c r="AE257" s="3" t="n"/>
      <c r="AF257" s="3" t="n"/>
      <c r="AG257" s="3" t="n"/>
      <c r="AH257" s="3" t="n"/>
      <c r="AI257" s="3" t="n"/>
      <c r="AJ257" s="3" t="n"/>
      <c r="AK257" s="3" t="n"/>
      <c r="AL257" s="3" t="n"/>
      <c r="AM257" s="3" t="n"/>
      <c r="AN257" s="3" t="n"/>
      <c r="AO257" s="3" t="n"/>
      <c r="AP257" s="3" t="n"/>
      <c r="AQ257" s="3" t="n"/>
      <c r="AR257" s="3" t="n"/>
      <c r="AS257" s="3" t="n"/>
      <c r="AT257" s="3" t="n"/>
      <c r="AU257" s="3" t="n"/>
      <c r="AV257" s="3" t="n"/>
      <c r="AW257" s="3" t="n"/>
      <c r="AX257" s="3" t="n"/>
      <c r="AY257" s="3" t="n"/>
      <c r="AZ257" s="3" t="n"/>
      <c r="BA257" s="3" t="n"/>
      <c r="BB257" s="3" t="n"/>
      <c r="BC257" s="3" t="n"/>
      <c r="BD257" s="3" t="n"/>
      <c r="BE257" s="3" t="n"/>
      <c r="BF257" s="3" t="n"/>
      <c r="BG257" s="3" t="n"/>
      <c r="BH257" s="3" t="n"/>
      <c r="BI257" s="3" t="n"/>
      <c r="BJ257" s="3" t="n"/>
      <c r="BK257" s="3" t="n"/>
      <c r="BL257" s="3" t="n"/>
      <c r="BM257" s="3" t="n"/>
      <c r="BN257" s="3" t="n"/>
      <c r="BO257" s="3" t="n"/>
      <c r="BP257" s="3" t="n"/>
      <c r="BQ257" s="3" t="n"/>
      <c r="BR257" s="3" t="n"/>
      <c r="BS257" s="3" t="n"/>
      <c r="BT257" s="3" t="n"/>
      <c r="BU257" s="3" t="n"/>
      <c r="BV257" s="3" t="n"/>
      <c r="BW257" s="3" t="n"/>
      <c r="BX257" s="3" t="n"/>
      <c r="BY257" s="3" t="n"/>
      <c r="BZ257" s="3" t="n"/>
      <c r="CA257" s="3" t="n"/>
      <c r="CB257" s="3" t="n"/>
      <c r="CC257" s="3" t="n"/>
      <c r="CD257" s="3" t="n"/>
      <c r="CE257" s="3" t="n"/>
      <c r="CF257" s="3" t="n"/>
      <c r="CG257" s="3" t="n"/>
      <c r="CH257" s="3" t="n"/>
      <c r="CI257" s="3" t="n"/>
      <c r="CJ257" s="3" t="n"/>
      <c r="CK257" s="3" t="n"/>
      <c r="CL257" s="3" t="n"/>
      <c r="CM257" s="3" t="n"/>
      <c r="CN257" s="3" t="n"/>
      <c r="CO257" s="3" t="n"/>
      <c r="CP257" s="3" t="n"/>
      <c r="CQ257" s="3" t="n"/>
      <c r="CR257" s="3" t="n"/>
      <c r="CS257" s="3" t="n"/>
      <c r="CT257" s="3" t="n"/>
      <c r="CU257" s="3" t="n"/>
      <c r="CV257" s="3" t="n"/>
      <c r="CW257" s="3" t="n"/>
      <c r="CX257" s="3" t="n"/>
      <c r="CY257" s="3" t="n"/>
    </row>
    <row r="258" customFormat="1" s="32">
      <c r="A258" s="30" t="n"/>
      <c r="B258" s="30" t="n"/>
      <c r="C258" s="31" t="inlineStr">
        <is>
          <t>Cash Flow Statement</t>
        </is>
      </c>
      <c r="D258" s="70" t="n"/>
      <c r="E258" s="70" t="n"/>
      <c r="F258" s="70" t="n"/>
      <c r="G258" s="70" t="n"/>
      <c r="H258" s="70" t="n"/>
      <c r="I258" s="70" t="str">
        <f>I125</f>
        <v>1Q21</v>
      </c>
      <c r="J258" s="70" t="str">
        <f>J125</f>
        <v>2Q21</v>
      </c>
      <c r="K258" s="70" t="str">
        <f>K125</f>
        <v>3Q21</v>
      </c>
      <c r="L258" s="70" t="str">
        <f>L125</f>
        <v>4Q21</v>
      </c>
      <c r="M258" s="70">
        <f>M125</f>
        <v>2021</v>
      </c>
      <c r="N258" s="70" t="str">
        <f>N125</f>
        <v>1Q22</v>
      </c>
      <c r="O258" s="70" t="str">
        <f>O125</f>
        <v>2Q22</v>
      </c>
      <c r="P258" s="70" t="str">
        <f>P125</f>
        <v>3Q22</v>
      </c>
      <c r="Q258" s="70" t="str">
        <f>Q125</f>
        <v>4Q22</v>
      </c>
      <c r="R258" s="70">
        <f>R125</f>
        <v>2022</v>
      </c>
      <c r="S258" s="70" t="str">
        <f>S125</f>
        <v>1Q23</v>
      </c>
      <c r="T258" s="70" t="str">
        <f>T125</f>
        <v>2Q23</v>
      </c>
      <c r="U258" s="70" t="str">
        <f>U125</f>
        <v>3Q23</v>
      </c>
      <c r="V258" s="70" t="str">
        <f>V125</f>
        <v>4Q23</v>
      </c>
      <c r="W258" s="70">
        <f>W125</f>
        <v>2023</v>
      </c>
      <c r="X258" s="70" t="str">
        <f>X125</f>
        <v>1Q24</v>
      </c>
      <c r="Y258" s="70" t="str">
        <f>Y125</f>
        <v>2Q24</v>
      </c>
      <c r="Z258" s="70" t="str">
        <f>Z125</f>
        <v>3Q24</v>
      </c>
      <c r="AA258" s="70" t="str">
        <f>AA125</f>
        <v>4Q24</v>
      </c>
      <c r="AB258" s="70">
        <f>AB125</f>
        <v>2024</v>
      </c>
      <c r="AC258" s="70" t="str">
        <f>AC125</f>
        <v>1Q25</v>
      </c>
      <c r="AD258" s="70" t="str">
        <f>AD125</f>
        <v>2Q25</v>
      </c>
      <c r="AE258" s="70" t="str">
        <f>AE125</f>
        <v>3Q25</v>
      </c>
      <c r="AF258" s="70" t="str">
        <f>AF125</f>
        <v>4Q25</v>
      </c>
      <c r="AG258" s="70">
        <f>AG125</f>
        <v>2025</v>
      </c>
      <c r="AH258" s="70" t="str">
        <f>AH125</f>
        <v>1Q26</v>
      </c>
      <c r="AI258" s="70" t="str">
        <f>AI125</f>
        <v>2Q26</v>
      </c>
      <c r="AJ258" s="70" t="str">
        <f>AJ125</f>
        <v>3Q26</v>
      </c>
      <c r="AK258" s="70" t="str">
        <f>AK125</f>
        <v>4Q26</v>
      </c>
      <c r="AL258" s="70">
        <f>AL125</f>
        <v>2026</v>
      </c>
      <c r="AM258" s="70" t="str">
        <f>AM125</f>
        <v>1Q27</v>
      </c>
      <c r="AN258" s="70" t="str">
        <f>AN125</f>
        <v>2Q27</v>
      </c>
      <c r="AO258" s="70" t="str">
        <f>AO125</f>
        <v>3Q27</v>
      </c>
      <c r="AP258" s="70" t="str">
        <f>AP125</f>
        <v>4Q27</v>
      </c>
      <c r="AQ258" s="70">
        <f>AQ125</f>
        <v>2027</v>
      </c>
      <c r="AR258" s="70" t="str">
        <f>AR125</f>
        <v>1Q28</v>
      </c>
      <c r="AS258" s="70" t="str">
        <f>AS125</f>
        <v>2Q28</v>
      </c>
      <c r="AT258" s="70" t="str">
        <f>AT125</f>
        <v>3Q28</v>
      </c>
      <c r="AU258" s="70" t="str">
        <f>AU125</f>
        <v>4Q28</v>
      </c>
      <c r="AV258" s="70">
        <f>AV125</f>
        <v>2028</v>
      </c>
      <c r="AW258" s="70" t="str">
        <f>AW125</f>
        <v>1Q29</v>
      </c>
      <c r="AX258" s="70" t="str">
        <f>AX125</f>
        <v>2Q29</v>
      </c>
      <c r="AY258" s="70" t="str">
        <f>AY125</f>
        <v>3Q29</v>
      </c>
      <c r="AZ258" s="70" t="str">
        <f>AZ125</f>
        <v>4Q29</v>
      </c>
      <c r="BA258" s="70">
        <f>BA125</f>
        <v>2029</v>
      </c>
      <c r="BB258" s="70" t="str">
        <f>BB125</f>
        <v>1Q30</v>
      </c>
      <c r="BC258" s="70" t="str">
        <f>BC125</f>
        <v>2Q30</v>
      </c>
      <c r="BD258" s="70" t="str">
        <f>BD125</f>
        <v>3Q30</v>
      </c>
      <c r="BE258" s="70" t="str">
        <f>BE125</f>
        <v>4Q30</v>
      </c>
      <c r="BF258" s="70">
        <f>BF125</f>
        <v>2030</v>
      </c>
      <c r="BG258" s="70" t="n"/>
      <c r="BH258" s="70" t="n"/>
      <c r="BI258" s="70" t="n"/>
      <c r="BJ258" s="70" t="n"/>
      <c r="BK258" s="70" t="n"/>
      <c r="BL258" s="70" t="n"/>
      <c r="BM258" s="70" t="n"/>
      <c r="BN258" s="70" t="n"/>
      <c r="BO258" s="70" t="n"/>
      <c r="BP258" s="70" t="n"/>
      <c r="BQ258" s="70" t="n"/>
      <c r="BR258" s="70" t="n"/>
      <c r="BS258" s="70" t="n"/>
      <c r="BT258" s="70" t="n"/>
      <c r="BU258" s="70" t="n"/>
      <c r="BV258" s="70" t="n"/>
      <c r="BW258" s="70" t="n"/>
      <c r="BX258" s="70" t="n"/>
      <c r="BY258" s="70" t="n"/>
      <c r="BZ258" s="70" t="n"/>
      <c r="CA258" s="70" t="n"/>
      <c r="CB258" s="70" t="n"/>
      <c r="CC258" s="70" t="n"/>
      <c r="CD258" s="70" t="n"/>
      <c r="CE258" s="70" t="n"/>
      <c r="CF258" s="70" t="n"/>
      <c r="CG258" s="70" t="n"/>
      <c r="CH258" s="70" t="n"/>
      <c r="CI258" s="70" t="n"/>
      <c r="CJ258" s="70" t="n"/>
      <c r="CK258" s="70" t="n"/>
      <c r="CL258" s="70" t="n"/>
      <c r="CM258" s="70" t="n"/>
      <c r="CN258" s="70" t="n"/>
      <c r="CO258" s="70" t="n"/>
      <c r="CP258" s="70" t="n"/>
      <c r="CQ258" s="70" t="n"/>
      <c r="CR258" s="70" t="n"/>
      <c r="CS258" s="70" t="n"/>
      <c r="CT258" s="70" t="n"/>
      <c r="CU258" s="70" t="n"/>
      <c r="CV258" s="70" t="n"/>
      <c r="CW258" s="70" t="n"/>
      <c r="CX258" s="70" t="n"/>
      <c r="CY258" s="70" t="n"/>
    </row>
    <row r="259">
      <c r="C259" s="18" t="n"/>
      <c r="D259" s="3" t="n"/>
      <c r="E259" s="3" t="n"/>
      <c r="F259" s="3" t="n"/>
      <c r="G259" s="3" t="n"/>
      <c r="H259" s="3" t="n"/>
      <c r="I259" s="3" t="n"/>
      <c r="J259" s="3" t="n"/>
      <c r="K259" s="3" t="n"/>
      <c r="L259" s="3" t="n"/>
      <c r="M259" s="3" t="n"/>
      <c r="N259" s="3" t="n"/>
      <c r="O259" s="3" t="n"/>
      <c r="P259" s="3" t="n"/>
      <c r="Q259" s="3" t="n"/>
      <c r="R259" s="3" t="n"/>
      <c r="S259" s="3" t="n"/>
      <c r="T259" s="3" t="n"/>
      <c r="U259" s="3" t="n"/>
      <c r="V259" s="3" t="n"/>
      <c r="W259" s="3" t="n"/>
      <c r="X259" s="3" t="n"/>
      <c r="Y259" s="3" t="n"/>
      <c r="Z259" s="3" t="n"/>
      <c r="AA259" s="3" t="n"/>
      <c r="AB259" s="3" t="n"/>
      <c r="AC259" s="3" t="n"/>
      <c r="AD259" s="3" t="n"/>
      <c r="AE259" s="3" t="n"/>
      <c r="AF259" s="3" t="n"/>
      <c r="AG259" s="3" t="n"/>
      <c r="AH259" s="3" t="n"/>
      <c r="AI259" s="3" t="n"/>
      <c r="AJ259" s="3" t="n"/>
      <c r="AK259" s="3" t="n"/>
      <c r="AL259" s="3" t="n"/>
      <c r="AM259" s="3" t="n"/>
      <c r="AN259" s="3" t="n"/>
      <c r="AO259" s="3" t="n"/>
      <c r="AP259" s="3" t="n"/>
      <c r="AQ259" s="3" t="n"/>
      <c r="AR259" s="3" t="n"/>
      <c r="AS259" s="3" t="n"/>
      <c r="AT259" s="3" t="n"/>
      <c r="AU259" s="3" t="n"/>
      <c r="AV259" s="3" t="n"/>
      <c r="AW259" s="3" t="n"/>
      <c r="AX259" s="3" t="n"/>
      <c r="AY259" s="3" t="n"/>
      <c r="AZ259" s="3" t="n"/>
      <c r="BA259" s="3" t="n"/>
      <c r="BB259" s="3" t="n"/>
      <c r="BC259" s="3" t="n"/>
      <c r="BD259" s="3" t="n"/>
      <c r="BE259" s="3" t="n"/>
      <c r="BF259" s="3" t="n"/>
      <c r="BG259" s="3" t="n"/>
      <c r="BH259" s="3" t="n"/>
      <c r="BI259" s="3" t="n"/>
      <c r="BJ259" s="3" t="n"/>
      <c r="BK259" s="3" t="n"/>
      <c r="BL259" s="3" t="n"/>
      <c r="BM259" s="3" t="n"/>
      <c r="BN259" s="3" t="n"/>
      <c r="BO259" s="3" t="n"/>
      <c r="BP259" s="3" t="n"/>
      <c r="BQ259" s="3" t="n"/>
      <c r="BR259" s="3" t="n"/>
      <c r="BS259" s="3" t="n"/>
      <c r="BT259" s="3" t="n"/>
      <c r="BU259" s="3" t="n"/>
      <c r="BV259" s="3" t="n"/>
      <c r="BW259" s="3" t="n"/>
      <c r="BX259" s="3" t="n"/>
      <c r="BY259" s="3" t="n"/>
      <c r="BZ259" s="3" t="n"/>
      <c r="CA259" s="3" t="n"/>
      <c r="CB259" s="3" t="n"/>
      <c r="CC259" s="3" t="n"/>
      <c r="CD259" s="3" t="n"/>
      <c r="CE259" s="3" t="n"/>
      <c r="CF259" s="3" t="n"/>
      <c r="CG259" s="3" t="n"/>
      <c r="CH259" s="3" t="n"/>
      <c r="CI259" s="3" t="n"/>
      <c r="CJ259" s="3" t="n"/>
      <c r="CK259" s="3" t="n"/>
      <c r="CL259" s="3" t="n"/>
      <c r="CM259" s="3" t="n"/>
      <c r="CN259" s="3" t="n"/>
      <c r="CO259" s="3" t="n"/>
      <c r="CP259" s="3" t="n"/>
      <c r="CQ259" s="3" t="n"/>
      <c r="CR259" s="3" t="n"/>
      <c r="CS259" s="3" t="n"/>
      <c r="CT259" s="3" t="n"/>
      <c r="CU259" s="3" t="n"/>
      <c r="CV259" s="3" t="n"/>
      <c r="CW259" s="3" t="n"/>
      <c r="CX259" s="3" t="n"/>
      <c r="CY259" s="3" t="n"/>
    </row>
    <row r="260">
      <c r="C260" s="10" t="inlineStr">
        <is>
          <t>Net Income</t>
        </is>
      </c>
      <c r="D260" s="12" t="n"/>
      <c r="E260" s="12" t="n"/>
      <c r="F260" s="12" t="n"/>
      <c r="G260" s="12" t="n"/>
      <c r="H260" s="12" t="n"/>
      <c r="I260" s="12" t="n"/>
      <c r="J260" s="12">
        <f>J120</f>
        <v>2066</v>
      </c>
      <c r="K260" s="12">
        <f>K120</f>
        <v>2414</v>
      </c>
      <c r="L260" s="12">
        <f>L120</f>
        <v>2379</v>
      </c>
      <c r="M260" s="12" t="n"/>
      <c r="N260" s="12">
        <f>N120</f>
        <v>2631</v>
      </c>
      <c r="O260" s="12">
        <f>O120</f>
        <v>2275</v>
      </c>
      <c r="P260" s="12">
        <f>P120</f>
        <v>2499</v>
      </c>
      <c r="Q260" s="12">
        <f>Q120</f>
        <v>2525</v>
      </c>
      <c r="R260" s="12">
        <f>SUM(N260:Q260)</f>
        <v>9930</v>
      </c>
      <c r="S260" s="12">
        <f>S120</f>
        <v>2361</v>
      </c>
      <c r="T260" s="12">
        <f>T120</f>
        <v>2845</v>
      </c>
      <c r="U260" s="12">
        <f>U120</f>
        <v>3198</v>
      </c>
      <c r="V260" s="12">
        <f>V120</f>
        <v>2791</v>
      </c>
      <c r="W260" s="12">
        <f>SUM(S260:V260)</f>
        <v>11195</v>
      </c>
      <c r="X260" s="12">
        <f>X120</f>
        <v>3011</v>
      </c>
      <c r="Y260" s="12">
        <f>Y120</f>
        <v>3258</v>
      </c>
      <c r="Z260" s="12">
        <f>Z120</f>
        <v>3263</v>
      </c>
      <c r="AA260" s="12">
        <f>AA120</f>
        <v>3342</v>
      </c>
      <c r="AB260" s="12">
        <f>SUM(X260:AA260)</f>
        <v>12874</v>
      </c>
      <c r="AC260" s="12">
        <f>AC120</f>
        <v>3280</v>
      </c>
      <c r="AD260" s="12">
        <f>AD120</f>
        <v>3701</v>
      </c>
      <c r="AE260" s="12">
        <f>AE120</f>
        <v>3927</v>
      </c>
      <c r="AF260" s="12">
        <f>AF120</f>
        <v>4060</v>
      </c>
      <c r="AG260" s="12">
        <f>SUM(AC260:AF260)</f>
        <v>14968</v>
      </c>
      <c r="AH260" s="12">
        <f>AH120</f>
        <v>3882</v>
      </c>
      <c r="AI260" s="12">
        <f>AI120</f>
        <v>4388</v>
      </c>
      <c r="AJ260" s="12">
        <f>AJ120</f>
        <v>4767.78480620795</v>
      </c>
      <c r="AK260" s="12">
        <f>AK120</f>
        <v>4880.8548016121</v>
      </c>
      <c r="AL260" s="12">
        <f>SUM(AH260:AK260)</f>
        <v>17918.6396078201</v>
      </c>
      <c r="AM260" s="12">
        <f>AM120</f>
        <v>4654.71481080381</v>
      </c>
      <c r="AN260" s="12">
        <f>AN120</f>
        <v>5141.91346747166</v>
      </c>
      <c r="AO260" s="12">
        <f>AO120</f>
        <v>5524.78621056731</v>
      </c>
      <c r="AP260" s="12">
        <f>AP120</f>
        <v>5655.80880844637</v>
      </c>
      <c r="AQ260" s="12">
        <f>SUM(AM260:AP260)</f>
        <v>20977.2232972891</v>
      </c>
      <c r="AR260" s="12">
        <f>AR120</f>
        <v>5370.49003863422</v>
      </c>
      <c r="AS260" s="12">
        <f>AS120</f>
        <v>5932.60729797686</v>
      </c>
      <c r="AT260" s="12">
        <f>AT120</f>
        <v>6374.35600577893</v>
      </c>
      <c r="AU260" s="12">
        <f>AU120</f>
        <v>6525.52650393969</v>
      </c>
      <c r="AV260" s="12">
        <f>SUM(AR260:AU260)</f>
        <v>24202.9798463297</v>
      </c>
      <c r="AW260" s="12">
        <f>AW120</f>
        <v>6169.48060723182</v>
      </c>
      <c r="AX260" s="12">
        <f>AX120</f>
        <v>6815.2264340664</v>
      </c>
      <c r="AY260" s="12">
        <f>AY120</f>
        <v>7322.69596970447</v>
      </c>
      <c r="AZ260" s="12">
        <f>AZ120</f>
        <v>7496.35674368955</v>
      </c>
      <c r="BA260" s="12">
        <f>SUM(AW260:AZ260)</f>
        <v>27803.7597546922</v>
      </c>
      <c r="BB260" s="12">
        <f>BB120</f>
        <v>7056.4929866109</v>
      </c>
      <c r="BC260" s="12">
        <f>BC120</f>
        <v>7795.08042829118</v>
      </c>
      <c r="BD260" s="12">
        <f>BD120</f>
        <v>8375.51101023533</v>
      </c>
      <c r="BE260" s="12">
        <f>BE120</f>
        <v>8574.13972984566</v>
      </c>
      <c r="BF260" s="12">
        <f>SUM(BB260:BE260)</f>
        <v>31801.2241549831</v>
      </c>
      <c r="BG260" s="12" t="n"/>
      <c r="BH260" s="12" t="n"/>
      <c r="BI260" s="12" t="n"/>
      <c r="BJ260" s="12" t="n"/>
      <c r="BK260" s="12" t="n"/>
      <c r="BL260" s="12" t="n"/>
      <c r="BM260" s="12" t="n"/>
      <c r="BN260" s="12" t="n"/>
      <c r="BO260" s="12" t="n"/>
      <c r="BP260" s="12" t="n"/>
      <c r="BQ260" s="12" t="n"/>
      <c r="BR260" s="12" t="n"/>
      <c r="BS260" s="12" t="n"/>
      <c r="BT260" s="12" t="n"/>
      <c r="BU260" s="12" t="n"/>
      <c r="BV260" s="12" t="n"/>
      <c r="BW260" s="12" t="n"/>
      <c r="BX260" s="12" t="n"/>
      <c r="BY260" s="12" t="n"/>
      <c r="BZ260" s="12" t="n"/>
      <c r="CA260" s="12" t="n"/>
      <c r="CB260" s="12" t="n"/>
      <c r="CC260" s="12" t="n"/>
      <c r="CD260" s="12" t="n"/>
      <c r="CE260" s="12" t="n"/>
      <c r="CF260" s="12" t="n"/>
      <c r="CG260" s="12" t="n"/>
      <c r="CH260" s="12" t="n"/>
      <c r="CI260" s="12" t="n"/>
      <c r="CJ260" s="12" t="n"/>
      <c r="CK260" s="12" t="n"/>
      <c r="CL260" s="12" t="n"/>
      <c r="CM260" s="12" t="n"/>
      <c r="CN260" s="12" t="n"/>
      <c r="CO260" s="12" t="n"/>
      <c r="CP260" s="12" t="n"/>
      <c r="CQ260" s="12" t="n"/>
      <c r="CR260" s="12" t="n"/>
      <c r="CS260" s="12" t="n"/>
      <c r="CT260" s="12" t="n"/>
      <c r="CU260" s="12" t="n"/>
      <c r="CV260" s="12" t="n"/>
      <c r="CW260" s="12" t="n"/>
      <c r="CX260" s="12" t="n"/>
      <c r="CY260" s="12" t="n"/>
    </row>
    <row r="261">
      <c r="C261" s="10" t="inlineStr">
        <is>
          <t>Depreciation &amp; amortization</t>
        </is>
      </c>
      <c r="D261" s="12" t="n"/>
      <c r="E261" s="12" t="n"/>
      <c r="F261" s="12" t="n"/>
      <c r="G261" s="12" t="n"/>
      <c r="H261" s="12" t="n"/>
      <c r="I261" s="12" t="n"/>
      <c r="J261" s="12">
        <f>-J53</f>
        <v>186</v>
      </c>
      <c r="K261" s="12">
        <f>-K53</f>
        <v>188</v>
      </c>
      <c r="L261" s="12">
        <f>-L53</f>
        <v>189</v>
      </c>
      <c r="M261" s="12" t="n"/>
      <c r="N261" s="12">
        <f>-N53</f>
        <v>192</v>
      </c>
      <c r="O261" s="12">
        <f>-O53</f>
        <v>189</v>
      </c>
      <c r="P261" s="12">
        <f>-P53</f>
        <v>185</v>
      </c>
      <c r="Q261" s="12">
        <f>-Q53</f>
        <v>184</v>
      </c>
      <c r="R261" s="12">
        <f>SUM(N261:Q261)</f>
        <v>750</v>
      </c>
      <c r="S261" s="12">
        <f>-S53</f>
        <v>191</v>
      </c>
      <c r="T261" s="12">
        <f>-T53</f>
        <v>192</v>
      </c>
      <c r="U261" s="12">
        <f>-U53</f>
        <v>211</v>
      </c>
      <c r="V261" s="12">
        <f>-V53</f>
        <v>205</v>
      </c>
      <c r="W261" s="12">
        <f>SUM(S261:V261)</f>
        <v>799</v>
      </c>
      <c r="X261" s="12">
        <f>-X53</f>
        <v>216</v>
      </c>
      <c r="Y261" s="12">
        <f>-Y53</f>
        <v>225</v>
      </c>
      <c r="Z261" s="12">
        <f>-Z53</f>
        <v>225</v>
      </c>
      <c r="AA261" s="12">
        <f>-AA53</f>
        <v>231</v>
      </c>
      <c r="AB261" s="12">
        <f>SUM(X261:AA261)</f>
        <v>897</v>
      </c>
      <c r="AC261" s="12">
        <f>-AC53</f>
        <v>275</v>
      </c>
      <c r="AD261" s="12">
        <f>-AD53</f>
        <v>281</v>
      </c>
      <c r="AE261" s="12">
        <f>-AE53</f>
        <v>290</v>
      </c>
      <c r="AF261" s="12">
        <f>-AF53</f>
        <v>297</v>
      </c>
      <c r="AG261" s="12">
        <f>SUM(AC261:AF261)</f>
        <v>1143</v>
      </c>
      <c r="AH261" s="12">
        <f>-AH53</f>
        <v>299</v>
      </c>
      <c r="AI261" s="12">
        <f>-AI53</f>
        <v>309</v>
      </c>
      <c r="AJ261" s="12">
        <f>-AJ53</f>
        <v>346.934460711614</v>
      </c>
      <c r="AK261" s="12">
        <f>-AK53</f>
        <v>355.162155432048</v>
      </c>
      <c r="AL261" s="12">
        <f>SUM(AH261:AK261)</f>
        <v>1310.09661614366</v>
      </c>
      <c r="AM261" s="12">
        <f>-AM53</f>
        <v>338.706765991181</v>
      </c>
      <c r="AN261" s="12">
        <f>-AN53</f>
        <v>374.158450595402</v>
      </c>
      <c r="AO261" s="12">
        <f>-AO53</f>
        <v>402.018715696736</v>
      </c>
      <c r="AP261" s="12">
        <f>-AP53</f>
        <v>411.552756385196</v>
      </c>
      <c r="AQ261" s="12">
        <f>SUM(AM261:AP261)</f>
        <v>1526.43668866851</v>
      </c>
      <c r="AR261" s="12">
        <f>-AR53</f>
        <v>390.79114117832</v>
      </c>
      <c r="AS261" s="12">
        <f>-AS53</f>
        <v>431.694381604105</v>
      </c>
      <c r="AT261" s="12">
        <f>-AT53</f>
        <v>463.838837769956</v>
      </c>
      <c r="AU261" s="12">
        <f>-AU53</f>
        <v>474.838968309955</v>
      </c>
      <c r="AV261" s="12">
        <f>SUM(AR261:AU261)</f>
        <v>1761.16332886234</v>
      </c>
      <c r="AW261" s="12">
        <f>-AW53</f>
        <v>448.930795818174</v>
      </c>
      <c r="AX261" s="12">
        <f>-AX53</f>
        <v>495.919384711265</v>
      </c>
      <c r="AY261" s="12">
        <f>-AY53</f>
        <v>532.846107881515</v>
      </c>
      <c r="AZ261" s="12">
        <f>-AZ53</f>
        <v>545.482774471591</v>
      </c>
      <c r="BA261" s="12">
        <f>SUM(AW261:AZ261)</f>
        <v>2023.17906288254</v>
      </c>
      <c r="BB261" s="12">
        <f>-BB53</f>
        <v>513.475479354167</v>
      </c>
      <c r="BC261" s="12">
        <f>-BC53</f>
        <v>567.219816857419</v>
      </c>
      <c r="BD261" s="12">
        <f>-BD53</f>
        <v>609.45565155053</v>
      </c>
      <c r="BE261" s="12">
        <f>-BE53</f>
        <v>623.909145263191</v>
      </c>
      <c r="BF261" s="12">
        <f>SUM(BB261:BE261)</f>
        <v>2314.06009302531</v>
      </c>
      <c r="BG261" s="12" t="n"/>
      <c r="BH261" s="12" t="n"/>
      <c r="BI261" s="12" t="n"/>
      <c r="BJ261" s="12" t="n"/>
      <c r="BK261" s="12" t="n"/>
      <c r="BL261" s="12" t="n"/>
      <c r="BM261" s="12" t="n"/>
      <c r="BN261" s="12" t="n"/>
      <c r="BO261" s="12" t="n"/>
      <c r="BP261" s="12" t="n"/>
      <c r="BQ261" s="12" t="n"/>
      <c r="BR261" s="12" t="n"/>
      <c r="BS261" s="12" t="n"/>
      <c r="BT261" s="12" t="n"/>
      <c r="BU261" s="12" t="n"/>
      <c r="BV261" s="12" t="n"/>
      <c r="BW261" s="12" t="n"/>
      <c r="BX261" s="12" t="n"/>
      <c r="BY261" s="12" t="n"/>
      <c r="BZ261" s="12" t="n"/>
      <c r="CA261" s="12" t="n"/>
      <c r="CB261" s="12" t="n"/>
      <c r="CC261" s="12" t="n"/>
      <c r="CD261" s="12" t="n"/>
      <c r="CE261" s="12" t="n"/>
      <c r="CF261" s="12" t="n"/>
      <c r="CG261" s="12" t="n"/>
      <c r="CH261" s="12" t="n"/>
      <c r="CI261" s="12" t="n"/>
      <c r="CJ261" s="12" t="n"/>
      <c r="CK261" s="12" t="n"/>
      <c r="CL261" s="12" t="n"/>
      <c r="CM261" s="12" t="n"/>
      <c r="CN261" s="12" t="n"/>
      <c r="CO261" s="12" t="n"/>
      <c r="CP261" s="12" t="n"/>
      <c r="CQ261" s="12" t="n"/>
      <c r="CR261" s="12" t="n"/>
      <c r="CS261" s="12" t="n"/>
      <c r="CT261" s="12" t="n"/>
      <c r="CU261" s="12" t="n"/>
      <c r="CV261" s="12" t="n"/>
      <c r="CW261" s="12" t="n"/>
      <c r="CX261" s="12" t="n"/>
      <c r="CY261" s="12" t="n"/>
    </row>
    <row r="262">
      <c r="C262" s="10" t="inlineStr">
        <is>
          <t xml:space="preserve">Changes in working capital </t>
        </is>
      </c>
      <c r="D262" s="12" t="n"/>
      <c r="E262" s="12" t="n"/>
      <c r="F262" s="12" t="n"/>
      <c r="G262" s="12" t="n"/>
      <c r="H262" s="12" t="n"/>
      <c r="I262" s="12" t="n"/>
      <c r="J262" s="12">
        <f>SUM(J263:J272)</f>
        <v>181</v>
      </c>
      <c r="K262" s="12">
        <f>SUM(K263:K272)</f>
        <v>79</v>
      </c>
      <c r="L262" s="12">
        <f>SUM(L263:L272)</f>
        <v>876</v>
      </c>
      <c r="M262" s="12" t="n"/>
      <c r="N262" s="12">
        <f>SUM(N263:N272)</f>
        <v>-1108</v>
      </c>
      <c r="O262" s="12">
        <f>SUM(O263:O272)</f>
        <v>-167</v>
      </c>
      <c r="P262" s="12">
        <f>SUM(P263:P272)</f>
        <v>1069</v>
      </c>
      <c r="Q262" s="12">
        <f>SUM(Q263:Q272)</f>
        <v>923</v>
      </c>
      <c r="R262" s="12">
        <f>SUM(N262:Q262)</f>
        <v>717</v>
      </c>
      <c r="S262" s="12">
        <f>SUM(S263:S272)</f>
        <v>-896</v>
      </c>
      <c r="T262" s="12">
        <f>SUM(T263:T272)</f>
        <v>-487</v>
      </c>
      <c r="U262" s="12">
        <f>SUM(U263:U272)</f>
        <v>148</v>
      </c>
      <c r="V262" s="12">
        <f>SUM(V263:V272)</f>
        <v>1454</v>
      </c>
      <c r="W262" s="12">
        <f>SUM(S262:V262)</f>
        <v>219</v>
      </c>
      <c r="X262" s="12">
        <f>SUM(X263:X272)</f>
        <v>-1092</v>
      </c>
      <c r="Y262" s="12">
        <f>SUM(Y263:Y272)</f>
        <v>-68</v>
      </c>
      <c r="Z262" s="12">
        <f>SUM(Z263:Z272)</f>
        <v>1382</v>
      </c>
      <c r="AA262" s="12">
        <f>SUM(AA263:AA272)</f>
        <v>1839</v>
      </c>
      <c r="AB262" s="12">
        <f>SUM(X262:AA262)</f>
        <v>2061</v>
      </c>
      <c r="AC262" s="12">
        <f>SUM(AC263:AC272)</f>
        <v>-1563</v>
      </c>
      <c r="AD262" s="12">
        <f>SUM(AD263:AD272)</f>
        <v>389</v>
      </c>
      <c r="AE262" s="12">
        <f>SUM(AE263:AE272)</f>
        <v>1851</v>
      </c>
      <c r="AF262" s="12">
        <f>SUM(AF263:AF272)</f>
        <v>1195</v>
      </c>
      <c r="AG262" s="12">
        <f>SUM(AC262:AF262)</f>
        <v>1872</v>
      </c>
      <c r="AH262" s="12">
        <f>SUM(AH263:AH272)</f>
        <v>-2251</v>
      </c>
      <c r="AI262" s="12">
        <f>SUM(AI263:AI272)</f>
        <v>664</v>
      </c>
      <c r="AJ262" s="12">
        <f>SUM(AJ263:AJ272)</f>
        <v>754.065312059205</v>
      </c>
      <c r="AK262" s="12">
        <f>SUM(AK263:AK272)</f>
        <v>2272.69089302614</v>
      </c>
      <c r="AL262" s="12">
        <f>SUM(AH262:AK262)</f>
        <v>1439.75620508534</v>
      </c>
      <c r="AM262" s="12">
        <f>SUM(AM263:AM272)</f>
        <v>2911.92605745781</v>
      </c>
      <c r="AN262" s="12">
        <f>SUM(AN263:AN272)</f>
        <v>2735.19305147771</v>
      </c>
      <c r="AO262" s="12">
        <f>SUM(AO263:AO272)</f>
        <v>3371.13904394757</v>
      </c>
      <c r="AP262" s="12">
        <f>SUM(AP263:AP272)</f>
        <v>4177.58172553459</v>
      </c>
      <c r="AQ262" s="12">
        <f>SUM(AM262:AP262)</f>
        <v>13195.8398784177</v>
      </c>
      <c r="AR262" s="12">
        <f>SUM(AR263:AR272)</f>
        <v>5098.07075853122</v>
      </c>
      <c r="AS262" s="12">
        <f>SUM(AS263:AS272)</f>
        <v>4971.99641261498</v>
      </c>
      <c r="AT262" s="12">
        <f>SUM(AT263:AT272)</f>
        <v>6042.82510869298</v>
      </c>
      <c r="AU262" s="12">
        <f>SUM(AU263:AU272)</f>
        <v>7282.88521833651</v>
      </c>
      <c r="AV262" s="12">
        <f>SUM(AR262:AU262)</f>
        <v>23395.7774981757</v>
      </c>
      <c r="AW262" s="12">
        <f>SUM(AW263:AW272)</f>
        <v>8554.96781668614</v>
      </c>
      <c r="AX262" s="12">
        <f>SUM(AX263:AX272)</f>
        <v>8911.487352814</v>
      </c>
      <c r="AY262" s="12">
        <f>SUM(AY263:AY272)</f>
        <v>10498.1801908607</v>
      </c>
      <c r="AZ262" s="12">
        <f>SUM(AZ263:AZ272)</f>
        <v>12414.7384756915</v>
      </c>
      <c r="BA262" s="12">
        <f>SUM(AW262:AZ262)</f>
        <v>40379.3738360523</v>
      </c>
      <c r="BB262" s="12">
        <f>SUM(BB263:BB272)</f>
        <v>14304.5284971244</v>
      </c>
      <c r="BC262" s="12">
        <f>SUM(BC263:BC272)</f>
        <v>15273.6075596502</v>
      </c>
      <c r="BD262" s="12">
        <f>SUM(BD263:BD272)</f>
        <v>17764.3000483995</v>
      </c>
      <c r="BE262" s="12">
        <f>SUM(BE263:BE272)</f>
        <v>20721.3305901514</v>
      </c>
      <c r="BF262" s="12">
        <f>SUM(BB262:BE262)</f>
        <v>68063.7666953256</v>
      </c>
      <c r="BG262" s="12" t="n"/>
      <c r="BH262" s="12" t="n"/>
      <c r="BI262" s="12" t="n"/>
      <c r="BJ262" s="12" t="n"/>
      <c r="BK262" s="12" t="n"/>
      <c r="BL262" s="12" t="n"/>
      <c r="BM262" s="12" t="n"/>
      <c r="BN262" s="12" t="n"/>
      <c r="BO262" s="12" t="n"/>
      <c r="BP262" s="12" t="n"/>
      <c r="BQ262" s="12" t="n"/>
      <c r="BR262" s="12" t="n"/>
      <c r="BS262" s="12" t="n"/>
      <c r="BT262" s="12" t="n"/>
      <c r="BU262" s="12" t="n"/>
      <c r="BV262" s="12" t="n"/>
      <c r="BW262" s="12" t="n"/>
      <c r="BX262" s="12" t="n"/>
      <c r="BY262" s="12" t="n"/>
      <c r="BZ262" s="12" t="n"/>
      <c r="CA262" s="12" t="n"/>
      <c r="CB262" s="12" t="n"/>
      <c r="CC262" s="12" t="n"/>
      <c r="CD262" s="12" t="n"/>
      <c r="CE262" s="12" t="n"/>
      <c r="CF262" s="12" t="n"/>
      <c r="CG262" s="12" t="n"/>
      <c r="CH262" s="12" t="n"/>
      <c r="CI262" s="12" t="n"/>
      <c r="CJ262" s="12" t="n"/>
      <c r="CK262" s="12" t="n"/>
      <c r="CL262" s="12" t="n"/>
      <c r="CM262" s="12" t="n"/>
      <c r="CN262" s="12" t="n"/>
      <c r="CO262" s="12" t="n"/>
      <c r="CP262" s="12" t="n"/>
      <c r="CQ262" s="12" t="n"/>
      <c r="CR262" s="12" t="n"/>
      <c r="CS262" s="12" t="n"/>
      <c r="CT262" s="12" t="n"/>
      <c r="CU262" s="12" t="n"/>
      <c r="CV262" s="12" t="n"/>
      <c r="CW262" s="12" t="n"/>
      <c r="CX262" s="12" t="n"/>
      <c r="CY262" s="12" t="n"/>
    </row>
    <row r="263" hidden="1" outlineLevel="1">
      <c r="C263" s="10" t="inlineStr">
        <is>
          <t>Accounts receivable</t>
        </is>
      </c>
      <c r="D263" s="12" t="n"/>
      <c r="E263" s="12" t="n"/>
      <c r="F263" s="12" t="n"/>
      <c r="G263" s="12" t="n"/>
      <c r="H263" s="12" t="n"/>
      <c r="I263" s="12" t="n"/>
      <c r="J263" s="12">
        <f>(J128-I128)*-1</f>
        <v>-125</v>
      </c>
      <c r="K263" s="12">
        <f>(K128-J128)*-1</f>
        <v>-47</v>
      </c>
      <c r="L263" s="12">
        <f>(L128-K128)*-1</f>
        <v>-186</v>
      </c>
      <c r="M263" s="12" t="n"/>
      <c r="N263" s="12">
        <f>(N128-M128)*-1</f>
        <v>117</v>
      </c>
      <c r="O263" s="12">
        <f>(O128-N128)*-1</f>
        <v>-286</v>
      </c>
      <c r="P263" s="12">
        <f>(P128-O128)*-1</f>
        <v>8</v>
      </c>
      <c r="Q263" s="12">
        <f>(Q128-P128)*-1</f>
        <v>-258</v>
      </c>
      <c r="R263" s="12">
        <f>SUM(N263:Q263)</f>
        <v>-419</v>
      </c>
      <c r="S263" s="12">
        <f>(S128-R128)*-1</f>
        <v>-86</v>
      </c>
      <c r="T263" s="12">
        <f>(T128-S128)*-1</f>
        <v>-252</v>
      </c>
      <c r="U263" s="12">
        <f>(U128-T128)*-1</f>
        <v>-162</v>
      </c>
      <c r="V263" s="12">
        <f>(V128-U128)*-1</f>
        <v>-135</v>
      </c>
      <c r="W263" s="12">
        <f>SUM(S263:V263)</f>
        <v>-635</v>
      </c>
      <c r="X263" s="12">
        <f>(X128-W128)*-1</f>
        <v>-171</v>
      </c>
      <c r="Y263" s="12">
        <f>(Y128-X128)*-1</f>
        <v>36</v>
      </c>
      <c r="Z263" s="12">
        <f>(Z128-Y128)*-1</f>
        <v>181</v>
      </c>
      <c r="AA263" s="12">
        <f>(AA128-Z128)*-1</f>
        <v>241</v>
      </c>
      <c r="AB263" s="12">
        <f>SUM(X263:AA263)</f>
        <v>287</v>
      </c>
      <c r="AC263" s="12">
        <f>(AC128-AB128)*-1</f>
        <v>-192</v>
      </c>
      <c r="AD263" s="12">
        <f>(AD128-AC128)*-1</f>
        <v>-219</v>
      </c>
      <c r="AE263" s="12">
        <f>(AE128-AD128)*-1</f>
        <v>-63</v>
      </c>
      <c r="AF263" s="12">
        <f>(AF128-AE128)*-1</f>
        <v>-362</v>
      </c>
      <c r="AG263" s="12">
        <f>SUM(AC263:AF263)</f>
        <v>-836</v>
      </c>
      <c r="AH263" s="12">
        <f>(AH128-AG128)*-1</f>
        <v>-111</v>
      </c>
      <c r="AI263" s="12">
        <f>(AI128-AH128)*-1</f>
        <v>-327</v>
      </c>
      <c r="AJ263" s="12">
        <f>(AJ128-AI128)*-1</f>
        <v>-184.286699497407</v>
      </c>
      <c r="AK263" s="12">
        <f>(AK128-AJ128)*-1</f>
        <v>-124.062135165947</v>
      </c>
      <c r="AL263" s="12">
        <f>SUM(AH263:AK263)</f>
        <v>-746.348834663353</v>
      </c>
      <c r="AM263" s="12">
        <f>(AM128-AL128)*-1</f>
        <v>134.630391124527</v>
      </c>
      <c r="AN263" s="12">
        <f>(AN128-AM128)*-1</f>
        <v>-483.065620777732</v>
      </c>
      <c r="AO263" s="12">
        <f>(AO128-AN128)*-1</f>
        <v>-358.096199925979</v>
      </c>
      <c r="AP263" s="12">
        <f>(AP128-AO128)*-1</f>
        <v>-143.760006266622</v>
      </c>
      <c r="AQ263" s="12">
        <f>SUM(AM263:AP263)</f>
        <v>-850.291435845806</v>
      </c>
      <c r="AR263" s="12">
        <f>(AR128-AQ128)*-1</f>
        <v>248.302463540019</v>
      </c>
      <c r="AS263" s="12">
        <f>(AS128-AR128)*-1</f>
        <v>-623.54131130339</v>
      </c>
      <c r="AT263" s="12">
        <f>(AT128-AS128)*-1</f>
        <v>-413.162170561236</v>
      </c>
      <c r="AU263" s="12">
        <f>(AU128-AT128)*-1</f>
        <v>-165.866591830049</v>
      </c>
      <c r="AV263" s="12">
        <f>SUM(AR263:AU263)</f>
        <v>-954.267610154657</v>
      </c>
      <c r="AW263" s="12">
        <f>(AW128-AV128)*-1</f>
        <v>240.231272663818</v>
      </c>
      <c r="AX263" s="12">
        <f>(AX128-AW128)*-1</f>
        <v>-640.26779309686</v>
      </c>
      <c r="AY263" s="12">
        <f>(AY128-AX128)*-1</f>
        <v>-474.630058073358</v>
      </c>
      <c r="AZ263" s="12">
        <f>(AZ128-AY128)*-1</f>
        <v>-190.543267806408</v>
      </c>
      <c r="BA263" s="12">
        <f>SUM(AW263:AZ263)</f>
        <v>-1065.20984631281</v>
      </c>
      <c r="BB263" s="12">
        <f>(BB128-BA128)*-1</f>
        <v>310.56988048029</v>
      </c>
      <c r="BC263" s="12">
        <f>(BC128-BB128)*-1</f>
        <v>-732.321807810663</v>
      </c>
      <c r="BD263" s="12">
        <f>(BD128-BC128)*-1</f>
        <v>-542.869633483157</v>
      </c>
      <c r="BE263" s="12">
        <f>(BE128-BD128)*-1</f>
        <v>-217.938481133364</v>
      </c>
      <c r="BF263" s="12">
        <f>SUM(BB263:BE263)</f>
        <v>-1182.56004194689</v>
      </c>
      <c r="BG263" s="12" t="n"/>
      <c r="BH263" s="12" t="n"/>
      <c r="BI263" s="12" t="n"/>
      <c r="BJ263" s="12" t="n"/>
      <c r="BK263" s="12" t="n"/>
      <c r="BL263" s="12" t="n"/>
      <c r="BM263" s="12" t="n"/>
      <c r="BN263" s="12" t="n"/>
      <c r="BO263" s="12" t="n"/>
      <c r="BP263" s="12" t="n"/>
      <c r="BQ263" s="12" t="n"/>
      <c r="BR263" s="12" t="n"/>
      <c r="BS263" s="12" t="n"/>
      <c r="BT263" s="12" t="n"/>
      <c r="BU263" s="12" t="n"/>
      <c r="BV263" s="12" t="n"/>
      <c r="BW263" s="12" t="n"/>
      <c r="BX263" s="12" t="n"/>
      <c r="BY263" s="12" t="n"/>
      <c r="BZ263" s="12" t="n"/>
      <c r="CA263" s="12" t="n"/>
      <c r="CB263" s="12" t="n"/>
      <c r="CC263" s="12" t="n"/>
      <c r="CD263" s="12" t="n"/>
      <c r="CE263" s="12" t="n"/>
      <c r="CF263" s="12" t="n"/>
      <c r="CG263" s="12" t="n"/>
      <c r="CH263" s="12" t="n"/>
      <c r="CI263" s="12" t="n"/>
      <c r="CJ263" s="12" t="n"/>
      <c r="CK263" s="12" t="n"/>
      <c r="CL263" s="12" t="n"/>
      <c r="CM263" s="12" t="n"/>
      <c r="CN263" s="12" t="n"/>
      <c r="CO263" s="12" t="n"/>
      <c r="CP263" s="12" t="n"/>
      <c r="CQ263" s="12" t="n"/>
      <c r="CR263" s="12" t="n"/>
      <c r="CS263" s="12" t="n"/>
      <c r="CT263" s="12" t="n"/>
      <c r="CU263" s="12" t="n"/>
      <c r="CV263" s="12" t="n"/>
      <c r="CW263" s="12" t="n"/>
      <c r="CX263" s="12" t="n"/>
      <c r="CY263" s="12" t="n"/>
    </row>
    <row r="264" hidden="1" outlineLevel="1">
      <c r="C264" s="10" t="inlineStr">
        <is>
          <t>Inventories</t>
        </is>
      </c>
      <c r="D264" s="12" t="n"/>
      <c r="E264" s="12" t="n"/>
      <c r="F264" s="12" t="n"/>
      <c r="G264" s="12" t="n"/>
      <c r="H264" s="12" t="n"/>
      <c r="I264" s="12" t="n"/>
      <c r="J264" s="12">
        <f>(J132-I132)*-1</f>
        <v>0</v>
      </c>
      <c r="K264" s="12">
        <f>(K132-J132)*-1</f>
        <v>0</v>
      </c>
      <c r="L264" s="12">
        <f>(L132-K132)*-1</f>
        <v>0</v>
      </c>
      <c r="M264" s="12" t="n"/>
      <c r="N264" s="12">
        <f>(N132-M132)*-1</f>
        <v>0</v>
      </c>
      <c r="O264" s="12">
        <f>(O132-N132)*-1</f>
        <v>0</v>
      </c>
      <c r="P264" s="12">
        <f>(P132-O132)*-1</f>
        <v>0</v>
      </c>
      <c r="Q264" s="12">
        <f>(Q132-P132)*-1</f>
        <v>0</v>
      </c>
      <c r="R264" s="12">
        <f>SUM(N264:Q264)</f>
        <v>0</v>
      </c>
      <c r="S264" s="12">
        <f>(S132-R132)*-1</f>
        <v>0</v>
      </c>
      <c r="T264" s="12">
        <f>(T132-S132)*-1</f>
        <v>0</v>
      </c>
      <c r="U264" s="12">
        <f>(U132-T132)*-1</f>
        <v>0</v>
      </c>
      <c r="V264" s="12">
        <f>(V132-U132)*-1</f>
        <v>0</v>
      </c>
      <c r="W264" s="12">
        <f>SUM(S264:V264)</f>
        <v>0</v>
      </c>
      <c r="X264" s="12">
        <f>(X132-W132)*-1</f>
        <v>0</v>
      </c>
      <c r="Y264" s="12">
        <f>(Y132-X132)*-1</f>
        <v>0</v>
      </c>
      <c r="Z264" s="12">
        <f>(Z132-Y132)*-1</f>
        <v>0</v>
      </c>
      <c r="AA264" s="12">
        <f>(AA132-Z132)*-1</f>
        <v>0</v>
      </c>
      <c r="AB264" s="12">
        <f>SUM(X264:AA264)</f>
        <v>0</v>
      </c>
      <c r="AC264" s="12">
        <f>(AC132-AB132)*-1</f>
        <v>0</v>
      </c>
      <c r="AD264" s="12">
        <f>(AD132-AC132)*-1</f>
        <v>0</v>
      </c>
      <c r="AE264" s="12">
        <f>(AE132-AD132)*-1</f>
        <v>0</v>
      </c>
      <c r="AF264" s="12">
        <f>(AF132-AE132)*-1</f>
        <v>0</v>
      </c>
      <c r="AG264" s="12">
        <f>SUM(AC264:AF264)</f>
        <v>0</v>
      </c>
      <c r="AH264" s="12">
        <f>(AH132-AG132)*-1</f>
        <v>0</v>
      </c>
      <c r="AI264" s="12">
        <f>(AI132-AH132)*-1</f>
        <v>0</v>
      </c>
      <c r="AJ264" s="12">
        <f>(AJ132-AI132)*-1</f>
        <v>0</v>
      </c>
      <c r="AK264" s="12">
        <f>(AK132-AJ132)*-1</f>
        <v>0</v>
      </c>
      <c r="AL264" s="12">
        <f>SUM(AH264:AK264)</f>
        <v>0</v>
      </c>
      <c r="AM264" s="12">
        <f>(AM132-AL132)*-1</f>
        <v>0</v>
      </c>
      <c r="AN264" s="12">
        <f>(AN132-AM132)*-1</f>
        <v>0</v>
      </c>
      <c r="AO264" s="12">
        <f>(AO132-AN132)*-1</f>
        <v>0</v>
      </c>
      <c r="AP264" s="12">
        <f>(AP132-AO132)*-1</f>
        <v>0</v>
      </c>
      <c r="AQ264" s="12">
        <f>SUM(AM264:AP264)</f>
        <v>0</v>
      </c>
      <c r="AR264" s="12">
        <f>(AR132-AQ132)*-1</f>
        <v>0</v>
      </c>
      <c r="AS264" s="12">
        <f>(AS132-AR132)*-1</f>
        <v>0</v>
      </c>
      <c r="AT264" s="12">
        <f>(AT132-AS132)*-1</f>
        <v>0</v>
      </c>
      <c r="AU264" s="12">
        <f>(AU132-AT132)*-1</f>
        <v>0</v>
      </c>
      <c r="AV264" s="12">
        <f>SUM(AR264:AU264)</f>
        <v>0</v>
      </c>
      <c r="AW264" s="12">
        <f>(AW132-AV132)*-1</f>
        <v>0</v>
      </c>
      <c r="AX264" s="12">
        <f>(AX132-AW132)*-1</f>
        <v>0</v>
      </c>
      <c r="AY264" s="12">
        <f>(AY132-AX132)*-1</f>
        <v>0</v>
      </c>
      <c r="AZ264" s="12">
        <f>(AZ132-AY132)*-1</f>
        <v>0</v>
      </c>
      <c r="BA264" s="12">
        <f>SUM(AW264:AZ264)</f>
        <v>0</v>
      </c>
      <c r="BB264" s="12">
        <f>(BB132-BA132)*-1</f>
        <v>0</v>
      </c>
      <c r="BC264" s="12">
        <f>(BC132-BB132)*-1</f>
        <v>0</v>
      </c>
      <c r="BD264" s="12">
        <f>(BD132-BC132)*-1</f>
        <v>0</v>
      </c>
      <c r="BE264" s="12">
        <f>(BE132-BD132)*-1</f>
        <v>0</v>
      </c>
      <c r="BF264" s="12">
        <f>SUM(BB264:BE264)</f>
        <v>0</v>
      </c>
      <c r="BG264" s="12" t="n"/>
      <c r="BH264" s="12" t="n"/>
      <c r="BI264" s="12" t="n"/>
      <c r="BJ264" s="12" t="n"/>
      <c r="BK264" s="12" t="n"/>
      <c r="BL264" s="12" t="n"/>
      <c r="BM264" s="12" t="n"/>
      <c r="BN264" s="12" t="n"/>
      <c r="BO264" s="12" t="n"/>
      <c r="BP264" s="12" t="n"/>
      <c r="BQ264" s="12" t="n"/>
      <c r="BR264" s="12" t="n"/>
      <c r="BS264" s="12" t="n"/>
      <c r="BT264" s="12" t="n"/>
      <c r="BU264" s="12" t="n"/>
      <c r="BV264" s="12" t="n"/>
      <c r="BW264" s="12" t="n"/>
      <c r="BX264" s="12" t="n"/>
      <c r="BY264" s="12" t="n"/>
      <c r="BZ264" s="12" t="n"/>
      <c r="CA264" s="12" t="n"/>
      <c r="CB264" s="12" t="n"/>
      <c r="CC264" s="12" t="n"/>
      <c r="CD264" s="12" t="n"/>
      <c r="CE264" s="12" t="n"/>
      <c r="CF264" s="12" t="n"/>
      <c r="CG264" s="12" t="n"/>
      <c r="CH264" s="12" t="n"/>
      <c r="CI264" s="12" t="n"/>
      <c r="CJ264" s="12" t="n"/>
      <c r="CK264" s="12" t="n"/>
      <c r="CL264" s="12" t="n"/>
      <c r="CM264" s="12" t="n"/>
      <c r="CN264" s="12" t="n"/>
      <c r="CO264" s="12" t="n"/>
      <c r="CP264" s="12" t="n"/>
      <c r="CQ264" s="12" t="n"/>
      <c r="CR264" s="12" t="n"/>
      <c r="CS264" s="12" t="n"/>
      <c r="CT264" s="12" t="n"/>
      <c r="CU264" s="12" t="n"/>
      <c r="CV264" s="12" t="n"/>
      <c r="CW264" s="12" t="n"/>
      <c r="CX264" s="12" t="n"/>
      <c r="CY264" s="12" t="n"/>
    </row>
    <row r="265" hidden="1" outlineLevel="1">
      <c r="C265" s="10" t="inlineStr">
        <is>
          <t>Deferred income taxes</t>
        </is>
      </c>
      <c r="D265" s="12" t="n"/>
      <c r="E265" s="12" t="n"/>
      <c r="F265" s="12" t="n"/>
      <c r="G265" s="12" t="n"/>
      <c r="H265" s="12" t="n"/>
      <c r="I265" s="12" t="n"/>
      <c r="J265" s="12">
        <f>(J136-I136)*-1</f>
        <v>5</v>
      </c>
      <c r="K265" s="12">
        <f>(K136-J136)*-1</f>
        <v>-17</v>
      </c>
      <c r="L265" s="12">
        <f>(L136-K136)*-1</f>
        <v>-15</v>
      </c>
      <c r="M265" s="12" t="n"/>
      <c r="N265" s="12">
        <f>(N136-M136)*-1</f>
        <v>-309</v>
      </c>
      <c r="O265" s="12">
        <f>(O136-N136)*-1</f>
        <v>-125</v>
      </c>
      <c r="P265" s="12">
        <f>(P136-O136)*-1</f>
        <v>-149</v>
      </c>
      <c r="Q265" s="12">
        <f>(Q136-P136)*-1</f>
        <v>-82</v>
      </c>
      <c r="R265" s="12">
        <f>SUM(N265:Q265)</f>
        <v>-665</v>
      </c>
      <c r="S265" s="12">
        <f>(S136-R136)*-1</f>
        <v>-116</v>
      </c>
      <c r="T265" s="12">
        <f>(T136-S136)*-1</f>
        <v>146</v>
      </c>
      <c r="U265" s="12">
        <f>(U136-T136)*-1</f>
        <v>-249</v>
      </c>
      <c r="V265" s="12">
        <f>(V136-U136)*-1</f>
        <v>15</v>
      </c>
      <c r="W265" s="12">
        <f>SUM(S265:V265)</f>
        <v>-204</v>
      </c>
      <c r="X265" s="12">
        <f>(X136-W136)*-1</f>
        <v>26</v>
      </c>
      <c r="Y265" s="12">
        <f>(Y136-X136)*-1</f>
        <v>-94</v>
      </c>
      <c r="Z265" s="12">
        <f>(Z136-Y136)*-1</f>
        <v>-189</v>
      </c>
      <c r="AA265" s="12">
        <f>(AA136-Z136)*-1</f>
        <v>-2</v>
      </c>
      <c r="AB265" s="12">
        <f>SUM(X265:AA265)</f>
        <v>-259</v>
      </c>
      <c r="AC265" s="12">
        <f>(AC136-AB136)*-1</f>
        <v>39</v>
      </c>
      <c r="AD265" s="12">
        <f>(AD136-AC136)*-1</f>
        <v>5</v>
      </c>
      <c r="AE265" s="12">
        <f>(AE136-AD136)*-1</f>
        <v>24</v>
      </c>
      <c r="AF265" s="12">
        <f>(AF136-AE136)*-1</f>
        <v>-21</v>
      </c>
      <c r="AG265" s="12">
        <f>SUM(AC265:AF265)</f>
        <v>47</v>
      </c>
      <c r="AH265" s="12">
        <f>(AH136-AG136)*-1</f>
        <v>171</v>
      </c>
      <c r="AI265" s="12">
        <f>(AI136-AH136)*-1</f>
        <v>-45</v>
      </c>
      <c r="AJ265" s="12">
        <f>(AJ136-AI136)*-1</f>
        <v>0</v>
      </c>
      <c r="AK265" s="12">
        <f>(AK136-AJ136)*-1</f>
        <v>0</v>
      </c>
      <c r="AL265" s="12">
        <f>SUM(AH265:AK265)</f>
        <v>126</v>
      </c>
      <c r="AM265" s="12">
        <f>(AM136-AL136)*-1</f>
        <v>0</v>
      </c>
      <c r="AN265" s="12">
        <f>(AN136-AM136)*-1</f>
        <v>0</v>
      </c>
      <c r="AO265" s="12">
        <f>(AO136-AN136)*-1</f>
        <v>0</v>
      </c>
      <c r="AP265" s="12">
        <f>(AP136-AO136)*-1</f>
        <v>0</v>
      </c>
      <c r="AQ265" s="12">
        <f>SUM(AM265:AP265)</f>
        <v>0</v>
      </c>
      <c r="AR265" s="12">
        <f>(AR136-AQ136)*-1</f>
        <v>0</v>
      </c>
      <c r="AS265" s="12">
        <f>(AS136-AR136)*-1</f>
        <v>0</v>
      </c>
      <c r="AT265" s="12">
        <f>(AT136-AS136)*-1</f>
        <v>0</v>
      </c>
      <c r="AU265" s="12">
        <f>(AU136-AT136)*-1</f>
        <v>0</v>
      </c>
      <c r="AV265" s="12">
        <f>SUM(AR265:AU265)</f>
        <v>0</v>
      </c>
      <c r="AW265" s="12">
        <f>(AW136-AV136)*-1</f>
        <v>0</v>
      </c>
      <c r="AX265" s="12">
        <f>(AX136-AW136)*-1</f>
        <v>0</v>
      </c>
      <c r="AY265" s="12">
        <f>(AY136-AX136)*-1</f>
        <v>0</v>
      </c>
      <c r="AZ265" s="12">
        <f>(AZ136-AY136)*-1</f>
        <v>0</v>
      </c>
      <c r="BA265" s="12">
        <f>SUM(AW265:AZ265)</f>
        <v>0</v>
      </c>
      <c r="BB265" s="12">
        <f>(BB136-BA136)*-1</f>
        <v>0</v>
      </c>
      <c r="BC265" s="12">
        <f>(BC136-BB136)*-1</f>
        <v>0</v>
      </c>
      <c r="BD265" s="12">
        <f>(BD136-BC136)*-1</f>
        <v>0</v>
      </c>
      <c r="BE265" s="12">
        <f>(BE136-BD136)*-1</f>
        <v>0</v>
      </c>
      <c r="BF265" s="12">
        <f>SUM(BB265:BE265)</f>
        <v>0</v>
      </c>
      <c r="BG265" s="12" t="n"/>
      <c r="BH265" s="12" t="n"/>
      <c r="BI265" s="12" t="n"/>
      <c r="BJ265" s="12" t="n"/>
      <c r="BK265" s="12" t="n"/>
      <c r="BL265" s="12" t="n"/>
      <c r="BM265" s="12" t="n"/>
      <c r="BN265" s="12" t="n"/>
      <c r="BO265" s="12" t="n"/>
      <c r="BP265" s="12" t="n"/>
      <c r="BQ265" s="12" t="n"/>
      <c r="BR265" s="12" t="n"/>
      <c r="BS265" s="12" t="n"/>
      <c r="BT265" s="12" t="n"/>
      <c r="BU265" s="12" t="n"/>
      <c r="BV265" s="12" t="n"/>
      <c r="BW265" s="12" t="n"/>
      <c r="BX265" s="12" t="n"/>
      <c r="BY265" s="12" t="n"/>
      <c r="BZ265" s="12" t="n"/>
      <c r="CA265" s="12" t="n"/>
      <c r="CB265" s="12" t="n"/>
      <c r="CC265" s="12" t="n"/>
      <c r="CD265" s="12" t="n"/>
      <c r="CE265" s="12" t="n"/>
      <c r="CF265" s="12" t="n"/>
      <c r="CG265" s="12" t="n"/>
      <c r="CH265" s="12" t="n"/>
      <c r="CI265" s="12" t="n"/>
      <c r="CJ265" s="12" t="n"/>
      <c r="CK265" s="12" t="n"/>
      <c r="CL265" s="12" t="n"/>
      <c r="CM265" s="12" t="n"/>
      <c r="CN265" s="12" t="n"/>
      <c r="CO265" s="12" t="n"/>
      <c r="CP265" s="12" t="n"/>
      <c r="CQ265" s="12" t="n"/>
      <c r="CR265" s="12" t="n"/>
      <c r="CS265" s="12" t="n"/>
      <c r="CT265" s="12" t="n"/>
      <c r="CU265" s="12" t="n"/>
      <c r="CV265" s="12" t="n"/>
      <c r="CW265" s="12" t="n"/>
      <c r="CX265" s="12" t="n"/>
      <c r="CY265" s="12" t="n"/>
    </row>
    <row r="266" hidden="1" outlineLevel="1">
      <c r="C266" s="10" t="inlineStr">
        <is>
          <t>Prepaid expenses</t>
        </is>
      </c>
      <c r="D266" s="12" t="n"/>
      <c r="E266" s="12" t="n"/>
      <c r="F266" s="12" t="n"/>
      <c r="G266" s="12" t="n"/>
      <c r="H266" s="12" t="n"/>
      <c r="I266" s="12" t="n"/>
      <c r="J266" s="12">
        <f>(J137-I137)*-1</f>
        <v>0</v>
      </c>
      <c r="K266" s="12">
        <f>(K137-J137)*-1</f>
        <v>0</v>
      </c>
      <c r="L266" s="12">
        <f>(L137-K137)*-1</f>
        <v>0</v>
      </c>
      <c r="M266" s="12" t="n"/>
      <c r="N266" s="12">
        <f>(N137-M137)*-1</f>
        <v>0</v>
      </c>
      <c r="O266" s="12">
        <f>(O137-N137)*-1</f>
        <v>0</v>
      </c>
      <c r="P266" s="12">
        <f>(P137-O137)*-1</f>
        <v>0</v>
      </c>
      <c r="Q266" s="12">
        <f>(Q137-P137)*-1</f>
        <v>0</v>
      </c>
      <c r="R266" s="12">
        <f>SUM(N266:Q266)</f>
        <v>0</v>
      </c>
      <c r="S266" s="12">
        <f>(S137-R137)*-1</f>
        <v>0</v>
      </c>
      <c r="T266" s="12">
        <f>(T137-S137)*-1</f>
        <v>0</v>
      </c>
      <c r="U266" s="12">
        <f>(U137-T137)*-1</f>
        <v>0</v>
      </c>
      <c r="V266" s="12">
        <f>(V137-U137)*-1</f>
        <v>0</v>
      </c>
      <c r="W266" s="12">
        <f>SUM(S266:V266)</f>
        <v>0</v>
      </c>
      <c r="X266" s="12">
        <f>(X137-W137)*-1</f>
        <v>0</v>
      </c>
      <c r="Y266" s="12">
        <f>(Y137-X137)*-1</f>
        <v>0</v>
      </c>
      <c r="Z266" s="12">
        <f>(Z137-Y137)*-1</f>
        <v>0</v>
      </c>
      <c r="AA266" s="12">
        <f>(AA137-Z137)*-1</f>
        <v>0</v>
      </c>
      <c r="AB266" s="12">
        <f>SUM(X266:AA266)</f>
        <v>0</v>
      </c>
      <c r="AC266" s="12">
        <f>(AC137-AB137)*-1</f>
        <v>0</v>
      </c>
      <c r="AD266" s="12">
        <f>(AD137-AC137)*-1</f>
        <v>0</v>
      </c>
      <c r="AE266" s="12">
        <f>(AE137-AD137)*-1</f>
        <v>0</v>
      </c>
      <c r="AF266" s="12">
        <f>(AF137-AE137)*-1</f>
        <v>0</v>
      </c>
      <c r="AG266" s="12">
        <f>SUM(AC266:AF266)</f>
        <v>0</v>
      </c>
      <c r="AH266" s="12">
        <f>(AH137-AG137)*-1</f>
        <v>0</v>
      </c>
      <c r="AI266" s="12">
        <f>(AI137-AH137)*-1</f>
        <v>0</v>
      </c>
      <c r="AJ266" s="12">
        <f>(AJ137-AI137)*-1</f>
        <v>0</v>
      </c>
      <c r="AK266" s="12">
        <f>(AK137-AJ137)*-1</f>
        <v>0</v>
      </c>
      <c r="AL266" s="12">
        <f>SUM(AH266:AK266)</f>
        <v>0</v>
      </c>
      <c r="AM266" s="12">
        <f>(AM137-AL137)*-1</f>
        <v>0</v>
      </c>
      <c r="AN266" s="12">
        <f>(AN137-AM137)*-1</f>
        <v>0</v>
      </c>
      <c r="AO266" s="12">
        <f>(AO137-AN137)*-1</f>
        <v>0</v>
      </c>
      <c r="AP266" s="12">
        <f>(AP137-AO137)*-1</f>
        <v>0</v>
      </c>
      <c r="AQ266" s="12">
        <f>SUM(AM266:AP266)</f>
        <v>0</v>
      </c>
      <c r="AR266" s="12">
        <f>(AR137-AQ137)*-1</f>
        <v>0</v>
      </c>
      <c r="AS266" s="12">
        <f>(AS137-AR137)*-1</f>
        <v>0</v>
      </c>
      <c r="AT266" s="12">
        <f>(AT137-AS137)*-1</f>
        <v>0</v>
      </c>
      <c r="AU266" s="12">
        <f>(AU137-AT137)*-1</f>
        <v>0</v>
      </c>
      <c r="AV266" s="12">
        <f>SUM(AR266:AU266)</f>
        <v>0</v>
      </c>
      <c r="AW266" s="12">
        <f>(AW137-AV137)*-1</f>
        <v>0</v>
      </c>
      <c r="AX266" s="12">
        <f>(AX137-AW137)*-1</f>
        <v>0</v>
      </c>
      <c r="AY266" s="12">
        <f>(AY137-AX137)*-1</f>
        <v>0</v>
      </c>
      <c r="AZ266" s="12">
        <f>(AZ137-AY137)*-1</f>
        <v>0</v>
      </c>
      <c r="BA266" s="12">
        <f>SUM(AW266:AZ266)</f>
        <v>0</v>
      </c>
      <c r="BB266" s="12">
        <f>(BB137-BA137)*-1</f>
        <v>0</v>
      </c>
      <c r="BC266" s="12">
        <f>(BC137-BB137)*-1</f>
        <v>0</v>
      </c>
      <c r="BD266" s="12">
        <f>(BD137-BC137)*-1</f>
        <v>0</v>
      </c>
      <c r="BE266" s="12">
        <f>(BE137-BD137)*-1</f>
        <v>0</v>
      </c>
      <c r="BF266" s="12">
        <f>SUM(BB266:BE266)</f>
        <v>0</v>
      </c>
      <c r="BG266" s="12" t="n"/>
      <c r="BH266" s="12" t="n"/>
      <c r="BI266" s="12" t="n"/>
      <c r="BJ266" s="12" t="n"/>
      <c r="BK266" s="12" t="n"/>
      <c r="BL266" s="12" t="n"/>
      <c r="BM266" s="12" t="n"/>
      <c r="BN266" s="12" t="n"/>
      <c r="BO266" s="12" t="n"/>
      <c r="BP266" s="12" t="n"/>
      <c r="BQ266" s="12" t="n"/>
      <c r="BR266" s="12" t="n"/>
      <c r="BS266" s="12" t="n"/>
      <c r="BT266" s="12" t="n"/>
      <c r="BU266" s="12" t="n"/>
      <c r="BV266" s="12" t="n"/>
      <c r="BW266" s="12" t="n"/>
      <c r="BX266" s="12" t="n"/>
      <c r="BY266" s="12" t="n"/>
      <c r="BZ266" s="12" t="n"/>
      <c r="CA266" s="12" t="n"/>
      <c r="CB266" s="12" t="n"/>
      <c r="CC266" s="12" t="n"/>
      <c r="CD266" s="12" t="n"/>
      <c r="CE266" s="12" t="n"/>
      <c r="CF266" s="12" t="n"/>
      <c r="CG266" s="12" t="n"/>
      <c r="CH266" s="12" t="n"/>
      <c r="CI266" s="12" t="n"/>
      <c r="CJ266" s="12" t="n"/>
      <c r="CK266" s="12" t="n"/>
      <c r="CL266" s="12" t="n"/>
      <c r="CM266" s="12" t="n"/>
      <c r="CN266" s="12" t="n"/>
      <c r="CO266" s="12" t="n"/>
      <c r="CP266" s="12" t="n"/>
      <c r="CQ266" s="12" t="n"/>
      <c r="CR266" s="12" t="n"/>
      <c r="CS266" s="12" t="n"/>
      <c r="CT266" s="12" t="n"/>
      <c r="CU266" s="12" t="n"/>
      <c r="CV266" s="12" t="n"/>
      <c r="CW266" s="12" t="n"/>
      <c r="CX266" s="12" t="n"/>
      <c r="CY266" s="12" t="n"/>
    </row>
    <row r="267" hidden="1" outlineLevel="1">
      <c r="C267" s="10" t="inlineStr">
        <is>
          <t>Other current assets</t>
        </is>
      </c>
      <c r="D267" s="12" t="n"/>
      <c r="E267" s="12" t="n"/>
      <c r="F267" s="12" t="n"/>
      <c r="G267" s="12" t="n"/>
      <c r="H267" s="12" t="n"/>
      <c r="I267" s="12" t="n"/>
      <c r="J267" s="12">
        <f>(J138-I138)*-1</f>
        <v>476</v>
      </c>
      <c r="K267" s="12">
        <f>(K138-J138)*-1</f>
        <v>-100</v>
      </c>
      <c r="L267" s="12">
        <f>(L138-K138)*-1</f>
        <v>-403</v>
      </c>
      <c r="M267" s="12" t="n"/>
      <c r="N267" s="12">
        <f>(N138-M138)*-1</f>
        <v>313</v>
      </c>
      <c r="O267" s="12">
        <f>(O138-N138)*-1</f>
        <v>59</v>
      </c>
      <c r="P267" s="12">
        <f>(P138-O138)*-1</f>
        <v>66</v>
      </c>
      <c r="Q267" s="12">
        <f>(Q138-P138)*-1</f>
        <v>-162</v>
      </c>
      <c r="R267" s="12">
        <f>SUM(N267:Q267)</f>
        <v>276</v>
      </c>
      <c r="S267" s="12">
        <f>(S138-R138)*-1</f>
        <v>-168</v>
      </c>
      <c r="T267" s="12">
        <f>(T138-S138)*-1</f>
        <v>-312</v>
      </c>
      <c r="U267" s="12">
        <f>(U138-T138)*-1</f>
        <v>687</v>
      </c>
      <c r="V267" s="12">
        <f>(V138-U138)*-1</f>
        <v>-155</v>
      </c>
      <c r="W267" s="12">
        <f>SUM(S267:V267)</f>
        <v>52</v>
      </c>
      <c r="X267" s="12">
        <f>(X138-W138)*-1</f>
        <v>-815</v>
      </c>
      <c r="Y267" s="12">
        <f>(Y138-X138)*-1</f>
        <v>309</v>
      </c>
      <c r="Z267" s="12">
        <f>(Z138-Y138)*-1</f>
        <v>-658</v>
      </c>
      <c r="AA267" s="12">
        <f>(AA138-Z138)*-1</f>
        <v>-294</v>
      </c>
      <c r="AB267" s="12">
        <f>SUM(X267:AA267)</f>
        <v>-1458</v>
      </c>
      <c r="AC267" s="12">
        <f>(AC138-AB138)*-1</f>
        <v>-766</v>
      </c>
      <c r="AD267" s="12">
        <f>(AD138-AC138)*-1</f>
        <v>-644</v>
      </c>
      <c r="AE267" s="12">
        <f>(AE138-AD138)*-1</f>
        <v>261</v>
      </c>
      <c r="AF267" s="12">
        <f>(AF138-AE138)*-1</f>
        <v>277</v>
      </c>
      <c r="AG267" s="12">
        <f>SUM(AC267:AF267)</f>
        <v>-872</v>
      </c>
      <c r="AH267" s="12">
        <f>(AH138-AG138)*-1</f>
        <v>-1508</v>
      </c>
      <c r="AI267" s="12">
        <f>(AI138-AH138)*-1</f>
        <v>-307</v>
      </c>
      <c r="AJ267" s="12">
        <f>(AJ138-AI138)*-1</f>
        <v>0</v>
      </c>
      <c r="AK267" s="12">
        <f>(AK138-AJ138)*-1</f>
        <v>0</v>
      </c>
      <c r="AL267" s="12">
        <f>SUM(AH267:AK267)</f>
        <v>-1815</v>
      </c>
      <c r="AM267" s="12">
        <f>(AM138-AL138)*-1</f>
        <v>0</v>
      </c>
      <c r="AN267" s="12">
        <f>(AN138-AM138)*-1</f>
        <v>0</v>
      </c>
      <c r="AO267" s="12">
        <f>(AO138-AN138)*-1</f>
        <v>0</v>
      </c>
      <c r="AP267" s="12">
        <f>(AP138-AO138)*-1</f>
        <v>0</v>
      </c>
      <c r="AQ267" s="12">
        <f>SUM(AM267:AP267)</f>
        <v>0</v>
      </c>
      <c r="AR267" s="12">
        <f>(AR138-AQ138)*-1</f>
        <v>0</v>
      </c>
      <c r="AS267" s="12">
        <f>(AS138-AR138)*-1</f>
        <v>0</v>
      </c>
      <c r="AT267" s="12">
        <f>(AT138-AS138)*-1</f>
        <v>0</v>
      </c>
      <c r="AU267" s="12">
        <f>(AU138-AT138)*-1</f>
        <v>0</v>
      </c>
      <c r="AV267" s="12">
        <f>SUM(AR267:AU267)</f>
        <v>0</v>
      </c>
      <c r="AW267" s="12">
        <f>(AW138-AV138)*-1</f>
        <v>0</v>
      </c>
      <c r="AX267" s="12">
        <f>(AX138-AW138)*-1</f>
        <v>0</v>
      </c>
      <c r="AY267" s="12">
        <f>(AY138-AX138)*-1</f>
        <v>0</v>
      </c>
      <c r="AZ267" s="12">
        <f>(AZ138-AY138)*-1</f>
        <v>0</v>
      </c>
      <c r="BA267" s="12">
        <f>SUM(AW267:AZ267)</f>
        <v>0</v>
      </c>
      <c r="BB267" s="12">
        <f>(BB138-BA138)*-1</f>
        <v>0</v>
      </c>
      <c r="BC267" s="12">
        <f>(BC138-BB138)*-1</f>
        <v>0</v>
      </c>
      <c r="BD267" s="12">
        <f>(BD138-BC138)*-1</f>
        <v>0</v>
      </c>
      <c r="BE267" s="12">
        <f>(BE138-BD138)*-1</f>
        <v>0</v>
      </c>
      <c r="BF267" s="12">
        <f>SUM(BB267:BE267)</f>
        <v>0</v>
      </c>
      <c r="BG267" s="12" t="n"/>
      <c r="BH267" s="12" t="n"/>
      <c r="BI267" s="12" t="n"/>
      <c r="BJ267" s="12" t="n"/>
      <c r="BK267" s="12" t="n"/>
      <c r="BL267" s="12" t="n"/>
      <c r="BM267" s="12" t="n"/>
      <c r="BN267" s="12" t="n"/>
      <c r="BO267" s="12" t="n"/>
      <c r="BP267" s="12" t="n"/>
      <c r="BQ267" s="12" t="n"/>
      <c r="BR267" s="12" t="n"/>
      <c r="BS267" s="12" t="n"/>
      <c r="BT267" s="12" t="n"/>
      <c r="BU267" s="12" t="n"/>
      <c r="BV267" s="12" t="n"/>
      <c r="BW267" s="12" t="n"/>
      <c r="BX267" s="12" t="n"/>
      <c r="BY267" s="12" t="n"/>
      <c r="BZ267" s="12" t="n"/>
      <c r="CA267" s="12" t="n"/>
      <c r="CB267" s="12" t="n"/>
      <c r="CC267" s="12" t="n"/>
      <c r="CD267" s="12" t="n"/>
      <c r="CE267" s="12" t="n"/>
      <c r="CF267" s="12" t="n"/>
      <c r="CG267" s="12" t="n"/>
      <c r="CH267" s="12" t="n"/>
      <c r="CI267" s="12" t="n"/>
      <c r="CJ267" s="12" t="n"/>
      <c r="CK267" s="12" t="n"/>
      <c r="CL267" s="12" t="n"/>
      <c r="CM267" s="12" t="n"/>
      <c r="CN267" s="12" t="n"/>
      <c r="CO267" s="12" t="n"/>
      <c r="CP267" s="12" t="n"/>
      <c r="CQ267" s="12" t="n"/>
      <c r="CR267" s="12" t="n"/>
      <c r="CS267" s="12" t="n"/>
      <c r="CT267" s="12" t="n"/>
      <c r="CU267" s="12" t="n"/>
      <c r="CV267" s="12" t="n"/>
      <c r="CW267" s="12" t="n"/>
      <c r="CX267" s="12" t="n"/>
      <c r="CY267" s="12" t="n"/>
    </row>
    <row r="268" hidden="1" outlineLevel="1">
      <c r="C268" s="10" t="inlineStr">
        <is>
          <t>Accounts payable</t>
        </is>
      </c>
      <c r="D268" s="12" t="n"/>
      <c r="E268" s="12" t="n"/>
      <c r="F268" s="12" t="n"/>
      <c r="G268" s="12" t="n"/>
      <c r="H268" s="12" t="n"/>
      <c r="I268" s="12" t="n"/>
      <c r="J268" s="12">
        <f>J181-I181</f>
        <v>71</v>
      </c>
      <c r="K268" s="12">
        <f>K181-J181</f>
        <v>10</v>
      </c>
      <c r="L268" s="12">
        <f>L181-K181</f>
        <v>181</v>
      </c>
      <c r="M268" s="12" t="n"/>
      <c r="N268" s="12">
        <f>N181-M181</f>
        <v>-72</v>
      </c>
      <c r="O268" s="12">
        <f>O181-N181</f>
        <v>-33</v>
      </c>
      <c r="P268" s="12">
        <f>P181-O181</f>
        <v>-18</v>
      </c>
      <c r="Q268" s="12">
        <f>Q181-P181</f>
        <v>311</v>
      </c>
      <c r="R268" s="12">
        <f>SUM(N268:Q268)</f>
        <v>188</v>
      </c>
      <c r="S268" s="12">
        <f>S181-R181</f>
        <v>-191</v>
      </c>
      <c r="T268" s="12">
        <f>T181-S181</f>
        <v>-92</v>
      </c>
      <c r="U268" s="12">
        <f>U181-T181</f>
        <v>-54</v>
      </c>
      <c r="V268" s="12">
        <f>V181-U181</f>
        <v>245</v>
      </c>
      <c r="W268" s="12">
        <f>SUM(S268:V268)</f>
        <v>-92</v>
      </c>
      <c r="X268" s="12">
        <f>X181-W181</f>
        <v>-44</v>
      </c>
      <c r="Y268" s="12">
        <f>Y181-X181</f>
        <v>45</v>
      </c>
      <c r="Z268" s="12">
        <f>Z181-Y181</f>
        <v>76</v>
      </c>
      <c r="AA268" s="12">
        <f>AA181-Z181</f>
        <v>18</v>
      </c>
      <c r="AB268" s="12">
        <f>SUM(X268:AA268)</f>
        <v>95</v>
      </c>
      <c r="AC268" s="12">
        <f>AC181-AB181</f>
        <v>64</v>
      </c>
      <c r="AD268" s="12">
        <f>AD181-AC181</f>
        <v>-175</v>
      </c>
      <c r="AE268" s="12">
        <f>AE181-AD181</f>
        <v>117</v>
      </c>
      <c r="AF268" s="12">
        <f>AF181-AE181</f>
        <v>64</v>
      </c>
      <c r="AG268" s="12">
        <f>SUM(AC268:AF268)</f>
        <v>70</v>
      </c>
      <c r="AH268" s="12">
        <f>AH181-AG181</f>
        <v>31</v>
      </c>
      <c r="AI268" s="12">
        <f>AI181-AH181</f>
        <v>100</v>
      </c>
      <c r="AJ268" s="12">
        <f>AJ181-AI181</f>
        <v>-1130</v>
      </c>
      <c r="AK268" s="12">
        <f>AK181-AJ181</f>
        <v>0</v>
      </c>
      <c r="AL268" s="12">
        <f>SUM(AH268:AK268)</f>
        <v>-999</v>
      </c>
      <c r="AM268" s="12">
        <f>AM181-AL181</f>
        <v>0</v>
      </c>
      <c r="AN268" s="12">
        <f>AN181-AM181</f>
        <v>0</v>
      </c>
      <c r="AO268" s="12">
        <f>AO181-AN181</f>
        <v>0</v>
      </c>
      <c r="AP268" s="12">
        <f>AP181-AO181</f>
        <v>0</v>
      </c>
      <c r="AQ268" s="12">
        <f>SUM(AM268:AP268)</f>
        <v>0</v>
      </c>
      <c r="AR268" s="12">
        <f>AR181-AQ181</f>
        <v>0</v>
      </c>
      <c r="AS268" s="12">
        <f>AS181-AR181</f>
        <v>0</v>
      </c>
      <c r="AT268" s="12">
        <f>AT181-AS181</f>
        <v>0</v>
      </c>
      <c r="AU268" s="12">
        <f>AU181-AT181</f>
        <v>0</v>
      </c>
      <c r="AV268" s="12">
        <f>SUM(AR268:AU268)</f>
        <v>0</v>
      </c>
      <c r="AW268" s="12">
        <f>AW181-AV181</f>
        <v>0</v>
      </c>
      <c r="AX268" s="12">
        <f>AX181-AW181</f>
        <v>0</v>
      </c>
      <c r="AY268" s="12">
        <f>AY181-AX181</f>
        <v>0</v>
      </c>
      <c r="AZ268" s="12">
        <f>AZ181-AY181</f>
        <v>0</v>
      </c>
      <c r="BA268" s="12">
        <f>SUM(AW268:AZ268)</f>
        <v>0</v>
      </c>
      <c r="BB268" s="12">
        <f>BB181-BA181</f>
        <v>0</v>
      </c>
      <c r="BC268" s="12">
        <f>BC181-BB181</f>
        <v>0</v>
      </c>
      <c r="BD268" s="12">
        <f>BD181-BC181</f>
        <v>0</v>
      </c>
      <c r="BE268" s="12">
        <f>BE181-BD181</f>
        <v>0</v>
      </c>
      <c r="BF268" s="12">
        <f>SUM(BB268:BE268)</f>
        <v>0</v>
      </c>
      <c r="BG268" s="12" t="n"/>
      <c r="BH268" s="12" t="n"/>
      <c r="BI268" s="12" t="n"/>
      <c r="BJ268" s="12" t="n"/>
      <c r="BK268" s="12" t="n"/>
      <c r="BL268" s="12" t="n"/>
      <c r="BM268" s="12" t="n"/>
      <c r="BN268" s="12" t="n"/>
      <c r="BO268" s="12" t="n"/>
      <c r="BP268" s="12" t="n"/>
      <c r="BQ268" s="12" t="n"/>
      <c r="BR268" s="12" t="n"/>
      <c r="BS268" s="12" t="n"/>
      <c r="BT268" s="12" t="n"/>
      <c r="BU268" s="12" t="n"/>
      <c r="BV268" s="12" t="n"/>
      <c r="BW268" s="12" t="n"/>
      <c r="BX268" s="12" t="n"/>
      <c r="BY268" s="12" t="n"/>
      <c r="BZ268" s="12" t="n"/>
      <c r="CA268" s="12" t="n"/>
      <c r="CB268" s="12" t="n"/>
      <c r="CC268" s="12" t="n"/>
      <c r="CD268" s="12" t="n"/>
      <c r="CE268" s="12" t="n"/>
      <c r="CF268" s="12" t="n"/>
      <c r="CG268" s="12" t="n"/>
      <c r="CH268" s="12" t="n"/>
      <c r="CI268" s="12" t="n"/>
      <c r="CJ268" s="12" t="n"/>
      <c r="CK268" s="12" t="n"/>
      <c r="CL268" s="12" t="n"/>
      <c r="CM268" s="12" t="n"/>
      <c r="CN268" s="12" t="n"/>
      <c r="CO268" s="12" t="n"/>
      <c r="CP268" s="12" t="n"/>
      <c r="CQ268" s="12" t="n"/>
      <c r="CR268" s="12" t="n"/>
      <c r="CS268" s="12" t="n"/>
      <c r="CT268" s="12" t="n"/>
      <c r="CU268" s="12" t="n"/>
      <c r="CV268" s="12" t="n"/>
      <c r="CW268" s="12" t="n"/>
      <c r="CX268" s="12" t="n"/>
      <c r="CY268" s="12" t="n"/>
    </row>
    <row r="269" hidden="1" outlineLevel="1">
      <c r="C269" s="10" t="inlineStr">
        <is>
          <t>Accrued expenses</t>
        </is>
      </c>
      <c r="D269" s="12" t="n"/>
      <c r="E269" s="12" t="n"/>
      <c r="F269" s="12" t="n"/>
      <c r="G269" s="12" t="n"/>
      <c r="H269" s="12" t="n"/>
      <c r="I269" s="12" t="n"/>
      <c r="J269" s="12">
        <f>J185-I185</f>
        <v>364</v>
      </c>
      <c r="K269" s="12">
        <f>K185-J185</f>
        <v>400</v>
      </c>
      <c r="L269" s="12">
        <f>L185-K185</f>
        <v>678</v>
      </c>
      <c r="M269" s="12" t="n"/>
      <c r="N269" s="12">
        <f>N185-M185</f>
        <v>-688</v>
      </c>
      <c r="O269" s="12">
        <f>O185-N185</f>
        <v>157</v>
      </c>
      <c r="P269" s="12">
        <f>P185-O185</f>
        <v>777</v>
      </c>
      <c r="Q269" s="12">
        <f>Q185-P185</f>
        <v>913</v>
      </c>
      <c r="R269" s="12">
        <f>SUM(N269:Q269)</f>
        <v>1159</v>
      </c>
      <c r="S269" s="12">
        <f>S185-R185</f>
        <v>-491</v>
      </c>
      <c r="T269" s="12">
        <f>T185-S185</f>
        <v>-193</v>
      </c>
      <c r="U269" s="12">
        <f>U185-T185</f>
        <v>658</v>
      </c>
      <c r="V269" s="12">
        <f>V185-U185</f>
        <v>742</v>
      </c>
      <c r="W269" s="12">
        <f>SUM(S269:V269)</f>
        <v>716</v>
      </c>
      <c r="X269" s="12">
        <f>X185-W185</f>
        <v>-455</v>
      </c>
      <c r="Y269" s="12">
        <f>Y185-X185</f>
        <v>-55</v>
      </c>
      <c r="Z269" s="12">
        <f>Z185-Y185</f>
        <v>1098</v>
      </c>
      <c r="AA269" s="12">
        <f>AA185-Z185</f>
        <v>1288</v>
      </c>
      <c r="AB269" s="12">
        <f>SUM(X269:AA269)</f>
        <v>1876</v>
      </c>
      <c r="AC269" s="12">
        <f>AC185-AB185</f>
        <v>-1130</v>
      </c>
      <c r="AD269" s="12">
        <f>AD185-AC185</f>
        <v>853</v>
      </c>
      <c r="AE269" s="12">
        <f>AE185-AD185</f>
        <v>1863</v>
      </c>
      <c r="AF269" s="12">
        <f>AF185-AE185</f>
        <v>1293</v>
      </c>
      <c r="AG269" s="12">
        <f>SUM(AC269:AF269)</f>
        <v>2879</v>
      </c>
      <c r="AH269" s="12">
        <f>AH185-AG185</f>
        <v>-945</v>
      </c>
      <c r="AI269" s="12">
        <f>AI185-AH185</f>
        <v>700</v>
      </c>
      <c r="AJ269" s="12">
        <f>AJ185-AI185</f>
        <v>2068.35201155661</v>
      </c>
      <c r="AK269" s="12">
        <f>AK185-AJ185</f>
        <v>2396.75302819208</v>
      </c>
      <c r="AL269" s="12">
        <f>SUM(AH269:AK269)</f>
        <v>4220.10503974869</v>
      </c>
      <c r="AM269" s="12">
        <f>AM185-AL185</f>
        <v>2777.29566633329</v>
      </c>
      <c r="AN269" s="12">
        <f>AN185-AM185</f>
        <v>3218.25867225544</v>
      </c>
      <c r="AO269" s="12">
        <f>AO185-AN185</f>
        <v>3729.23524387355</v>
      </c>
      <c r="AP269" s="12">
        <f>AP185-AO185</f>
        <v>4321.34173180121</v>
      </c>
      <c r="AQ269" s="12">
        <f>SUM(AM269:AP269)</f>
        <v>14046.1313142635</v>
      </c>
      <c r="AR269" s="12">
        <f>AR185-AQ185</f>
        <v>4849.7682949912</v>
      </c>
      <c r="AS269" s="12">
        <f>AS185-AR185</f>
        <v>5595.53772391837</v>
      </c>
      <c r="AT269" s="12">
        <f>AT185-AS185</f>
        <v>6455.98727925422</v>
      </c>
      <c r="AU269" s="12">
        <f>AU185-AT185</f>
        <v>7448.75181016656</v>
      </c>
      <c r="AV269" s="12">
        <f>SUM(AR269:AU269)</f>
        <v>24350.0451083304</v>
      </c>
      <c r="AW269" s="12">
        <f>AW185-AV185</f>
        <v>8314.73654402232</v>
      </c>
      <c r="AX269" s="12">
        <f>AX185-AW185</f>
        <v>9551.75514591086</v>
      </c>
      <c r="AY269" s="12">
        <f>AY185-AX185</f>
        <v>10972.8102489341</v>
      </c>
      <c r="AZ269" s="12">
        <f>AZ185-AY185</f>
        <v>12605.2817434979</v>
      </c>
      <c r="BA269" s="12">
        <f>SUM(AW269:AZ269)</f>
        <v>41444.5836823651</v>
      </c>
      <c r="BB269" s="12">
        <f>BB185-BA185</f>
        <v>13993.9586166441</v>
      </c>
      <c r="BC269" s="12">
        <f>BC185-BB185</f>
        <v>16005.9293674609</v>
      </c>
      <c r="BD269" s="12">
        <f>BD185-BC185</f>
        <v>18307.1696818827</v>
      </c>
      <c r="BE269" s="12">
        <f>BE185-BD185</f>
        <v>20939.2690712848</v>
      </c>
      <c r="BF269" s="12">
        <f>SUM(BB269:BE269)</f>
        <v>69246.3267372725</v>
      </c>
      <c r="BG269" s="12" t="n"/>
      <c r="BH269" s="12" t="n"/>
      <c r="BI269" s="12" t="n"/>
      <c r="BJ269" s="12" t="n"/>
      <c r="BK269" s="12" t="n"/>
      <c r="BL269" s="12" t="n"/>
      <c r="BM269" s="12" t="n"/>
      <c r="BN269" s="12" t="n"/>
      <c r="BO269" s="12" t="n"/>
      <c r="BP269" s="12" t="n"/>
      <c r="BQ269" s="12" t="n"/>
      <c r="BR269" s="12" t="n"/>
      <c r="BS269" s="12" t="n"/>
      <c r="BT269" s="12" t="n"/>
      <c r="BU269" s="12" t="n"/>
      <c r="BV269" s="12" t="n"/>
      <c r="BW269" s="12" t="n"/>
      <c r="BX269" s="12" t="n"/>
      <c r="BY269" s="12" t="n"/>
      <c r="BZ269" s="12" t="n"/>
      <c r="CA269" s="12" t="n"/>
      <c r="CB269" s="12" t="n"/>
      <c r="CC269" s="12" t="n"/>
      <c r="CD269" s="12" t="n"/>
      <c r="CE269" s="12" t="n"/>
      <c r="CF269" s="12" t="n"/>
      <c r="CG269" s="12" t="n"/>
      <c r="CH269" s="12" t="n"/>
      <c r="CI269" s="12" t="n"/>
      <c r="CJ269" s="12" t="n"/>
      <c r="CK269" s="12" t="n"/>
      <c r="CL269" s="12" t="n"/>
      <c r="CM269" s="12" t="n"/>
      <c r="CN269" s="12" t="n"/>
      <c r="CO269" s="12" t="n"/>
      <c r="CP269" s="12" t="n"/>
      <c r="CQ269" s="12" t="n"/>
      <c r="CR269" s="12" t="n"/>
      <c r="CS269" s="12" t="n"/>
      <c r="CT269" s="12" t="n"/>
      <c r="CU269" s="12" t="n"/>
      <c r="CV269" s="12" t="n"/>
      <c r="CW269" s="12" t="n"/>
      <c r="CX269" s="12" t="n"/>
      <c r="CY269" s="12" t="n"/>
    </row>
    <row r="270" hidden="1" outlineLevel="1">
      <c r="C270" s="10" t="inlineStr">
        <is>
          <t>Taxes payable</t>
        </is>
      </c>
      <c r="D270" s="12" t="n"/>
      <c r="E270" s="12" t="n"/>
      <c r="F270" s="12" t="n"/>
      <c r="G270" s="12" t="n"/>
      <c r="H270" s="12" t="n"/>
      <c r="I270" s="12" t="n"/>
      <c r="J270" s="12">
        <f>J187-I187</f>
        <v>0</v>
      </c>
      <c r="K270" s="12">
        <f>K187-J187</f>
        <v>0</v>
      </c>
      <c r="L270" s="12">
        <f>L187-K187</f>
        <v>0</v>
      </c>
      <c r="M270" s="12" t="n"/>
      <c r="N270" s="12">
        <f>N187-M187</f>
        <v>0</v>
      </c>
      <c r="O270" s="12">
        <f>O187-N187</f>
        <v>0</v>
      </c>
      <c r="P270" s="12">
        <f>P187-O187</f>
        <v>0</v>
      </c>
      <c r="Q270" s="12">
        <f>Q187-P187</f>
        <v>0</v>
      </c>
      <c r="R270" s="12">
        <f>SUM(N270:Q270)</f>
        <v>0</v>
      </c>
      <c r="S270" s="12">
        <f>S187-R187</f>
        <v>0</v>
      </c>
      <c r="T270" s="12">
        <f>T187-S187</f>
        <v>0</v>
      </c>
      <c r="U270" s="12">
        <f>U187-T187</f>
        <v>0</v>
      </c>
      <c r="V270" s="12">
        <f>V187-U187</f>
        <v>0</v>
      </c>
      <c r="W270" s="12">
        <f>SUM(S270:V270)</f>
        <v>0</v>
      </c>
      <c r="X270" s="12">
        <f>X187-W187</f>
        <v>0</v>
      </c>
      <c r="Y270" s="12">
        <f>Y187-X187</f>
        <v>0</v>
      </c>
      <c r="Z270" s="12">
        <f>Z187-Y187</f>
        <v>0</v>
      </c>
      <c r="AA270" s="12">
        <f>AA187-Z187</f>
        <v>0</v>
      </c>
      <c r="AB270" s="12">
        <f>SUM(X270:AA270)</f>
        <v>0</v>
      </c>
      <c r="AC270" s="12">
        <f>AC187-AB187</f>
        <v>0</v>
      </c>
      <c r="AD270" s="12">
        <f>AD187-AC187</f>
        <v>0</v>
      </c>
      <c r="AE270" s="12">
        <f>AE187-AD187</f>
        <v>0</v>
      </c>
      <c r="AF270" s="12">
        <f>AF187-AE187</f>
        <v>0</v>
      </c>
      <c r="AG270" s="12">
        <f>SUM(AC270:AF270)</f>
        <v>0</v>
      </c>
      <c r="AH270" s="12">
        <f>AH187-AG187</f>
        <v>0</v>
      </c>
      <c r="AI270" s="12">
        <f>AI187-AH187</f>
        <v>0</v>
      </c>
      <c r="AJ270" s="12">
        <f>AJ187-AI187</f>
        <v>0</v>
      </c>
      <c r="AK270" s="12">
        <f>AK187-AJ187</f>
        <v>0</v>
      </c>
      <c r="AL270" s="12">
        <f>SUM(AH270:AK270)</f>
        <v>0</v>
      </c>
      <c r="AM270" s="12">
        <f>AM187-AL187</f>
        <v>0</v>
      </c>
      <c r="AN270" s="12">
        <f>AN187-AM187</f>
        <v>0</v>
      </c>
      <c r="AO270" s="12">
        <f>AO187-AN187</f>
        <v>0</v>
      </c>
      <c r="AP270" s="12">
        <f>AP187-AO187</f>
        <v>0</v>
      </c>
      <c r="AQ270" s="12">
        <f>SUM(AM270:AP270)</f>
        <v>0</v>
      </c>
      <c r="AR270" s="12">
        <f>AR187-AQ187</f>
        <v>0</v>
      </c>
      <c r="AS270" s="12">
        <f>AS187-AR187</f>
        <v>0</v>
      </c>
      <c r="AT270" s="12">
        <f>AT187-AS187</f>
        <v>0</v>
      </c>
      <c r="AU270" s="12">
        <f>AU187-AT187</f>
        <v>0</v>
      </c>
      <c r="AV270" s="12">
        <f>SUM(AR270:AU270)</f>
        <v>0</v>
      </c>
      <c r="AW270" s="12">
        <f>AW187-AV187</f>
        <v>0</v>
      </c>
      <c r="AX270" s="12">
        <f>AX187-AW187</f>
        <v>0</v>
      </c>
      <c r="AY270" s="12">
        <f>AY187-AX187</f>
        <v>0</v>
      </c>
      <c r="AZ270" s="12">
        <f>AZ187-AY187</f>
        <v>0</v>
      </c>
      <c r="BA270" s="12">
        <f>SUM(AW270:AZ270)</f>
        <v>0</v>
      </c>
      <c r="BB270" s="12">
        <f>BB187-BA187</f>
        <v>0</v>
      </c>
      <c r="BC270" s="12">
        <f>BC187-BB187</f>
        <v>0</v>
      </c>
      <c r="BD270" s="12">
        <f>BD187-BC187</f>
        <v>0</v>
      </c>
      <c r="BE270" s="12">
        <f>BE187-BD187</f>
        <v>0</v>
      </c>
      <c r="BF270" s="12">
        <f>SUM(BB270:BE270)</f>
        <v>0</v>
      </c>
      <c r="BG270" s="12" t="n"/>
      <c r="BH270" s="12" t="n"/>
      <c r="BI270" s="12" t="n"/>
      <c r="BJ270" s="12" t="n"/>
      <c r="BK270" s="12" t="n"/>
      <c r="BL270" s="12" t="n"/>
      <c r="BM270" s="12" t="n"/>
      <c r="BN270" s="12" t="n"/>
      <c r="BO270" s="12" t="n"/>
      <c r="BP270" s="12" t="n"/>
      <c r="BQ270" s="12" t="n"/>
      <c r="BR270" s="12" t="n"/>
      <c r="BS270" s="12" t="n"/>
      <c r="BT270" s="12" t="n"/>
      <c r="BU270" s="12" t="n"/>
      <c r="BV270" s="12" t="n"/>
      <c r="BW270" s="12" t="n"/>
      <c r="BX270" s="12" t="n"/>
      <c r="BY270" s="12" t="n"/>
      <c r="BZ270" s="12" t="n"/>
      <c r="CA270" s="12" t="n"/>
      <c r="CB270" s="12" t="n"/>
      <c r="CC270" s="12" t="n"/>
      <c r="CD270" s="12" t="n"/>
      <c r="CE270" s="12" t="n"/>
      <c r="CF270" s="12" t="n"/>
      <c r="CG270" s="12" t="n"/>
      <c r="CH270" s="12" t="n"/>
      <c r="CI270" s="12" t="n"/>
      <c r="CJ270" s="12" t="n"/>
      <c r="CK270" s="12" t="n"/>
      <c r="CL270" s="12" t="n"/>
      <c r="CM270" s="12" t="n"/>
      <c r="CN270" s="12" t="n"/>
      <c r="CO270" s="12" t="n"/>
      <c r="CP270" s="12" t="n"/>
      <c r="CQ270" s="12" t="n"/>
      <c r="CR270" s="12" t="n"/>
      <c r="CS270" s="12" t="n"/>
      <c r="CT270" s="12" t="n"/>
      <c r="CU270" s="12" t="n"/>
      <c r="CV270" s="12" t="n"/>
      <c r="CW270" s="12" t="n"/>
      <c r="CX270" s="12" t="n"/>
      <c r="CY270" s="12" t="n"/>
    </row>
    <row r="271" hidden="1" outlineLevel="1">
      <c r="C271" s="10" t="inlineStr">
        <is>
          <t>Other current liabilities (non-debt)</t>
        </is>
      </c>
      <c r="D271" s="12" t="n"/>
      <c r="E271" s="12" t="n"/>
      <c r="F271" s="12" t="n"/>
      <c r="G271" s="12" t="n"/>
      <c r="H271" s="12" t="n"/>
      <c r="I271" s="12" t="n"/>
      <c r="J271" s="12">
        <f>J188-I188</f>
        <v>-613</v>
      </c>
      <c r="K271" s="12">
        <f>K188-J188</f>
        <v>-147</v>
      </c>
      <c r="L271" s="12">
        <f>L188-K188</f>
        <v>600</v>
      </c>
      <c r="M271" s="12" t="n"/>
      <c r="N271" s="12">
        <f>N188-M188</f>
        <v>-460</v>
      </c>
      <c r="O271" s="12">
        <f>O188-N188</f>
        <v>76</v>
      </c>
      <c r="P271" s="12">
        <f>P188-O188</f>
        <v>410</v>
      </c>
      <c r="Q271" s="12">
        <f>Q188-P188</f>
        <v>154</v>
      </c>
      <c r="R271" s="12">
        <f>SUM(N271:Q271)</f>
        <v>180</v>
      </c>
      <c r="S271" s="12">
        <f>S188-R188</f>
        <v>160</v>
      </c>
      <c r="T271" s="12">
        <f>T188-S188</f>
        <v>210</v>
      </c>
      <c r="U271" s="12">
        <f>U188-T188</f>
        <v>-722</v>
      </c>
      <c r="V271" s="12">
        <f>V188-U188</f>
        <v>758</v>
      </c>
      <c r="W271" s="12">
        <f>SUM(S271:V271)</f>
        <v>406</v>
      </c>
      <c r="X271" s="12">
        <f>X188-W188</f>
        <v>391</v>
      </c>
      <c r="Y271" s="12">
        <f>Y188-X188</f>
        <v>-301</v>
      </c>
      <c r="Z271" s="12">
        <f>Z188-Y188</f>
        <v>862</v>
      </c>
      <c r="AA271" s="12">
        <f>AA188-Z188</f>
        <v>620</v>
      </c>
      <c r="AB271" s="12">
        <f>SUM(X271:AA271)</f>
        <v>1572</v>
      </c>
      <c r="AC271" s="12">
        <f>AC188-AB188</f>
        <v>424</v>
      </c>
      <c r="AD271" s="12">
        <f>AD188-AC188</f>
        <v>523</v>
      </c>
      <c r="AE271" s="12">
        <f>AE188-AD188</f>
        <v>-316</v>
      </c>
      <c r="AF271" s="12">
        <f>AF188-AE188</f>
        <v>-37</v>
      </c>
      <c r="AG271" s="12">
        <f>SUM(AC271:AF271)</f>
        <v>594</v>
      </c>
      <c r="AH271" s="12">
        <f>AH188-AG188</f>
        <v>87</v>
      </c>
      <c r="AI271" s="12">
        <f>AI188-AH188</f>
        <v>559</v>
      </c>
      <c r="AJ271" s="12">
        <f>AJ188-AI188</f>
        <v>0</v>
      </c>
      <c r="AK271" s="12">
        <f>AK188-AJ188</f>
        <v>0</v>
      </c>
      <c r="AL271" s="12">
        <f>SUM(AH271:AK271)</f>
        <v>646</v>
      </c>
      <c r="AM271" s="12">
        <f>AM188-AL188</f>
        <v>0</v>
      </c>
      <c r="AN271" s="12">
        <f>AN188-AM188</f>
        <v>0</v>
      </c>
      <c r="AO271" s="12">
        <f>AO188-AN188</f>
        <v>0</v>
      </c>
      <c r="AP271" s="12">
        <f>AP188-AO188</f>
        <v>0</v>
      </c>
      <c r="AQ271" s="12">
        <f>SUM(AM271:AP271)</f>
        <v>0</v>
      </c>
      <c r="AR271" s="12">
        <f>AR188-AQ188</f>
        <v>0</v>
      </c>
      <c r="AS271" s="12">
        <f>AS188-AR188</f>
        <v>0</v>
      </c>
      <c r="AT271" s="12">
        <f>AT188-AS188</f>
        <v>0</v>
      </c>
      <c r="AU271" s="12">
        <f>AU188-AT188</f>
        <v>0</v>
      </c>
      <c r="AV271" s="12">
        <f>SUM(AR271:AU271)</f>
        <v>0</v>
      </c>
      <c r="AW271" s="12">
        <f>AW188-AV188</f>
        <v>0</v>
      </c>
      <c r="AX271" s="12">
        <f>AX188-AW188</f>
        <v>0</v>
      </c>
      <c r="AY271" s="12">
        <f>AY188-AX188</f>
        <v>0</v>
      </c>
      <c r="AZ271" s="12">
        <f>AZ188-AY188</f>
        <v>0</v>
      </c>
      <c r="BA271" s="12">
        <f>SUM(AW271:AZ271)</f>
        <v>0</v>
      </c>
      <c r="BB271" s="12">
        <f>BB188-BA188</f>
        <v>0</v>
      </c>
      <c r="BC271" s="12">
        <f>BC188-BB188</f>
        <v>0</v>
      </c>
      <c r="BD271" s="12">
        <f>BD188-BC188</f>
        <v>0</v>
      </c>
      <c r="BE271" s="12">
        <f>BE188-BD188</f>
        <v>0</v>
      </c>
      <c r="BF271" s="12">
        <f>SUM(BB271:BE271)</f>
        <v>0</v>
      </c>
      <c r="BG271" s="12" t="n"/>
      <c r="BH271" s="12" t="n"/>
      <c r="BI271" s="12" t="n"/>
      <c r="BJ271" s="12" t="n"/>
      <c r="BK271" s="12" t="n"/>
      <c r="BL271" s="12" t="n"/>
      <c r="BM271" s="12" t="n"/>
      <c r="BN271" s="12" t="n"/>
      <c r="BO271" s="12" t="n"/>
      <c r="BP271" s="12" t="n"/>
      <c r="BQ271" s="12" t="n"/>
      <c r="BR271" s="12" t="n"/>
      <c r="BS271" s="12" t="n"/>
      <c r="BT271" s="12" t="n"/>
      <c r="BU271" s="12" t="n"/>
      <c r="BV271" s="12" t="n"/>
      <c r="BW271" s="12" t="n"/>
      <c r="BX271" s="12" t="n"/>
      <c r="BY271" s="12" t="n"/>
      <c r="BZ271" s="12" t="n"/>
      <c r="CA271" s="12" t="n"/>
      <c r="CB271" s="12" t="n"/>
      <c r="CC271" s="12" t="n"/>
      <c r="CD271" s="12" t="n"/>
      <c r="CE271" s="12" t="n"/>
      <c r="CF271" s="12" t="n"/>
      <c r="CG271" s="12" t="n"/>
      <c r="CH271" s="12" t="n"/>
      <c r="CI271" s="12" t="n"/>
      <c r="CJ271" s="12" t="n"/>
      <c r="CK271" s="12" t="n"/>
      <c r="CL271" s="12" t="n"/>
      <c r="CM271" s="12" t="n"/>
      <c r="CN271" s="12" t="n"/>
      <c r="CO271" s="12" t="n"/>
      <c r="CP271" s="12" t="n"/>
      <c r="CQ271" s="12" t="n"/>
      <c r="CR271" s="12" t="n"/>
      <c r="CS271" s="12" t="n"/>
      <c r="CT271" s="12" t="n"/>
      <c r="CU271" s="12" t="n"/>
      <c r="CV271" s="12" t="n"/>
      <c r="CW271" s="12" t="n"/>
      <c r="CX271" s="12" t="n"/>
      <c r="CY271" s="12" t="n"/>
    </row>
    <row r="272" hidden="1" outlineLevel="1">
      <c r="C272" s="10" t="inlineStr">
        <is>
          <t>Deferred income taxes</t>
        </is>
      </c>
      <c r="D272" s="12" t="n"/>
      <c r="E272" s="12" t="n"/>
      <c r="F272" s="12" t="n"/>
      <c r="G272" s="12" t="n"/>
      <c r="H272" s="12" t="n"/>
      <c r="I272" s="12" t="n"/>
      <c r="J272" s="12">
        <f>J222-I222</f>
        <v>3</v>
      </c>
      <c r="K272" s="12">
        <f>K222-J222</f>
        <v>-20</v>
      </c>
      <c r="L272" s="12">
        <f>L222-K222</f>
        <v>21</v>
      </c>
      <c r="M272" s="12" t="n"/>
      <c r="N272" s="12">
        <f>N222-M222</f>
        <v>-9</v>
      </c>
      <c r="O272" s="12">
        <f>O222-N222</f>
        <v>-15</v>
      </c>
      <c r="P272" s="12">
        <f>P222-O222</f>
        <v>-25</v>
      </c>
      <c r="Q272" s="12">
        <f>Q222-P222</f>
        <v>47</v>
      </c>
      <c r="R272" s="12">
        <f>SUM(N272:Q272)</f>
        <v>-2</v>
      </c>
      <c r="S272" s="12">
        <f>S222-R222</f>
        <v>-4</v>
      </c>
      <c r="T272" s="12">
        <f>T222-S222</f>
        <v>6</v>
      </c>
      <c r="U272" s="12">
        <f>U222-T222</f>
        <v>-10</v>
      </c>
      <c r="V272" s="12">
        <f>V222-U222</f>
        <v>-16</v>
      </c>
      <c r="W272" s="12">
        <f>SUM(S272:V272)</f>
        <v>-24</v>
      </c>
      <c r="X272" s="12">
        <f>X222-W222</f>
        <v>-24</v>
      </c>
      <c r="Y272" s="12">
        <f>Y222-X222</f>
        <v>-8</v>
      </c>
      <c r="Z272" s="12">
        <f>Z222-Y222</f>
        <v>12</v>
      </c>
      <c r="AA272" s="12">
        <f>AA222-Z222</f>
        <v>-32</v>
      </c>
      <c r="AB272" s="12">
        <f>SUM(X272:AA272)</f>
        <v>-52</v>
      </c>
      <c r="AC272" s="12">
        <f>AC222-AB222</f>
        <v>-2</v>
      </c>
      <c r="AD272" s="12">
        <f>AD222-AC222</f>
        <v>46</v>
      </c>
      <c r="AE272" s="12">
        <f>AE222-AD222</f>
        <v>-35</v>
      </c>
      <c r="AF272" s="12">
        <f>AF222-AE222</f>
        <v>-19</v>
      </c>
      <c r="AG272" s="12">
        <f>SUM(AC272:AF272)</f>
        <v>-10</v>
      </c>
      <c r="AH272" s="12">
        <f>AH222-AG222</f>
        <v>24</v>
      </c>
      <c r="AI272" s="12">
        <f>AI222-AH222</f>
        <v>-16</v>
      </c>
      <c r="AJ272" s="12">
        <f>AJ222-AI222</f>
        <v>0</v>
      </c>
      <c r="AK272" s="12">
        <f>AK222-AJ222</f>
        <v>0</v>
      </c>
      <c r="AL272" s="12">
        <f>SUM(AH272:AK272)</f>
        <v>8</v>
      </c>
      <c r="AM272" s="12">
        <f>AM222-AL222</f>
        <v>0</v>
      </c>
      <c r="AN272" s="12">
        <f>AN222-AM222</f>
        <v>0</v>
      </c>
      <c r="AO272" s="12">
        <f>AO222-AN222</f>
        <v>0</v>
      </c>
      <c r="AP272" s="12">
        <f>AP222-AO222</f>
        <v>0</v>
      </c>
      <c r="AQ272" s="12">
        <f>SUM(AM272:AP272)</f>
        <v>0</v>
      </c>
      <c r="AR272" s="12">
        <f>AR222-AQ222</f>
        <v>0</v>
      </c>
      <c r="AS272" s="12">
        <f>AS222-AR222</f>
        <v>0</v>
      </c>
      <c r="AT272" s="12">
        <f>AT222-AS222</f>
        <v>0</v>
      </c>
      <c r="AU272" s="12">
        <f>AU222-AT222</f>
        <v>0</v>
      </c>
      <c r="AV272" s="12">
        <f>SUM(AR272:AU272)</f>
        <v>0</v>
      </c>
      <c r="AW272" s="12">
        <f>AW222-AV222</f>
        <v>0</v>
      </c>
      <c r="AX272" s="12">
        <f>AX222-AW222</f>
        <v>0</v>
      </c>
      <c r="AY272" s="12">
        <f>AY222-AX222</f>
        <v>0</v>
      </c>
      <c r="AZ272" s="12">
        <f>AZ222-AY222</f>
        <v>0</v>
      </c>
      <c r="BA272" s="12">
        <f>SUM(AW272:AZ272)</f>
        <v>0</v>
      </c>
      <c r="BB272" s="12">
        <f>BB222-BA222</f>
        <v>0</v>
      </c>
      <c r="BC272" s="12">
        <f>BC222-BB222</f>
        <v>0</v>
      </c>
      <c r="BD272" s="12">
        <f>BD222-BC222</f>
        <v>0</v>
      </c>
      <c r="BE272" s="12">
        <f>BE222-BD222</f>
        <v>0</v>
      </c>
      <c r="BF272" s="12">
        <f>SUM(BB272:BE272)</f>
        <v>0</v>
      </c>
      <c r="BG272" s="12" t="n"/>
      <c r="BH272" s="12" t="n"/>
      <c r="BI272" s="12" t="n"/>
      <c r="BJ272" s="12" t="n"/>
      <c r="BK272" s="12" t="n"/>
      <c r="BL272" s="12" t="n"/>
      <c r="BM272" s="12" t="n"/>
      <c r="BN272" s="12" t="n"/>
      <c r="BO272" s="12" t="n"/>
      <c r="BP272" s="12" t="n"/>
      <c r="BQ272" s="12" t="n"/>
      <c r="BR272" s="12" t="n"/>
      <c r="BS272" s="12" t="n"/>
      <c r="BT272" s="12" t="n"/>
      <c r="BU272" s="12" t="n"/>
      <c r="BV272" s="12" t="n"/>
      <c r="BW272" s="12" t="n"/>
      <c r="BX272" s="12" t="n"/>
      <c r="BY272" s="12" t="n"/>
      <c r="BZ272" s="12" t="n"/>
      <c r="CA272" s="12" t="n"/>
      <c r="CB272" s="12" t="n"/>
      <c r="CC272" s="12" t="n"/>
      <c r="CD272" s="12" t="n"/>
      <c r="CE272" s="12" t="n"/>
      <c r="CF272" s="12" t="n"/>
      <c r="CG272" s="12" t="n"/>
      <c r="CH272" s="12" t="n"/>
      <c r="CI272" s="12" t="n"/>
      <c r="CJ272" s="12" t="n"/>
      <c r="CK272" s="12" t="n"/>
      <c r="CL272" s="12" t="n"/>
      <c r="CM272" s="12" t="n"/>
      <c r="CN272" s="12" t="n"/>
      <c r="CO272" s="12" t="n"/>
      <c r="CP272" s="12" t="n"/>
      <c r="CQ272" s="12" t="n"/>
      <c r="CR272" s="12" t="n"/>
      <c r="CS272" s="12" t="n"/>
      <c r="CT272" s="12" t="n"/>
      <c r="CU272" s="12" t="n"/>
      <c r="CV272" s="12" t="n"/>
      <c r="CW272" s="12" t="n"/>
      <c r="CX272" s="12" t="n"/>
      <c r="CY272" s="12" t="n"/>
    </row>
    <row r="273" collapsed="1">
      <c r="C273" s="10" t="inlineStr">
        <is>
          <t>Equity income in affiliates</t>
        </is>
      </c>
      <c r="D273" s="12" t="n"/>
      <c r="E273" s="12" t="n"/>
      <c r="F273" s="12" t="n"/>
      <c r="G273" s="12" t="n"/>
      <c r="H273" s="12" t="n"/>
      <c r="I273" s="12" t="n"/>
      <c r="J273" s="12">
        <f>(J144-I144)*-1</f>
        <v>0</v>
      </c>
      <c r="K273" s="12">
        <f>(K144-J144)*-1</f>
        <v>0</v>
      </c>
      <c r="L273" s="12">
        <f>(L144-K144)*-1</f>
        <v>0</v>
      </c>
      <c r="M273" s="12" t="n"/>
      <c r="N273" s="12">
        <f>(N144-M144)*-1</f>
        <v>0</v>
      </c>
      <c r="O273" s="12">
        <f>(O144-N144)*-1</f>
        <v>0</v>
      </c>
      <c r="P273" s="12">
        <f>(P144-O144)*-1</f>
        <v>0</v>
      </c>
      <c r="Q273" s="12">
        <f>(Q144-P144)*-1</f>
        <v>0</v>
      </c>
      <c r="R273" s="12">
        <f>SUM(N273:Q273)</f>
        <v>0</v>
      </c>
      <c r="S273" s="12">
        <f>(S144-R144)*-1</f>
        <v>0</v>
      </c>
      <c r="T273" s="12">
        <f>(T144-S144)*-1</f>
        <v>0</v>
      </c>
      <c r="U273" s="12">
        <f>(U144-T144)*-1</f>
        <v>0</v>
      </c>
      <c r="V273" s="12">
        <f>(V144-U144)*-1</f>
        <v>0</v>
      </c>
      <c r="W273" s="12">
        <f>SUM(S273:V273)</f>
        <v>0</v>
      </c>
      <c r="X273" s="12">
        <f>(X144-W144)*-1</f>
        <v>0</v>
      </c>
      <c r="Y273" s="12">
        <f>(Y144-X144)*-1</f>
        <v>0</v>
      </c>
      <c r="Z273" s="12">
        <f>(Z144-Y144)*-1</f>
        <v>0</v>
      </c>
      <c r="AA273" s="12">
        <f>(AA144-Z144)*-1</f>
        <v>0</v>
      </c>
      <c r="AB273" s="12">
        <f>SUM(X273:AA273)</f>
        <v>0</v>
      </c>
      <c r="AC273" s="12">
        <f>(AC144-AB144)*-1</f>
        <v>0</v>
      </c>
      <c r="AD273" s="12">
        <f>(AD144-AC144)*-1</f>
        <v>0</v>
      </c>
      <c r="AE273" s="12">
        <f>(AE144-AD144)*-1</f>
        <v>0</v>
      </c>
      <c r="AF273" s="12">
        <f>(AF144-AE144)*-1</f>
        <v>0</v>
      </c>
      <c r="AG273" s="12">
        <f>SUM(AC273:AF273)</f>
        <v>0</v>
      </c>
      <c r="AH273" s="12">
        <f>(AH144-AG144)*-1</f>
        <v>0</v>
      </c>
      <c r="AI273" s="12">
        <f>(AI144-AH144)*-1</f>
        <v>0</v>
      </c>
      <c r="AJ273" s="12">
        <f>(AJ144-AI144)*-1</f>
        <v>0</v>
      </c>
      <c r="AK273" s="12">
        <f>(AK144-AJ144)*-1</f>
        <v>0</v>
      </c>
      <c r="AL273" s="12">
        <f>SUM(AH273:AK273)</f>
        <v>0</v>
      </c>
      <c r="AM273" s="12">
        <f>(AM144-AL144)*-1</f>
        <v>0</v>
      </c>
      <c r="AN273" s="12">
        <f>(AN144-AM144)*-1</f>
        <v>0</v>
      </c>
      <c r="AO273" s="12">
        <f>(AO144-AN144)*-1</f>
        <v>0</v>
      </c>
      <c r="AP273" s="12">
        <f>(AP144-AO144)*-1</f>
        <v>0</v>
      </c>
      <c r="AQ273" s="12">
        <f>SUM(AM273:AP273)</f>
        <v>0</v>
      </c>
      <c r="AR273" s="12">
        <f>(AR144-AQ144)*-1</f>
        <v>0</v>
      </c>
      <c r="AS273" s="12">
        <f>(AS144-AR144)*-1</f>
        <v>0</v>
      </c>
      <c r="AT273" s="12">
        <f>(AT144-AS144)*-1</f>
        <v>0</v>
      </c>
      <c r="AU273" s="12">
        <f>(AU144-AT144)*-1</f>
        <v>0</v>
      </c>
      <c r="AV273" s="12">
        <f>SUM(AR273:AU273)</f>
        <v>0</v>
      </c>
      <c r="AW273" s="12">
        <f>(AW144-AV144)*-1</f>
        <v>0</v>
      </c>
      <c r="AX273" s="12">
        <f>(AX144-AW144)*-1</f>
        <v>0</v>
      </c>
      <c r="AY273" s="12">
        <f>(AY144-AX144)*-1</f>
        <v>0</v>
      </c>
      <c r="AZ273" s="12">
        <f>(AZ144-AY144)*-1</f>
        <v>0</v>
      </c>
      <c r="BA273" s="12">
        <f>SUM(AW273:AZ273)</f>
        <v>0</v>
      </c>
      <c r="BB273" s="12">
        <f>(BB144-BA144)*-1</f>
        <v>0</v>
      </c>
      <c r="BC273" s="12">
        <f>(BC144-BB144)*-1</f>
        <v>0</v>
      </c>
      <c r="BD273" s="12">
        <f>(BD144-BC144)*-1</f>
        <v>0</v>
      </c>
      <c r="BE273" s="12">
        <f>(BE144-BD144)*-1</f>
        <v>0</v>
      </c>
      <c r="BF273" s="12">
        <f>SUM(BB273:BE273)</f>
        <v>0</v>
      </c>
      <c r="BG273" s="12" t="n"/>
      <c r="BH273" s="12" t="n"/>
      <c r="BI273" s="12" t="n"/>
      <c r="BJ273" s="12" t="n"/>
      <c r="BK273" s="12" t="n"/>
      <c r="BL273" s="12" t="n"/>
      <c r="BM273" s="12" t="n"/>
      <c r="BN273" s="12" t="n"/>
      <c r="BO273" s="12" t="n"/>
      <c r="BP273" s="12" t="n"/>
      <c r="BQ273" s="12" t="n"/>
      <c r="BR273" s="12" t="n"/>
      <c r="BS273" s="12" t="n"/>
      <c r="BT273" s="12" t="n"/>
      <c r="BU273" s="12" t="n"/>
      <c r="BV273" s="12" t="n"/>
      <c r="BW273" s="12" t="n"/>
      <c r="BX273" s="12" t="n"/>
      <c r="BY273" s="12" t="n"/>
      <c r="BZ273" s="12" t="n"/>
      <c r="CA273" s="12" t="n"/>
      <c r="CB273" s="12" t="n"/>
      <c r="CC273" s="12" t="n"/>
      <c r="CD273" s="12" t="n"/>
      <c r="CE273" s="12" t="n"/>
      <c r="CF273" s="12" t="n"/>
      <c r="CG273" s="12" t="n"/>
      <c r="CH273" s="12" t="n"/>
      <c r="CI273" s="12" t="n"/>
      <c r="CJ273" s="12" t="n"/>
      <c r="CK273" s="12" t="n"/>
      <c r="CL273" s="12" t="n"/>
      <c r="CM273" s="12" t="n"/>
      <c r="CN273" s="12" t="n"/>
      <c r="CO273" s="12" t="n"/>
      <c r="CP273" s="12" t="n"/>
      <c r="CQ273" s="12" t="n"/>
      <c r="CR273" s="12" t="n"/>
      <c r="CS273" s="12" t="n"/>
      <c r="CT273" s="12" t="n"/>
      <c r="CU273" s="12" t="n"/>
      <c r="CV273" s="12" t="n"/>
      <c r="CW273" s="12" t="n"/>
      <c r="CX273" s="12" t="n"/>
      <c r="CY273" s="12" t="n"/>
    </row>
    <row r="274">
      <c r="C274" s="10" t="inlineStr">
        <is>
          <t>Dividends received from affiliates</t>
        </is>
      </c>
      <c r="D274" s="12" t="n"/>
      <c r="E274" s="12" t="n"/>
      <c r="F274" s="12" t="n"/>
      <c r="G274" s="12" t="n"/>
      <c r="H274" s="12" t="n"/>
      <c r="I274" s="12" t="n"/>
      <c r="J274" s="12">
        <f>-J147</f>
        <v>0</v>
      </c>
      <c r="K274" s="12">
        <f>-K147</f>
        <v>0</v>
      </c>
      <c r="L274" s="12">
        <f>-L147</f>
        <v>0</v>
      </c>
      <c r="M274" s="12" t="n"/>
      <c r="N274" s="12">
        <f>-N147</f>
        <v>0</v>
      </c>
      <c r="O274" s="12">
        <f>-O147</f>
        <v>0</v>
      </c>
      <c r="P274" s="12">
        <f>-P147</f>
        <v>0</v>
      </c>
      <c r="Q274" s="12">
        <f>-Q147</f>
        <v>0</v>
      </c>
      <c r="R274" s="12">
        <f>SUM(N274:Q274)</f>
        <v>0</v>
      </c>
      <c r="S274" s="12">
        <f>-S147</f>
        <v>0</v>
      </c>
      <c r="T274" s="12">
        <f>-T147</f>
        <v>0</v>
      </c>
      <c r="U274" s="12">
        <f>-U147</f>
        <v>0</v>
      </c>
      <c r="V274" s="12">
        <f>-V147</f>
        <v>0</v>
      </c>
      <c r="W274" s="12">
        <f>SUM(S274:V274)</f>
        <v>0</v>
      </c>
      <c r="X274" s="12">
        <f>-X147</f>
        <v>0</v>
      </c>
      <c r="Y274" s="12">
        <f>-Y147</f>
        <v>0</v>
      </c>
      <c r="Z274" s="12">
        <f>-Z147</f>
        <v>0</v>
      </c>
      <c r="AA274" s="12">
        <f>-AA147</f>
        <v>0</v>
      </c>
      <c r="AB274" s="12">
        <f>SUM(X274:AA274)</f>
        <v>0</v>
      </c>
      <c r="AC274" s="12">
        <f>-AC147</f>
        <v>0</v>
      </c>
      <c r="AD274" s="12">
        <f>-AD147</f>
        <v>0</v>
      </c>
      <c r="AE274" s="12">
        <f>-AE147</f>
        <v>0</v>
      </c>
      <c r="AF274" s="12">
        <f>-AF147</f>
        <v>0</v>
      </c>
      <c r="AG274" s="12">
        <f>SUM(AC274:AF274)</f>
        <v>0</v>
      </c>
      <c r="AH274" s="12">
        <f>-AH147</f>
        <v>0</v>
      </c>
      <c r="AI274" s="12">
        <f>-AI147</f>
        <v>0</v>
      </c>
      <c r="AJ274" s="12">
        <f>-AJ147</f>
        <v>0</v>
      </c>
      <c r="AK274" s="12">
        <f>-AK147</f>
        <v>0</v>
      </c>
      <c r="AL274" s="12">
        <f>SUM(AH274:AK274)</f>
        <v>0</v>
      </c>
      <c r="AM274" s="12">
        <f>-AM147</f>
        <v>0</v>
      </c>
      <c r="AN274" s="12">
        <f>-AN147</f>
        <v>0</v>
      </c>
      <c r="AO274" s="12">
        <f>-AO147</f>
        <v>0</v>
      </c>
      <c r="AP274" s="12">
        <f>-AP147</f>
        <v>0</v>
      </c>
      <c r="AQ274" s="12">
        <f>SUM(AM274:AP274)</f>
        <v>0</v>
      </c>
      <c r="AR274" s="12">
        <f>-AR147</f>
        <v>0</v>
      </c>
      <c r="AS274" s="12">
        <f>-AS147</f>
        <v>0</v>
      </c>
      <c r="AT274" s="12">
        <f>-AT147</f>
        <v>0</v>
      </c>
      <c r="AU274" s="12">
        <f>-AU147</f>
        <v>0</v>
      </c>
      <c r="AV274" s="12">
        <f>SUM(AR274:AU274)</f>
        <v>0</v>
      </c>
      <c r="AW274" s="12">
        <f>-AW147</f>
        <v>0</v>
      </c>
      <c r="AX274" s="12">
        <f>-AX147</f>
        <v>0</v>
      </c>
      <c r="AY274" s="12">
        <f>-AY147</f>
        <v>0</v>
      </c>
      <c r="AZ274" s="12">
        <f>-AZ147</f>
        <v>0</v>
      </c>
      <c r="BA274" s="12">
        <f>SUM(AW274:AZ274)</f>
        <v>0</v>
      </c>
      <c r="BB274" s="12">
        <f>-BB147</f>
        <v>0</v>
      </c>
      <c r="BC274" s="12">
        <f>-BC147</f>
        <v>0</v>
      </c>
      <c r="BD274" s="12">
        <f>-BD147</f>
        <v>0</v>
      </c>
      <c r="BE274" s="12">
        <f>-BE147</f>
        <v>0</v>
      </c>
      <c r="BF274" s="12">
        <f>SUM(BB274:BE274)</f>
        <v>0</v>
      </c>
      <c r="BG274" s="12" t="n"/>
      <c r="BH274" s="12" t="n"/>
      <c r="BI274" s="12" t="n"/>
      <c r="BJ274" s="12" t="n"/>
      <c r="BK274" s="12" t="n"/>
      <c r="BL274" s="12" t="n"/>
      <c r="BM274" s="12" t="n"/>
      <c r="BN274" s="12" t="n"/>
      <c r="BO274" s="12" t="n"/>
      <c r="BP274" s="12" t="n"/>
      <c r="BQ274" s="12" t="n"/>
      <c r="BR274" s="12" t="n"/>
      <c r="BS274" s="12" t="n"/>
      <c r="BT274" s="12" t="n"/>
      <c r="BU274" s="12" t="n"/>
      <c r="BV274" s="12" t="n"/>
      <c r="BW274" s="12" t="n"/>
      <c r="BX274" s="12" t="n"/>
      <c r="BY274" s="12" t="n"/>
      <c r="BZ274" s="12" t="n"/>
      <c r="CA274" s="12" t="n"/>
      <c r="CB274" s="12" t="n"/>
      <c r="CC274" s="12" t="n"/>
      <c r="CD274" s="12" t="n"/>
      <c r="CE274" s="12" t="n"/>
      <c r="CF274" s="12" t="n"/>
      <c r="CG274" s="12" t="n"/>
      <c r="CH274" s="12" t="n"/>
      <c r="CI274" s="12" t="n"/>
      <c r="CJ274" s="12" t="n"/>
      <c r="CK274" s="12" t="n"/>
      <c r="CL274" s="12" t="n"/>
      <c r="CM274" s="12" t="n"/>
      <c r="CN274" s="12" t="n"/>
      <c r="CO274" s="12" t="n"/>
      <c r="CP274" s="12" t="n"/>
      <c r="CQ274" s="12" t="n"/>
      <c r="CR274" s="12" t="n"/>
      <c r="CS274" s="12" t="n"/>
      <c r="CT274" s="12" t="n"/>
      <c r="CU274" s="12" t="n"/>
      <c r="CV274" s="12" t="n"/>
      <c r="CW274" s="12" t="n"/>
      <c r="CX274" s="12" t="n"/>
      <c r="CY274" s="12" t="n"/>
    </row>
    <row r="275">
      <c r="C275" s="71" t="inlineStr">
        <is>
          <t>Minority interest expense</t>
        </is>
      </c>
      <c r="D275" s="12" t="n"/>
      <c r="E275" s="12" t="n"/>
      <c r="F275" s="12" t="n"/>
      <c r="G275" s="12" t="n"/>
      <c r="H275" s="12" t="n"/>
      <c r="I275" s="12" t="n"/>
      <c r="J275" s="12">
        <f>-J119</f>
        <v>0</v>
      </c>
      <c r="K275" s="12">
        <f>-K119</f>
        <v>11</v>
      </c>
      <c r="L275" s="12">
        <f>-L119</f>
        <v>-1</v>
      </c>
      <c r="M275" s="12" t="n"/>
      <c r="N275" s="12">
        <f>-N119</f>
        <v>3</v>
      </c>
      <c r="O275" s="12">
        <f>-O119</f>
        <v>3</v>
      </c>
      <c r="P275" s="12">
        <f>-P119</f>
        <v>3</v>
      </c>
      <c r="Q275" s="12">
        <f>-Q119</f>
        <v>4</v>
      </c>
      <c r="R275" s="12">
        <f>SUM(N275:Q275)</f>
        <v>13</v>
      </c>
      <c r="S275" s="12">
        <f>-S119</f>
        <v>2</v>
      </c>
      <c r="T275" s="12">
        <f>-T119</f>
        <v>3</v>
      </c>
      <c r="U275" s="12">
        <f>-U119</f>
        <v>4</v>
      </c>
      <c r="V275" s="12">
        <f>-V119</f>
        <v>3</v>
      </c>
      <c r="W275" s="12">
        <f>SUM(S275:V275)</f>
        <v>12</v>
      </c>
      <c r="X275" s="12">
        <f>-X119</f>
        <v>3</v>
      </c>
      <c r="Y275" s="12">
        <f>-Y119</f>
        <v>4</v>
      </c>
      <c r="Z275" s="12">
        <f>-Z119</f>
        <v>4</v>
      </c>
      <c r="AA275" s="12">
        <f>-AA119</f>
        <v>5</v>
      </c>
      <c r="AB275" s="12">
        <f>SUM(X275:AA275)</f>
        <v>16</v>
      </c>
      <c r="AC275" s="12">
        <f>-AC119</f>
        <v>5</v>
      </c>
      <c r="AD275" s="12">
        <f>-AD119</f>
        <v>4</v>
      </c>
      <c r="AE275" s="12">
        <f>-AE119</f>
        <v>6</v>
      </c>
      <c r="AF275" s="12">
        <f>-AF119</f>
        <v>6</v>
      </c>
      <c r="AG275" s="12">
        <f>SUM(AC275:AF275)</f>
        <v>21</v>
      </c>
      <c r="AH275" s="12">
        <f>-AH119</f>
        <v>6</v>
      </c>
      <c r="AI275" s="12">
        <f>-AI119</f>
        <v>8</v>
      </c>
      <c r="AJ275" s="12">
        <f>-AJ119</f>
        <v>0</v>
      </c>
      <c r="AK275" s="12">
        <f>-AK119</f>
        <v>0</v>
      </c>
      <c r="AL275" s="12">
        <f>SUM(AH275:AK275)</f>
        <v>14</v>
      </c>
      <c r="AM275" s="12">
        <f>-AM119</f>
        <v>0</v>
      </c>
      <c r="AN275" s="12">
        <f>-AN119</f>
        <v>0</v>
      </c>
      <c r="AO275" s="12">
        <f>-AO119</f>
        <v>0</v>
      </c>
      <c r="AP275" s="12">
        <f>-AP119</f>
        <v>0</v>
      </c>
      <c r="AQ275" s="12">
        <f>SUM(AM275:AP275)</f>
        <v>0</v>
      </c>
      <c r="AR275" s="12">
        <f>-AR119</f>
        <v>0</v>
      </c>
      <c r="AS275" s="12">
        <f>-AS119</f>
        <v>0</v>
      </c>
      <c r="AT275" s="12">
        <f>-AT119</f>
        <v>0</v>
      </c>
      <c r="AU275" s="12">
        <f>-AU119</f>
        <v>0</v>
      </c>
      <c r="AV275" s="12">
        <f>SUM(AR275:AU275)</f>
        <v>0</v>
      </c>
      <c r="AW275" s="12">
        <f>-AW119</f>
        <v>0</v>
      </c>
      <c r="AX275" s="12">
        <f>-AX119</f>
        <v>0</v>
      </c>
      <c r="AY275" s="12">
        <f>-AY119</f>
        <v>0</v>
      </c>
      <c r="AZ275" s="12">
        <f>-AZ119</f>
        <v>0</v>
      </c>
      <c r="BA275" s="12">
        <f>SUM(AW275:AZ275)</f>
        <v>0</v>
      </c>
      <c r="BB275" s="12">
        <f>-BB119</f>
        <v>0</v>
      </c>
      <c r="BC275" s="12">
        <f>-BC119</f>
        <v>0</v>
      </c>
      <c r="BD275" s="12">
        <f>-BD119</f>
        <v>0</v>
      </c>
      <c r="BE275" s="12">
        <f>-BE119</f>
        <v>0</v>
      </c>
      <c r="BF275" s="12">
        <f>SUM(BB275:BE275)</f>
        <v>0</v>
      </c>
      <c r="BG275" s="12" t="n"/>
      <c r="BH275" s="12" t="n"/>
      <c r="BI275" s="12" t="n"/>
      <c r="BJ275" s="12" t="n"/>
      <c r="BK275" s="12" t="n"/>
      <c r="BL275" s="12" t="n"/>
      <c r="BM275" s="12" t="n"/>
      <c r="BN275" s="12" t="n"/>
      <c r="BO275" s="12" t="n"/>
      <c r="BP275" s="12" t="n"/>
      <c r="BQ275" s="12" t="n"/>
      <c r="BR275" s="12" t="n"/>
      <c r="BS275" s="12" t="n"/>
      <c r="BT275" s="12" t="n"/>
      <c r="BU275" s="12" t="n"/>
      <c r="BV275" s="12" t="n"/>
      <c r="BW275" s="12" t="n"/>
      <c r="BX275" s="12" t="n"/>
      <c r="BY275" s="12" t="n"/>
      <c r="BZ275" s="12" t="n"/>
      <c r="CA275" s="12" t="n"/>
      <c r="CB275" s="12" t="n"/>
      <c r="CC275" s="12" t="n"/>
      <c r="CD275" s="12" t="n"/>
      <c r="CE275" s="12" t="n"/>
      <c r="CF275" s="12" t="n"/>
      <c r="CG275" s="12" t="n"/>
      <c r="CH275" s="12" t="n"/>
      <c r="CI275" s="12" t="n"/>
      <c r="CJ275" s="12" t="n"/>
      <c r="CK275" s="12" t="n"/>
      <c r="CL275" s="12" t="n"/>
      <c r="CM275" s="12" t="n"/>
      <c r="CN275" s="12" t="n"/>
      <c r="CO275" s="12" t="n"/>
      <c r="CP275" s="12" t="n"/>
      <c r="CQ275" s="12" t="n"/>
      <c r="CR275" s="12" t="n"/>
      <c r="CS275" s="12" t="n"/>
      <c r="CT275" s="12" t="n"/>
      <c r="CU275" s="12" t="n"/>
      <c r="CV275" s="12" t="n"/>
      <c r="CW275" s="12" t="n"/>
      <c r="CX275" s="12" t="n"/>
      <c r="CY275" s="12" t="n"/>
    </row>
    <row r="276">
      <c r="C276" s="14" t="inlineStr">
        <is>
          <t>Cash from operations</t>
        </is>
      </c>
      <c r="D276" s="12" t="n"/>
      <c r="E276" s="12" t="n"/>
      <c r="F276" s="12" t="n"/>
      <c r="G276" s="12" t="n"/>
      <c r="H276" s="12" t="n"/>
      <c r="I276" s="12" t="n"/>
      <c r="J276" s="12">
        <f>SUM(J260,J261,J262,J273,J274,J275)</f>
        <v>2433</v>
      </c>
      <c r="K276" s="12">
        <f>SUM(K260,K261,K262,K273,K274,K275)</f>
        <v>2692</v>
      </c>
      <c r="L276" s="12">
        <f>SUM(L260,L261,L262,L273,L274,L275)</f>
        <v>3443</v>
      </c>
      <c r="M276" s="12" t="n"/>
      <c r="N276" s="12">
        <f>SUM(N260,N261,N262,N273,N274,N275)</f>
        <v>1718</v>
      </c>
      <c r="O276" s="12">
        <f>SUM(O260,O261,O262,O273,O274,O275)</f>
        <v>2300</v>
      </c>
      <c r="P276" s="12">
        <f>SUM(P260,P261,P262,P273,P274,P275)</f>
        <v>3756</v>
      </c>
      <c r="Q276" s="12">
        <f>SUM(Q260,Q261,Q262,Q273,Q274,Q275)</f>
        <v>3636</v>
      </c>
      <c r="R276" s="12">
        <f>SUM(R260,R261,R262,R273,R274,R275)</f>
        <v>11410</v>
      </c>
      <c r="S276" s="12">
        <f>SUM(S260,S261,S262,S273,S274,S275)</f>
        <v>1658</v>
      </c>
      <c r="T276" s="12">
        <f>SUM(T260,T261,T262,T273,T274,T275)</f>
        <v>2553</v>
      </c>
      <c r="U276" s="12">
        <f>SUM(U260,U261,U262,U273,U274,U275)</f>
        <v>3561</v>
      </c>
      <c r="V276" s="12">
        <f>SUM(V260,V261,V262,V273,V274,V275)</f>
        <v>4453</v>
      </c>
      <c r="W276" s="12">
        <f>SUM(W260,W261,W262,W273,W274,W275)</f>
        <v>12225</v>
      </c>
      <c r="X276" s="12">
        <f>SUM(X260,X261,X262,X273,X274,X275)</f>
        <v>2138</v>
      </c>
      <c r="Y276" s="12">
        <f>SUM(Y260,Y261,Y262,Y273,Y274,Y275)</f>
        <v>3419</v>
      </c>
      <c r="Z276" s="12">
        <f>SUM(Z260,Z261,Z262,Z273,Z274,Z275)</f>
        <v>4874</v>
      </c>
      <c r="AA276" s="12">
        <f>SUM(AA260,AA261,AA262,AA273,AA274,AA275)</f>
        <v>5417</v>
      </c>
      <c r="AB276" s="12">
        <f>SUM(AB260,AB261,AB262,AB273,AB274,AB275)</f>
        <v>15848</v>
      </c>
      <c r="AC276" s="12">
        <f>SUM(AC260,AC261,AC262,AC273,AC274,AC275)</f>
        <v>1997</v>
      </c>
      <c r="AD276" s="12">
        <f>SUM(AD260,AD261,AD262,AD273,AD274,AD275)</f>
        <v>4375</v>
      </c>
      <c r="AE276" s="12">
        <f>SUM(AE260,AE261,AE262,AE273,AE274,AE275)</f>
        <v>6074</v>
      </c>
      <c r="AF276" s="12">
        <f>SUM(AF260,AF261,AF262,AF273,AF274,AF275)</f>
        <v>5558</v>
      </c>
      <c r="AG276" s="12">
        <f>SUM(AG260,AG261,AG262,AG273,AG274,AG275)</f>
        <v>18004</v>
      </c>
      <c r="AH276" s="12">
        <f>SUM(AH260,AH261,AH262,AH273,AH274,AH275)</f>
        <v>1936</v>
      </c>
      <c r="AI276" s="12">
        <f>SUM(AI260,AI261,AI262,AI273,AI274,AI275)</f>
        <v>5369</v>
      </c>
      <c r="AJ276" s="12">
        <f>SUM(AJ260,AJ261,AJ262,AJ273,AJ274,AJ275)</f>
        <v>5868.78457897877</v>
      </c>
      <c r="AK276" s="12">
        <f>SUM(AK260,AK261,AK262,AK273,AK274,AK275)</f>
        <v>7508.70785007028</v>
      </c>
      <c r="AL276" s="12">
        <f>SUM(AL260,AL261,AL262,AL273,AL274,AL275)</f>
        <v>20682.4924290491</v>
      </c>
      <c r="AM276" s="12">
        <f>SUM(AM260,AM261,AM262,AM273,AM274,AM275)</f>
        <v>7905.34763425281</v>
      </c>
      <c r="AN276" s="12">
        <f>SUM(AN260,AN261,AN262,AN273,AN274,AN275)</f>
        <v>8251.26496954477</v>
      </c>
      <c r="AO276" s="12">
        <f>SUM(AO260,AO261,AO262,AO273,AO274,AO275)</f>
        <v>9297.94397021161</v>
      </c>
      <c r="AP276" s="12">
        <f>SUM(AP260,AP261,AP262,AP273,AP274,AP275)</f>
        <v>10244.9432903662</v>
      </c>
      <c r="AQ276" s="12">
        <f>SUM(AQ260,AQ261,AQ262,AQ273,AQ274,AQ275)</f>
        <v>35699.4998643754</v>
      </c>
      <c r="AR276" s="12">
        <f>SUM(AR260,AR261,AR262,AR273,AR274,AR275)</f>
        <v>10859.3519383438</v>
      </c>
      <c r="AS276" s="12">
        <f>SUM(AS260,AS261,AS262,AS273,AS274,AS275)</f>
        <v>11336.2980921959</v>
      </c>
      <c r="AT276" s="12">
        <f>SUM(AT260,AT261,AT262,AT273,AT274,AT275)</f>
        <v>12881.0199522419</v>
      </c>
      <c r="AU276" s="12">
        <f>SUM(AU260,AU261,AU262,AU273,AU274,AU275)</f>
        <v>14283.2506905862</v>
      </c>
      <c r="AV276" s="12">
        <f>SUM(AV260,AV261,AV262,AV273,AV274,AV275)</f>
        <v>49359.9206733677</v>
      </c>
      <c r="AW276" s="12">
        <f>SUM(AW260,AW261,AW262,AW273,AW274,AW275)</f>
        <v>15173.3792197361</v>
      </c>
      <c r="AX276" s="12">
        <f>SUM(AX260,AX261,AX262,AX273,AX274,AX275)</f>
        <v>16222.6331715917</v>
      </c>
      <c r="AY276" s="12">
        <f>SUM(AY260,AY261,AY262,AY273,AY274,AY275)</f>
        <v>18353.7222684467</v>
      </c>
      <c r="AZ276" s="12">
        <f>SUM(AZ260,AZ261,AZ262,AZ273,AZ274,AZ275)</f>
        <v>20456.5779938526</v>
      </c>
      <c r="BA276" s="12">
        <f>SUM(BA260,BA261,BA262,BA273,BA274,BA275)</f>
        <v>70206.3126536271</v>
      </c>
      <c r="BB276" s="12">
        <f>SUM(BB260,BB261,BB262,BB273,BB274,BB275)</f>
        <v>21874.4969630895</v>
      </c>
      <c r="BC276" s="12">
        <f>SUM(BC260,BC261,BC262,BC273,BC274,BC275)</f>
        <v>23635.9078047988</v>
      </c>
      <c r="BD276" s="12">
        <f>SUM(BD260,BD261,BD262,BD273,BD274,BD275)</f>
        <v>26749.2667101854</v>
      </c>
      <c r="BE276" s="12">
        <f>SUM(BE260,BE261,BE262,BE273,BE274,BE275)</f>
        <v>29919.3794652603</v>
      </c>
      <c r="BF276" s="12">
        <f>SUM(BF260,BF261,BF262,BF273,BF274,BF275)</f>
        <v>102179.050943334</v>
      </c>
      <c r="BG276" s="12" t="n"/>
      <c r="BH276" s="12" t="n"/>
      <c r="BI276" s="12" t="n"/>
      <c r="BJ276" s="12" t="n"/>
      <c r="BK276" s="12" t="n"/>
      <c r="BL276" s="12" t="n"/>
      <c r="BM276" s="12" t="n"/>
      <c r="BN276" s="12" t="n"/>
      <c r="BO276" s="12" t="n"/>
      <c r="BP276" s="12" t="n"/>
      <c r="BQ276" s="12" t="n"/>
      <c r="BR276" s="12" t="n"/>
      <c r="BS276" s="12" t="n"/>
      <c r="BT276" s="12" t="n"/>
      <c r="BU276" s="12" t="n"/>
      <c r="BV276" s="12" t="n"/>
      <c r="BW276" s="12" t="n"/>
      <c r="BX276" s="12" t="n"/>
      <c r="BY276" s="12" t="n"/>
      <c r="BZ276" s="12" t="n"/>
      <c r="CA276" s="12" t="n"/>
      <c r="CB276" s="12" t="n"/>
      <c r="CC276" s="12" t="n"/>
      <c r="CD276" s="12" t="n"/>
      <c r="CE276" s="12" t="n"/>
      <c r="CF276" s="12" t="n"/>
      <c r="CG276" s="12" t="n"/>
      <c r="CH276" s="12" t="n"/>
      <c r="CI276" s="12" t="n"/>
      <c r="CJ276" s="12" t="n"/>
      <c r="CK276" s="12" t="n"/>
      <c r="CL276" s="12" t="n"/>
      <c r="CM276" s="12" t="n"/>
      <c r="CN276" s="12" t="n"/>
      <c r="CO276" s="12" t="n"/>
      <c r="CP276" s="12" t="n"/>
      <c r="CQ276" s="12" t="n"/>
      <c r="CR276" s="12" t="n"/>
      <c r="CS276" s="12" t="n"/>
      <c r="CT276" s="12" t="n"/>
      <c r="CU276" s="12" t="n"/>
      <c r="CV276" s="12" t="n"/>
      <c r="CW276" s="12" t="n"/>
      <c r="CX276" s="12" t="n"/>
      <c r="CY276" s="12" t="n"/>
    </row>
    <row r="277">
      <c r="C277" s="14" t="n"/>
      <c r="D277" s="12" t="n"/>
      <c r="E277" s="12" t="n"/>
      <c r="F277" s="12" t="n"/>
      <c r="G277" s="12" t="n"/>
      <c r="H277" s="12" t="n"/>
      <c r="I277" s="12" t="n"/>
      <c r="J277" s="12" t="n"/>
      <c r="K277" s="12" t="n"/>
      <c r="L277" s="12" t="n"/>
      <c r="M277" s="12" t="n"/>
      <c r="N277" s="12" t="n"/>
      <c r="O277" s="12" t="n"/>
      <c r="P277" s="12" t="n"/>
      <c r="Q277" s="12" t="n"/>
      <c r="R277" s="12" t="n"/>
      <c r="S277" s="12" t="n"/>
      <c r="T277" s="12" t="n"/>
      <c r="U277" s="12" t="n"/>
      <c r="V277" s="12" t="n"/>
      <c r="W277" s="12" t="n"/>
      <c r="X277" s="12" t="n"/>
      <c r="Y277" s="12" t="n"/>
      <c r="Z277" s="12" t="n"/>
      <c r="AA277" s="12" t="n"/>
      <c r="AB277" s="12" t="n"/>
      <c r="AC277" s="12" t="n"/>
      <c r="AD277" s="12" t="n"/>
      <c r="AE277" s="12" t="n"/>
      <c r="AF277" s="12" t="n"/>
      <c r="AG277" s="12" t="n"/>
      <c r="AH277" s="12" t="n"/>
      <c r="AI277" s="12" t="n"/>
      <c r="AJ277" s="12" t="n"/>
      <c r="AK277" s="12" t="n"/>
      <c r="AL277" s="12" t="n"/>
      <c r="AM277" s="12" t="n"/>
      <c r="AN277" s="12" t="n"/>
      <c r="AO277" s="12" t="n"/>
      <c r="AP277" s="12" t="n"/>
      <c r="AQ277" s="12" t="n"/>
      <c r="AR277" s="12" t="n"/>
      <c r="AS277" s="12" t="n"/>
      <c r="AT277" s="12" t="n"/>
      <c r="AU277" s="12" t="n"/>
      <c r="AV277" s="12" t="n"/>
      <c r="AW277" s="12" t="n"/>
      <c r="AX277" s="12" t="n"/>
      <c r="AY277" s="12" t="n"/>
      <c r="AZ277" s="12" t="n"/>
      <c r="BA277" s="12" t="n"/>
      <c r="BB277" s="12" t="n"/>
      <c r="BC277" s="12" t="n"/>
      <c r="BD277" s="12" t="n"/>
      <c r="BE277" s="12" t="n"/>
      <c r="BF277" s="12" t="n"/>
      <c r="BG277" s="12" t="n"/>
      <c r="BH277" s="12" t="n"/>
      <c r="BI277" s="12" t="n"/>
      <c r="BJ277" s="12" t="n"/>
      <c r="BK277" s="12" t="n"/>
      <c r="BL277" s="12" t="n"/>
      <c r="BM277" s="12" t="n"/>
      <c r="BN277" s="12" t="n"/>
      <c r="BO277" s="12" t="n"/>
      <c r="BP277" s="12" t="n"/>
      <c r="BQ277" s="12" t="n"/>
      <c r="BR277" s="12" t="n"/>
      <c r="BS277" s="12" t="n"/>
      <c r="BT277" s="12" t="n"/>
      <c r="BU277" s="12" t="n"/>
      <c r="BV277" s="12" t="n"/>
      <c r="BW277" s="12" t="n"/>
      <c r="BX277" s="12" t="n"/>
      <c r="BY277" s="12" t="n"/>
      <c r="BZ277" s="12" t="n"/>
      <c r="CA277" s="12" t="n"/>
      <c r="CB277" s="12" t="n"/>
      <c r="CC277" s="12" t="n"/>
      <c r="CD277" s="12" t="n"/>
      <c r="CE277" s="12" t="n"/>
      <c r="CF277" s="12" t="n"/>
      <c r="CG277" s="12" t="n"/>
      <c r="CH277" s="12" t="n"/>
      <c r="CI277" s="12" t="n"/>
      <c r="CJ277" s="12" t="n"/>
      <c r="CK277" s="12" t="n"/>
      <c r="CL277" s="12" t="n"/>
      <c r="CM277" s="12" t="n"/>
      <c r="CN277" s="12" t="n"/>
      <c r="CO277" s="12" t="n"/>
      <c r="CP277" s="12" t="n"/>
      <c r="CQ277" s="12" t="n"/>
      <c r="CR277" s="12" t="n"/>
      <c r="CS277" s="12" t="n"/>
      <c r="CT277" s="12" t="n"/>
      <c r="CU277" s="12" t="n"/>
      <c r="CV277" s="12" t="n"/>
      <c r="CW277" s="12" t="n"/>
      <c r="CX277" s="12" t="n"/>
      <c r="CY277" s="12" t="n"/>
    </row>
    <row r="278">
      <c r="C278" s="10" t="inlineStr">
        <is>
          <t>Purchase of fixed assets (capital expenditures)</t>
        </is>
      </c>
      <c r="D278" s="12" t="n"/>
      <c r="E278" s="12" t="n"/>
      <c r="F278" s="12" t="n"/>
      <c r="G278" s="12" t="n"/>
      <c r="H278" s="12" t="n"/>
      <c r="I278" s="12" t="n"/>
      <c r="J278" s="12">
        <f>-J151</f>
        <v>-175</v>
      </c>
      <c r="K278" s="12">
        <f>-K151</f>
        <v>-209</v>
      </c>
      <c r="L278" s="12">
        <f>-L151</f>
        <v>-236</v>
      </c>
      <c r="M278" s="12" t="n"/>
      <c r="N278" s="12">
        <f>-N151</f>
        <v>-242</v>
      </c>
      <c r="O278" s="12">
        <f>-O151</f>
        <v>-182</v>
      </c>
      <c r="P278" s="12">
        <f>-P151</f>
        <v>-186</v>
      </c>
      <c r="Q278" s="12">
        <f>-Q151</f>
        <v>-239</v>
      </c>
      <c r="R278" s="12">
        <f>SUM(N278:Q278)</f>
        <v>-849</v>
      </c>
      <c r="S278" s="12">
        <f>-S151</f>
        <v>-191</v>
      </c>
      <c r="T278" s="12">
        <f>-T151</f>
        <v>-172</v>
      </c>
      <c r="U278" s="12">
        <f>-U151</f>
        <v>-197</v>
      </c>
      <c r="V278" s="12">
        <f>-V151</f>
        <v>-294</v>
      </c>
      <c r="W278" s="12">
        <f>SUM(S278:V278)</f>
        <v>-854</v>
      </c>
      <c r="X278" s="12">
        <f>-X151</f>
        <v>-232</v>
      </c>
      <c r="Y278" s="12">
        <f>-Y151</f>
        <v>-296</v>
      </c>
      <c r="Z278" s="12">
        <f>-Z151</f>
        <v>-253</v>
      </c>
      <c r="AA278" s="12">
        <f>-AA151</f>
        <v>-193</v>
      </c>
      <c r="AB278" s="12">
        <f>SUM(X278:AA278)</f>
        <v>-974</v>
      </c>
      <c r="AC278" s="12">
        <f>-AC151</f>
        <v>-308</v>
      </c>
      <c r="AD278" s="12">
        <f>-AD151</f>
        <v>-335</v>
      </c>
      <c r="AE278" s="12">
        <f>-AE151</f>
        <v>-364</v>
      </c>
      <c r="AF278" s="12">
        <f>-AF151</f>
        <v>-301</v>
      </c>
      <c r="AG278" s="12">
        <f>SUM(AC278:AF278)</f>
        <v>-1308</v>
      </c>
      <c r="AH278" s="12">
        <f>-AH151</f>
        <v>-345</v>
      </c>
      <c r="AI278" s="12">
        <f>-AI151</f>
        <v>-501</v>
      </c>
      <c r="AJ278" s="12">
        <f>-AJ151</f>
        <v>-425.446627680034</v>
      </c>
      <c r="AK278" s="12">
        <f>-AK151</f>
        <v>-435.536271024224</v>
      </c>
      <c r="AL278" s="12">
        <f>SUM(AH278:AK278)</f>
        <v>-1706.98289870426</v>
      </c>
      <c r="AM278" s="12">
        <f>-AM151</f>
        <v>-415.356984335843</v>
      </c>
      <c r="AN278" s="12">
        <f>-AN151</f>
        <v>-458.831476980664</v>
      </c>
      <c r="AO278" s="12">
        <f>-AO151</f>
        <v>-492.996592228431</v>
      </c>
      <c r="AP278" s="12">
        <f>-AP151</f>
        <v>-504.688211016457</v>
      </c>
      <c r="AQ278" s="12">
        <f>SUM(AM278:AP278)</f>
        <v>-1871.8732645614</v>
      </c>
      <c r="AR278" s="12">
        <f>-AR151</f>
        <v>-479.228188518726</v>
      </c>
      <c r="AS278" s="12">
        <f>-AS151</f>
        <v>-529.387938186261</v>
      </c>
      <c r="AT278" s="12">
        <f>-AT151</f>
        <v>-568.806768031873</v>
      </c>
      <c r="AU278" s="12">
        <f>-AU151</f>
        <v>-582.296256601799</v>
      </c>
      <c r="AV278" s="12">
        <f>SUM(AR278:AU278)</f>
        <v>-2159.71915133866</v>
      </c>
      <c r="AW278" s="12">
        <f>-AW151</f>
        <v>-550.52499757676</v>
      </c>
      <c r="AX278" s="12">
        <f>-AX151</f>
        <v>-608.147225829912</v>
      </c>
      <c r="AY278" s="12">
        <f>-AY151</f>
        <v>-653.430562088388</v>
      </c>
      <c r="AZ278" s="12">
        <f>-AZ151</f>
        <v>-668.926939054911</v>
      </c>
      <c r="BA278" s="12">
        <f>SUM(AW278:AZ278)</f>
        <v>-2481.02972454997</v>
      </c>
      <c r="BB278" s="12">
        <f>-BB151</f>
        <v>-629.676310158214</v>
      </c>
      <c r="BC278" s="12">
        <f>-BC151</f>
        <v>-695.583130428405</v>
      </c>
      <c r="BD278" s="12">
        <f>-BD151</f>
        <v>-747.377043897185</v>
      </c>
      <c r="BE278" s="12">
        <f>-BE151</f>
        <v>-765.101400669451</v>
      </c>
      <c r="BF278" s="12">
        <f>SUM(BB278:BE278)</f>
        <v>-2837.73788515326</v>
      </c>
      <c r="BG278" s="12" t="n"/>
      <c r="BH278" s="12" t="n"/>
      <c r="BI278" s="12" t="n"/>
      <c r="BJ278" s="12" t="n"/>
      <c r="BK278" s="12" t="n"/>
      <c r="BL278" s="12" t="n"/>
      <c r="BM278" s="12" t="n"/>
      <c r="BN278" s="12" t="n"/>
      <c r="BO278" s="12" t="n"/>
      <c r="BP278" s="12" t="n"/>
      <c r="BQ278" s="12" t="n"/>
      <c r="BR278" s="12" t="n"/>
      <c r="BS278" s="12" t="n"/>
      <c r="BT278" s="12" t="n"/>
      <c r="BU278" s="12" t="n"/>
      <c r="BV278" s="12" t="n"/>
      <c r="BW278" s="12" t="n"/>
      <c r="BX278" s="12" t="n"/>
      <c r="BY278" s="12" t="n"/>
      <c r="BZ278" s="12" t="n"/>
      <c r="CA278" s="12" t="n"/>
      <c r="CB278" s="12" t="n"/>
      <c r="CC278" s="12" t="n"/>
      <c r="CD278" s="12" t="n"/>
      <c r="CE278" s="12" t="n"/>
      <c r="CF278" s="12" t="n"/>
      <c r="CG278" s="12" t="n"/>
      <c r="CH278" s="12" t="n"/>
      <c r="CI278" s="12" t="n"/>
      <c r="CJ278" s="12" t="n"/>
      <c r="CK278" s="12" t="n"/>
      <c r="CL278" s="12" t="n"/>
      <c r="CM278" s="12" t="n"/>
      <c r="CN278" s="12" t="n"/>
      <c r="CO278" s="12" t="n"/>
      <c r="CP278" s="12" t="n"/>
      <c r="CQ278" s="12" t="n"/>
      <c r="CR278" s="12" t="n"/>
      <c r="CS278" s="12" t="n"/>
      <c r="CT278" s="12" t="n"/>
      <c r="CU278" s="12" t="n"/>
      <c r="CV278" s="12" t="n"/>
      <c r="CW278" s="12" t="n"/>
      <c r="CX278" s="12" t="n"/>
      <c r="CY278" s="12" t="n"/>
    </row>
    <row r="279">
      <c r="C279" s="10" t="inlineStr">
        <is>
          <t>Proceeds from sale of fixed assets</t>
        </is>
      </c>
      <c r="D279" s="12" t="n"/>
      <c r="E279" s="12" t="n"/>
      <c r="F279" s="12" t="n"/>
      <c r="G279" s="12" t="n"/>
      <c r="H279" s="12" t="n"/>
      <c r="I279" s="12" t="n"/>
      <c r="J279" s="12">
        <f>-J152</f>
        <v>0</v>
      </c>
      <c r="K279" s="12">
        <f>-K152</f>
        <v>0</v>
      </c>
      <c r="L279" s="12">
        <f>-L152</f>
        <v>0</v>
      </c>
      <c r="M279" s="12" t="n"/>
      <c r="N279" s="12">
        <f>-N152</f>
        <v>0</v>
      </c>
      <c r="O279" s="12">
        <f>-O152</f>
        <v>0</v>
      </c>
      <c r="P279" s="12">
        <f>-P152</f>
        <v>0</v>
      </c>
      <c r="Q279" s="12">
        <f>-Q152</f>
        <v>0</v>
      </c>
      <c r="R279" s="12">
        <f>SUM(N279:Q279)</f>
        <v>0</v>
      </c>
      <c r="S279" s="12">
        <f>-S152</f>
        <v>0</v>
      </c>
      <c r="T279" s="12">
        <f>-T152</f>
        <v>0</v>
      </c>
      <c r="U279" s="12">
        <f>-U152</f>
        <v>0</v>
      </c>
      <c r="V279" s="12">
        <f>-V152</f>
        <v>0</v>
      </c>
      <c r="W279" s="12">
        <f>SUM(S279:V279)</f>
        <v>0</v>
      </c>
      <c r="X279" s="12">
        <f>-X152</f>
        <v>0</v>
      </c>
      <c r="Y279" s="12">
        <f>-Y152</f>
        <v>0</v>
      </c>
      <c r="Z279" s="12">
        <f>-Z152</f>
        <v>0</v>
      </c>
      <c r="AA279" s="12">
        <f>-AA152</f>
        <v>0</v>
      </c>
      <c r="AB279" s="12">
        <f>SUM(X279:AA279)</f>
        <v>0</v>
      </c>
      <c r="AC279" s="12">
        <f>-AC152</f>
        <v>0</v>
      </c>
      <c r="AD279" s="12">
        <f>-AD152</f>
        <v>0</v>
      </c>
      <c r="AE279" s="12">
        <f>-AE152</f>
        <v>0</v>
      </c>
      <c r="AF279" s="12">
        <f>-AF152</f>
        <v>0</v>
      </c>
      <c r="AG279" s="12">
        <f>SUM(AC279:AF279)</f>
        <v>0</v>
      </c>
      <c r="AH279" s="12">
        <f>-AH152</f>
        <v>0</v>
      </c>
      <c r="AI279" s="12">
        <f>-AI152</f>
        <v>0</v>
      </c>
      <c r="AJ279" s="12">
        <f>-AJ152</f>
        <v>0</v>
      </c>
      <c r="AK279" s="12">
        <f>-AK152</f>
        <v>0</v>
      </c>
      <c r="AL279" s="12">
        <f>SUM(AH279:AK279)</f>
        <v>0</v>
      </c>
      <c r="AM279" s="12">
        <f>-AM152</f>
        <v>0</v>
      </c>
      <c r="AN279" s="12">
        <f>-AN152</f>
        <v>0</v>
      </c>
      <c r="AO279" s="12">
        <f>-AO152</f>
        <v>0</v>
      </c>
      <c r="AP279" s="12">
        <f>-AP152</f>
        <v>0</v>
      </c>
      <c r="AQ279" s="12">
        <f>SUM(AM279:AP279)</f>
        <v>0</v>
      </c>
      <c r="AR279" s="12">
        <f>-AR152</f>
        <v>0</v>
      </c>
      <c r="AS279" s="12">
        <f>-AS152</f>
        <v>0</v>
      </c>
      <c r="AT279" s="12">
        <f>-AT152</f>
        <v>0</v>
      </c>
      <c r="AU279" s="12">
        <f>-AU152</f>
        <v>0</v>
      </c>
      <c r="AV279" s="12">
        <f>SUM(AR279:AU279)</f>
        <v>0</v>
      </c>
      <c r="AW279" s="12">
        <f>-AW152</f>
        <v>0</v>
      </c>
      <c r="AX279" s="12">
        <f>-AX152</f>
        <v>0</v>
      </c>
      <c r="AY279" s="12">
        <f>-AY152</f>
        <v>0</v>
      </c>
      <c r="AZ279" s="12">
        <f>-AZ152</f>
        <v>0</v>
      </c>
      <c r="BA279" s="12">
        <f>SUM(AW279:AZ279)</f>
        <v>0</v>
      </c>
      <c r="BB279" s="12">
        <f>-BB152</f>
        <v>0</v>
      </c>
      <c r="BC279" s="12">
        <f>-BC152</f>
        <v>0</v>
      </c>
      <c r="BD279" s="12">
        <f>-BD152</f>
        <v>0</v>
      </c>
      <c r="BE279" s="12">
        <f>-BE152</f>
        <v>0</v>
      </c>
      <c r="BF279" s="12">
        <f>SUM(BB279:BE279)</f>
        <v>0</v>
      </c>
      <c r="BG279" s="12" t="n"/>
      <c r="BH279" s="12" t="n"/>
      <c r="BI279" s="12" t="n"/>
      <c r="BJ279" s="12" t="n"/>
      <c r="BK279" s="12" t="n"/>
      <c r="BL279" s="12" t="n"/>
      <c r="BM279" s="12" t="n"/>
      <c r="BN279" s="12" t="n"/>
      <c r="BO279" s="12" t="n"/>
      <c r="BP279" s="12" t="n"/>
      <c r="BQ279" s="12" t="n"/>
      <c r="BR279" s="12" t="n"/>
      <c r="BS279" s="12" t="n"/>
      <c r="BT279" s="12" t="n"/>
      <c r="BU279" s="12" t="n"/>
      <c r="BV279" s="12" t="n"/>
      <c r="BW279" s="12" t="n"/>
      <c r="BX279" s="12" t="n"/>
      <c r="BY279" s="12" t="n"/>
      <c r="BZ279" s="12" t="n"/>
      <c r="CA279" s="12" t="n"/>
      <c r="CB279" s="12" t="n"/>
      <c r="CC279" s="12" t="n"/>
      <c r="CD279" s="12" t="n"/>
      <c r="CE279" s="12" t="n"/>
      <c r="CF279" s="12" t="n"/>
      <c r="CG279" s="12" t="n"/>
      <c r="CH279" s="12" t="n"/>
      <c r="CI279" s="12" t="n"/>
      <c r="CJ279" s="12" t="n"/>
      <c r="CK279" s="12" t="n"/>
      <c r="CL279" s="12" t="n"/>
      <c r="CM279" s="12" t="n"/>
      <c r="CN279" s="12" t="n"/>
      <c r="CO279" s="12" t="n"/>
      <c r="CP279" s="12" t="n"/>
      <c r="CQ279" s="12" t="n"/>
      <c r="CR279" s="12" t="n"/>
      <c r="CS279" s="12" t="n"/>
      <c r="CT279" s="12" t="n"/>
      <c r="CU279" s="12" t="n"/>
      <c r="CV279" s="12" t="n"/>
      <c r="CW279" s="12" t="n"/>
      <c r="CX279" s="12" t="n"/>
      <c r="CY279" s="12" t="n"/>
    </row>
    <row r="280">
      <c r="C280" s="10" t="inlineStr">
        <is>
          <t>Var.Right-of-use-assets</t>
        </is>
      </c>
      <c r="D280" s="12" t="n"/>
      <c r="E280" s="12" t="n"/>
      <c r="F280" s="12" t="n"/>
      <c r="G280" s="12" t="n"/>
      <c r="H280" s="12" t="n"/>
      <c r="I280" s="12" t="n"/>
      <c r="J280" s="12">
        <f>(J159-I159)*-1</f>
        <v>0</v>
      </c>
      <c r="K280" s="12">
        <f>(K159-J159)*-1</f>
        <v>0</v>
      </c>
      <c r="L280" s="12">
        <f>(L159-K159)*-1</f>
        <v>0</v>
      </c>
      <c r="M280" s="12" t="n"/>
      <c r="N280" s="12">
        <f>(N159-M159)*-1</f>
        <v>0</v>
      </c>
      <c r="O280" s="12">
        <f>(O159-N159)*-1</f>
        <v>0</v>
      </c>
      <c r="P280" s="12">
        <f>(P159-O159)*-1</f>
        <v>0</v>
      </c>
      <c r="Q280" s="12">
        <f>(Q159-P159)*-1</f>
        <v>0</v>
      </c>
      <c r="R280" s="12">
        <f>SUM(N280:Q280)</f>
        <v>0</v>
      </c>
      <c r="S280" s="12">
        <f>(S159-R159)*-1</f>
        <v>0</v>
      </c>
      <c r="T280" s="12">
        <f>(T159-S159)*-1</f>
        <v>0</v>
      </c>
      <c r="U280" s="12">
        <f>(U159-T159)*-1</f>
        <v>0</v>
      </c>
      <c r="V280" s="12">
        <f>(V159-U159)*-1</f>
        <v>0</v>
      </c>
      <c r="W280" s="12">
        <f>SUM(S280:V280)</f>
        <v>0</v>
      </c>
      <c r="X280" s="12">
        <f>(X159-W159)*-1</f>
        <v>0</v>
      </c>
      <c r="Y280" s="12">
        <f>(Y159-X159)*-1</f>
        <v>0</v>
      </c>
      <c r="Z280" s="12">
        <f>(Z159-Y159)*-1</f>
        <v>0</v>
      </c>
      <c r="AA280" s="12">
        <f>(AA159-Z159)*-1</f>
        <v>0</v>
      </c>
      <c r="AB280" s="12">
        <f>SUM(X280:AA280)</f>
        <v>0</v>
      </c>
      <c r="AC280" s="12">
        <f>(AC159-AB159)*-1</f>
        <v>0</v>
      </c>
      <c r="AD280" s="12">
        <f>(AD159-AC159)*-1</f>
        <v>0</v>
      </c>
      <c r="AE280" s="12">
        <f>(AE159-AD159)*-1</f>
        <v>0</v>
      </c>
      <c r="AF280" s="12">
        <f>(AF159-AE159)*-1</f>
        <v>0</v>
      </c>
      <c r="AG280" s="12">
        <f>SUM(AC280:AF280)</f>
        <v>0</v>
      </c>
      <c r="AH280" s="12">
        <f>(AH159-AG159)*-1</f>
        <v>0</v>
      </c>
      <c r="AI280" s="12">
        <f>(AI159-AH159)*-1</f>
        <v>0</v>
      </c>
      <c r="AJ280" s="12">
        <f>(AJ159-AI159)*-1</f>
        <v>0</v>
      </c>
      <c r="AK280" s="12">
        <f>(AK159-AJ159)*-1</f>
        <v>0</v>
      </c>
      <c r="AL280" s="12">
        <f>SUM(AH280:AK280)</f>
        <v>0</v>
      </c>
      <c r="AM280" s="12">
        <f>(AM159-AL159)*-1</f>
        <v>0</v>
      </c>
      <c r="AN280" s="12">
        <f>(AN159-AM159)*-1</f>
        <v>0</v>
      </c>
      <c r="AO280" s="12">
        <f>(AO159-AN159)*-1</f>
        <v>0</v>
      </c>
      <c r="AP280" s="12">
        <f>(AP159-AO159)*-1</f>
        <v>0</v>
      </c>
      <c r="AQ280" s="12">
        <f>SUM(AM280:AP280)</f>
        <v>0</v>
      </c>
      <c r="AR280" s="12">
        <f>(AR159-AQ159)*-1</f>
        <v>0</v>
      </c>
      <c r="AS280" s="12">
        <f>(AS159-AR159)*-1</f>
        <v>0</v>
      </c>
      <c r="AT280" s="12">
        <f>(AT159-AS159)*-1</f>
        <v>0</v>
      </c>
      <c r="AU280" s="12">
        <f>(AU159-AT159)*-1</f>
        <v>0</v>
      </c>
      <c r="AV280" s="12">
        <f>SUM(AR280:AU280)</f>
        <v>0</v>
      </c>
      <c r="AW280" s="12">
        <f>(AW159-AV159)*-1</f>
        <v>0</v>
      </c>
      <c r="AX280" s="12">
        <f>(AX159-AW159)*-1</f>
        <v>0</v>
      </c>
      <c r="AY280" s="12">
        <f>(AY159-AX159)*-1</f>
        <v>0</v>
      </c>
      <c r="AZ280" s="12">
        <f>(AZ159-AY159)*-1</f>
        <v>0</v>
      </c>
      <c r="BA280" s="12">
        <f>SUM(AW280:AZ280)</f>
        <v>0</v>
      </c>
      <c r="BB280" s="12">
        <f>(BB159-BA159)*-1</f>
        <v>0</v>
      </c>
      <c r="BC280" s="12">
        <f>(BC159-BB159)*-1</f>
        <v>0</v>
      </c>
      <c r="BD280" s="12">
        <f>(BD159-BC159)*-1</f>
        <v>0</v>
      </c>
      <c r="BE280" s="12">
        <f>(BE159-BD159)*-1</f>
        <v>0</v>
      </c>
      <c r="BF280" s="12">
        <f>SUM(BB280:BE280)</f>
        <v>0</v>
      </c>
      <c r="BG280" s="12" t="n"/>
      <c r="BH280" s="12" t="n"/>
      <c r="BI280" s="12" t="n"/>
      <c r="BJ280" s="12" t="n"/>
      <c r="BK280" s="12" t="n"/>
      <c r="BL280" s="12" t="n"/>
      <c r="BM280" s="12" t="n"/>
      <c r="BN280" s="12" t="n"/>
      <c r="BO280" s="12" t="n"/>
      <c r="BP280" s="12" t="n"/>
      <c r="BQ280" s="12" t="n"/>
      <c r="BR280" s="12" t="n"/>
      <c r="BS280" s="12" t="n"/>
      <c r="BT280" s="12" t="n"/>
      <c r="BU280" s="12" t="n"/>
      <c r="BV280" s="12" t="n"/>
      <c r="BW280" s="12" t="n"/>
      <c r="BX280" s="12" t="n"/>
      <c r="BY280" s="12" t="n"/>
      <c r="BZ280" s="12" t="n"/>
      <c r="CA280" s="12" t="n"/>
      <c r="CB280" s="12" t="n"/>
      <c r="CC280" s="12" t="n"/>
      <c r="CD280" s="12" t="n"/>
      <c r="CE280" s="12" t="n"/>
      <c r="CF280" s="12" t="n"/>
      <c r="CG280" s="12" t="n"/>
      <c r="CH280" s="12" t="n"/>
      <c r="CI280" s="12" t="n"/>
      <c r="CJ280" s="12" t="n"/>
      <c r="CK280" s="12" t="n"/>
      <c r="CL280" s="12" t="n"/>
      <c r="CM280" s="12" t="n"/>
      <c r="CN280" s="12" t="n"/>
      <c r="CO280" s="12" t="n"/>
      <c r="CP280" s="12" t="n"/>
      <c r="CQ280" s="12" t="n"/>
      <c r="CR280" s="12" t="n"/>
      <c r="CS280" s="12" t="n"/>
      <c r="CT280" s="12" t="n"/>
      <c r="CU280" s="12" t="n"/>
      <c r="CV280" s="12" t="n"/>
      <c r="CW280" s="12" t="n"/>
      <c r="CX280" s="12" t="n"/>
      <c r="CY280" s="12" t="n"/>
      <c r="CZ280" s="12" t="n"/>
      <c r="DA280" s="12" t="n"/>
      <c r="DB280" s="12" t="n"/>
      <c r="DC280" s="12" t="n"/>
    </row>
    <row r="281">
      <c r="C281" s="10" t="inlineStr">
        <is>
          <t>Purchases of intangible assets</t>
        </is>
      </c>
      <c r="D281" s="12" t="n"/>
      <c r="E281" s="12" t="n"/>
      <c r="F281" s="12" t="n"/>
      <c r="G281" s="12" t="n"/>
      <c r="H281" s="12" t="n"/>
      <c r="I281" s="12" t="n"/>
      <c r="J281" s="12">
        <f>((J163-I163)*-1)+((J162-I162)*-1)</f>
        <v>-902</v>
      </c>
      <c r="K281" s="12">
        <f>((K163-J163)*-1)+((K162-J162)*-1)</f>
        <v>144</v>
      </c>
      <c r="L281" s="12">
        <f>((L163-K163)*-1)+((L162-K162)*-1)</f>
        <v>-203</v>
      </c>
      <c r="M281" s="12" t="n"/>
      <c r="N281" s="12">
        <f>((N163-M163)*-1)+((N162-M162)*-1)</f>
        <v>33</v>
      </c>
      <c r="O281" s="12">
        <f>((O163-N163)*-1)+((O162-N162)*-1)</f>
        <v>105</v>
      </c>
      <c r="P281" s="12">
        <f>((P163-O163)*-1)+((P162-O162)*-1)</f>
        <v>437</v>
      </c>
      <c r="Q281" s="12">
        <f>((Q163-P163)*-1)+((Q162-P162)*-1)</f>
        <v>-623</v>
      </c>
      <c r="R281" s="12">
        <f>SUM(N281:Q281)</f>
        <v>-48</v>
      </c>
      <c r="S281" s="12">
        <f>((S163-R163)*-1)+((S162-R162)*-1)</f>
        <v>-221</v>
      </c>
      <c r="T281" s="12">
        <f>((T163-S163)*-1)+((T162-S162)*-1)</f>
        <v>-26</v>
      </c>
      <c r="U281" s="12">
        <f>((U163-T163)*-1)+((U162-T162)*-1)</f>
        <v>118</v>
      </c>
      <c r="V281" s="12">
        <f>((V163-U163)*-1)+((V162-U162)*-1)</f>
        <v>-236</v>
      </c>
      <c r="W281" s="12">
        <f>SUM(S281:V281)</f>
        <v>-365</v>
      </c>
      <c r="X281" s="12">
        <f>((X163-W163)*-1)+((X162-W162)*-1)</f>
        <v>78</v>
      </c>
      <c r="Y281" s="12">
        <f>((Y163-X163)*-1)+((Y162-X162)*-1)</f>
        <v>-44</v>
      </c>
      <c r="Z281" s="12">
        <f>((Z163-Y163)*-1)+((Z162-Y162)*-1)</f>
        <v>-244</v>
      </c>
      <c r="AA281" s="12">
        <f>((AA163-Z163)*-1)+((AA162-Z162)*-1)</f>
        <v>-2690</v>
      </c>
      <c r="AB281" s="12">
        <f>SUM(X281:AA281)</f>
        <v>-2900</v>
      </c>
      <c r="AC281" s="12">
        <f>((AC163-AB163)*-1)+((AC162-AB162)*-1)</f>
        <v>-239</v>
      </c>
      <c r="AD281" s="12">
        <f>((AD163-AC163)*-1)+((AD162-AC162)*-1)</f>
        <v>-342</v>
      </c>
      <c r="AE281" s="12">
        <f>((AE163-AD163)*-1)+((AE162-AD162)*-1)</f>
        <v>62</v>
      </c>
      <c r="AF281" s="12">
        <f>((AF163-AE163)*-1)+((AF162-AE162)*-1)</f>
        <v>51</v>
      </c>
      <c r="AG281" s="12">
        <f>SUM(AC281:AF281)</f>
        <v>-468</v>
      </c>
      <c r="AH281" s="12">
        <f>((AH163-AG163)*-1)+((AH162-AG162)*-1)</f>
        <v>94</v>
      </c>
      <c r="AI281" s="12">
        <f>((AI163-AH163)*-1)+((AI162-AH162)*-1)</f>
        <v>56</v>
      </c>
      <c r="AJ281" s="12">
        <f>((AJ163-AI163)*-1)+((AJ162-AI162)*-1)</f>
        <v>0</v>
      </c>
      <c r="AK281" s="12">
        <f>((AK163-AJ163)*-1)+((AK162-AJ162)*-1)</f>
        <v>0</v>
      </c>
      <c r="AL281" s="12">
        <f>SUM(AH281:AK281)</f>
        <v>150</v>
      </c>
      <c r="AM281" s="12">
        <f>((AM163-AL163)*-1)+((AM162-AL162)*-1)</f>
        <v>0</v>
      </c>
      <c r="AN281" s="12">
        <f>((AN163-AM163)*-1)+((AN162-AM162)*-1)</f>
        <v>0</v>
      </c>
      <c r="AO281" s="12">
        <f>((AO163-AN163)*-1)+((AO162-AN162)*-1)</f>
        <v>0</v>
      </c>
      <c r="AP281" s="12">
        <f>((AP163-AO163)*-1)+((AP162-AO162)*-1)</f>
        <v>0</v>
      </c>
      <c r="AQ281" s="12">
        <f>SUM(AM281:AP281)</f>
        <v>0</v>
      </c>
      <c r="AR281" s="12">
        <f>((AR163-AQ163)*-1)+((AR162-AQ162)*-1)</f>
        <v>0</v>
      </c>
      <c r="AS281" s="12">
        <f>((AS163-AR163)*-1)+((AS162-AR162)*-1)</f>
        <v>0</v>
      </c>
      <c r="AT281" s="12">
        <f>((AT163-AS163)*-1)+((AT162-AS162)*-1)</f>
        <v>0</v>
      </c>
      <c r="AU281" s="12">
        <f>((AU163-AT163)*-1)+((AU162-AT162)*-1)</f>
        <v>0</v>
      </c>
      <c r="AV281" s="12">
        <f>SUM(AR281:AU281)</f>
        <v>0</v>
      </c>
      <c r="AW281" s="12">
        <f>((AW163-AV163)*-1)+((AW162-AV162)*-1)</f>
        <v>0</v>
      </c>
      <c r="AX281" s="12">
        <f>((AX163-AW163)*-1)+((AX162-AW162)*-1)</f>
        <v>0</v>
      </c>
      <c r="AY281" s="12">
        <f>((AY163-AX163)*-1)+((AY162-AX162)*-1)</f>
        <v>0</v>
      </c>
      <c r="AZ281" s="12">
        <f>((AZ163-AY163)*-1)+((AZ162-AY162)*-1)</f>
        <v>0</v>
      </c>
      <c r="BA281" s="12">
        <f>SUM(AW281:AZ281)</f>
        <v>0</v>
      </c>
      <c r="BB281" s="12">
        <f>((BB163-BA163)*-1)+((BB162-BA162)*-1)</f>
        <v>0</v>
      </c>
      <c r="BC281" s="12">
        <f>((BC163-BB163)*-1)+((BC162-BB162)*-1)</f>
        <v>0</v>
      </c>
      <c r="BD281" s="12">
        <f>((BD163-BC163)*-1)+((BD162-BC162)*-1)</f>
        <v>0</v>
      </c>
      <c r="BE281" s="12">
        <f>((BE163-BD163)*-1)+((BE162-BD162)*-1)</f>
        <v>0</v>
      </c>
      <c r="BF281" s="12">
        <f>SUM(BB281:BE281)</f>
        <v>0</v>
      </c>
      <c r="BG281" s="12" t="n"/>
      <c r="BH281" s="12" t="n"/>
      <c r="BI281" s="12" t="n"/>
      <c r="BJ281" s="12" t="n"/>
      <c r="BK281" s="12" t="n"/>
      <c r="BL281" s="12" t="n"/>
      <c r="BM281" s="12" t="n"/>
      <c r="BN281" s="12" t="n"/>
      <c r="BO281" s="12" t="n"/>
      <c r="BP281" s="12" t="n"/>
      <c r="BQ281" s="12" t="n"/>
      <c r="BR281" s="12" t="n"/>
      <c r="BS281" s="12" t="n"/>
      <c r="BT281" s="12" t="n"/>
      <c r="BU281" s="12" t="n"/>
      <c r="BV281" s="12" t="n"/>
      <c r="BW281" s="12" t="n"/>
      <c r="BX281" s="12" t="n"/>
      <c r="BY281" s="12" t="n"/>
      <c r="BZ281" s="12" t="n"/>
      <c r="CA281" s="12" t="n"/>
      <c r="CB281" s="12" t="n"/>
      <c r="CC281" s="12" t="n"/>
      <c r="CD281" s="12" t="n"/>
      <c r="CE281" s="12" t="n"/>
      <c r="CF281" s="12" t="n"/>
      <c r="CG281" s="12" t="n"/>
      <c r="CH281" s="12" t="n"/>
      <c r="CI281" s="12" t="n"/>
      <c r="CJ281" s="12" t="n"/>
      <c r="CK281" s="12" t="n"/>
      <c r="CL281" s="12" t="n"/>
      <c r="CM281" s="12" t="n"/>
      <c r="CN281" s="12" t="n"/>
      <c r="CO281" s="12" t="n"/>
      <c r="CP281" s="12" t="n"/>
      <c r="CQ281" s="12" t="n"/>
      <c r="CR281" s="12" t="n"/>
      <c r="CS281" s="12" t="n"/>
      <c r="CT281" s="12" t="n"/>
      <c r="CU281" s="12" t="n"/>
      <c r="CV281" s="12" t="n"/>
      <c r="CW281" s="12" t="n"/>
      <c r="CX281" s="12" t="n"/>
      <c r="CY281" s="12" t="n"/>
      <c r="CZ281" s="12" t="n"/>
      <c r="DA281" s="12" t="n"/>
      <c r="DB281" s="12" t="n"/>
      <c r="DC281" s="12" t="n"/>
    </row>
    <row r="282">
      <c r="C282" s="71" t="inlineStr">
        <is>
          <t>Purchases/Proceeds from other long-term assets</t>
        </is>
      </c>
      <c r="D282" s="12" t="n"/>
      <c r="E282" s="12" t="n"/>
      <c r="F282" s="12" t="n"/>
      <c r="G282" s="12" t="n"/>
      <c r="H282" s="12" t="n"/>
      <c r="I282" s="12" t="n"/>
      <c r="J282" s="12">
        <f>((J172-I172)*-1)+(J223-I223)</f>
        <v>-410</v>
      </c>
      <c r="K282" s="12">
        <f>((K172-J172)*-1)+(K223-J223)</f>
        <v>-241</v>
      </c>
      <c r="L282" s="12">
        <f>((L172-K172)*-1)+(L223-K223)</f>
        <v>-298</v>
      </c>
      <c r="M282" s="12" t="n"/>
      <c r="N282" s="12">
        <f>((N172-M172)*-1)+(N223-M223)</f>
        <v>96</v>
      </c>
      <c r="O282" s="12">
        <f>((O172-N172)*-1)+(O223-N223)</f>
        <v>119</v>
      </c>
      <c r="P282" s="12">
        <f>((P172-O172)*-1)+(P223-O223)</f>
        <v>-53</v>
      </c>
      <c r="Q282" s="12">
        <f>((Q172-P172)*-1)+(Q223-P223)</f>
        <v>-305</v>
      </c>
      <c r="R282" s="12">
        <f>SUM(N282:Q282)</f>
        <v>-143</v>
      </c>
      <c r="S282" s="12">
        <f>((S172-R172)*-1)+(S223-R223)</f>
        <v>102</v>
      </c>
      <c r="T282" s="12">
        <f>((T172-S172)*-1)+(T223-S223)</f>
        <v>-185</v>
      </c>
      <c r="U282" s="12">
        <f>((U172-T172)*-1)+(U223-T223)</f>
        <v>-50</v>
      </c>
      <c r="V282" s="12">
        <f>((V172-U172)*-1)+(V223-U223)</f>
        <v>-172</v>
      </c>
      <c r="W282" s="12">
        <f>SUM(S282:V282)</f>
        <v>-305</v>
      </c>
      <c r="X282" s="12">
        <f>((X172-W172)*-1)+(X223-W223)</f>
        <v>-752</v>
      </c>
      <c r="Y282" s="12">
        <f>((Y172-X172)*-1)+(Y223-X223)</f>
        <v>-266</v>
      </c>
      <c r="Z282" s="12">
        <f>((Z172-Y172)*-1)+(Z223-Y223)</f>
        <v>164</v>
      </c>
      <c r="AA282" s="12">
        <f>((AA172-Z172)*-1)+(AA223-Z223)</f>
        <v>-701</v>
      </c>
      <c r="AB282" s="12">
        <f>SUM(X282:AA282)</f>
        <v>-1555</v>
      </c>
      <c r="AC282" s="12">
        <f>((AC172-AB172)*-1)+(AC223-AB223)</f>
        <v>200</v>
      </c>
      <c r="AD282" s="12">
        <f>((AD172-AC172)*-1)+(AD223-AC223)</f>
        <v>134</v>
      </c>
      <c r="AE282" s="12">
        <f>((AE172-AD172)*-1)+(AE223-AD223)</f>
        <v>-616</v>
      </c>
      <c r="AF282" s="12">
        <f>((AF172-AE172)*-1)+(AF223-AE223)</f>
        <v>-836</v>
      </c>
      <c r="AG282" s="12">
        <f>SUM(AC282:AF282)</f>
        <v>-1118</v>
      </c>
      <c r="AH282" s="12">
        <f>((AH172-AG172)*-1)+(AH223-AG223)</f>
        <v>588</v>
      </c>
      <c r="AI282" s="12">
        <f>((AI172-AH172)*-1)+(AI223-AH223)</f>
        <v>-1705</v>
      </c>
      <c r="AJ282" s="12">
        <f>((AJ172-AI172)*-1)+(AJ223-AI223)</f>
        <v>0</v>
      </c>
      <c r="AK282" s="12">
        <f>((AK172-AJ172)*-1)+(AK223-AJ223)</f>
        <v>0</v>
      </c>
      <c r="AL282" s="12">
        <f>SUM(AH282:AK282)</f>
        <v>-1117</v>
      </c>
      <c r="AM282" s="12">
        <f>((AM172-AL172)*-1)+(AM223-AL223)</f>
        <v>0</v>
      </c>
      <c r="AN282" s="12">
        <f>((AN172-AM172)*-1)+(AN223-AM223)</f>
        <v>0</v>
      </c>
      <c r="AO282" s="12">
        <f>((AO172-AN172)*-1)+(AO223-AN223)</f>
        <v>0</v>
      </c>
      <c r="AP282" s="12">
        <f>((AP172-AO172)*-1)+(AP223-AO223)</f>
        <v>0</v>
      </c>
      <c r="AQ282" s="12">
        <f>SUM(AM282:AP282)</f>
        <v>0</v>
      </c>
      <c r="AR282" s="12">
        <f>((AR172-AQ172)*-1)+(AR223-AQ223)</f>
        <v>0</v>
      </c>
      <c r="AS282" s="12">
        <f>((AS172-AR172)*-1)+(AS223-AR223)</f>
        <v>0</v>
      </c>
      <c r="AT282" s="12">
        <f>((AT172-AS172)*-1)+(AT223-AS223)</f>
        <v>0</v>
      </c>
      <c r="AU282" s="12">
        <f>((AU172-AT172)*-1)+(AU223-AT223)</f>
        <v>0</v>
      </c>
      <c r="AV282" s="12">
        <f>SUM(AR282:AU282)</f>
        <v>0</v>
      </c>
      <c r="AW282" s="12">
        <f>((AW172-AV172)*-1)+(AW223-AV223)</f>
        <v>0</v>
      </c>
      <c r="AX282" s="12">
        <f>((AX172-AW172)*-1)+(AX223-AW223)</f>
        <v>0</v>
      </c>
      <c r="AY282" s="12">
        <f>((AY172-AX172)*-1)+(AY223-AX223)</f>
        <v>0</v>
      </c>
      <c r="AZ282" s="12">
        <f>((AZ172-AY172)*-1)+(AZ223-AY223)</f>
        <v>0</v>
      </c>
      <c r="BA282" s="12">
        <f>SUM(AW282:AZ282)</f>
        <v>0</v>
      </c>
      <c r="BB282" s="12">
        <f>((BB172-BA172)*-1)+(BB223-BA223)</f>
        <v>0</v>
      </c>
      <c r="BC282" s="12">
        <f>((BC172-BB172)*-1)+(BC223-BB223)</f>
        <v>0</v>
      </c>
      <c r="BD282" s="12">
        <f>((BD172-BC172)*-1)+(BD223-BC223)</f>
        <v>0</v>
      </c>
      <c r="BE282" s="12">
        <f>((BE172-BD172)*-1)+(BE223-BD223)</f>
        <v>0</v>
      </c>
      <c r="BF282" s="12">
        <f>SUM(BB282:BE282)</f>
        <v>0</v>
      </c>
      <c r="BG282" s="12" t="n"/>
      <c r="BH282" s="12" t="n"/>
      <c r="BI282" s="12" t="n"/>
      <c r="BJ282" s="12" t="n"/>
      <c r="BK282" s="12" t="n"/>
      <c r="BL282" s="12" t="n"/>
      <c r="BM282" s="12" t="n"/>
      <c r="BN282" s="12" t="n"/>
      <c r="BO282" s="12" t="n"/>
      <c r="BP282" s="12" t="n"/>
      <c r="BQ282" s="12" t="n"/>
      <c r="BR282" s="12" t="n"/>
      <c r="BS282" s="12" t="n"/>
      <c r="BT282" s="12" t="n"/>
      <c r="BU282" s="12" t="n"/>
      <c r="BV282" s="12" t="n"/>
      <c r="BW282" s="12" t="n"/>
      <c r="BX282" s="12" t="n"/>
      <c r="BY282" s="12" t="n"/>
      <c r="BZ282" s="12" t="n"/>
      <c r="CA282" s="12" t="n"/>
      <c r="CB282" s="12" t="n"/>
      <c r="CC282" s="12" t="n"/>
      <c r="CD282" s="12" t="n"/>
      <c r="CE282" s="12" t="n"/>
      <c r="CF282" s="12" t="n"/>
      <c r="CG282" s="12" t="n"/>
      <c r="CH282" s="12" t="n"/>
      <c r="CI282" s="12" t="n"/>
      <c r="CJ282" s="12" t="n"/>
      <c r="CK282" s="12" t="n"/>
      <c r="CL282" s="12" t="n"/>
      <c r="CM282" s="12" t="n"/>
      <c r="CN282" s="12" t="n"/>
      <c r="CO282" s="12" t="n"/>
      <c r="CP282" s="12" t="n"/>
      <c r="CQ282" s="12" t="n"/>
      <c r="CR282" s="12" t="n"/>
      <c r="CS282" s="12" t="n"/>
      <c r="CT282" s="12" t="n"/>
      <c r="CU282" s="12" t="n"/>
      <c r="CV282" s="12" t="n"/>
      <c r="CW282" s="12" t="n"/>
      <c r="CX282" s="12" t="n"/>
      <c r="CY282" s="12" t="n"/>
    </row>
    <row r="283">
      <c r="C283" s="14" t="inlineStr">
        <is>
          <t>Cash from investing</t>
        </is>
      </c>
      <c r="D283" s="12" t="n"/>
      <c r="E283" s="12" t="n"/>
      <c r="F283" s="12" t="n"/>
      <c r="G283" s="12" t="n"/>
      <c r="H283" s="12" t="n"/>
      <c r="I283" s="12" t="n"/>
      <c r="J283" s="12">
        <f>SUM(J278,J279,J281,J282,J280)</f>
        <v>-1487</v>
      </c>
      <c r="K283" s="12">
        <f>SUM(K278,K279,K281,K282,K280)</f>
        <v>-306</v>
      </c>
      <c r="L283" s="12">
        <f>SUM(L278,L279,L281,L282,L280)</f>
        <v>-737</v>
      </c>
      <c r="M283" s="12" t="n"/>
      <c r="N283" s="12">
        <f>SUM(N278,N279,N281,N282,N280)</f>
        <v>-113</v>
      </c>
      <c r="O283" s="12">
        <f>SUM(O278,O279,O281,O282,O280)</f>
        <v>42</v>
      </c>
      <c r="P283" s="12">
        <f>SUM(P278,P279,P281,P282,P280)</f>
        <v>198</v>
      </c>
      <c r="Q283" s="12">
        <f>SUM(Q278,Q279,Q281,Q282,Q280)</f>
        <v>-1167</v>
      </c>
      <c r="R283" s="12">
        <f>SUM(R278,R279,R281,R282)</f>
        <v>-1040</v>
      </c>
      <c r="S283" s="12">
        <f>SUM(S278,S279,S281,S282,S280)</f>
        <v>-310</v>
      </c>
      <c r="T283" s="12">
        <f>SUM(T278,T279,T281,T282,T280)</f>
        <v>-383</v>
      </c>
      <c r="U283" s="12">
        <f>SUM(U278,U279,U281,U282,U280)</f>
        <v>-129</v>
      </c>
      <c r="V283" s="12">
        <f>SUM(V278,V279,V281,V282,V280)</f>
        <v>-702</v>
      </c>
      <c r="W283" s="12">
        <f>SUM(W278,W279,W281,W282)</f>
        <v>-1524</v>
      </c>
      <c r="X283" s="12">
        <f>SUM(X278,X279,X281,X282,X280)</f>
        <v>-906</v>
      </c>
      <c r="Y283" s="12">
        <f>SUM(Y278,Y279,Y281,Y282,Y280)</f>
        <v>-606</v>
      </c>
      <c r="Z283" s="12">
        <f>SUM(Z278,Z279,Z281,Z282,Z280)</f>
        <v>-333</v>
      </c>
      <c r="AA283" s="12">
        <f>SUM(AA278,AA279,AA281,AA282,AA280)</f>
        <v>-3584</v>
      </c>
      <c r="AB283" s="12">
        <f>SUM(AB278,AB279,AB281,AB282)</f>
        <v>-5429</v>
      </c>
      <c r="AC283" s="12">
        <f>SUM(AC278,AC279,AC281,AC282,AC280)</f>
        <v>-347</v>
      </c>
      <c r="AD283" s="12">
        <f>SUM(AD278,AD279,AD281,AD282,AD280)</f>
        <v>-543</v>
      </c>
      <c r="AE283" s="12">
        <f>SUM(AE278,AE279,AE281,AE282,AE280)</f>
        <v>-918</v>
      </c>
      <c r="AF283" s="12">
        <f>SUM(AF278,AF279,AF281,AF282,AF280)</f>
        <v>-1086</v>
      </c>
      <c r="AG283" s="12">
        <f>SUM(AG278,AG279,AG281,AG282)</f>
        <v>-2894</v>
      </c>
      <c r="AH283" s="12">
        <f>SUM(AH278,AH279,AH281,AH282,AH280)</f>
        <v>337</v>
      </c>
      <c r="AI283" s="12">
        <f>SUM(AI278,AI279,AI281,AI282,AI280)</f>
        <v>-2150</v>
      </c>
      <c r="AJ283" s="12">
        <f>SUM(AJ278,AJ279,AJ281,AJ282,AJ280)</f>
        <v>-425.446627680034</v>
      </c>
      <c r="AK283" s="12">
        <f>SUM(AK278,AK279,AK281,AK282,AK280)</f>
        <v>-435.536271024224</v>
      </c>
      <c r="AL283" s="12">
        <f>SUM(AL278,AL279,AL281,AL282)</f>
        <v>-2673.98289870426</v>
      </c>
      <c r="AM283" s="12">
        <f>SUM(AM278,AM279,AM281,AM282,AM280)</f>
        <v>-415.356984335843</v>
      </c>
      <c r="AN283" s="12">
        <f>SUM(AN278,AN279,AN281,AN282,AN280)</f>
        <v>-458.831476980664</v>
      </c>
      <c r="AO283" s="12">
        <f>SUM(AO278,AO279,AO281,AO282,AO280)</f>
        <v>-492.996592228431</v>
      </c>
      <c r="AP283" s="12">
        <f>SUM(AP278,AP279,AP281,AP282,AP280)</f>
        <v>-504.688211016457</v>
      </c>
      <c r="AQ283" s="12">
        <f>SUM(AQ278,AQ279,AQ281,AQ282)</f>
        <v>-1871.8732645614</v>
      </c>
      <c r="AR283" s="12">
        <f>SUM(AR278,AR279,AR281,AR282,AR280)</f>
        <v>-479.228188518726</v>
      </c>
      <c r="AS283" s="12">
        <f>SUM(AS278,AS279,AS281,AS282,AS280)</f>
        <v>-529.387938186261</v>
      </c>
      <c r="AT283" s="12">
        <f>SUM(AT278,AT279,AT281,AT282,AT280)</f>
        <v>-568.806768031873</v>
      </c>
      <c r="AU283" s="12">
        <f>SUM(AU278,AU279,AU281,AU282,AU280)</f>
        <v>-582.296256601799</v>
      </c>
      <c r="AV283" s="12">
        <f>SUM(AV278,AV279,AV281,AV282)</f>
        <v>-2159.71915133866</v>
      </c>
      <c r="AW283" s="12">
        <f>SUM(AW278,AW279,AW281,AW282,AW280)</f>
        <v>-550.52499757676</v>
      </c>
      <c r="AX283" s="12">
        <f>SUM(AX278,AX279,AX281,AX282,AX280)</f>
        <v>-608.147225829912</v>
      </c>
      <c r="AY283" s="12">
        <f>SUM(AY278,AY279,AY281,AY282,AY280)</f>
        <v>-653.430562088388</v>
      </c>
      <c r="AZ283" s="12">
        <f>SUM(AZ278,AZ279,AZ281,AZ282,AZ280)</f>
        <v>-668.926939054911</v>
      </c>
      <c r="BA283" s="12">
        <f>SUM(BA278,BA279,BA281,BA282)</f>
        <v>-2481.02972454997</v>
      </c>
      <c r="BB283" s="12">
        <f>SUM(BB278,BB279,BB281,BB282,BB280)</f>
        <v>-629.676310158214</v>
      </c>
      <c r="BC283" s="12">
        <f>SUM(BC278,BC279,BC281,BC282,BC280)</f>
        <v>-695.583130428405</v>
      </c>
      <c r="BD283" s="12">
        <f>SUM(BD278,BD279,BD281,BD282,BD280)</f>
        <v>-747.377043897185</v>
      </c>
      <c r="BE283" s="12">
        <f>SUM(BE278,BE279,BE281,BE282,BE280)</f>
        <v>-765.101400669451</v>
      </c>
      <c r="BF283" s="12">
        <f>SUM(BF278,BF279,BF281,BF282)</f>
        <v>-2837.73788515326</v>
      </c>
      <c r="BG283" s="12" t="n"/>
      <c r="BH283" s="12" t="n"/>
      <c r="BI283" s="12" t="n"/>
      <c r="BJ283" s="12" t="n"/>
      <c r="BK283" s="12" t="n"/>
      <c r="BL283" s="12" t="n"/>
      <c r="BM283" s="12" t="n"/>
      <c r="BN283" s="12" t="n"/>
      <c r="BO283" s="12" t="n"/>
      <c r="BP283" s="12" t="n"/>
      <c r="BQ283" s="12" t="n"/>
      <c r="BR283" s="12" t="n"/>
      <c r="BS283" s="12" t="n"/>
      <c r="BT283" s="12" t="n"/>
      <c r="BU283" s="12" t="n"/>
      <c r="BV283" s="12" t="n"/>
      <c r="BW283" s="12" t="n"/>
      <c r="BX283" s="12" t="n"/>
      <c r="BY283" s="12" t="n"/>
      <c r="BZ283" s="12" t="n"/>
      <c r="CA283" s="12" t="n"/>
      <c r="CB283" s="12" t="n"/>
      <c r="CC283" s="12" t="n"/>
      <c r="CD283" s="12" t="n"/>
      <c r="CE283" s="12" t="n"/>
      <c r="CF283" s="12" t="n"/>
      <c r="CG283" s="12" t="n"/>
      <c r="CH283" s="12" t="n"/>
      <c r="CI283" s="12" t="n"/>
      <c r="CJ283" s="12" t="n"/>
      <c r="CK283" s="12" t="n"/>
      <c r="CL283" s="12" t="n"/>
      <c r="CM283" s="12" t="n"/>
      <c r="CN283" s="12" t="n"/>
      <c r="CO283" s="12" t="n"/>
      <c r="CP283" s="12" t="n"/>
      <c r="CQ283" s="12" t="n"/>
      <c r="CR283" s="12" t="n"/>
      <c r="CS283" s="12" t="n"/>
      <c r="CT283" s="12" t="n"/>
      <c r="CU283" s="12" t="n"/>
      <c r="CV283" s="12" t="n"/>
      <c r="CW283" s="12" t="n"/>
      <c r="CX283" s="12" t="n"/>
      <c r="CY283" s="12" t="n"/>
    </row>
    <row r="284">
      <c r="C284" s="14" t="n"/>
      <c r="D284" s="12" t="n"/>
      <c r="E284" s="12" t="n"/>
      <c r="F284" s="12" t="n"/>
      <c r="G284" s="12" t="n"/>
      <c r="H284" s="12" t="n"/>
      <c r="I284" s="12" t="n"/>
      <c r="J284" s="12" t="n"/>
      <c r="K284" s="12" t="n"/>
      <c r="L284" s="12" t="n"/>
      <c r="M284" s="12" t="n"/>
      <c r="N284" s="12" t="n"/>
      <c r="O284" s="12" t="n"/>
      <c r="P284" s="12" t="n"/>
      <c r="Q284" s="12" t="n"/>
      <c r="R284" s="12" t="n"/>
      <c r="S284" s="12" t="n"/>
      <c r="T284" s="12" t="n"/>
      <c r="U284" s="12" t="n"/>
      <c r="V284" s="12" t="n"/>
      <c r="W284" s="12" t="n"/>
      <c r="X284" s="12" t="n"/>
      <c r="Y284" s="12" t="n"/>
      <c r="Z284" s="12" t="n"/>
      <c r="AA284" s="12" t="n"/>
      <c r="AB284" s="12" t="n"/>
      <c r="AC284" s="12" t="n"/>
      <c r="AD284" s="12" t="n"/>
      <c r="AE284" s="12" t="n"/>
      <c r="AF284" s="12" t="n"/>
      <c r="AG284" s="12" t="n"/>
      <c r="AH284" s="12" t="n"/>
      <c r="AI284" s="12" t="n"/>
      <c r="AJ284" s="12" t="n"/>
      <c r="AK284" s="12" t="n"/>
      <c r="AL284" s="12" t="n"/>
      <c r="AM284" s="12" t="n"/>
      <c r="AN284" s="12" t="n"/>
      <c r="AO284" s="12" t="n"/>
      <c r="AP284" s="12" t="n"/>
      <c r="AQ284" s="12" t="n"/>
      <c r="AR284" s="12" t="n"/>
      <c r="AS284" s="12" t="n"/>
      <c r="AT284" s="12" t="n"/>
      <c r="AU284" s="12" t="n"/>
      <c r="AV284" s="12" t="n"/>
      <c r="AW284" s="12" t="n"/>
      <c r="AX284" s="12" t="n"/>
      <c r="AY284" s="12" t="n"/>
      <c r="AZ284" s="12" t="n"/>
      <c r="BA284" s="12" t="n"/>
      <c r="BB284" s="12" t="n"/>
      <c r="BC284" s="12" t="n"/>
      <c r="BD284" s="12" t="n"/>
      <c r="BE284" s="12" t="n"/>
      <c r="BF284" s="12" t="n"/>
      <c r="BG284" s="12" t="n"/>
      <c r="BH284" s="12" t="n"/>
      <c r="BI284" s="12" t="n"/>
      <c r="BJ284" s="12" t="n"/>
      <c r="BK284" s="12" t="n"/>
      <c r="BL284" s="12" t="n"/>
      <c r="BM284" s="12" t="n"/>
      <c r="BN284" s="12" t="n"/>
      <c r="BO284" s="12" t="n"/>
      <c r="BP284" s="12" t="n"/>
      <c r="BQ284" s="12" t="n"/>
      <c r="BR284" s="12" t="n"/>
      <c r="BS284" s="12" t="n"/>
      <c r="BT284" s="12" t="n"/>
      <c r="BU284" s="12" t="n"/>
      <c r="BV284" s="12" t="n"/>
      <c r="BW284" s="12" t="n"/>
      <c r="BX284" s="12" t="n"/>
      <c r="BY284" s="12" t="n"/>
      <c r="BZ284" s="12" t="n"/>
      <c r="CA284" s="12" t="n"/>
      <c r="CB284" s="12" t="n"/>
      <c r="CC284" s="12" t="n"/>
      <c r="CD284" s="12" t="n"/>
      <c r="CE284" s="12" t="n"/>
      <c r="CF284" s="12" t="n"/>
      <c r="CG284" s="12" t="n"/>
      <c r="CH284" s="12" t="n"/>
      <c r="CI284" s="12" t="n"/>
      <c r="CJ284" s="12" t="n"/>
      <c r="CK284" s="12" t="n"/>
      <c r="CL284" s="12" t="n"/>
      <c r="CM284" s="12" t="n"/>
      <c r="CN284" s="12" t="n"/>
      <c r="CO284" s="12" t="n"/>
      <c r="CP284" s="12" t="n"/>
      <c r="CQ284" s="12" t="n"/>
      <c r="CR284" s="12" t="n"/>
      <c r="CS284" s="12" t="n"/>
      <c r="CT284" s="12" t="n"/>
      <c r="CU284" s="12" t="n"/>
      <c r="CV284" s="12" t="n"/>
      <c r="CW284" s="12" t="n"/>
      <c r="CX284" s="12" t="n"/>
      <c r="CY284" s="12" t="n"/>
    </row>
    <row r="285">
      <c r="C285" s="14" t="inlineStr">
        <is>
          <t>Convertible preferred stock</t>
        </is>
      </c>
      <c r="D285" s="12" t="n"/>
      <c r="E285" s="12" t="n"/>
      <c r="F285" s="12" t="n"/>
      <c r="G285" s="12" t="n"/>
      <c r="H285" s="12" t="n"/>
      <c r="I285" s="12" t="n"/>
      <c r="J285" s="12">
        <f>J236-I236</f>
        <v>0</v>
      </c>
      <c r="K285" s="12">
        <f>K236-J236</f>
        <v>0</v>
      </c>
      <c r="L285" s="12">
        <f>L236-K236</f>
        <v>0</v>
      </c>
      <c r="M285" s="12" t="n"/>
      <c r="N285" s="12">
        <f>N236-M236</f>
        <v>0</v>
      </c>
      <c r="O285" s="12">
        <f>O236-N236</f>
        <v>0</v>
      </c>
      <c r="P285" s="12">
        <f>P236-O236</f>
        <v>0</v>
      </c>
      <c r="Q285" s="12">
        <f>Q236-P236</f>
        <v>0</v>
      </c>
      <c r="R285" s="12">
        <f>SUM(N285:Q285)</f>
        <v>0</v>
      </c>
      <c r="S285" s="12">
        <f>S236-R236</f>
        <v>0</v>
      </c>
      <c r="T285" s="12">
        <f>T236-S236</f>
        <v>0</v>
      </c>
      <c r="U285" s="12">
        <f>U236-T236</f>
        <v>0</v>
      </c>
      <c r="V285" s="12">
        <f>V236-U236</f>
        <v>0</v>
      </c>
      <c r="W285" s="12">
        <f>SUM(S285:V285)</f>
        <v>0</v>
      </c>
      <c r="X285" s="12">
        <f>X236-W236</f>
        <v>0</v>
      </c>
      <c r="Y285" s="12">
        <f>Y236-X236</f>
        <v>0</v>
      </c>
      <c r="Z285" s="12">
        <f>Z236-Y236</f>
        <v>0</v>
      </c>
      <c r="AA285" s="12">
        <f>AA236-Z236</f>
        <v>0</v>
      </c>
      <c r="AB285" s="12">
        <f>SUM(X285:AA285)</f>
        <v>0</v>
      </c>
      <c r="AC285" s="12">
        <f>AC236-AB236</f>
        <v>0</v>
      </c>
      <c r="AD285" s="12">
        <f>AD236-AC236</f>
        <v>0</v>
      </c>
      <c r="AE285" s="12">
        <f>AE236-AD236</f>
        <v>0</v>
      </c>
      <c r="AF285" s="12">
        <f>AF236-AE236</f>
        <v>0</v>
      </c>
      <c r="AG285" s="12">
        <f>SUM(AC285:AF285)</f>
        <v>0</v>
      </c>
      <c r="AH285" s="12">
        <f>AH236-AG236</f>
        <v>0</v>
      </c>
      <c r="AI285" s="12">
        <f>AI236-AH236</f>
        <v>0</v>
      </c>
      <c r="AJ285" s="12">
        <f>AJ236-AI236</f>
        <v>0</v>
      </c>
      <c r="AK285" s="12">
        <f>AK236-AJ236</f>
        <v>0</v>
      </c>
      <c r="AL285" s="12">
        <f>SUM(AH285:AK285)</f>
        <v>0</v>
      </c>
      <c r="AM285" s="12">
        <f>AM236-AL236</f>
        <v>0</v>
      </c>
      <c r="AN285" s="12">
        <f>AN236-AM236</f>
        <v>0</v>
      </c>
      <c r="AO285" s="12">
        <f>AO236-AN236</f>
        <v>0</v>
      </c>
      <c r="AP285" s="12">
        <f>AP236-AO236</f>
        <v>0</v>
      </c>
      <c r="AQ285" s="12">
        <f>SUM(AM285:AP285)</f>
        <v>0</v>
      </c>
      <c r="AR285" s="12">
        <f>AR236-AQ236</f>
        <v>0</v>
      </c>
      <c r="AS285" s="12">
        <f>AS236-AR236</f>
        <v>0</v>
      </c>
      <c r="AT285" s="12">
        <f>AT236-AS236</f>
        <v>0</v>
      </c>
      <c r="AU285" s="12">
        <f>AU236-AT236</f>
        <v>0</v>
      </c>
      <c r="AV285" s="12">
        <f>SUM(AR285:AU285)</f>
        <v>0</v>
      </c>
      <c r="AW285" s="12">
        <f>AW236-AV236</f>
        <v>0</v>
      </c>
      <c r="AX285" s="12">
        <f>AX236-AW236</f>
        <v>0</v>
      </c>
      <c r="AY285" s="12">
        <f>AY236-AX236</f>
        <v>0</v>
      </c>
      <c r="AZ285" s="12">
        <f>AZ236-AY236</f>
        <v>0</v>
      </c>
      <c r="BA285" s="12">
        <f>SUM(AW285:AZ285)</f>
        <v>0</v>
      </c>
      <c r="BB285" s="12">
        <f>BB236-BA236</f>
        <v>0</v>
      </c>
      <c r="BC285" s="12">
        <f>BC236-BB236</f>
        <v>0</v>
      </c>
      <c r="BD285" s="12">
        <f>BD236-BC236</f>
        <v>0</v>
      </c>
      <c r="BE285" s="12">
        <f>BE236-BD236</f>
        <v>0</v>
      </c>
      <c r="BF285" s="12">
        <f>SUM(BB285:BE285)</f>
        <v>0</v>
      </c>
      <c r="BG285" s="12" t="n"/>
      <c r="BH285" s="12" t="n"/>
      <c r="BI285" s="12" t="n"/>
      <c r="BJ285" s="12" t="n"/>
      <c r="BK285" s="12" t="n"/>
      <c r="BL285" s="12" t="n"/>
      <c r="BM285" s="12" t="n"/>
      <c r="BN285" s="12" t="n"/>
      <c r="BO285" s="12" t="n"/>
      <c r="BP285" s="12" t="n"/>
      <c r="BQ285" s="12" t="n"/>
      <c r="BR285" s="12" t="n"/>
      <c r="BS285" s="12" t="n"/>
      <c r="BT285" s="12" t="n"/>
      <c r="BU285" s="12" t="n"/>
      <c r="BV285" s="12" t="n"/>
      <c r="BW285" s="12" t="n"/>
      <c r="BX285" s="12" t="n"/>
      <c r="BY285" s="12" t="n"/>
      <c r="BZ285" s="12" t="n"/>
      <c r="CA285" s="12" t="n"/>
      <c r="CB285" s="12" t="n"/>
      <c r="CC285" s="12" t="n"/>
      <c r="CD285" s="12" t="n"/>
      <c r="CE285" s="12" t="n"/>
      <c r="CF285" s="12" t="n"/>
      <c r="CG285" s="12" t="n"/>
      <c r="CH285" s="12" t="n"/>
      <c r="CI285" s="12" t="n"/>
      <c r="CJ285" s="12" t="n"/>
      <c r="CK285" s="12" t="n"/>
      <c r="CL285" s="12" t="n"/>
      <c r="CM285" s="12" t="n"/>
      <c r="CN285" s="12" t="n"/>
      <c r="CO285" s="12" t="n"/>
      <c r="CP285" s="12" t="n"/>
      <c r="CQ285" s="12" t="n"/>
      <c r="CR285" s="12" t="n"/>
      <c r="CS285" s="12" t="n"/>
      <c r="CT285" s="12" t="n"/>
      <c r="CU285" s="12" t="n"/>
      <c r="CV285" s="12" t="n"/>
      <c r="CW285" s="12" t="n"/>
      <c r="CX285" s="12" t="n"/>
      <c r="CY285" s="12" t="n"/>
    </row>
    <row r="286">
      <c r="C286" s="14" t="inlineStr">
        <is>
          <t>Common stock and APIC</t>
        </is>
      </c>
      <c r="D286" s="12" t="n"/>
      <c r="E286" s="12" t="n"/>
      <c r="F286" s="12" t="n"/>
      <c r="G286" s="12" t="n"/>
      <c r="H286" s="12" t="n"/>
      <c r="I286" s="12" t="n"/>
      <c r="J286" s="12">
        <f>J237-I237</f>
        <v>104</v>
      </c>
      <c r="K286" s="12">
        <f>K237-J237</f>
        <v>-27</v>
      </c>
      <c r="L286" s="12">
        <f>L237-K237</f>
        <v>35</v>
      </c>
      <c r="M286" s="12" t="n"/>
      <c r="N286" s="12">
        <f>N237-M237</f>
        <v>-35</v>
      </c>
      <c r="O286" s="12">
        <f>O237-N237</f>
        <v>137</v>
      </c>
      <c r="P286" s="12">
        <f>P237-O237</f>
        <v>106</v>
      </c>
      <c r="Q286" s="12">
        <f>Q237-P237</f>
        <v>29</v>
      </c>
      <c r="R286" s="12">
        <f>SUM(N286:Q286)</f>
        <v>237</v>
      </c>
      <c r="S286" s="12">
        <f>S237-R237</f>
        <v>78</v>
      </c>
      <c r="T286" s="12">
        <f>T237-S237</f>
        <v>246</v>
      </c>
      <c r="U286" s="12">
        <f>U237-T237</f>
        <v>169</v>
      </c>
      <c r="V286" s="12">
        <f>V237-U237</f>
        <v>102</v>
      </c>
      <c r="W286" s="12">
        <f>SUM(S286:V286)</f>
        <v>595</v>
      </c>
      <c r="X286" s="12">
        <f>X237-W237</f>
        <v>27</v>
      </c>
      <c r="Y286" s="12">
        <f>Y237-X237</f>
        <v>169</v>
      </c>
      <c r="Z286" s="12">
        <f>Z237-Y237</f>
        <v>201</v>
      </c>
      <c r="AA286" s="12">
        <f>AA237-Z237</f>
        <v>152</v>
      </c>
      <c r="AB286" s="12">
        <f>SUM(X286:AA286)</f>
        <v>549</v>
      </c>
      <c r="AC286" s="12">
        <f>AC237-AB237</f>
        <v>-116</v>
      </c>
      <c r="AD286" s="12">
        <f>AD237-AC237</f>
        <v>236</v>
      </c>
      <c r="AE286" s="12">
        <f>AE237-AD237</f>
        <v>195</v>
      </c>
      <c r="AF286" s="12">
        <f>AF237-AE237</f>
        <v>150</v>
      </c>
      <c r="AG286" s="12">
        <f>SUM(AC286:AF286)</f>
        <v>465</v>
      </c>
      <c r="AH286" s="12">
        <f>AH237-AG237</f>
        <v>-64</v>
      </c>
      <c r="AI286" s="12">
        <f>AI237-AH237</f>
        <v>227</v>
      </c>
      <c r="AJ286" s="12">
        <f>AJ237-AI237</f>
        <v>0</v>
      </c>
      <c r="AK286" s="12">
        <f>AK237-AJ237</f>
        <v>0</v>
      </c>
      <c r="AL286" s="12">
        <f>SUM(AH286:AK286)</f>
        <v>163</v>
      </c>
      <c r="AM286" s="12">
        <f>AM237-AL237</f>
        <v>0</v>
      </c>
      <c r="AN286" s="12">
        <f>AN237-AM237</f>
        <v>0</v>
      </c>
      <c r="AO286" s="12">
        <f>AO237-AN237</f>
        <v>0</v>
      </c>
      <c r="AP286" s="12">
        <f>AP237-AO237</f>
        <v>0</v>
      </c>
      <c r="AQ286" s="12">
        <f>SUM(AM286:AP286)</f>
        <v>0</v>
      </c>
      <c r="AR286" s="12">
        <f>AR237-AQ237</f>
        <v>0</v>
      </c>
      <c r="AS286" s="12">
        <f>AS237-AR237</f>
        <v>0</v>
      </c>
      <c r="AT286" s="12">
        <f>AT237-AS237</f>
        <v>0</v>
      </c>
      <c r="AU286" s="12">
        <f>AU237-AT237</f>
        <v>0</v>
      </c>
      <c r="AV286" s="12">
        <f>SUM(AR286:AU286)</f>
        <v>0</v>
      </c>
      <c r="AW286" s="12">
        <f>AW237-AV237</f>
        <v>0</v>
      </c>
      <c r="AX286" s="12">
        <f>AX237-AW237</f>
        <v>0</v>
      </c>
      <c r="AY286" s="12">
        <f>AY237-AX237</f>
        <v>0</v>
      </c>
      <c r="AZ286" s="12">
        <f>AZ237-AY237</f>
        <v>0</v>
      </c>
      <c r="BA286" s="12">
        <f>SUM(AW286:AZ286)</f>
        <v>0</v>
      </c>
      <c r="BB286" s="12">
        <f>BB237-BA237</f>
        <v>0</v>
      </c>
      <c r="BC286" s="12">
        <f>BC237-BB237</f>
        <v>0</v>
      </c>
      <c r="BD286" s="12">
        <f>BD237-BC237</f>
        <v>0</v>
      </c>
      <c r="BE286" s="12">
        <f>BE237-BD237</f>
        <v>0</v>
      </c>
      <c r="BF286" s="12">
        <f>SUM(BB286:BE286)</f>
        <v>0</v>
      </c>
      <c r="BG286" s="12" t="n"/>
      <c r="BH286" s="12" t="n"/>
      <c r="BI286" s="12" t="n"/>
      <c r="BJ286" s="12" t="n"/>
      <c r="BK286" s="12" t="n"/>
      <c r="BL286" s="12" t="n"/>
      <c r="BM286" s="12" t="n"/>
      <c r="BN286" s="12" t="n"/>
      <c r="BO286" s="12" t="n"/>
      <c r="BP286" s="12" t="n"/>
      <c r="BQ286" s="12" t="n"/>
      <c r="BR286" s="12" t="n"/>
      <c r="BS286" s="12" t="n"/>
      <c r="BT286" s="12" t="n"/>
      <c r="BU286" s="12" t="n"/>
      <c r="BV286" s="12" t="n"/>
      <c r="BW286" s="12" t="n"/>
      <c r="BX286" s="12" t="n"/>
      <c r="BY286" s="12" t="n"/>
      <c r="BZ286" s="12" t="n"/>
      <c r="CA286" s="12" t="n"/>
      <c r="CB286" s="12" t="n"/>
      <c r="CC286" s="12" t="n"/>
      <c r="CD286" s="12" t="n"/>
      <c r="CE286" s="12" t="n"/>
      <c r="CF286" s="12" t="n"/>
      <c r="CG286" s="12" t="n"/>
      <c r="CH286" s="12" t="n"/>
      <c r="CI286" s="12" t="n"/>
      <c r="CJ286" s="12" t="n"/>
      <c r="CK286" s="12" t="n"/>
      <c r="CL286" s="12" t="n"/>
      <c r="CM286" s="12" t="n"/>
      <c r="CN286" s="12" t="n"/>
      <c r="CO286" s="12" t="n"/>
      <c r="CP286" s="12" t="n"/>
      <c r="CQ286" s="12" t="n"/>
      <c r="CR286" s="12" t="n"/>
      <c r="CS286" s="12" t="n"/>
      <c r="CT286" s="12" t="n"/>
      <c r="CU286" s="12" t="n"/>
      <c r="CV286" s="12" t="n"/>
      <c r="CW286" s="12" t="n"/>
      <c r="CX286" s="12" t="n"/>
      <c r="CY286" s="12" t="n"/>
    </row>
    <row r="287">
      <c r="C287" s="14" t="inlineStr">
        <is>
          <t>Treasury stock repurchases</t>
        </is>
      </c>
      <c r="D287" s="12" t="n"/>
      <c r="E287" s="12" t="n"/>
      <c r="F287" s="12" t="n"/>
      <c r="G287" s="12" t="n"/>
      <c r="H287" s="12" t="n"/>
      <c r="I287" s="12" t="n"/>
      <c r="J287" s="12">
        <f>J250-I250</f>
        <v>-1705</v>
      </c>
      <c r="K287" s="12">
        <f>K250-J250</f>
        <v>-1553</v>
      </c>
      <c r="L287" s="12">
        <f>L250-K250</f>
        <v>-1306</v>
      </c>
      <c r="M287" s="12" t="n"/>
      <c r="N287" s="12">
        <f>N250-M250</f>
        <v>-2406</v>
      </c>
      <c r="O287" s="12">
        <f>O250-N250</f>
        <v>-2365</v>
      </c>
      <c r="P287" s="12">
        <f>P250-O250</f>
        <v>-1557</v>
      </c>
      <c r="Q287" s="12">
        <f>Q250-P250</f>
        <v>-2438</v>
      </c>
      <c r="R287" s="12">
        <f>SUM(N287:Q287)</f>
        <v>-8766</v>
      </c>
      <c r="S287" s="12">
        <f>S250-R250</f>
        <v>-2887</v>
      </c>
      <c r="T287" s="12">
        <f>T250-S250</f>
        <v>-2418</v>
      </c>
      <c r="U287" s="12">
        <f>U250-T250</f>
        <v>-1914</v>
      </c>
      <c r="V287" s="12">
        <f>V250-U250</f>
        <v>-1856</v>
      </c>
      <c r="W287" s="12">
        <f>SUM(S287:V287)</f>
        <v>-9075</v>
      </c>
      <c r="X287" s="12">
        <f>X250-W250</f>
        <v>-2005</v>
      </c>
      <c r="Y287" s="12">
        <f>Y250-X250</f>
        <v>-2633</v>
      </c>
      <c r="Z287" s="12">
        <f>Z250-Y250</f>
        <v>-2968</v>
      </c>
      <c r="AA287" s="12">
        <f>AA250-Z250</f>
        <v>-3396</v>
      </c>
      <c r="AB287" s="12">
        <f>SUM(X287:AA287)</f>
        <v>-11002</v>
      </c>
      <c r="AC287" s="12">
        <f>AC250-AB250</f>
        <v>-2564</v>
      </c>
      <c r="AD287" s="12">
        <f>AD250-AC250</f>
        <v>-2304</v>
      </c>
      <c r="AE287" s="12">
        <f>AE250-AD250</f>
        <v>-3371</v>
      </c>
      <c r="AF287" s="12">
        <f>AF250-AE250</f>
        <v>-3554</v>
      </c>
      <c r="AG287" s="12">
        <f>SUM(AC287:AF287)</f>
        <v>-11793</v>
      </c>
      <c r="AH287" s="12">
        <f>AH250-AG250</f>
        <v>-4118</v>
      </c>
      <c r="AI287" s="12">
        <f>AI250-AH250</f>
        <v>-4884</v>
      </c>
      <c r="AJ287" s="12">
        <f>AJ250-AI250</f>
        <v>0</v>
      </c>
      <c r="AK287" s="12">
        <f>AK250-AJ250</f>
        <v>0</v>
      </c>
      <c r="AL287" s="12">
        <f>SUM(AH287:AK287)</f>
        <v>-9002</v>
      </c>
      <c r="AM287" s="12">
        <f>AM250-AL250</f>
        <v>0</v>
      </c>
      <c r="AN287" s="12">
        <f>AN250-AM250</f>
        <v>0</v>
      </c>
      <c r="AO287" s="12">
        <f>AO250-AN250</f>
        <v>0</v>
      </c>
      <c r="AP287" s="12">
        <f>AP250-AO250</f>
        <v>0</v>
      </c>
      <c r="AQ287" s="12">
        <f>SUM(AM287:AP287)</f>
        <v>0</v>
      </c>
      <c r="AR287" s="12">
        <f>AR250-AQ250</f>
        <v>0</v>
      </c>
      <c r="AS287" s="12">
        <f>AS250-AR250</f>
        <v>0</v>
      </c>
      <c r="AT287" s="12">
        <f>AT250-AS250</f>
        <v>0</v>
      </c>
      <c r="AU287" s="12">
        <f>AU250-AT250</f>
        <v>0</v>
      </c>
      <c r="AV287" s="12">
        <f>SUM(AR287:AU287)</f>
        <v>0</v>
      </c>
      <c r="AW287" s="12">
        <f>AW250-AV250</f>
        <v>0</v>
      </c>
      <c r="AX287" s="12">
        <f>AX250-AW250</f>
        <v>0</v>
      </c>
      <c r="AY287" s="12">
        <f>AY250-AX250</f>
        <v>0</v>
      </c>
      <c r="AZ287" s="12">
        <f>AZ250-AY250</f>
        <v>0</v>
      </c>
      <c r="BA287" s="12">
        <f>SUM(AW287:AZ287)</f>
        <v>0</v>
      </c>
      <c r="BB287" s="12">
        <f>BB250-BA250</f>
        <v>0</v>
      </c>
      <c r="BC287" s="12">
        <f>BC250-BB250</f>
        <v>0</v>
      </c>
      <c r="BD287" s="12">
        <f>BD250-BC250</f>
        <v>0</v>
      </c>
      <c r="BE287" s="12">
        <f>BE250-BD250</f>
        <v>0</v>
      </c>
      <c r="BF287" s="12">
        <f>SUM(BB287:BE287)</f>
        <v>0</v>
      </c>
      <c r="BG287" s="12" t="n"/>
      <c r="BH287" s="12" t="n"/>
      <c r="BI287" s="12" t="n"/>
      <c r="BJ287" s="12" t="n"/>
      <c r="BK287" s="12" t="n"/>
      <c r="BL287" s="12" t="n"/>
      <c r="BM287" s="12" t="n"/>
      <c r="BN287" s="12" t="n"/>
      <c r="BO287" s="12" t="n"/>
      <c r="BP287" s="12" t="n"/>
      <c r="BQ287" s="12" t="n"/>
      <c r="BR287" s="12" t="n"/>
      <c r="BS287" s="12" t="n"/>
      <c r="BT287" s="12" t="n"/>
      <c r="BU287" s="12" t="n"/>
      <c r="BV287" s="12" t="n"/>
      <c r="BW287" s="12" t="n"/>
      <c r="BX287" s="12" t="n"/>
      <c r="BY287" s="12" t="n"/>
      <c r="BZ287" s="12" t="n"/>
      <c r="CA287" s="12" t="n"/>
      <c r="CB287" s="12" t="n"/>
      <c r="CC287" s="12" t="n"/>
      <c r="CD287" s="12" t="n"/>
      <c r="CE287" s="12" t="n"/>
      <c r="CF287" s="12" t="n"/>
      <c r="CG287" s="12" t="n"/>
      <c r="CH287" s="12" t="n"/>
      <c r="CI287" s="12" t="n"/>
      <c r="CJ287" s="12" t="n"/>
      <c r="CK287" s="12" t="n"/>
      <c r="CL287" s="12" t="n"/>
      <c r="CM287" s="12" t="n"/>
      <c r="CN287" s="12" t="n"/>
      <c r="CO287" s="12" t="n"/>
      <c r="CP287" s="12" t="n"/>
      <c r="CQ287" s="12" t="n"/>
      <c r="CR287" s="12" t="n"/>
      <c r="CS287" s="12" t="n"/>
      <c r="CT287" s="12" t="n"/>
      <c r="CU287" s="12" t="n"/>
      <c r="CV287" s="12" t="n"/>
      <c r="CW287" s="12" t="n"/>
      <c r="CX287" s="12" t="n"/>
      <c r="CY287" s="12" t="n"/>
    </row>
    <row r="288">
      <c r="C288" s="14" t="inlineStr">
        <is>
          <t>Comprehensive accumulated loss</t>
        </is>
      </c>
      <c r="D288" s="12" t="n"/>
      <c r="E288" s="12" t="n"/>
      <c r="F288" s="12" t="n"/>
      <c r="G288" s="12" t="n"/>
      <c r="H288" s="12" t="n"/>
      <c r="I288" s="12" t="n"/>
      <c r="J288" s="12">
        <f>J251-I251</f>
        <v>85</v>
      </c>
      <c r="K288" s="12">
        <f>K251-J251</f>
        <v>-138</v>
      </c>
      <c r="L288" s="12">
        <f>L251-K251</f>
        <v>-18</v>
      </c>
      <c r="M288" s="12" t="n"/>
      <c r="N288" s="12">
        <f>N251-M251</f>
        <v>11</v>
      </c>
      <c r="O288" s="12">
        <f>O251-N251</f>
        <v>-434</v>
      </c>
      <c r="P288" s="12">
        <f>P251-O251</f>
        <v>-385</v>
      </c>
      <c r="Q288" s="12">
        <f>Q251-P251</f>
        <v>364</v>
      </c>
      <c r="R288" s="12">
        <f>SUM(N288:Q288)</f>
        <v>-444</v>
      </c>
      <c r="S288" s="12">
        <f>S251-R251</f>
        <v>24</v>
      </c>
      <c r="T288" s="12">
        <f>T251-S251</f>
        <v>40</v>
      </c>
      <c r="U288" s="12">
        <f>U251-T251</f>
        <v>-108</v>
      </c>
      <c r="V288" s="12">
        <f>V251-U251</f>
        <v>198</v>
      </c>
      <c r="W288" s="12">
        <f>SUM(S288:V288)</f>
        <v>154</v>
      </c>
      <c r="X288" s="12">
        <f>X251-W251</f>
        <v>-103</v>
      </c>
      <c r="Y288" s="12">
        <f>Y251-X251</f>
        <v>-3</v>
      </c>
      <c r="Z288" s="12">
        <f>Z251-Y251</f>
        <v>132</v>
      </c>
      <c r="AA288" s="12">
        <f>AA251-Z251</f>
        <v>-360</v>
      </c>
      <c r="AB288" s="12">
        <f>SUM(X288:AA288)</f>
        <v>-334</v>
      </c>
      <c r="AC288" s="12">
        <f>AC251-AB251</f>
        <v>278</v>
      </c>
      <c r="AD288" s="12">
        <f>AD251-AC251</f>
        <v>236</v>
      </c>
      <c r="AE288" s="12">
        <f>AE251-AD251</f>
        <v>-16</v>
      </c>
      <c r="AF288" s="12">
        <f>AF251-AE251</f>
        <v>-46</v>
      </c>
      <c r="AG288" s="12">
        <f>SUM(AC288:AF288)</f>
        <v>452</v>
      </c>
      <c r="AH288" s="12">
        <f>AH251-AG251</f>
        <v>53</v>
      </c>
      <c r="AI288" s="12">
        <f>AI251-AH251</f>
        <v>-76</v>
      </c>
      <c r="AJ288" s="12">
        <f>AJ251-AI251</f>
        <v>0</v>
      </c>
      <c r="AK288" s="12">
        <f>AK251-AJ251</f>
        <v>0</v>
      </c>
      <c r="AL288" s="12">
        <f>SUM(AH288:AK288)</f>
        <v>-23</v>
      </c>
      <c r="AM288" s="12">
        <f>AM251-AL251</f>
        <v>0</v>
      </c>
      <c r="AN288" s="12">
        <f>AN251-AM251</f>
        <v>0</v>
      </c>
      <c r="AO288" s="12">
        <f>AO251-AN251</f>
        <v>0</v>
      </c>
      <c r="AP288" s="12">
        <f>AP251-AO251</f>
        <v>0</v>
      </c>
      <c r="AQ288" s="12">
        <f>SUM(AM288:AP288)</f>
        <v>0</v>
      </c>
      <c r="AR288" s="12">
        <f>AR251-AQ251</f>
        <v>0</v>
      </c>
      <c r="AS288" s="12">
        <f>AS251-AR251</f>
        <v>0</v>
      </c>
      <c r="AT288" s="12">
        <f>AT251-AS251</f>
        <v>0</v>
      </c>
      <c r="AU288" s="12">
        <f>AU251-AT251</f>
        <v>0</v>
      </c>
      <c r="AV288" s="12">
        <f>SUM(AR288:AU288)</f>
        <v>0</v>
      </c>
      <c r="AW288" s="12">
        <f>AW251-AV251</f>
        <v>0</v>
      </c>
      <c r="AX288" s="12">
        <f>AX251-AW251</f>
        <v>0</v>
      </c>
      <c r="AY288" s="12">
        <f>AY251-AX251</f>
        <v>0</v>
      </c>
      <c r="AZ288" s="12">
        <f>AZ251-AY251</f>
        <v>0</v>
      </c>
      <c r="BA288" s="12">
        <f>SUM(AW288:AZ288)</f>
        <v>0</v>
      </c>
      <c r="BB288" s="12">
        <f>BB251-BA251</f>
        <v>0</v>
      </c>
      <c r="BC288" s="12">
        <f>BC251-BB251</f>
        <v>0</v>
      </c>
      <c r="BD288" s="12">
        <f>BD251-BC251</f>
        <v>0</v>
      </c>
      <c r="BE288" s="12">
        <f>BE251-BD251</f>
        <v>0</v>
      </c>
      <c r="BF288" s="12">
        <f>SUM(BB288:BE288)</f>
        <v>0</v>
      </c>
      <c r="BG288" s="12" t="n"/>
      <c r="BH288" s="12" t="n"/>
      <c r="BI288" s="12" t="n"/>
      <c r="BJ288" s="12" t="n"/>
      <c r="BK288" s="12" t="n"/>
      <c r="BL288" s="12" t="n"/>
      <c r="BM288" s="12" t="n"/>
      <c r="BN288" s="12" t="n"/>
      <c r="BO288" s="12" t="n"/>
      <c r="BP288" s="12" t="n"/>
      <c r="BQ288" s="12" t="n"/>
      <c r="BR288" s="12" t="n"/>
      <c r="BS288" s="12" t="n"/>
      <c r="BT288" s="12" t="n"/>
      <c r="BU288" s="12" t="n"/>
      <c r="BV288" s="12" t="n"/>
      <c r="BW288" s="12" t="n"/>
      <c r="BX288" s="12" t="n"/>
      <c r="BY288" s="12" t="n"/>
      <c r="BZ288" s="12" t="n"/>
      <c r="CA288" s="12" t="n"/>
      <c r="CB288" s="12" t="n"/>
      <c r="CC288" s="12" t="n"/>
      <c r="CD288" s="12" t="n"/>
      <c r="CE288" s="12" t="n"/>
      <c r="CF288" s="12" t="n"/>
      <c r="CG288" s="12" t="n"/>
      <c r="CH288" s="12" t="n"/>
      <c r="CI288" s="12" t="n"/>
      <c r="CJ288" s="12" t="n"/>
      <c r="CK288" s="12" t="n"/>
      <c r="CL288" s="12" t="n"/>
      <c r="CM288" s="12" t="n"/>
      <c r="CN288" s="12" t="n"/>
      <c r="CO288" s="12" t="n"/>
      <c r="CP288" s="12" t="n"/>
      <c r="CQ288" s="12" t="n"/>
      <c r="CR288" s="12" t="n"/>
      <c r="CS288" s="12" t="n"/>
      <c r="CT288" s="12" t="n"/>
      <c r="CU288" s="12" t="n"/>
      <c r="CV288" s="12" t="n"/>
      <c r="CW288" s="12" t="n"/>
      <c r="CX288" s="12" t="n"/>
      <c r="CY288" s="12" t="n"/>
    </row>
    <row r="289">
      <c r="C289" s="14" t="inlineStr">
        <is>
          <t>Other equity account</t>
        </is>
      </c>
      <c r="D289" s="12" t="n"/>
      <c r="E289" s="12" t="n"/>
      <c r="F289" s="12" t="n"/>
      <c r="G289" s="12" t="n"/>
      <c r="H289" s="12" t="n"/>
      <c r="I289" s="12" t="n"/>
      <c r="J289" s="12">
        <f>J252-I252</f>
        <v>1</v>
      </c>
      <c r="K289" s="12">
        <f>K252-J252</f>
        <v>0</v>
      </c>
      <c r="L289" s="12">
        <f>L252-K252</f>
        <v>0</v>
      </c>
      <c r="M289" s="12" t="n"/>
      <c r="N289" s="12">
        <f>N252-M252</f>
        <v>-1</v>
      </c>
      <c r="O289" s="12">
        <f>O252-N252</f>
        <v>-2</v>
      </c>
      <c r="P289" s="12">
        <f>P252-O252</f>
        <v>-6</v>
      </c>
      <c r="Q289" s="12">
        <f>Q252-P252</f>
        <v>1</v>
      </c>
      <c r="R289" s="12">
        <f>SUM(N289:Q289)</f>
        <v>-8</v>
      </c>
      <c r="S289" s="12">
        <f>S252-R252</f>
        <v>0</v>
      </c>
      <c r="T289" s="12">
        <f>T252-S252</f>
        <v>1</v>
      </c>
      <c r="U289" s="12">
        <f>U252-T252</f>
        <v>-1</v>
      </c>
      <c r="V289" s="12">
        <f>V252-U252</f>
        <v>1</v>
      </c>
      <c r="W289" s="12">
        <f>SUM(S289:V289)</f>
        <v>1</v>
      </c>
      <c r="X289" s="12">
        <f>X252-W252</f>
        <v>0</v>
      </c>
      <c r="Y289" s="12">
        <f>Y252-X252</f>
        <v>0</v>
      </c>
      <c r="Z289" s="12">
        <f>Z252-Y252</f>
        <v>1</v>
      </c>
      <c r="AA289" s="12">
        <f>AA252-Z252</f>
        <v>-23</v>
      </c>
      <c r="AB289" s="12">
        <f>SUM(X289:AA289)</f>
        <v>-22</v>
      </c>
      <c r="AC289" s="12">
        <f>AC252-AB252</f>
        <v>0</v>
      </c>
      <c r="AD289" s="12">
        <f>AD252-AC252</f>
        <v>0</v>
      </c>
      <c r="AE289" s="12">
        <f>AE252-AD252</f>
        <v>0</v>
      </c>
      <c r="AF289" s="12">
        <f>AF252-AE252</f>
        <v>0</v>
      </c>
      <c r="AG289" s="12">
        <f>SUM(AC289:AF289)</f>
        <v>0</v>
      </c>
      <c r="AH289" s="12">
        <f>AH252-AG252</f>
        <v>0</v>
      </c>
      <c r="AI289" s="12">
        <f>AI252-AH252</f>
        <v>0</v>
      </c>
      <c r="AJ289" s="12">
        <f>AJ252-AI252</f>
        <v>0</v>
      </c>
      <c r="AK289" s="12">
        <f>AK252-AJ252</f>
        <v>0</v>
      </c>
      <c r="AL289" s="12">
        <f>SUM(AH289:AK289)</f>
        <v>0</v>
      </c>
      <c r="AM289" s="12">
        <f>AM252-AL252</f>
        <v>0</v>
      </c>
      <c r="AN289" s="12">
        <f>AN252-AM252</f>
        <v>0</v>
      </c>
      <c r="AO289" s="12">
        <f>AO252-AN252</f>
        <v>0</v>
      </c>
      <c r="AP289" s="12">
        <f>AP252-AO252</f>
        <v>0</v>
      </c>
      <c r="AQ289" s="12">
        <f>SUM(AM289:AP289)</f>
        <v>0</v>
      </c>
      <c r="AR289" s="12">
        <f>AR252-AQ252</f>
        <v>0</v>
      </c>
      <c r="AS289" s="12">
        <f>AS252-AR252</f>
        <v>0</v>
      </c>
      <c r="AT289" s="12">
        <f>AT252-AS252</f>
        <v>0</v>
      </c>
      <c r="AU289" s="12">
        <f>AU252-AT252</f>
        <v>0</v>
      </c>
      <c r="AV289" s="12">
        <f>SUM(AR289:AU289)</f>
        <v>0</v>
      </c>
      <c r="AW289" s="12">
        <f>AW252-AV252</f>
        <v>0</v>
      </c>
      <c r="AX289" s="12">
        <f>AX252-AW252</f>
        <v>0</v>
      </c>
      <c r="AY289" s="12">
        <f>AY252-AX252</f>
        <v>0</v>
      </c>
      <c r="AZ289" s="12">
        <f>AZ252-AY252</f>
        <v>0</v>
      </c>
      <c r="BA289" s="12">
        <f>SUM(AW289:AZ289)</f>
        <v>0</v>
      </c>
      <c r="BB289" s="12">
        <f>BB252-BA252</f>
        <v>0</v>
      </c>
      <c r="BC289" s="12">
        <f>BC252-BB252</f>
        <v>0</v>
      </c>
      <c r="BD289" s="12">
        <f>BD252-BC252</f>
        <v>0</v>
      </c>
      <c r="BE289" s="12">
        <f>BE252-BD252</f>
        <v>0</v>
      </c>
      <c r="BF289" s="12">
        <f>SUM(BB289:BE289)</f>
        <v>0</v>
      </c>
      <c r="BG289" s="12" t="n"/>
      <c r="BH289" s="12" t="n"/>
      <c r="BI289" s="12" t="n"/>
      <c r="BJ289" s="12" t="n"/>
      <c r="BK289" s="12" t="n"/>
      <c r="BL289" s="12" t="n"/>
      <c r="BM289" s="12" t="n"/>
      <c r="BN289" s="12" t="n"/>
      <c r="BO289" s="12" t="n"/>
      <c r="BP289" s="12" t="n"/>
      <c r="BQ289" s="12" t="n"/>
      <c r="BR289" s="12" t="n"/>
      <c r="BS289" s="12" t="n"/>
      <c r="BT289" s="12" t="n"/>
      <c r="BU289" s="12" t="n"/>
      <c r="BV289" s="12" t="n"/>
      <c r="BW289" s="12" t="n"/>
      <c r="BX289" s="12" t="n"/>
      <c r="BY289" s="12" t="n"/>
      <c r="BZ289" s="12" t="n"/>
      <c r="CA289" s="12" t="n"/>
      <c r="CB289" s="12" t="n"/>
      <c r="CC289" s="12" t="n"/>
      <c r="CD289" s="12" t="n"/>
      <c r="CE289" s="12" t="n"/>
      <c r="CF289" s="12" t="n"/>
      <c r="CG289" s="12" t="n"/>
      <c r="CH289" s="12" t="n"/>
      <c r="CI289" s="12" t="n"/>
      <c r="CJ289" s="12" t="n"/>
      <c r="CK289" s="12" t="n"/>
      <c r="CL289" s="12" t="n"/>
      <c r="CM289" s="12" t="n"/>
      <c r="CN289" s="12" t="n"/>
      <c r="CO289" s="12" t="n"/>
      <c r="CP289" s="12" t="n"/>
      <c r="CQ289" s="12" t="n"/>
      <c r="CR289" s="12" t="n"/>
      <c r="CS289" s="12" t="n"/>
      <c r="CT289" s="12" t="n"/>
      <c r="CU289" s="12" t="n"/>
      <c r="CV289" s="12" t="n"/>
      <c r="CW289" s="12" t="n"/>
      <c r="CX289" s="12" t="n"/>
      <c r="CY289" s="12" t="n"/>
    </row>
    <row r="290">
      <c r="C290" s="10" t="inlineStr">
        <is>
          <t>Common and preferred dividends</t>
        </is>
      </c>
      <c r="D290" s="12" t="n"/>
      <c r="E290" s="12" t="n"/>
      <c r="F290" s="12" t="n"/>
      <c r="G290" s="12" t="n"/>
      <c r="H290" s="12" t="n"/>
      <c r="I290" s="12" t="n"/>
      <c r="J290" s="12">
        <f>(J253-I253)-J260</f>
        <v>-435</v>
      </c>
      <c r="K290" s="12">
        <f>(K253-J253)-K260</f>
        <v>-435</v>
      </c>
      <c r="L290" s="12">
        <f>(L253-K253)-L260</f>
        <v>-481</v>
      </c>
      <c r="M290" s="12" t="n"/>
      <c r="N290" s="12">
        <f>(N253-M253)-N260</f>
        <v>-479</v>
      </c>
      <c r="O290" s="12">
        <f>(O253-N253)-O260</f>
        <v>-476</v>
      </c>
      <c r="P290" s="12">
        <f>(P253-O253)-P260</f>
        <v>-473</v>
      </c>
      <c r="Q290" s="12">
        <f>(Q253-P253)-Q260</f>
        <v>-543</v>
      </c>
      <c r="R290" s="12">
        <f>SUM(N290:Q290)</f>
        <v>-1971</v>
      </c>
      <c r="S290" s="12">
        <f>(S253-R253)-S260</f>
        <v>-544</v>
      </c>
      <c r="T290" s="12">
        <f>(T253-S253)-T260</f>
        <v>-539</v>
      </c>
      <c r="U290" s="12">
        <f>(U253-T253)-U260</f>
        <v>-538</v>
      </c>
      <c r="V290" s="12">
        <f>(V253-U253)-V260</f>
        <v>-617</v>
      </c>
      <c r="W290" s="12">
        <f>SUM(S290:V290)</f>
        <v>-2238</v>
      </c>
      <c r="X290" s="12">
        <f>(X253-W253)-X260</f>
        <v>-616</v>
      </c>
      <c r="Y290" s="12">
        <f>(Y253-X253)-Y260</f>
        <v>-613</v>
      </c>
      <c r="Z290" s="12">
        <f>(Z253-Y253)-Z260</f>
        <v>-609</v>
      </c>
      <c r="AA290" s="12">
        <f>(AA253-Z253)-AA260</f>
        <v>-693</v>
      </c>
      <c r="AB290" s="12">
        <f>SUM(X290:AA290)</f>
        <v>-2531</v>
      </c>
      <c r="AC290" s="12">
        <f>(AC253-AB253)-AC260</f>
        <v>-692</v>
      </c>
      <c r="AD290" s="12">
        <f>(AD253-AC253)-AD260</f>
        <v>-687</v>
      </c>
      <c r="AE290" s="12">
        <f>(AE253-AD253)-AE260</f>
        <v>-684</v>
      </c>
      <c r="AF290" s="12">
        <f>(AF253-AE253)-AF260</f>
        <v>-777</v>
      </c>
      <c r="AG290" s="12">
        <f>SUM(AC290:AF290)</f>
        <v>-2840</v>
      </c>
      <c r="AH290" s="12">
        <f>(AH253-AG253)-AH260</f>
        <v>-771</v>
      </c>
      <c r="AI290" s="12">
        <f>(AI253-AH253)-AI260</f>
        <v>-763</v>
      </c>
      <c r="AJ290" s="12">
        <f>(AJ253-AI253)-AJ260</f>
        <v>0</v>
      </c>
      <c r="AK290" s="12">
        <f>(AK253-AJ253)-AK260</f>
        <v>0</v>
      </c>
      <c r="AL290" s="12">
        <f>SUM(AH290:AK290)</f>
        <v>-1534</v>
      </c>
      <c r="AM290" s="12">
        <f>(AM253-AL253)-AM260</f>
        <v>0</v>
      </c>
      <c r="AN290" s="12">
        <f>(AN253-AM253)-AN260</f>
        <v>0</v>
      </c>
      <c r="AO290" s="12">
        <f>(AO253-AN253)-AO260</f>
        <v>0</v>
      </c>
      <c r="AP290" s="12">
        <f>(AP253-AO253)-AP260</f>
        <v>0</v>
      </c>
      <c r="AQ290" s="12">
        <f>SUM(AM290:AP290)</f>
        <v>0</v>
      </c>
      <c r="AR290" s="12">
        <f>(AR253-AQ253)-AR260</f>
        <v>0</v>
      </c>
      <c r="AS290" s="12">
        <f>(AS253-AR253)-AS260</f>
        <v>0</v>
      </c>
      <c r="AT290" s="12">
        <f>(AT253-AS253)-AT260</f>
        <v>0</v>
      </c>
      <c r="AU290" s="12">
        <f>(AU253-AT253)-AU260</f>
        <v>0</v>
      </c>
      <c r="AV290" s="12">
        <f>SUM(AR290:AU290)</f>
        <v>0</v>
      </c>
      <c r="AW290" s="12">
        <f>(AW253-AV253)-AW260</f>
        <v>0</v>
      </c>
      <c r="AX290" s="12">
        <f>(AX253-AW253)-AX260</f>
        <v>0</v>
      </c>
      <c r="AY290" s="12">
        <f>(AY253-AX253)-AY260</f>
        <v>0</v>
      </c>
      <c r="AZ290" s="12">
        <f>(AZ253-AY253)-AZ260</f>
        <v>0</v>
      </c>
      <c r="BA290" s="12">
        <f>SUM(AW290:AZ290)</f>
        <v>0</v>
      </c>
      <c r="BB290" s="12">
        <f>(BB253-BA253)-BB260</f>
        <v>0</v>
      </c>
      <c r="BC290" s="12">
        <f>(BC253-BB253)-BC260</f>
        <v>0</v>
      </c>
      <c r="BD290" s="12">
        <f>(BD253-BC253)-BD260</f>
        <v>0</v>
      </c>
      <c r="BE290" s="12">
        <f>(BE253-BD253)-BE260</f>
        <v>0</v>
      </c>
      <c r="BF290" s="12">
        <f>SUM(BB290:BE290)</f>
        <v>0</v>
      </c>
      <c r="BG290" s="12" t="n"/>
      <c r="BH290" s="12" t="n"/>
      <c r="BI290" s="12" t="n"/>
      <c r="BJ290" s="12" t="n"/>
      <c r="BK290" s="12" t="n"/>
      <c r="BL290" s="12" t="n"/>
      <c r="BM290" s="12" t="n"/>
      <c r="BN290" s="12" t="n"/>
      <c r="BO290" s="12" t="n"/>
      <c r="BP290" s="12" t="n"/>
      <c r="BQ290" s="12" t="n"/>
      <c r="BR290" s="12" t="n"/>
      <c r="BS290" s="12" t="n"/>
      <c r="BT290" s="12" t="n"/>
      <c r="BU290" s="12" t="n"/>
      <c r="BV290" s="12" t="n"/>
      <c r="BW290" s="12" t="n"/>
      <c r="BX290" s="12" t="n"/>
      <c r="BY290" s="12" t="n"/>
      <c r="BZ290" s="12" t="n"/>
      <c r="CA290" s="12" t="n"/>
      <c r="CB290" s="12" t="n"/>
      <c r="CC290" s="12" t="n"/>
      <c r="CD290" s="12" t="n"/>
      <c r="CE290" s="12" t="n"/>
      <c r="CF290" s="12" t="n"/>
      <c r="CG290" s="12" t="n"/>
      <c r="CH290" s="12" t="n"/>
      <c r="CI290" s="12" t="n"/>
      <c r="CJ290" s="12" t="n"/>
      <c r="CK290" s="12" t="n"/>
      <c r="CL290" s="12" t="n"/>
      <c r="CM290" s="12" t="n"/>
      <c r="CN290" s="12" t="n"/>
      <c r="CO290" s="12" t="n"/>
      <c r="CP290" s="12" t="n"/>
      <c r="CQ290" s="12" t="n"/>
      <c r="CR290" s="12" t="n"/>
      <c r="CS290" s="12" t="n"/>
      <c r="CT290" s="12" t="n"/>
      <c r="CU290" s="12" t="n"/>
      <c r="CV290" s="12" t="n"/>
      <c r="CW290" s="12" t="n"/>
      <c r="CX290" s="12" t="n"/>
      <c r="CY290" s="12" t="n"/>
    </row>
    <row r="291">
      <c r="C291" s="14" t="inlineStr">
        <is>
          <t>Dividends to minority interests</t>
        </is>
      </c>
      <c r="D291" s="12" t="n"/>
      <c r="E291" s="12" t="n"/>
      <c r="F291" s="12" t="n"/>
      <c r="G291" s="12" t="n"/>
      <c r="H291" s="12" t="n"/>
      <c r="I291" s="12" t="n"/>
      <c r="J291" s="12">
        <f>(J231-I231)+J119</f>
        <v>0</v>
      </c>
      <c r="K291" s="12">
        <f>(K231-J231)+K119</f>
        <v>-39</v>
      </c>
      <c r="L291" s="12">
        <f>(L231-K231)+L119</f>
        <v>2</v>
      </c>
      <c r="M291" s="12" t="n"/>
      <c r="N291" s="12">
        <f>(N231-M231)+N119</f>
        <v>-6</v>
      </c>
      <c r="O291" s="12">
        <f>(O231-N231)+O119</f>
        <v>-6</v>
      </c>
      <c r="P291" s="12">
        <f>(P231-O231)+P119</f>
        <v>-6</v>
      </c>
      <c r="Q291" s="12">
        <f>(Q231-P231)+Q119</f>
        <v>-8</v>
      </c>
      <c r="R291" s="12">
        <f>SUM(N291:Q291)</f>
        <v>-26</v>
      </c>
      <c r="S291" s="12">
        <f>(S231-R231)+S119</f>
        <v>-4</v>
      </c>
      <c r="T291" s="12">
        <f>(T231-S231)+T119</f>
        <v>-6</v>
      </c>
      <c r="U291" s="12">
        <f>(U231-T231)+U119</f>
        <v>-8</v>
      </c>
      <c r="V291" s="12">
        <f>(V231-U231)+V119</f>
        <v>-6</v>
      </c>
      <c r="W291" s="12">
        <f>SUM(S291:V291)</f>
        <v>-24</v>
      </c>
      <c r="X291" s="12">
        <f>(X231-W231)+X119</f>
        <v>-6</v>
      </c>
      <c r="Y291" s="12">
        <f>(Y231-X231)+Y119</f>
        <v>-8</v>
      </c>
      <c r="Z291" s="12">
        <f>(Z231-Y231)+Z119</f>
        <v>-8</v>
      </c>
      <c r="AA291" s="12">
        <f>(AA231-Z231)+AA119</f>
        <v>-10</v>
      </c>
      <c r="AB291" s="12">
        <f>SUM(X291:AA291)</f>
        <v>-32</v>
      </c>
      <c r="AC291" s="12">
        <f>(AC231-AB231)+AC119</f>
        <v>-10</v>
      </c>
      <c r="AD291" s="12">
        <f>(AD231-AC231)+AD119</f>
        <v>-8</v>
      </c>
      <c r="AE291" s="12">
        <f>(AE231-AD231)+AE119</f>
        <v>-12</v>
      </c>
      <c r="AF291" s="12">
        <f>(AF231-AE231)+AF119</f>
        <v>-12</v>
      </c>
      <c r="AG291" s="12">
        <f>SUM(AC291:AF291)</f>
        <v>-42</v>
      </c>
      <c r="AH291" s="12">
        <f>(AH231-AG231)+AH119</f>
        <v>-12</v>
      </c>
      <c r="AI291" s="12">
        <f>(AI231-AH231)+AI119</f>
        <v>-16</v>
      </c>
      <c r="AJ291" s="12">
        <f>(AJ231-AI231)+AJ119</f>
        <v>0</v>
      </c>
      <c r="AK291" s="12">
        <f>(AK231-AJ231)+AK119</f>
        <v>0</v>
      </c>
      <c r="AL291" s="12">
        <f>SUM(AH291:AK291)</f>
        <v>-28</v>
      </c>
      <c r="AM291" s="12">
        <f>(AM231-AL231)+AM119</f>
        <v>0</v>
      </c>
      <c r="AN291" s="12">
        <f>(AN231-AM231)+AN119</f>
        <v>0</v>
      </c>
      <c r="AO291" s="12">
        <f>(AO231-AN231)+AO119</f>
        <v>0</v>
      </c>
      <c r="AP291" s="12">
        <f>(AP231-AO231)+AP119</f>
        <v>0</v>
      </c>
      <c r="AQ291" s="12">
        <f>SUM(AM291:AP291)</f>
        <v>0</v>
      </c>
      <c r="AR291" s="12">
        <f>(AR231-AQ231)+AR119</f>
        <v>0</v>
      </c>
      <c r="AS291" s="12">
        <f>(AS231-AR231)+AS119</f>
        <v>0</v>
      </c>
      <c r="AT291" s="12">
        <f>(AT231-AS231)+AT119</f>
        <v>0</v>
      </c>
      <c r="AU291" s="12">
        <f>(AU231-AT231)+AU119</f>
        <v>0</v>
      </c>
      <c r="AV291" s="12">
        <f>SUM(AR291:AU291)</f>
        <v>0</v>
      </c>
      <c r="AW291" s="12">
        <f>(AW231-AV231)+AW119</f>
        <v>0</v>
      </c>
      <c r="AX291" s="12">
        <f>(AX231-AW231)+AX119</f>
        <v>0</v>
      </c>
      <c r="AY291" s="12">
        <f>(AY231-AX231)+AY119</f>
        <v>0</v>
      </c>
      <c r="AZ291" s="12">
        <f>(AZ231-AY231)+AZ119</f>
        <v>0</v>
      </c>
      <c r="BA291" s="12">
        <f>SUM(AW291:AZ291)</f>
        <v>0</v>
      </c>
      <c r="BB291" s="12">
        <f>(BB231-BA231)+BB119</f>
        <v>0</v>
      </c>
      <c r="BC291" s="12">
        <f>(BC231-BB231)+BC119</f>
        <v>0</v>
      </c>
      <c r="BD291" s="12">
        <f>(BD231-BC231)+BD119</f>
        <v>0</v>
      </c>
      <c r="BE291" s="12">
        <f>(BE231-BD231)+BE119</f>
        <v>0</v>
      </c>
      <c r="BF291" s="12">
        <f>SUM(BB291:BE291)</f>
        <v>0</v>
      </c>
      <c r="BG291" s="12" t="n"/>
      <c r="BH291" s="12" t="n"/>
      <c r="BI291" s="12" t="n"/>
      <c r="BJ291" s="12" t="n"/>
      <c r="BK291" s="12" t="n"/>
      <c r="BL291" s="12" t="n"/>
      <c r="BM291" s="12" t="n"/>
      <c r="BN291" s="12" t="n"/>
      <c r="BO291" s="12" t="n"/>
      <c r="BP291" s="12" t="n"/>
      <c r="BQ291" s="12" t="n"/>
      <c r="BR291" s="12" t="n"/>
      <c r="BS291" s="12" t="n"/>
      <c r="BT291" s="12" t="n"/>
      <c r="BU291" s="12" t="n"/>
      <c r="BV291" s="12" t="n"/>
      <c r="BW291" s="12" t="n"/>
      <c r="BX291" s="12" t="n"/>
      <c r="BY291" s="12" t="n"/>
      <c r="BZ291" s="12" t="n"/>
      <c r="CA291" s="12" t="n"/>
      <c r="CB291" s="12" t="n"/>
      <c r="CC291" s="12" t="n"/>
      <c r="CD291" s="12" t="n"/>
      <c r="CE291" s="12" t="n"/>
      <c r="CF291" s="12" t="n"/>
      <c r="CG291" s="12" t="n"/>
      <c r="CH291" s="12" t="n"/>
      <c r="CI291" s="12" t="n"/>
      <c r="CJ291" s="12" t="n"/>
      <c r="CK291" s="12" t="n"/>
      <c r="CL291" s="12" t="n"/>
      <c r="CM291" s="12" t="n"/>
      <c r="CN291" s="12" t="n"/>
      <c r="CO291" s="12" t="n"/>
      <c r="CP291" s="12" t="n"/>
      <c r="CQ291" s="12" t="n"/>
      <c r="CR291" s="12" t="n"/>
      <c r="CS291" s="12" t="n"/>
      <c r="CT291" s="12" t="n"/>
      <c r="CU291" s="12" t="n"/>
      <c r="CV291" s="12" t="n"/>
      <c r="CW291" s="12" t="n"/>
      <c r="CX291" s="12" t="n"/>
      <c r="CY291" s="12" t="n"/>
    </row>
    <row r="292">
      <c r="C292" s="15" t="inlineStr">
        <is>
          <t>Increases / (decreases) in debt</t>
        </is>
      </c>
      <c r="D292" s="12" t="n"/>
      <c r="E292" s="12" t="n"/>
      <c r="F292" s="12" t="n"/>
      <c r="G292" s="12" t="n"/>
      <c r="H292" s="12" t="n"/>
      <c r="I292" s="12" t="n"/>
      <c r="J292" s="12">
        <f>SUM(J195:J197,J200,J221,J218)-SUM(I195:I197,I200,I221,I218)</f>
        <v>29</v>
      </c>
      <c r="K292" s="12">
        <f>SUM(K195:K197,K200,K221,K218)-SUM(J195:J197,J200,J221,J218)</f>
        <v>-38</v>
      </c>
      <c r="L292" s="12">
        <f>SUM(L195:L197,L200,L221,L218)-SUM(K195:K197,K200,K221,K218)</f>
        <v>40</v>
      </c>
      <c r="M292" s="12" t="n"/>
      <c r="N292" s="12">
        <f>SUM(N195:N197,N200,N221,N218)-SUM(M195:M197,M200,M221,M218)</f>
        <v>745</v>
      </c>
      <c r="O292" s="12">
        <f>SUM(O195:O197,O200,O221,O218)-SUM(N195:N197,N200,N221,N218)</f>
        <v>-165</v>
      </c>
      <c r="P292" s="12">
        <f>SUM(P195:P197,P200,P221,P218)-SUM(O195:O197,O200,O221,O218)</f>
        <v>53</v>
      </c>
      <c r="Q292" s="12">
        <f>SUM(Q195:Q197,Q200,Q221,Q218)-SUM(P195:P197,P200,P221,P218)</f>
        <v>-511</v>
      </c>
      <c r="R292" s="12">
        <f>SUM(N292:Q292)</f>
        <v>122</v>
      </c>
      <c r="S292" s="12">
        <f>SUM(S195:S197,S200,S221,S218)-SUM(R195:R197,R200,R221,R218)</f>
        <v>1545</v>
      </c>
      <c r="T292" s="12">
        <f>SUM(T195:T197,T200,T221,T218)-SUM(S195:S197,S200,S221,S218)</f>
        <v>52</v>
      </c>
      <c r="U292" s="12">
        <f>SUM(U195:U197,U200,U221,U218)-SUM(T195:T197,T200,T221,T218)</f>
        <v>-54</v>
      </c>
      <c r="V292" s="12">
        <f>SUM(V195:V197,V200,V221,V218)-SUM(U195:U197,U200,U221,U218)</f>
        <v>115</v>
      </c>
      <c r="W292" s="12">
        <f>SUM(S292:V292)</f>
        <v>1658</v>
      </c>
      <c r="X292" s="12">
        <f>SUM(X195:X197,X200,X221,X218)-SUM(W195:W197,W200,W221,W218)</f>
        <v>-52</v>
      </c>
      <c r="Y292" s="12">
        <f>SUM(Y195:Y197,Y200,Y221,Y218)-SUM(X195:X197,X200,X221,X218)</f>
        <v>-24</v>
      </c>
      <c r="Z292" s="12">
        <f>SUM(Z195:Z197,Z200,Z221,Z218)-SUM(Y195:Y197,Y200,Y221,Y218)</f>
        <v>2753</v>
      </c>
      <c r="AA292" s="12">
        <f>SUM(AA195:AA197,AA200,AA221,AA218)-SUM(Z195:Z197,Z200,Z221,Z218)</f>
        <v>-132</v>
      </c>
      <c r="AB292" s="12">
        <f>SUM(X292:AA292)</f>
        <v>2545</v>
      </c>
      <c r="AC292" s="12">
        <f>SUM(AC195:AC197,AC200,AC221,AC218)-SUM(AB195:AB197,AB200,AB221,AB218)</f>
        <v>576</v>
      </c>
      <c r="AD292" s="12">
        <f>SUM(AD195:AD197,AD200,AD221,AD218)-SUM(AC195:AC197,AC200,AC221,AC218)</f>
        <v>168</v>
      </c>
      <c r="AE292" s="12">
        <f>SUM(AE195:AE197,AE200,AE221,AE218)-SUM(AD195:AD197,AD200,AD221,AD218)</f>
        <v>13</v>
      </c>
      <c r="AF292" s="12">
        <f>SUM(AF195:AF197,AF200,AF221,AF218)-SUM(AE195:AE197,AE200,AE221,AE218)</f>
        <v>17</v>
      </c>
      <c r="AG292" s="12">
        <f>SUM(AC292:AF292)</f>
        <v>774</v>
      </c>
      <c r="AH292" s="12">
        <f>SUM(AH195:AH197,AH200,AH221,AH218)-SUM(AG195:AG197,AG200,AG221,AG218)</f>
        <v>-40</v>
      </c>
      <c r="AI292" s="12">
        <f>SUM(AI195:AI197,AI200,AI221,AI218)-SUM(AH195:AH197,AH200,AH221,AH218)</f>
        <v>5683</v>
      </c>
      <c r="AJ292" s="12">
        <f>SUM(AJ195:AJ197,AJ200,AJ221,AJ218)-SUM(AI195:AI197,AI200,AI221,AI218)</f>
        <v>0</v>
      </c>
      <c r="AK292" s="12">
        <f>SUM(AK195:AK197,AK200,AK221,AK218)-SUM(AJ195:AJ197,AJ200,AJ221,AJ218)</f>
        <v>0</v>
      </c>
      <c r="AL292" s="12">
        <f>SUM(AH292:AK292)</f>
        <v>5643</v>
      </c>
      <c r="AM292" s="12">
        <f>SUM(AM195:AM197,AM200,AM221,AM218)-SUM(AL195:AL197,AL200,AL221,AL218)</f>
        <v>0</v>
      </c>
      <c r="AN292" s="12">
        <f>SUM(AN195:AN197,AN200,AN221,AN218)-SUM(AM195:AM197,AM200,AM221,AM218)</f>
        <v>0</v>
      </c>
      <c r="AO292" s="12">
        <f>SUM(AO195:AO197,AO200,AO221,AO218)-SUM(AN195:AN197,AN200,AN221,AN218)</f>
        <v>0</v>
      </c>
      <c r="AP292" s="12">
        <f>SUM(AP195:AP197,AP200,AP221,AP218)-SUM(AO195:AO197,AO200,AO221,AO218)</f>
        <v>0</v>
      </c>
      <c r="AQ292" s="12">
        <f>SUM(AM292:AP292)</f>
        <v>0</v>
      </c>
      <c r="AR292" s="12">
        <f>SUM(AR195:AR197,AR200,AR221,AR218)-SUM(AQ195:AQ197,AQ200,AQ221,AQ218)</f>
        <v>0</v>
      </c>
      <c r="AS292" s="12">
        <f>SUM(AS195:AS197,AS200,AS221,AS218)-SUM(AR195:AR197,AR200,AR221,AR218)</f>
        <v>0</v>
      </c>
      <c r="AT292" s="12">
        <f>SUM(AT195:AT197,AT200,AT221,AT218)-SUM(AS195:AS197,AS200,AS221,AS218)</f>
        <v>0</v>
      </c>
      <c r="AU292" s="12">
        <f>SUM(AU195:AU197,AU200,AU221,AU218)-SUM(AT195:AT197,AT200,AT221,AT218)</f>
        <v>0</v>
      </c>
      <c r="AV292" s="12">
        <f>SUM(AR292:AU292)</f>
        <v>0</v>
      </c>
      <c r="AW292" s="12">
        <f>SUM(AW195:AW197,AW200,AW221,AW218)-SUM(AV195:AV197,AV200,AV221,AV218)</f>
        <v>0</v>
      </c>
      <c r="AX292" s="12">
        <f>SUM(AX195:AX197,AX200,AX221,AX218)-SUM(AW195:AW197,AW200,AW221,AW218)</f>
        <v>0</v>
      </c>
      <c r="AY292" s="12">
        <f>SUM(AY195:AY197,AY200,AY221,AY218)-SUM(AX195:AX197,AX200,AX221,AX218)</f>
        <v>0</v>
      </c>
      <c r="AZ292" s="12">
        <f>SUM(AZ195:AZ197,AZ200,AZ221,AZ218)-SUM(AY195:AY197,AY200,AY221,AY218)</f>
        <v>0</v>
      </c>
      <c r="BA292" s="12">
        <f>SUM(AW292:AZ292)</f>
        <v>0</v>
      </c>
      <c r="BB292" s="12">
        <f>SUM(BB195:BB197,BB200,BB221,BB218)-SUM(BA195:BA197,BA200,BA221,BA218)</f>
        <v>0</v>
      </c>
      <c r="BC292" s="12">
        <f>SUM(BC195:BC197,BC200,BC221,BC218)-SUM(BB195:BB197,BB200,BB221,BB218)</f>
        <v>0</v>
      </c>
      <c r="BD292" s="12">
        <f>SUM(BD195:BD197,BD200,BD221,BD218)-SUM(BC195:BC197,BC200,BC221,BC218)</f>
        <v>0</v>
      </c>
      <c r="BE292" s="12">
        <f>SUM(BE195:BE197,BE200,BE221,BE218)-SUM(BD195:BD197,BD200,BD221,BD218)</f>
        <v>0</v>
      </c>
      <c r="BF292" s="12">
        <f>SUM(BB292:BE292)</f>
        <v>0</v>
      </c>
      <c r="BG292" s="12" t="n"/>
      <c r="BH292" s="12" t="n"/>
      <c r="BI292" s="12" t="n"/>
      <c r="BJ292" s="12" t="n"/>
      <c r="BK292" s="12" t="n"/>
      <c r="BL292" s="12" t="n"/>
      <c r="BM292" s="12" t="n"/>
      <c r="BN292" s="12" t="n"/>
      <c r="BO292" s="12" t="n"/>
      <c r="BP292" s="12" t="n"/>
      <c r="BQ292" s="12" t="n"/>
      <c r="BR292" s="12" t="n"/>
      <c r="BS292" s="12" t="n"/>
      <c r="BT292" s="12" t="n"/>
      <c r="BU292" s="12" t="n"/>
      <c r="BV292" s="12" t="n"/>
      <c r="BW292" s="12" t="n"/>
      <c r="BX292" s="12" t="n"/>
      <c r="BY292" s="12" t="n"/>
      <c r="BZ292" s="12" t="n"/>
      <c r="CA292" s="12" t="n"/>
      <c r="CB292" s="12" t="n"/>
      <c r="CC292" s="12" t="n"/>
      <c r="CD292" s="12" t="n"/>
      <c r="CE292" s="12" t="n"/>
      <c r="CF292" s="12" t="n"/>
      <c r="CG292" s="12" t="n"/>
      <c r="CH292" s="12" t="n"/>
      <c r="CI292" s="12" t="n"/>
      <c r="CJ292" s="12" t="n"/>
      <c r="CK292" s="12" t="n"/>
      <c r="CL292" s="12" t="n"/>
      <c r="CM292" s="12" t="n"/>
      <c r="CN292" s="12" t="n"/>
      <c r="CO292" s="12" t="n"/>
      <c r="CP292" s="12" t="n"/>
      <c r="CQ292" s="12" t="n"/>
      <c r="CR292" s="12" t="n"/>
      <c r="CS292" s="12" t="n"/>
      <c r="CT292" s="12" t="n"/>
      <c r="CU292" s="12" t="n"/>
      <c r="CV292" s="12" t="n"/>
      <c r="CW292" s="12" t="n"/>
      <c r="CX292" s="12" t="n"/>
      <c r="CY292" s="12" t="n"/>
      <c r="CZ292" s="12" t="n"/>
      <c r="DA292" s="12" t="n"/>
      <c r="DB292" s="12" t="n"/>
      <c r="DC292" s="12" t="n"/>
    </row>
    <row r="293">
      <c r="C293" s="14" t="inlineStr">
        <is>
          <t>Cash from financing</t>
        </is>
      </c>
      <c r="D293" s="12" t="n"/>
      <c r="E293" s="12" t="n"/>
      <c r="F293" s="12" t="n"/>
      <c r="G293" s="12" t="n"/>
      <c r="H293" s="12" t="n"/>
      <c r="I293" s="12" t="n"/>
      <c r="J293" s="12">
        <f>SUM(J285,J286,J287,J288,J289,J290,J291,J292)</f>
        <v>-1921</v>
      </c>
      <c r="K293" s="12">
        <f>SUM(K285,K286,K287,K288,K289,K290,K291,K292)</f>
        <v>-2230</v>
      </c>
      <c r="L293" s="12">
        <f>SUM(L285,L286,L287,L288,L289,L290,L291,L292)</f>
        <v>-1728</v>
      </c>
      <c r="M293" s="12" t="n"/>
      <c r="N293" s="12">
        <f>SUM(N285,N286,N287,N288,N289,N290,N291,N292)</f>
        <v>-2171</v>
      </c>
      <c r="O293" s="12">
        <f>SUM(O285,O286,O287,O288,O289,O290,O291,O292)</f>
        <v>-3311</v>
      </c>
      <c r="P293" s="12">
        <f>SUM(P285,P286,P287,P288,P289,P290,P291,P292)</f>
        <v>-2268</v>
      </c>
      <c r="Q293" s="12">
        <f>SUM(Q285,Q286,Q287,Q288,Q289,Q290,Q291,Q292)</f>
        <v>-3106</v>
      </c>
      <c r="R293" s="12">
        <f>SUM(R285,R286,R287,R288,R289,R290,R291,R292)</f>
        <v>-10856</v>
      </c>
      <c r="S293" s="12">
        <f>SUM(S285,S286,S287,S288,S289,S290,S291,S292)</f>
        <v>-1788</v>
      </c>
      <c r="T293" s="12">
        <f>SUM(T285,T286,T287,T288,T289,T290,T291,T292)</f>
        <v>-2624</v>
      </c>
      <c r="U293" s="12">
        <f>SUM(U285,U286,U287,U288,U289,U290,U291,U292)</f>
        <v>-2454</v>
      </c>
      <c r="V293" s="12">
        <f>SUM(V285,V286,V287,V288,V289,V290,V291,V292)</f>
        <v>-2063</v>
      </c>
      <c r="W293" s="12">
        <f>SUM(W285,W286,W287,W288,W289,W290,W291,W292)</f>
        <v>-8929</v>
      </c>
      <c r="X293" s="12">
        <f>SUM(X285,X286,X287,X288,X289,X290,X291,X292)</f>
        <v>-2755</v>
      </c>
      <c r="Y293" s="12">
        <f>SUM(Y285,Y286,Y287,Y288,Y289,Y290,Y291,Y292)</f>
        <v>-3112</v>
      </c>
      <c r="Z293" s="12">
        <f>SUM(Z285,Z286,Z287,Z288,Z289,Z290,Z291,Z292)</f>
        <v>-498</v>
      </c>
      <c r="AA293" s="12">
        <f>SUM(AA285,AA286,AA287,AA288,AA289,AA290,AA291,AA292)</f>
        <v>-4462</v>
      </c>
      <c r="AB293" s="12">
        <f>SUM(AB285,AB286,AB287,AB288,AB289,AB290,AB291,AB292)</f>
        <v>-10827</v>
      </c>
      <c r="AC293" s="12">
        <f>SUM(AC285,AC286,AC287,AC288,AC289,AC290,AC291,AC292)</f>
        <v>-2528</v>
      </c>
      <c r="AD293" s="12">
        <f>SUM(AD285,AD286,AD287,AD288,AD289,AD290,AD291,AD292)</f>
        <v>-2359</v>
      </c>
      <c r="AE293" s="12">
        <f>SUM(AE285,AE286,AE287,AE288,AE289,AE290,AE291,AE292)</f>
        <v>-3875</v>
      </c>
      <c r="AF293" s="12">
        <f>SUM(AF285,AF286,AF287,AF288,AF289,AF290,AF291,AF292)</f>
        <v>-4222</v>
      </c>
      <c r="AG293" s="12">
        <f>SUM(AG285,AG286,AG287,AG288,AG289,AG290,AG291,AG292)</f>
        <v>-12984</v>
      </c>
      <c r="AH293" s="12">
        <f>SUM(AH285,AH286,AH287,AH288,AH289,AH290,AH291,AH292)</f>
        <v>-4952</v>
      </c>
      <c r="AI293" s="12">
        <f>SUM(AI285,AI286,AI287,AI288,AI289,AI290,AI291,AI292)</f>
        <v>171</v>
      </c>
      <c r="AJ293" s="12">
        <f>SUM(AJ285,AJ286,AJ287,AJ288,AJ289,AJ290,AJ291,AJ292)</f>
        <v>0</v>
      </c>
      <c r="AK293" s="12">
        <f>SUM(AK285,AK286,AK287,AK288,AK289,AK290,AK291,AK292)</f>
        <v>0</v>
      </c>
      <c r="AL293" s="12">
        <f>SUM(AL285,AL286,AL287,AL288,AL289,AL290,AL291,AL292)</f>
        <v>-4781</v>
      </c>
      <c r="AM293" s="12">
        <f>SUM(AM285,AM286,AM287,AM288,AM289,AM290,AM291,AM292)</f>
        <v>0</v>
      </c>
      <c r="AN293" s="12">
        <f>SUM(AN285,AN286,AN287,AN288,AN289,AN290,AN291,AN292)</f>
        <v>0</v>
      </c>
      <c r="AO293" s="12">
        <f>SUM(AO285,AO286,AO287,AO288,AO289,AO290,AO291,AO292)</f>
        <v>0</v>
      </c>
      <c r="AP293" s="12">
        <f>SUM(AP285,AP286,AP287,AP288,AP289,AP290,AP291,AP292)</f>
        <v>0</v>
      </c>
      <c r="AQ293" s="12">
        <f>SUM(AQ285,AQ286,AQ287,AQ288,AQ289,AQ290,AQ291,AQ292)</f>
        <v>0</v>
      </c>
      <c r="AR293" s="12">
        <f>SUM(AR285,AR286,AR287,AR288,AR289,AR290,AR291,AR292)</f>
        <v>0</v>
      </c>
      <c r="AS293" s="12">
        <f>SUM(AS285,AS286,AS287,AS288,AS289,AS290,AS291,AS292)</f>
        <v>0</v>
      </c>
      <c r="AT293" s="12">
        <f>SUM(AT285,AT286,AT287,AT288,AT289,AT290,AT291,AT292)</f>
        <v>0</v>
      </c>
      <c r="AU293" s="12">
        <f>SUM(AU285,AU286,AU287,AU288,AU289,AU290,AU291,AU292)</f>
        <v>0</v>
      </c>
      <c r="AV293" s="12">
        <f>SUM(AV285,AV286,AV287,AV288,AV289,AV290,AV291,AV292)</f>
        <v>0</v>
      </c>
      <c r="AW293" s="12">
        <f>SUM(AW285,AW286,AW287,AW288,AW289,AW290,AW291,AW292)</f>
        <v>0</v>
      </c>
      <c r="AX293" s="12">
        <f>SUM(AX285,AX286,AX287,AX288,AX289,AX290,AX291,AX292)</f>
        <v>0</v>
      </c>
      <c r="AY293" s="12">
        <f>SUM(AY285,AY286,AY287,AY288,AY289,AY290,AY291,AY292)</f>
        <v>0</v>
      </c>
      <c r="AZ293" s="12">
        <f>SUM(AZ285,AZ286,AZ287,AZ288,AZ289,AZ290,AZ291,AZ292)</f>
        <v>0</v>
      </c>
      <c r="BA293" s="12">
        <f>SUM(BA285,BA286,BA287,BA288,BA289,BA290,BA291,BA292)</f>
        <v>0</v>
      </c>
      <c r="BB293" s="12">
        <f>SUM(BB285,BB286,BB287,BB288,BB289,BB290,BB291,BB292)</f>
        <v>0</v>
      </c>
      <c r="BC293" s="12">
        <f>SUM(BC285,BC286,BC287,BC288,BC289,BC290,BC291,BC292)</f>
        <v>0</v>
      </c>
      <c r="BD293" s="12">
        <f>SUM(BD285,BD286,BD287,BD288,BD289,BD290,BD291,BD292)</f>
        <v>0</v>
      </c>
      <c r="BE293" s="12">
        <f>SUM(BE285,BE286,BE287,BE288,BE289,BE290,BE291,BE292)</f>
        <v>0</v>
      </c>
      <c r="BF293" s="12">
        <f>SUM(BF285,BF286,BF287,BF288,BF289,BF290,BF291,BF292)</f>
        <v>0</v>
      </c>
      <c r="BG293" s="12" t="n"/>
      <c r="BH293" s="12" t="n"/>
      <c r="BI293" s="12" t="n"/>
      <c r="BJ293" s="12" t="n"/>
      <c r="BK293" s="12" t="n"/>
      <c r="BL293" s="12" t="n"/>
      <c r="BM293" s="12" t="n"/>
      <c r="BN293" s="12" t="n"/>
      <c r="BO293" s="12" t="n"/>
      <c r="BP293" s="12" t="n"/>
      <c r="BQ293" s="12" t="n"/>
      <c r="BR293" s="12" t="n"/>
      <c r="BS293" s="12" t="n"/>
      <c r="BT293" s="12" t="n"/>
      <c r="BU293" s="12" t="n"/>
      <c r="BV293" s="12" t="n"/>
      <c r="BW293" s="12" t="n"/>
      <c r="BX293" s="12" t="n"/>
      <c r="BY293" s="12" t="n"/>
      <c r="BZ293" s="12" t="n"/>
      <c r="CA293" s="12" t="n"/>
      <c r="CB293" s="12" t="n"/>
      <c r="CC293" s="12" t="n"/>
      <c r="CD293" s="12" t="n"/>
      <c r="CE293" s="12" t="n"/>
      <c r="CF293" s="12" t="n"/>
      <c r="CG293" s="12" t="n"/>
      <c r="CH293" s="12" t="n"/>
      <c r="CI293" s="12" t="n"/>
      <c r="CJ293" s="12" t="n"/>
      <c r="CK293" s="12" t="n"/>
      <c r="CL293" s="12" t="n"/>
      <c r="CM293" s="12" t="n"/>
      <c r="CN293" s="12" t="n"/>
      <c r="CO293" s="12" t="n"/>
      <c r="CP293" s="12" t="n"/>
      <c r="CQ293" s="12" t="n"/>
      <c r="CR293" s="12" t="n"/>
      <c r="CS293" s="12" t="n"/>
      <c r="CT293" s="12" t="n"/>
      <c r="CU293" s="12" t="n"/>
      <c r="CV293" s="12" t="n"/>
      <c r="CW293" s="12" t="n"/>
      <c r="CX293" s="12" t="n"/>
      <c r="CY293" s="12" t="n"/>
    </row>
    <row r="294">
      <c r="C294" s="14" t="n"/>
      <c r="D294" s="12" t="n"/>
      <c r="E294" s="12" t="n"/>
      <c r="F294" s="12" t="n"/>
      <c r="G294" s="12" t="n"/>
      <c r="H294" s="12" t="n"/>
      <c r="I294" s="12" t="n"/>
      <c r="J294" s="12" t="n"/>
      <c r="K294" s="12" t="n"/>
      <c r="L294" s="12" t="n"/>
      <c r="M294" s="12" t="n"/>
      <c r="N294" s="12" t="n"/>
      <c r="O294" s="12" t="n"/>
      <c r="P294" s="12" t="n"/>
      <c r="Q294" s="12" t="n"/>
      <c r="R294" s="12" t="n"/>
      <c r="S294" s="12" t="n"/>
      <c r="T294" s="12" t="n"/>
      <c r="U294" s="12" t="n"/>
      <c r="V294" s="12" t="n"/>
      <c r="W294" s="12" t="n"/>
      <c r="X294" s="12" t="n"/>
      <c r="Y294" s="12" t="n"/>
      <c r="Z294" s="12" t="n"/>
      <c r="AA294" s="12" t="n"/>
      <c r="AB294" s="12" t="n"/>
      <c r="AC294" s="12" t="n"/>
      <c r="AD294" s="12" t="n"/>
      <c r="AE294" s="12" t="n"/>
      <c r="AF294" s="12" t="n"/>
      <c r="AG294" s="12" t="n"/>
      <c r="AH294" s="12" t="n"/>
      <c r="AI294" s="12" t="n"/>
      <c r="AJ294" s="12" t="n"/>
      <c r="AK294" s="12" t="n"/>
      <c r="AL294" s="12" t="n"/>
      <c r="AM294" s="12" t="n"/>
      <c r="AN294" s="12" t="n"/>
      <c r="AO294" s="12" t="n"/>
      <c r="AP294" s="12" t="n"/>
      <c r="AQ294" s="12" t="n"/>
      <c r="AR294" s="12" t="n"/>
      <c r="AS294" s="12" t="n"/>
      <c r="AT294" s="12" t="n"/>
      <c r="AU294" s="12" t="n"/>
      <c r="AV294" s="12" t="n"/>
      <c r="AW294" s="12" t="n"/>
      <c r="AX294" s="12" t="n"/>
      <c r="AY294" s="12" t="n"/>
      <c r="AZ294" s="12" t="n"/>
      <c r="BA294" s="12" t="n"/>
      <c r="BB294" s="12" t="n"/>
      <c r="BC294" s="12" t="n"/>
      <c r="BD294" s="12" t="n"/>
      <c r="BE294" s="12" t="n"/>
      <c r="BF294" s="12" t="n"/>
      <c r="BG294" s="12" t="n"/>
      <c r="BH294" s="12" t="n"/>
      <c r="BI294" s="12" t="n"/>
      <c r="BJ294" s="12" t="n"/>
      <c r="BK294" s="12" t="n"/>
      <c r="BL294" s="12" t="n"/>
      <c r="BM294" s="12" t="n"/>
      <c r="BN294" s="12" t="n"/>
      <c r="BO294" s="12" t="n"/>
      <c r="BP294" s="12" t="n"/>
      <c r="BQ294" s="12" t="n"/>
      <c r="BR294" s="12" t="n"/>
      <c r="BS294" s="12" t="n"/>
      <c r="BT294" s="12" t="n"/>
      <c r="BU294" s="12" t="n"/>
      <c r="BV294" s="12" t="n"/>
      <c r="BW294" s="12" t="n"/>
      <c r="BX294" s="12" t="n"/>
      <c r="BY294" s="12" t="n"/>
      <c r="BZ294" s="12" t="n"/>
      <c r="CA294" s="12" t="n"/>
      <c r="CB294" s="12" t="n"/>
      <c r="CC294" s="12" t="n"/>
      <c r="CD294" s="12" t="n"/>
      <c r="CE294" s="12" t="n"/>
      <c r="CF294" s="12" t="n"/>
      <c r="CG294" s="12" t="n"/>
      <c r="CH294" s="12" t="n"/>
      <c r="CI294" s="12" t="n"/>
      <c r="CJ294" s="12" t="n"/>
      <c r="CK294" s="12" t="n"/>
      <c r="CL294" s="12" t="n"/>
      <c r="CM294" s="12" t="n"/>
      <c r="CN294" s="12" t="n"/>
      <c r="CO294" s="12" t="n"/>
      <c r="CP294" s="12" t="n"/>
      <c r="CQ294" s="12" t="n"/>
      <c r="CR294" s="12" t="n"/>
      <c r="CS294" s="12" t="n"/>
      <c r="CT294" s="12" t="n"/>
      <c r="CU294" s="12" t="n"/>
      <c r="CV294" s="12" t="n"/>
      <c r="CW294" s="12" t="n"/>
      <c r="CX294" s="12" t="n"/>
      <c r="CY294" s="12" t="n"/>
    </row>
    <row r="295">
      <c r="C295" s="14" t="inlineStr">
        <is>
          <t>Others / cash reconciliation plug</t>
        </is>
      </c>
      <c r="D295" s="12" t="n"/>
      <c r="E295" s="12" t="n"/>
      <c r="F295" s="12" t="n"/>
      <c r="G295" s="12" t="n"/>
      <c r="H295" s="12" t="n"/>
      <c r="I295" s="12" t="n"/>
      <c r="J295" s="12">
        <f>J127-I127-SUM(J276,J283,J293)</f>
        <v>0</v>
      </c>
      <c r="K295" s="12">
        <f>K127-J127-SUM(K276,K283,K293)</f>
        <v>0</v>
      </c>
      <c r="L295" s="12">
        <f>L127-K127-SUM(L276,L283,L293)</f>
        <v>0</v>
      </c>
      <c r="M295" s="12" t="n"/>
      <c r="N295" s="12">
        <f>N127-M127-SUM(N276,N283,N293)</f>
        <v>0</v>
      </c>
      <c r="O295" s="12">
        <f>O127-N127-SUM(O276,O283,O293)</f>
        <v>0</v>
      </c>
      <c r="P295" s="12">
        <f>P127-O127-SUM(P276,P283,P293)</f>
        <v>0</v>
      </c>
      <c r="Q295" s="12">
        <f>Q127-P127-SUM(Q276,Q283,Q293)</f>
        <v>0</v>
      </c>
      <c r="R295" s="12">
        <f>SUM(N295:Q295)</f>
        <v>0</v>
      </c>
      <c r="S295" s="12">
        <f>S127-R127-SUM(S276,S283,S293)</f>
        <v>0</v>
      </c>
      <c r="T295" s="12">
        <f>T127-S127-SUM(T276,T283,T293)</f>
        <v>0</v>
      </c>
      <c r="U295" s="12">
        <f>U127-T127-SUM(U276,U283,U293)</f>
        <v>0</v>
      </c>
      <c r="V295" s="12">
        <f>V127-U127-SUM(V276,V283,V293)</f>
        <v>0</v>
      </c>
      <c r="W295" s="12">
        <f>SUM(S295:V295)</f>
        <v>0</v>
      </c>
      <c r="X295" s="12">
        <f>X127-W127-SUM(X276,X283,X293)</f>
        <v>0</v>
      </c>
      <c r="Y295" s="12">
        <f>Y127-X127-SUM(Y276,Y283,Y293)</f>
        <v>0</v>
      </c>
      <c r="Z295" s="12">
        <f>Z127-Y127-SUM(Z276,Z283,Z293)</f>
        <v>0</v>
      </c>
      <c r="AA295" s="12">
        <f>AA127-Z127-SUM(AA276,AA283,AA293)</f>
        <v>0</v>
      </c>
      <c r="AB295" s="12">
        <f>SUM(X295:AA295)</f>
        <v>0</v>
      </c>
      <c r="AC295" s="12">
        <f>AC127-AB127-SUM(AC276,AC283,AC293)</f>
        <v>0</v>
      </c>
      <c r="AD295" s="12">
        <f>AD127-AC127-SUM(AD276,AD283,AD293)</f>
        <v>0</v>
      </c>
      <c r="AE295" s="12">
        <f>AE127-AD127-SUM(AE276,AE283,AE293)</f>
        <v>0</v>
      </c>
      <c r="AF295" s="12">
        <f>AF127-AE127-SUM(AF276,AF283,AF293)</f>
        <v>0</v>
      </c>
      <c r="AG295" s="12">
        <f>SUM(AC295:AF295)</f>
        <v>0</v>
      </c>
      <c r="AH295" s="12">
        <f>AH127-AG127-SUM(AH276,AH283,AH293)</f>
        <v>0</v>
      </c>
      <c r="AI295" s="12">
        <f>AI127-AH127-SUM(AI276,AI283,AI293)</f>
        <v>0</v>
      </c>
      <c r="AJ295" s="12">
        <f>AJ127-AI127-SUM(AJ276,AJ283,AJ293)</f>
        <v>0</v>
      </c>
      <c r="AK295" s="12">
        <f>AK127-AJ127-SUM(AK276,AK283,AK293)</f>
        <v>0</v>
      </c>
      <c r="AL295" s="12">
        <f>SUM(AH295:AK295)</f>
        <v>0</v>
      </c>
      <c r="AM295" s="12">
        <f>AM127-AL127-SUM(AM276,AM283,AM293)</f>
        <v>0</v>
      </c>
      <c r="AN295" s="12">
        <f>AN127-AM127-SUM(AN276,AN283,AN293)</f>
        <v>0</v>
      </c>
      <c r="AO295" s="12">
        <f>AO127-AN127-SUM(AO276,AO283,AO293)</f>
        <v>0</v>
      </c>
      <c r="AP295" s="12">
        <f>AP127-AO127-SUM(AP276,AP283,AP293)</f>
        <v>0</v>
      </c>
      <c r="AQ295" s="12">
        <f>SUM(AM295:AP295)</f>
        <v>0</v>
      </c>
      <c r="AR295" s="12">
        <f>AR127-AQ127-SUM(AR276,AR283,AR293)</f>
        <v>0</v>
      </c>
      <c r="AS295" s="12">
        <f>AS127-AR127-SUM(AS276,AS283,AS293)</f>
        <v>0</v>
      </c>
      <c r="AT295" s="12">
        <f>AT127-AS127-SUM(AT276,AT283,AT293)</f>
        <v>0</v>
      </c>
      <c r="AU295" s="12">
        <f>AU127-AT127-SUM(AU276,AU283,AU293)</f>
        <v>0</v>
      </c>
      <c r="AV295" s="12">
        <f>SUM(AR295:AU295)</f>
        <v>0</v>
      </c>
      <c r="AW295" s="12">
        <f>AW127-AV127-SUM(AW276,AW283,AW293)</f>
        <v>0</v>
      </c>
      <c r="AX295" s="12">
        <f>AX127-AW127-SUM(AX276,AX283,AX293)</f>
        <v>0</v>
      </c>
      <c r="AY295" s="12">
        <f>AY127-AX127-SUM(AY276,AY283,AY293)</f>
        <v>0</v>
      </c>
      <c r="AZ295" s="12">
        <f>AZ127-AY127-SUM(AZ276,AZ283,AZ293)</f>
        <v>0</v>
      </c>
      <c r="BA295" s="12">
        <f>SUM(AW295:AZ295)</f>
        <v>0</v>
      </c>
      <c r="BB295" s="12">
        <f>BB127-BA127-SUM(BB276,BB283,BB293)</f>
        <v>0</v>
      </c>
      <c r="BC295" s="12">
        <f>BC127-BB127-SUM(BC276,BC283,BC293)</f>
        <v>0</v>
      </c>
      <c r="BD295" s="12">
        <f>BD127-BC127-SUM(BD276,BD283,BD293)</f>
        <v>0</v>
      </c>
      <c r="BE295" s="12">
        <f>BE127-BD127-SUM(BE276,BE283,BE293)</f>
        <v>0</v>
      </c>
      <c r="BF295" s="12">
        <f>SUM(BB295:BE295)</f>
        <v>0</v>
      </c>
      <c r="BG295" s="12" t="n"/>
      <c r="BH295" s="12" t="n"/>
      <c r="BI295" s="12" t="n"/>
      <c r="BJ295" s="12" t="n"/>
      <c r="BK295" s="12" t="n"/>
      <c r="BL295" s="12" t="n"/>
      <c r="BM295" s="12" t="n"/>
      <c r="BN295" s="12" t="n"/>
      <c r="BO295" s="12" t="n"/>
      <c r="BP295" s="12" t="n"/>
      <c r="BQ295" s="12" t="n"/>
      <c r="BR295" s="12" t="n"/>
      <c r="BS295" s="12" t="n"/>
      <c r="BT295" s="12" t="n"/>
      <c r="BU295" s="12" t="n"/>
      <c r="BV295" s="12" t="n"/>
      <c r="BW295" s="12" t="n"/>
      <c r="BX295" s="12" t="n"/>
      <c r="BY295" s="12" t="n"/>
      <c r="BZ295" s="12" t="n"/>
      <c r="CA295" s="12" t="n"/>
      <c r="CB295" s="12" t="n"/>
      <c r="CC295" s="12" t="n"/>
      <c r="CD295" s="12" t="n"/>
      <c r="CE295" s="12" t="n"/>
      <c r="CF295" s="12" t="n"/>
      <c r="CG295" s="12" t="n"/>
      <c r="CH295" s="12" t="n"/>
      <c r="CI295" s="12" t="n"/>
      <c r="CJ295" s="12" t="n"/>
      <c r="CK295" s="12" t="n"/>
      <c r="CL295" s="12" t="n"/>
      <c r="CM295" s="12" t="n"/>
      <c r="CN295" s="12" t="n"/>
      <c r="CO295" s="12" t="n"/>
      <c r="CP295" s="12" t="n"/>
      <c r="CQ295" s="12" t="n"/>
      <c r="CR295" s="12" t="n"/>
      <c r="CS295" s="12" t="n"/>
      <c r="CT295" s="12" t="n"/>
      <c r="CU295" s="12" t="n"/>
      <c r="CV295" s="12" t="n"/>
      <c r="CW295" s="12" t="n"/>
      <c r="CX295" s="12" t="n"/>
      <c r="CY295" s="12" t="n"/>
    </row>
    <row r="296">
      <c r="C296" s="14" t="n"/>
      <c r="D296" s="12" t="n"/>
      <c r="E296" s="12" t="n"/>
      <c r="F296" s="12" t="n"/>
      <c r="G296" s="12" t="n"/>
      <c r="H296" s="12" t="n"/>
      <c r="I296" s="12" t="n"/>
      <c r="J296" s="12" t="n"/>
      <c r="K296" s="12" t="n"/>
      <c r="L296" s="12" t="n"/>
      <c r="M296" s="12" t="n"/>
      <c r="N296" s="12" t="n"/>
      <c r="O296" s="12" t="n"/>
      <c r="P296" s="12" t="n"/>
      <c r="Q296" s="12" t="n"/>
      <c r="R296" s="12" t="n"/>
      <c r="S296" s="12" t="n"/>
      <c r="T296" s="12" t="n"/>
      <c r="U296" s="12" t="n"/>
      <c r="V296" s="12" t="n"/>
      <c r="W296" s="12" t="n"/>
      <c r="X296" s="12" t="n"/>
      <c r="Y296" s="12" t="n"/>
      <c r="Z296" s="12" t="n"/>
      <c r="AA296" s="12" t="n"/>
      <c r="AB296" s="12" t="n"/>
      <c r="AC296" s="12" t="n"/>
      <c r="AD296" s="12" t="n"/>
      <c r="AE296" s="12" t="n"/>
      <c r="AF296" s="12" t="n"/>
      <c r="AG296" s="12" t="n"/>
      <c r="AH296" s="12" t="n"/>
      <c r="AI296" s="12" t="n"/>
      <c r="AJ296" s="12" t="n"/>
      <c r="AK296" s="12" t="n"/>
      <c r="AL296" s="12" t="n"/>
      <c r="AM296" s="12" t="n"/>
      <c r="AN296" s="12" t="n"/>
      <c r="AO296" s="12" t="n"/>
      <c r="AP296" s="12" t="n"/>
      <c r="AQ296" s="12" t="n"/>
      <c r="AR296" s="12" t="n"/>
      <c r="AS296" s="12" t="n"/>
      <c r="AT296" s="12" t="n"/>
      <c r="AU296" s="12" t="n"/>
      <c r="AV296" s="12" t="n"/>
      <c r="AW296" s="12" t="n"/>
      <c r="AX296" s="12" t="n"/>
      <c r="AY296" s="12" t="n"/>
      <c r="AZ296" s="12" t="n"/>
      <c r="BA296" s="12" t="n"/>
      <c r="BB296" s="12" t="n"/>
      <c r="BC296" s="12" t="n"/>
      <c r="BD296" s="12" t="n"/>
      <c r="BE296" s="12" t="n"/>
      <c r="BF296" s="12" t="n"/>
      <c r="BG296" s="12" t="n"/>
      <c r="BH296" s="12" t="n"/>
      <c r="BI296" s="12" t="n"/>
      <c r="BJ296" s="12" t="n"/>
      <c r="BK296" s="12" t="n"/>
      <c r="BL296" s="12" t="n"/>
      <c r="BM296" s="12" t="n"/>
      <c r="BN296" s="12" t="n"/>
      <c r="BO296" s="12" t="n"/>
      <c r="BP296" s="12" t="n"/>
      <c r="BQ296" s="12" t="n"/>
      <c r="BR296" s="12" t="n"/>
      <c r="BS296" s="12" t="n"/>
      <c r="BT296" s="12" t="n"/>
      <c r="BU296" s="12" t="n"/>
      <c r="BV296" s="12" t="n"/>
      <c r="BW296" s="12" t="n"/>
      <c r="BX296" s="12" t="n"/>
      <c r="BY296" s="12" t="n"/>
      <c r="BZ296" s="12" t="n"/>
      <c r="CA296" s="12" t="n"/>
      <c r="CB296" s="12" t="n"/>
      <c r="CC296" s="12" t="n"/>
      <c r="CD296" s="12" t="n"/>
      <c r="CE296" s="12" t="n"/>
      <c r="CF296" s="12" t="n"/>
      <c r="CG296" s="12" t="n"/>
      <c r="CH296" s="12" t="n"/>
      <c r="CI296" s="12" t="n"/>
      <c r="CJ296" s="12" t="n"/>
      <c r="CK296" s="12" t="n"/>
      <c r="CL296" s="12" t="n"/>
      <c r="CM296" s="12" t="n"/>
      <c r="CN296" s="12" t="n"/>
      <c r="CO296" s="12" t="n"/>
      <c r="CP296" s="12" t="n"/>
      <c r="CQ296" s="12" t="n"/>
      <c r="CR296" s="12" t="n"/>
      <c r="CS296" s="12" t="n"/>
      <c r="CT296" s="12" t="n"/>
      <c r="CU296" s="12" t="n"/>
      <c r="CV296" s="12" t="n"/>
      <c r="CW296" s="12" t="n"/>
      <c r="CX296" s="12" t="n"/>
      <c r="CY296" s="12" t="n"/>
    </row>
    <row r="297">
      <c r="C297" s="14" t="inlineStr">
        <is>
          <t>Total increase/decrease of cash</t>
        </is>
      </c>
      <c r="D297" s="12" t="n"/>
      <c r="E297" s="12" t="n"/>
      <c r="F297" s="12" t="n"/>
      <c r="G297" s="12" t="n"/>
      <c r="H297" s="12" t="n"/>
      <c r="I297" s="12" t="n"/>
      <c r="J297" s="12">
        <f>SUM(J276,J283,J293,J295)</f>
        <v>-975</v>
      </c>
      <c r="K297" s="12">
        <f>SUM(K276,K283,K293,K295)</f>
        <v>156</v>
      </c>
      <c r="L297" s="12">
        <f>SUM(L276,L283,L293,L295)</f>
        <v>978</v>
      </c>
      <c r="M297" s="12" t="n"/>
      <c r="N297" s="12">
        <f>SUM(N276,N283,N293,N295)</f>
        <v>-566</v>
      </c>
      <c r="O297" s="12">
        <f>SUM(O276,O283,O293,O295)</f>
        <v>-969</v>
      </c>
      <c r="P297" s="12">
        <f>SUM(P276,P283,P293,P295)</f>
        <v>1686</v>
      </c>
      <c r="Q297" s="12">
        <f>SUM(Q276,Q283,Q293,Q295)</f>
        <v>-637</v>
      </c>
      <c r="R297" s="12">
        <f>SUM(N297:Q297)</f>
        <v>-486</v>
      </c>
      <c r="S297" s="12">
        <f>SUM(S276,S283,S293,S295)</f>
        <v>-440</v>
      </c>
      <c r="T297" s="12">
        <f>SUM(T276,T283,T293,T295)</f>
        <v>-454</v>
      </c>
      <c r="U297" s="12">
        <f>SUM(U276,U283,U293,U295)</f>
        <v>978</v>
      </c>
      <c r="V297" s="12">
        <f>SUM(V276,V283,V293,V295)</f>
        <v>1688</v>
      </c>
      <c r="W297" s="12">
        <f>SUM(S297:V297)</f>
        <v>1772</v>
      </c>
      <c r="X297" s="12">
        <f>SUM(X276,X283,X293,X295)</f>
        <v>-1523</v>
      </c>
      <c r="Y297" s="12">
        <f>SUM(Y276,Y283,Y293,Y295)</f>
        <v>-299</v>
      </c>
      <c r="Z297" s="12">
        <f>SUM(Z276,Z283,Z293,Z295)</f>
        <v>4043</v>
      </c>
      <c r="AA297" s="12">
        <f>SUM(AA276,AA283,AA293,AA295)</f>
        <v>-2629</v>
      </c>
      <c r="AB297" s="12">
        <f>SUM(X297:AA297)</f>
        <v>-408</v>
      </c>
      <c r="AC297" s="12">
        <f>SUM(AC276,AC283,AC293,AC295)</f>
        <v>-878</v>
      </c>
      <c r="AD297" s="12">
        <f>SUM(AD276,AD283,AD293,AD295)</f>
        <v>1473</v>
      </c>
      <c r="AE297" s="12">
        <f>SUM(AE276,AE283,AE293,AE295)</f>
        <v>1281</v>
      </c>
      <c r="AF297" s="12">
        <f>SUM(AF276,AF283,AF293,AF295)</f>
        <v>250</v>
      </c>
      <c r="AG297" s="12">
        <f>SUM(AC297:AF297)</f>
        <v>2126</v>
      </c>
      <c r="AH297" s="12">
        <f>SUM(AH276,AH283,AH293,AH295)</f>
        <v>-2679</v>
      </c>
      <c r="AI297" s="12">
        <f>SUM(AI276,AI283,AI293,AI295)</f>
        <v>3390</v>
      </c>
      <c r="AJ297" s="12">
        <f>SUM(AJ276,AJ283,AJ293,AJ295)</f>
        <v>5443.33795129874</v>
      </c>
      <c r="AK297" s="12">
        <f>SUM(AK276,AK283,AK293,AK295)</f>
        <v>7073.17157904606</v>
      </c>
      <c r="AL297" s="12">
        <f>SUM(AH297:AK297)</f>
        <v>13227.5095303448</v>
      </c>
      <c r="AM297" s="12">
        <f>SUM(AM276,AM283,AM293,AM295)</f>
        <v>7489.99064991697</v>
      </c>
      <c r="AN297" s="12">
        <f>SUM(AN276,AN283,AN293,AN295)</f>
        <v>7792.43349256411</v>
      </c>
      <c r="AO297" s="12">
        <f>SUM(AO276,AO283,AO293,AO295)</f>
        <v>8804.94737798318</v>
      </c>
      <c r="AP297" s="12">
        <f>SUM(AP276,AP283,AP293,AP295)</f>
        <v>9740.25507934971</v>
      </c>
      <c r="AQ297" s="12">
        <f>SUM(AM297:AP297)</f>
        <v>33827.626599814</v>
      </c>
      <c r="AR297" s="12">
        <f>SUM(AR276,AR283,AR293,AR295)</f>
        <v>10380.123749825</v>
      </c>
      <c r="AS297" s="12">
        <f>SUM(AS276,AS283,AS293,AS295)</f>
        <v>10806.9101540097</v>
      </c>
      <c r="AT297" s="12">
        <f>SUM(AT276,AT283,AT293,AT295)</f>
        <v>12312.21318421</v>
      </c>
      <c r="AU297" s="12">
        <f>SUM(AU276,AU283,AU293,AU295)</f>
        <v>13700.9544339844</v>
      </c>
      <c r="AV297" s="12">
        <f>SUM(AR297:AU297)</f>
        <v>47200.2015220291</v>
      </c>
      <c r="AW297" s="12">
        <f>SUM(AW276,AW283,AW293,AW295)</f>
        <v>14622.8542221594</v>
      </c>
      <c r="AX297" s="12">
        <f>SUM(AX276,AX283,AX293,AX295)</f>
        <v>15614.4859457617</v>
      </c>
      <c r="AY297" s="12">
        <f>SUM(AY276,AY283,AY293,AY295)</f>
        <v>17700.2917063583</v>
      </c>
      <c r="AZ297" s="12">
        <f>SUM(AZ276,AZ283,AZ293,AZ295)</f>
        <v>19787.6510547977</v>
      </c>
      <c r="BA297" s="12">
        <f>SUM(AW297:AZ297)</f>
        <v>67725.2829290771</v>
      </c>
      <c r="BB297" s="12">
        <f>SUM(BB276,BB283,BB293,BB295)</f>
        <v>21244.8206529312</v>
      </c>
      <c r="BC297" s="12">
        <f>SUM(BC276,BC283,BC293,BC295)</f>
        <v>22940.3246743704</v>
      </c>
      <c r="BD297" s="12">
        <f>SUM(BD276,BD283,BD293,BD295)</f>
        <v>26001.8896662882</v>
      </c>
      <c r="BE297" s="12">
        <f>SUM(BE276,BE283,BE293,BE295)</f>
        <v>29154.2780645908</v>
      </c>
      <c r="BF297" s="12">
        <f>SUM(BB297:BE297)</f>
        <v>99341.3130581807</v>
      </c>
      <c r="BG297" s="12" t="n"/>
      <c r="BH297" s="12" t="n"/>
      <c r="BI297" s="12" t="n"/>
      <c r="BJ297" s="12" t="n"/>
      <c r="BK297" s="12" t="n"/>
      <c r="BL297" s="12" t="n"/>
      <c r="BM297" s="12" t="n"/>
      <c r="BN297" s="12" t="n"/>
      <c r="BO297" s="12" t="n"/>
      <c r="BP297" s="12" t="n"/>
      <c r="BQ297" s="12" t="n"/>
      <c r="BR297" s="12" t="n"/>
      <c r="BS297" s="12" t="n"/>
      <c r="BT297" s="12" t="n"/>
      <c r="BU297" s="12" t="n"/>
      <c r="BV297" s="12" t="n"/>
      <c r="BW297" s="12" t="n"/>
      <c r="BX297" s="12" t="n"/>
      <c r="BY297" s="12" t="n"/>
      <c r="BZ297" s="12" t="n"/>
      <c r="CA297" s="12" t="n"/>
      <c r="CB297" s="12" t="n"/>
      <c r="CC297" s="12" t="n"/>
      <c r="CD297" s="12" t="n"/>
      <c r="CE297" s="12" t="n"/>
      <c r="CF297" s="12" t="n"/>
      <c r="CG297" s="12" t="n"/>
      <c r="CH297" s="12" t="n"/>
      <c r="CI297" s="12" t="n"/>
      <c r="CJ297" s="12" t="n"/>
      <c r="CK297" s="12" t="n"/>
      <c r="CL297" s="12" t="n"/>
      <c r="CM297" s="12" t="n"/>
      <c r="CN297" s="12" t="n"/>
      <c r="CO297" s="12" t="n"/>
      <c r="CP297" s="12" t="n"/>
      <c r="CQ297" s="12" t="n"/>
      <c r="CR297" s="12" t="n"/>
      <c r="CS297" s="12" t="n"/>
      <c r="CT297" s="12" t="n"/>
      <c r="CU297" s="12" t="n"/>
      <c r="CV297" s="12" t="n"/>
      <c r="CW297" s="12" t="n"/>
      <c r="CX297" s="12" t="n"/>
      <c r="CY297" s="12" t="n"/>
    </row>
    <row r="298">
      <c r="C298" s="4" t="inlineStr">
        <is>
          <t>Check</t>
        </is>
      </c>
      <c r="E298" s="72" t="n"/>
      <c r="F298" s="72" t="n"/>
      <c r="G298" s="72" t="n"/>
      <c r="I298" s="72" t="str">
        <f>""</f>
        <v/>
      </c>
      <c r="J298" s="72">
        <f>J127-I127-J297</f>
        <v>0</v>
      </c>
      <c r="K298" s="72">
        <f>K127-J127-K297</f>
        <v>0</v>
      </c>
      <c r="L298" s="72">
        <f>L127-K127-L297</f>
        <v>0</v>
      </c>
      <c r="M298" s="4" t="str">
        <f>""</f>
        <v/>
      </c>
      <c r="N298" s="72">
        <f>N127-M127-N297</f>
        <v>0</v>
      </c>
      <c r="O298" s="72">
        <f>O127-N127-O297</f>
        <v>0</v>
      </c>
      <c r="P298" s="72">
        <f>P127-O127-P297</f>
        <v>0</v>
      </c>
      <c r="Q298" s="72">
        <f>Q127-P127-Q297</f>
        <v>0</v>
      </c>
      <c r="R298" s="4">
        <f>R127-M127-R297</f>
        <v>0</v>
      </c>
      <c r="S298" s="72">
        <f>S127-R127-S297</f>
        <v>0</v>
      </c>
      <c r="T298" s="72">
        <f>T127-S127-T297</f>
        <v>0</v>
      </c>
      <c r="U298" s="72">
        <f>U127-T127-U297</f>
        <v>0</v>
      </c>
      <c r="V298" s="72">
        <f>V127-U127-V297</f>
        <v>0</v>
      </c>
      <c r="W298" s="4">
        <f>W127-R127-W297</f>
        <v>0</v>
      </c>
      <c r="X298" s="72">
        <f>X127-W127-X297</f>
        <v>0</v>
      </c>
      <c r="Y298" s="72">
        <f>Y127-X127-Y297</f>
        <v>0</v>
      </c>
      <c r="Z298" s="72">
        <f>Z127-Y127-Z297</f>
        <v>0</v>
      </c>
      <c r="AA298" s="72">
        <f>AA127-Z127-AA297</f>
        <v>0</v>
      </c>
      <c r="AB298" s="4">
        <f>AB127-W127-AB297</f>
        <v>0</v>
      </c>
      <c r="AC298" s="72">
        <f>AC127-AB127-AC297</f>
        <v>0</v>
      </c>
      <c r="AD298" s="72">
        <f>AD127-AC127-AD297</f>
        <v>0</v>
      </c>
      <c r="AE298" s="72">
        <f>AE127-AD127-AE297</f>
        <v>0</v>
      </c>
      <c r="AF298" s="72">
        <f>AF127-AE127-AF297</f>
        <v>0</v>
      </c>
      <c r="AG298" s="4">
        <f>AG127-AB127-AG297</f>
        <v>0</v>
      </c>
      <c r="AH298" s="72">
        <f>AH127-AG127-AH297</f>
        <v>0</v>
      </c>
      <c r="AI298" s="72">
        <f>AI127-AH127-AI297</f>
        <v>0</v>
      </c>
      <c r="AJ298" s="72">
        <f>AJ127-AI127-AJ297</f>
        <v>0</v>
      </c>
      <c r="AK298" s="72">
        <f>AK127-AJ127-AK297</f>
        <v>0</v>
      </c>
      <c r="AL298" s="4">
        <f>AL127-AG127-AL297</f>
        <v>0</v>
      </c>
      <c r="AM298" s="72">
        <f>AM127-AL127-AM297</f>
        <v>0</v>
      </c>
      <c r="AN298" s="72">
        <f>AN127-AM127-AN297</f>
        <v>0</v>
      </c>
      <c r="AO298" s="72">
        <f>AO127-AN127-AO297</f>
        <v>0</v>
      </c>
      <c r="AP298" s="72">
        <f>AP127-AO127-AP297</f>
        <v>0</v>
      </c>
      <c r="AQ298" s="4">
        <f>AQ127-AL127-AQ297</f>
        <v>0</v>
      </c>
      <c r="AR298" s="72">
        <f>AR127-AQ127-AR297</f>
        <v>0</v>
      </c>
      <c r="AS298" s="72">
        <f>AS127-AR127-AS297</f>
        <v>0</v>
      </c>
      <c r="AT298" s="72">
        <f>AT127-AS127-AT297</f>
        <v>0</v>
      </c>
      <c r="AU298" s="72">
        <f>AU127-AT127-AU297</f>
        <v>0</v>
      </c>
      <c r="AV298" s="4">
        <f>AV127-AQ127-AV297</f>
        <v>0</v>
      </c>
      <c r="AW298" s="72">
        <f>AW127-AV127-AW297</f>
        <v>0</v>
      </c>
      <c r="AX298" s="72">
        <f>AX127-AW127-AX297</f>
        <v>0</v>
      </c>
      <c r="AY298" s="72">
        <f>AY127-AX127-AY297</f>
        <v>0</v>
      </c>
      <c r="AZ298" s="72">
        <f>AZ127-AY127-AZ297</f>
        <v>0</v>
      </c>
      <c r="BA298" s="4">
        <f>BA127-AV127-BA297</f>
        <v>0</v>
      </c>
      <c r="BB298" s="72">
        <f>BB127-BA127-BB297</f>
        <v>0</v>
      </c>
      <c r="BC298" s="72">
        <f>BC127-BB127-BC297</f>
        <v>0</v>
      </c>
      <c r="BD298" s="72">
        <f>BD127-BC127-BD297</f>
        <v>0</v>
      </c>
      <c r="BE298" s="72">
        <f>BE127-BD127-BE297</f>
        <v>0</v>
      </c>
      <c r="BF298" s="4">
        <f>BF127-BA127-BF297</f>
        <v>0</v>
      </c>
      <c r="BG298" s="72" t="n"/>
      <c r="BH298" s="72" t="n"/>
      <c r="BI298" s="72" t="n"/>
      <c r="BJ298" s="72" t="n"/>
      <c r="BL298" s="72" t="n"/>
      <c r="BM298" s="72" t="n"/>
      <c r="BN298" s="72" t="n"/>
      <c r="BO298" s="72" t="n"/>
      <c r="BQ298" s="72" t="n"/>
      <c r="BR298" s="72" t="n"/>
      <c r="BS298" s="72" t="n"/>
      <c r="BT298" s="72" t="n"/>
      <c r="BV298" s="72" t="n"/>
      <c r="BW298" s="72" t="n"/>
      <c r="BX298" s="72" t="n"/>
      <c r="BY298" s="72" t="n"/>
      <c r="CA298" s="72" t="n"/>
      <c r="CB298" s="72" t="n"/>
      <c r="CC298" s="72" t="n"/>
      <c r="CD298" s="72" t="n"/>
      <c r="CF298" s="72" t="n"/>
      <c r="CG298" s="72" t="n"/>
      <c r="CH298" s="72" t="n"/>
      <c r="CI298" s="72" t="n"/>
      <c r="CK298" s="72" t="n"/>
      <c r="CL298" s="72" t="n"/>
      <c r="CM298" s="72" t="n"/>
      <c r="CN298" s="72" t="n"/>
      <c r="CP298" s="72" t="n"/>
      <c r="CQ298" s="72" t="n"/>
      <c r="CR298" s="72" t="n"/>
      <c r="CS298" s="72" t="n"/>
      <c r="CU298" s="72" t="n"/>
      <c r="CV298" s="72" t="n"/>
      <c r="CW298" s="72" t="n"/>
      <c r="CX298" s="72" t="n"/>
    </row>
    <row r="299"/>
    <row r="300">
      <c r="C300" s="73" t="inlineStr">
        <is>
          <t>Ratio Analysis</t>
        </is>
      </c>
      <c r="D300" s="73" t="n"/>
      <c r="E300" s="73" t="n"/>
      <c r="F300" s="73" t="n"/>
      <c r="G300" s="73" t="n"/>
      <c r="H300" s="73" t="n"/>
      <c r="I300" s="73" t="n"/>
      <c r="J300" s="73" t="n"/>
      <c r="K300" s="73" t="n"/>
      <c r="L300" s="73" t="n"/>
      <c r="M300" s="73" t="n"/>
      <c r="N300" s="73" t="n"/>
      <c r="O300" s="73" t="n"/>
      <c r="P300" s="73" t="n"/>
      <c r="Q300" s="73" t="n"/>
      <c r="R300" s="73" t="n"/>
      <c r="S300" s="73" t="n"/>
      <c r="T300" s="73" t="n"/>
      <c r="U300" s="73" t="n"/>
      <c r="V300" s="73" t="n"/>
      <c r="W300" s="73" t="n"/>
      <c r="X300" s="73" t="n"/>
      <c r="Y300" s="73" t="n"/>
      <c r="Z300" s="73" t="n"/>
      <c r="AA300" s="73" t="n"/>
      <c r="AB300" s="73" t="n"/>
      <c r="AC300" s="73" t="n"/>
      <c r="AD300" s="73" t="n"/>
      <c r="AE300" s="73" t="n"/>
      <c r="AF300" s="73" t="n"/>
      <c r="AG300" s="73" t="n"/>
      <c r="AH300" s="73" t="n"/>
      <c r="AI300" s="73" t="n"/>
      <c r="AJ300" s="73" t="n"/>
      <c r="AK300" s="73" t="n"/>
      <c r="AL300" s="73" t="n"/>
      <c r="AM300" s="73" t="n"/>
      <c r="AN300" s="73" t="n"/>
      <c r="AO300" s="73" t="n"/>
      <c r="AP300" s="73" t="n"/>
      <c r="AQ300" s="73" t="n"/>
      <c r="AR300" s="73" t="n"/>
      <c r="AS300" s="73" t="n"/>
      <c r="AT300" s="73" t="n"/>
      <c r="AU300" s="73" t="n"/>
      <c r="AV300" s="73" t="n"/>
      <c r="AW300" s="73" t="n"/>
      <c r="AX300" s="73" t="n"/>
      <c r="AY300" s="73" t="n"/>
      <c r="AZ300" s="73" t="n"/>
      <c r="BA300" s="73" t="n"/>
      <c r="BB300" s="73" t="n"/>
      <c r="BC300" s="73" t="n"/>
      <c r="BD300" s="73" t="n"/>
      <c r="BE300" s="73" t="n"/>
      <c r="BF300" s="73" t="n"/>
      <c r="BG300" s="73" t="n"/>
      <c r="BH300" s="73" t="n"/>
      <c r="BI300" s="73" t="n"/>
      <c r="BJ300" s="73" t="n"/>
      <c r="BK300" s="73" t="n"/>
      <c r="BL300" s="73" t="n"/>
      <c r="BM300" s="73" t="n"/>
      <c r="BN300" s="73" t="n"/>
      <c r="BO300" s="73" t="n"/>
      <c r="BP300" s="73" t="n"/>
      <c r="BQ300" s="73" t="n"/>
      <c r="BR300" s="73" t="n"/>
      <c r="BS300" s="73" t="n"/>
      <c r="BT300" s="73" t="n"/>
      <c r="BU300" s="73" t="n"/>
      <c r="BV300" s="73" t="n"/>
      <c r="BW300" s="73" t="n"/>
      <c r="BX300" s="73" t="n"/>
      <c r="BY300" s="73" t="n"/>
      <c r="BZ300" s="73" t="n"/>
      <c r="CA300" s="73" t="n"/>
      <c r="CB300" s="73" t="n"/>
      <c r="CC300" s="73" t="n"/>
      <c r="CD300" s="73" t="n"/>
      <c r="CE300" s="73" t="n"/>
      <c r="CF300" s="73" t="n"/>
      <c r="CG300" s="73" t="n"/>
      <c r="CH300" s="73" t="n"/>
      <c r="CI300" s="73" t="n"/>
      <c r="CJ300" s="73" t="n"/>
      <c r="CK300" s="73" t="n"/>
      <c r="CL300" s="73" t="n"/>
      <c r="CM300" s="73" t="n"/>
      <c r="CN300" s="73" t="n"/>
      <c r="CO300" s="73" t="n"/>
      <c r="CP300" s="73" t="n"/>
      <c r="CQ300" s="73" t="n"/>
      <c r="CR300" s="73" t="n"/>
      <c r="CS300" s="73" t="n"/>
      <c r="CT300" s="73" t="n"/>
      <c r="CU300" s="73" t="n"/>
      <c r="CV300" s="73" t="n"/>
      <c r="CW300" s="73" t="n"/>
      <c r="CX300" s="73" t="n"/>
      <c r="CY300" s="73" t="n"/>
    </row>
    <row r="301"/>
    <row r="302" customFormat="1" s="74">
      <c r="C302" s="74" t="inlineStr">
        <is>
          <t>YEAR</t>
        </is>
      </c>
      <c r="D302">
        <f>IFERROR(D258,"")</f>
        <v>0</v>
      </c>
      <c r="E302" s="75">
        <f>IFERROR(E258,"")</f>
        <v>0</v>
      </c>
      <c r="F302" s="75">
        <f>IFERROR(F258,"")</f>
        <v>0</v>
      </c>
      <c r="G302" s="75">
        <f>IFERROR(G258,"")</f>
        <v>0</v>
      </c>
      <c r="H302" s="75">
        <f>IFERROR(H258,"")</f>
        <v>0</v>
      </c>
      <c r="I302" s="75" t="str">
        <f>IFERROR(I258,"")</f>
        <v>1Q21</v>
      </c>
      <c r="J302" s="75" t="str">
        <f>IFERROR(J258,"")</f>
        <v>2Q21</v>
      </c>
      <c r="K302" s="75" t="str">
        <f>IFERROR(K258,"")</f>
        <v>3Q21</v>
      </c>
      <c r="L302" s="75" t="str">
        <f>IFERROR(L258,"")</f>
        <v>4Q21</v>
      </c>
      <c r="M302" s="75">
        <f>IFERROR(M258,"")</f>
        <v>2021</v>
      </c>
      <c r="N302" s="75" t="str">
        <f>IFERROR(N258,"")</f>
        <v>1Q22</v>
      </c>
      <c r="O302" s="75" t="str">
        <f>IFERROR(O258,"")</f>
        <v>2Q22</v>
      </c>
      <c r="P302" s="75" t="str">
        <f>IFERROR(P258,"")</f>
        <v>3Q22</v>
      </c>
      <c r="Q302" s="75" t="str">
        <f>IFERROR(Q258,"")</f>
        <v>4Q22</v>
      </c>
      <c r="R302" s="75">
        <f>IFERROR(R258,"")</f>
        <v>2022</v>
      </c>
      <c r="S302" s="75" t="str">
        <f>IFERROR(S258,"")</f>
        <v>1Q23</v>
      </c>
      <c r="T302" s="75" t="str">
        <f>IFERROR(T258,"")</f>
        <v>2Q23</v>
      </c>
      <c r="U302" s="75" t="str">
        <f>IFERROR(U258,"")</f>
        <v>3Q23</v>
      </c>
      <c r="V302" s="75" t="str">
        <f>IFERROR(V258,"")</f>
        <v>4Q23</v>
      </c>
      <c r="W302" s="75">
        <f>IFERROR(W258,"")</f>
        <v>2023</v>
      </c>
      <c r="X302" s="75" t="str">
        <f>IFERROR(X258,"")</f>
        <v>1Q24</v>
      </c>
      <c r="Y302" s="75" t="str">
        <f>IFERROR(Y258,"")</f>
        <v>2Q24</v>
      </c>
      <c r="Z302" s="75" t="str">
        <f>IFERROR(Z258,"")</f>
        <v>3Q24</v>
      </c>
      <c r="AA302" s="75" t="str">
        <f>IFERROR(AA258,"")</f>
        <v>4Q24</v>
      </c>
      <c r="AB302" s="75">
        <f>IFERROR(AB258,"")</f>
        <v>2024</v>
      </c>
      <c r="AC302" s="75" t="str">
        <f>IFERROR(AC258,"")</f>
        <v>1Q25</v>
      </c>
      <c r="AD302" s="75" t="str">
        <f>IFERROR(AD258,"")</f>
        <v>2Q25</v>
      </c>
      <c r="AE302" s="75" t="str">
        <f>IFERROR(AE258,"")</f>
        <v>3Q25</v>
      </c>
      <c r="AF302" s="75" t="str">
        <f>IFERROR(AF258,"")</f>
        <v>4Q25</v>
      </c>
      <c r="AG302" s="75">
        <f>IFERROR(AG258,"")</f>
        <v>2025</v>
      </c>
      <c r="AH302" s="75" t="str">
        <f>IFERROR(AH258,"")</f>
        <v>1Q26</v>
      </c>
      <c r="AI302" s="75" t="str">
        <f>IFERROR(AI258,"")</f>
        <v>2Q26</v>
      </c>
      <c r="AJ302" s="75" t="str">
        <f>IFERROR(AJ258,"")</f>
        <v>3Q26</v>
      </c>
      <c r="AK302" s="75" t="str">
        <f>IFERROR(AK258,"")</f>
        <v>4Q26</v>
      </c>
      <c r="AL302" s="75">
        <f>IFERROR(AL258,"")</f>
        <v>2026</v>
      </c>
      <c r="AM302" s="75" t="str">
        <f>IFERROR(AM258,"")</f>
        <v>1Q27</v>
      </c>
      <c r="AN302" s="75" t="str">
        <f>IFERROR(AN258,"")</f>
        <v>2Q27</v>
      </c>
      <c r="AO302" s="75" t="str">
        <f>IFERROR(AO258,"")</f>
        <v>3Q27</v>
      </c>
      <c r="AP302" s="75" t="str">
        <f>IFERROR(AP258,"")</f>
        <v>4Q27</v>
      </c>
      <c r="AQ302" s="75">
        <f>IFERROR(AQ258,"")</f>
        <v>2027</v>
      </c>
      <c r="AR302" s="75" t="str">
        <f>IFERROR(AR258,"")</f>
        <v>1Q28</v>
      </c>
      <c r="AS302" s="75" t="str">
        <f>IFERROR(AS258,"")</f>
        <v>2Q28</v>
      </c>
      <c r="AT302" s="75" t="str">
        <f>IFERROR(AT258,"")</f>
        <v>3Q28</v>
      </c>
      <c r="AU302" s="75" t="str">
        <f>IFERROR(AU258,"")</f>
        <v>4Q28</v>
      </c>
      <c r="AV302" s="75">
        <f>IFERROR(AV258,"")</f>
        <v>2028</v>
      </c>
      <c r="AW302" s="75" t="str">
        <f>IFERROR(AW258,"")</f>
        <v>1Q29</v>
      </c>
      <c r="AX302" s="75" t="str">
        <f>IFERROR(AX258,"")</f>
        <v>2Q29</v>
      </c>
      <c r="AY302" s="75" t="str">
        <f>IFERROR(AY258,"")</f>
        <v>3Q29</v>
      </c>
      <c r="AZ302" s="75" t="str">
        <f>IFERROR(AZ258,"")</f>
        <v>4Q29</v>
      </c>
      <c r="BA302" s="75">
        <f>IFERROR(BA258,"")</f>
        <v>2029</v>
      </c>
      <c r="BB302" s="75" t="str">
        <f>IFERROR(BB258,"")</f>
        <v>1Q30</v>
      </c>
      <c r="BC302" s="75" t="str">
        <f>IFERROR(BC258,"")</f>
        <v>2Q30</v>
      </c>
      <c r="BD302" s="75" t="str">
        <f>IFERROR(BD258,"")</f>
        <v>3Q30</v>
      </c>
      <c r="BE302" s="75" t="str">
        <f>IFERROR(BE258,"")</f>
        <v>4Q30</v>
      </c>
      <c r="BF302" s="75">
        <f>IFERROR(BF258,"")</f>
        <v>2030</v>
      </c>
      <c r="BG302" s="75" t="n"/>
      <c r="BH302" s="75" t="n"/>
      <c r="BI302" s="75" t="n"/>
      <c r="BJ302" s="75" t="n"/>
      <c r="BK302" s="75" t="n"/>
      <c r="BL302" s="75" t="n"/>
      <c r="BM302" s="75" t="n"/>
      <c r="BN302" s="75" t="n"/>
      <c r="BO302" s="75" t="n"/>
      <c r="BP302" s="75" t="n"/>
      <c r="BQ302" s="75" t="n"/>
      <c r="BR302" s="75" t="n"/>
      <c r="BS302" s="75" t="n"/>
      <c r="BT302" s="75" t="n"/>
      <c r="BU302" s="75" t="n"/>
      <c r="BV302" s="75" t="n"/>
      <c r="BW302" s="75" t="n"/>
      <c r="BX302" s="75" t="n"/>
      <c r="BY302" s="75" t="n"/>
      <c r="BZ302" s="75" t="n"/>
      <c r="CA302" s="75" t="n"/>
      <c r="CB302" s="75" t="n"/>
      <c r="CC302" s="75" t="n"/>
      <c r="CD302" s="75" t="n"/>
      <c r="CE302" s="75" t="n"/>
      <c r="CF302" s="75" t="n"/>
      <c r="CG302" s="75" t="n"/>
      <c r="CH302" s="75" t="n"/>
      <c r="CI302" s="75" t="n"/>
      <c r="CJ302" s="75" t="n"/>
      <c r="CK302" s="75" t="n"/>
      <c r="CL302" s="75" t="n"/>
      <c r="CM302" s="75" t="n"/>
      <c r="CN302" s="75" t="n"/>
      <c r="CO302" s="75" t="n"/>
      <c r="CP302" s="75" t="n"/>
      <c r="CQ302" s="75" t="n"/>
      <c r="CR302" s="75" t="n"/>
      <c r="CS302" s="75" t="n"/>
      <c r="CT302" s="75" t="n"/>
      <c r="CU302" s="75" t="n"/>
      <c r="CV302" s="75" t="n"/>
      <c r="CW302" s="75" t="n"/>
      <c r="CX302" s="75" t="n"/>
      <c r="CY302" s="75" t="n"/>
    </row>
    <row r="303" customFormat="1" s="77">
      <c r="A303" s="76" t="n"/>
      <c r="B303" s="76" t="n"/>
      <c r="C303" s="74" t="inlineStr">
        <is>
          <t>GROWTH &amp; MARGINS</t>
        </is>
      </c>
    </row>
    <row r="304" customFormat="1" s="77">
      <c r="A304" s="76" t="n"/>
      <c r="B304" s="76" t="n"/>
      <c r="C304" s="77" t="inlineStr">
        <is>
          <t>NET REVENUE GROWTH (YoY)</t>
        </is>
      </c>
      <c r="E304" s="78" t="str">
        <f>IFERROR(E15/D15-1,"")</f>
        <v/>
      </c>
      <c r="F304" s="78" t="str">
        <f>IFERROR(F15/E15-1,"")</f>
        <v/>
      </c>
      <c r="G304" s="78" t="str">
        <f>IFERROR(G15/F15-1,"")</f>
        <v/>
      </c>
      <c r="H304" s="257" t="str">
        <f>""</f>
        <v/>
      </c>
      <c r="I304" s="257" t="str">
        <f>""</f>
        <v/>
      </c>
      <c r="J304" s="257" t="str">
        <f>""</f>
        <v/>
      </c>
      <c r="K304" s="257" t="str">
        <f>""</f>
        <v/>
      </c>
      <c r="L304" s="257" t="str">
        <f>""</f>
        <v/>
      </c>
      <c r="M304" s="257" t="str">
        <f>IFERROR(IF(AND(ISNUMBER(M15),ISNUMBER(H15),H15&lt;&gt;0),M15/H15-1,""),"")</f>
        <v/>
      </c>
      <c r="N304" s="257">
        <f>IFERROR(IF(AND(ISNUMBER(N15),ISNUMBER(I15),I15&lt;&gt;0),N15/I15-1,""),"")</f>
        <v>0.243561973525873</v>
      </c>
      <c r="O304" s="257">
        <f>IFERROR(IF(AND(ISNUMBER(O15),ISNUMBER(J15),J15&lt;&gt;0),O15/J15-1,""),"")</f>
        <v>0.214001766784452</v>
      </c>
      <c r="P304" s="257">
        <f>IFERROR(IF(AND(ISNUMBER(P15),ISNUMBER(K15),K15&lt;&gt;0),P15/K15-1,""),"")</f>
        <v>0.154663991975928</v>
      </c>
      <c r="Q304" s="257">
        <f>IFERROR(IF(AND(ISNUMBER(Q15),ISNUMBER(L15),L15&lt;&gt;0),Q15/L15-1,""),"")</f>
        <v>0.115222392638037</v>
      </c>
      <c r="R304" s="257">
        <f>IFERROR(IF(AND(ISNUMBER(R15),ISNUMBER(M15),M15&lt;&gt;0),R15/M15-1,""),"")</f>
        <v>0.17755772082186</v>
      </c>
      <c r="S304" s="257">
        <f>IFERROR(IF(AND(ISNUMBER(S15),ISNUMBER(N15),N15&lt;&gt;0),S15/N15-1,""),"")</f>
        <v>0.112444358428488</v>
      </c>
      <c r="T304" s="257">
        <f>IFERROR(IF(AND(ISNUMBER(T15),ISNUMBER(O15),O15&lt;&gt;0),T15/O15-1,""),"")</f>
        <v>0.140440240130981</v>
      </c>
      <c r="U304" s="257">
        <f>IFERROR(IF(AND(ISNUMBER(U15),ISNUMBER(P15),P15&lt;&gt;0),U15/P15-1,""),"")</f>
        <v>0.13498957609451</v>
      </c>
      <c r="V304" s="257">
        <f>IFERROR(IF(AND(ISNUMBER(V15),ISNUMBER(Q15),Q15&lt;&gt;0),V15/Q15-1,""),"")</f>
        <v>0.125666150936909</v>
      </c>
      <c r="W304" s="257">
        <f>IFERROR(IF(AND(ISNUMBER(W15),ISNUMBER(R15),R15&lt;&gt;0),W15/R15-1,""),"")</f>
        <v>0.128659441471422</v>
      </c>
      <c r="X304" s="257">
        <f>IFERROR(IF(AND(ISNUMBER(X15),ISNUMBER(S15),S15&lt;&gt;0),X15/S15-1,""),"")</f>
        <v>0.104384133611691</v>
      </c>
      <c r="Y304" s="257">
        <f>IFERROR(IF(AND(ISNUMBER(Y15),ISNUMBER(T15),T15&lt;&gt;0),Y15/T15-1,""),"")</f>
        <v>0.110384431328761</v>
      </c>
      <c r="Z304" s="257">
        <f>IFERROR(IF(AND(ISNUMBER(Z15),ISNUMBER(U15),U15&lt;&gt;0),Z15/U15-1,""),"")</f>
        <v>0.127965712536354</v>
      </c>
      <c r="AA304" s="257">
        <f>IFERROR(IF(AND(ISNUMBER(AA15),ISNUMBER(V15),V15&lt;&gt;0),AA15/V15-1,""),"")</f>
        <v>0.143708002443494</v>
      </c>
      <c r="AB304" s="257">
        <f>IFERROR(IF(AND(ISNUMBER(AB15),ISNUMBER(W15),W15&lt;&gt;0),AB15/W15-1,""),"")</f>
        <v>0.122280659813531</v>
      </c>
      <c r="AC304" s="257">
        <f>IFERROR(IF(AND(ISNUMBER(AC15),ISNUMBER(X15),X15&lt;&gt;0),AC15/X15-1,""),"")</f>
        <v>0.142091997479521</v>
      </c>
      <c r="AD304" s="257">
        <f>IFERROR(IF(AND(ISNUMBER(AD15),ISNUMBER(Y15),Y15&lt;&gt;0),AD15/Y15-1,""),"")</f>
        <v>0.168366613992242</v>
      </c>
      <c r="AE304" s="257">
        <f>IFERROR(IF(AND(ISNUMBER(AE15),ISNUMBER(Z15),Z15&lt;&gt;0),AE15/Z15-1,""),"")</f>
        <v>0.167322567512552</v>
      </c>
      <c r="AF304" s="257">
        <f>IFERROR(IF(AND(ISNUMBER(AF15),ISNUMBER(AA15),AA15&lt;&gt;0),AF15/AA15-1,""),"")</f>
        <v>0.175857924956603</v>
      </c>
      <c r="AG304" s="257">
        <f>IFERROR(IF(AND(ISNUMBER(AG15),ISNUMBER(AB15),AB15&lt;&gt;0),AG15/AB15-1,""),"")</f>
        <v>0.164163737707246</v>
      </c>
      <c r="AH304" s="257">
        <f>IFERROR(IF(AND(ISNUMBER(AH15),ISNUMBER(AC15),AC15&lt;&gt;0),AH15/AC15-1,""),"")</f>
        <v>0.158344827586207</v>
      </c>
      <c r="AI304" s="257">
        <f>IFERROR(IF(AND(ISNUMBER(AI15),ISNUMBER(AD15),AD15&lt;&gt;0),AI15/AD15-1,""),"")</f>
        <v>0.140661502520595</v>
      </c>
      <c r="AJ304" s="257">
        <f>IFERROR(IF(AND(ISNUMBER(AJ15),ISNUMBER(AE15),AE15&lt;&gt;0),AJ15/AE15-1,""),"")</f>
        <v>0.158774239007954</v>
      </c>
      <c r="AK304" s="257">
        <f>IFERROR(IF(AND(ISNUMBER(AK15),ISNUMBER(AF15),AF15&lt;&gt;0),AK15/AF15-1,""),"")</f>
        <v>0.158774239007954</v>
      </c>
      <c r="AL304" s="257">
        <f>IFERROR(IF(AND(ISNUMBER(AL15),ISNUMBER(AG15),AG15&lt;&gt;0),AL15/AG15-1,""),"")</f>
        <v>0.154186879102512</v>
      </c>
      <c r="AM304" s="257">
        <f>IFERROR(IF(AND(ISNUMBER(AM15),ISNUMBER(AH15),AH15&lt;&gt;0),AM15/AH15-1,""),"")</f>
        <v>0.158774239007954</v>
      </c>
      <c r="AN304" s="257">
        <f>IFERROR(IF(AND(ISNUMBER(AN15),ISNUMBER(AI15),AI15&lt;&gt;0),AN15/AI15-1,""),"")</f>
        <v>0.158774239007954</v>
      </c>
      <c r="AO304" s="257">
        <f>IFERROR(IF(AND(ISNUMBER(AO15),ISNUMBER(AJ15),AJ15&lt;&gt;0),AO15/AJ15-1,""),"")</f>
        <v>0.158774239007954</v>
      </c>
      <c r="AP304" s="257">
        <f>IFERROR(IF(AND(ISNUMBER(AP15),ISNUMBER(AK15),AK15&lt;&gt;0),AP15/AK15-1,""),"")</f>
        <v>0.158774239007954</v>
      </c>
      <c r="AQ304" s="257">
        <f>IFERROR(IF(AND(ISNUMBER(AQ15),ISNUMBER(AL15),AL15&lt;&gt;0),AQ15/AL15-1,""),"")</f>
        <v>0.158774239007954</v>
      </c>
      <c r="AR304" s="257">
        <f>IFERROR(IF(AND(ISNUMBER(AR15),ISNUMBER(AM15),AM15&lt;&gt;0),AR15/AM15-1,""),"")</f>
        <v>0.153774239007954</v>
      </c>
      <c r="AS304" s="257">
        <f>IFERROR(IF(AND(ISNUMBER(AS15),ISNUMBER(AN15),AN15&lt;&gt;0),AS15/AN15-1,""),"")</f>
        <v>0.153774239007954</v>
      </c>
      <c r="AT304" s="257">
        <f>IFERROR(IF(AND(ISNUMBER(AT15),ISNUMBER(AO15),AO15&lt;&gt;0),AT15/AO15-1,""),"")</f>
        <v>0.153774239007954</v>
      </c>
      <c r="AU304" s="257">
        <f>IFERROR(IF(AND(ISNUMBER(AU15),ISNUMBER(AP15),AP15&lt;&gt;0),AU15/AP15-1,""),"")</f>
        <v>0.153774239007954</v>
      </c>
      <c r="AV304" s="257">
        <f>IFERROR(IF(AND(ISNUMBER(AV15),ISNUMBER(AQ15),AQ15&lt;&gt;0),AV15/AQ15-1,""),"")</f>
        <v>0.153774239007954</v>
      </c>
      <c r="AW304" s="257">
        <f>IFERROR(IF(AND(ISNUMBER(AW15),ISNUMBER(AR15),AR15&lt;&gt;0),AW15/AR15-1,""),"")</f>
        <v>0.148774239007953</v>
      </c>
      <c r="AX304" s="257">
        <f>IFERROR(IF(AND(ISNUMBER(AX15),ISNUMBER(AS15),AS15&lt;&gt;0),AX15/AS15-1,""),"")</f>
        <v>0.148774239007953</v>
      </c>
      <c r="AY304" s="257">
        <f>IFERROR(IF(AND(ISNUMBER(AY15),ISNUMBER(AT15),AT15&lt;&gt;0),AY15/AT15-1,""),"")</f>
        <v>0.148774239007953</v>
      </c>
      <c r="AZ304" s="257">
        <f>IFERROR(IF(AND(ISNUMBER(AZ15),ISNUMBER(AU15),AU15&lt;&gt;0),AZ15/AU15-1,""),"")</f>
        <v>0.148774239007953</v>
      </c>
      <c r="BA304" s="257">
        <f>IFERROR(IF(AND(ISNUMBER(BA15),ISNUMBER(AV15),AV15&lt;&gt;0),BA15/AV15-1,""),"")</f>
        <v>0.148774239007953</v>
      </c>
      <c r="BB304" s="257">
        <f>IFERROR(IF(AND(ISNUMBER(BB15),ISNUMBER(AW15),AW15&lt;&gt;0),BB15/AW15-1,""),"")</f>
        <v>0.143774239007954</v>
      </c>
      <c r="BC304" s="257">
        <f>IFERROR(IF(AND(ISNUMBER(BC15),ISNUMBER(AX15),AX15&lt;&gt;0),BC15/AX15-1,""),"")</f>
        <v>0.143774239007954</v>
      </c>
      <c r="BD304" s="257">
        <f>IFERROR(IF(AND(ISNUMBER(BD15),ISNUMBER(AY15),AY15&lt;&gt;0),BD15/AY15-1,""),"")</f>
        <v>0.143774239007954</v>
      </c>
      <c r="BE304" s="257">
        <f>IFERROR(IF(AND(ISNUMBER(BE15),ISNUMBER(AZ15),AZ15&lt;&gt;0),BE15/AZ15-1,""),"")</f>
        <v>0.143774239007954</v>
      </c>
      <c r="BF304" s="257">
        <f>IFERROR(IF(AND(ISNUMBER(BF15),ISNUMBER(BA15),BA15&lt;&gt;0),BF15/BA15-1,""),"")</f>
        <v>0.143774239007954</v>
      </c>
      <c r="BG304" s="79" t="n"/>
      <c r="BH304" s="79" t="n"/>
      <c r="BI304" s="79" t="n"/>
      <c r="BJ304" s="79" t="n"/>
      <c r="BK304" s="78" t="n"/>
      <c r="BL304" s="79" t="n"/>
      <c r="BM304" s="79" t="n"/>
      <c r="BN304" s="79" t="n"/>
      <c r="BO304" s="79" t="n"/>
      <c r="BP304" s="78" t="n"/>
      <c r="BQ304" s="79" t="n"/>
      <c r="BR304" s="79" t="n"/>
      <c r="BS304" s="79" t="n"/>
      <c r="BT304" s="79" t="n"/>
      <c r="BU304" s="78" t="n"/>
      <c r="BV304" s="79" t="n"/>
      <c r="BW304" s="79" t="n"/>
      <c r="BX304" s="79" t="n"/>
      <c r="BY304" s="79" t="n"/>
      <c r="BZ304" s="78" t="n"/>
      <c r="CA304" s="79" t="n"/>
      <c r="CB304" s="79" t="n"/>
      <c r="CC304" s="79" t="n"/>
      <c r="CD304" s="79" t="n"/>
      <c r="CE304" s="78" t="n"/>
      <c r="CF304" s="79" t="n"/>
      <c r="CG304" s="79" t="n"/>
      <c r="CH304" s="79" t="n"/>
      <c r="CI304" s="79" t="n"/>
      <c r="CJ304" s="78" t="n"/>
      <c r="CK304" s="79" t="n"/>
      <c r="CL304" s="79" t="n"/>
      <c r="CM304" s="79" t="n"/>
      <c r="CN304" s="79" t="n"/>
      <c r="CO304" s="78" t="n"/>
      <c r="CP304" s="79" t="n"/>
      <c r="CQ304" s="79" t="n"/>
      <c r="CR304" s="79" t="n"/>
      <c r="CS304" s="79" t="n"/>
      <c r="CT304" s="78" t="n"/>
      <c r="CU304" s="79" t="n"/>
      <c r="CV304" s="79" t="n"/>
      <c r="CW304" s="79" t="n"/>
      <c r="CX304" s="79" t="n"/>
      <c r="CY304" s="78" t="n"/>
    </row>
    <row r="305" customFormat="1" s="77">
      <c r="A305" s="76" t="n"/>
      <c r="B305" s="76" t="n"/>
      <c r="C305" s="77" t="inlineStr">
        <is>
          <t>GROSS MARGIN</t>
        </is>
      </c>
      <c r="D305" s="79" t="str">
        <f>IFERROR(SUM(D15,D37)/D15,"")</f>
        <v/>
      </c>
      <c r="E305" s="79" t="str">
        <f>IFERROR(SUM(E15,E37)/E15,"")</f>
        <v/>
      </c>
      <c r="F305" s="79" t="str">
        <f>IFERROR(SUM(F15,F37)/F15,"")</f>
        <v/>
      </c>
      <c r="G305" s="79" t="str">
        <f>IFERROR(SUM(G15,G37)/G15,"")</f>
        <v/>
      </c>
      <c r="H305" s="258" t="str">
        <f>IFERROR(IF(N(H15)&lt;&gt;0,(H15+H37)/H15,""),"")</f>
        <v/>
      </c>
      <c r="I305" s="258">
        <f>IFERROR(IF(N(I15)&lt;&gt;0,(I15+I37)/I15,""),"")</f>
        <v>1</v>
      </c>
      <c r="J305" s="258">
        <f>IFERROR(IF(N(J15)&lt;&gt;0,(J15+J37)/J15,""),"")</f>
        <v>1</v>
      </c>
      <c r="K305" s="258">
        <f>IFERROR(IF(N(K15)&lt;&gt;0,(K15+K37)/K15,""),"")</f>
        <v>1</v>
      </c>
      <c r="L305" s="258">
        <f>IFERROR(IF(N(L15)&lt;&gt;0,(L15+L37)/L15,""),"")</f>
        <v>1</v>
      </c>
      <c r="M305" s="258">
        <f>IFERROR(IF(N(M15)&lt;&gt;0,(M15+M37)/M15,""),"")</f>
        <v>1</v>
      </c>
      <c r="N305" s="258">
        <f>IFERROR(IF(N(N15)&lt;&gt;0,(N15+N37)/N15,""),"")</f>
        <v>1</v>
      </c>
      <c r="O305" s="258">
        <f>IFERROR(IF(N(O15)&lt;&gt;0,(O15+O37)/O15,""),"")</f>
        <v>1</v>
      </c>
      <c r="P305" s="258">
        <f>IFERROR(IF(N(P15)&lt;&gt;0,(P15+P37)/P15,""),"")</f>
        <v>1</v>
      </c>
      <c r="Q305" s="258">
        <f>IFERROR(IF(N(Q15)&lt;&gt;0,(Q15+Q37)/Q15,""),"")</f>
        <v>1</v>
      </c>
      <c r="R305" s="258">
        <f>IFERROR(IF(N(R15)&lt;&gt;0,(R15+R37)/R15,""),"")</f>
        <v>1</v>
      </c>
      <c r="S305" s="258">
        <f>IFERROR(IF(N(S15)&lt;&gt;0,(S15+S37)/S15,""),"")</f>
        <v>1</v>
      </c>
      <c r="T305" s="258">
        <f>IFERROR(IF(N(T15)&lt;&gt;0,(T15+T37)/T15,""),"")</f>
        <v>1</v>
      </c>
      <c r="U305" s="258">
        <f>IFERROR(IF(N(U15)&lt;&gt;0,(U15+U37)/U15,""),"")</f>
        <v>1</v>
      </c>
      <c r="V305" s="258">
        <f>IFERROR(IF(N(V15)&lt;&gt;0,(V15+V37)/V15,""),"")</f>
        <v>1</v>
      </c>
      <c r="W305" s="258">
        <f>IFERROR(IF(N(W15)&lt;&gt;0,(W15+W37)/W15,""),"")</f>
        <v>1</v>
      </c>
      <c r="X305" s="258">
        <f>IFERROR(IF(N(X15)&lt;&gt;0,(X15+X37)/X15,""),"")</f>
        <v>1</v>
      </c>
      <c r="Y305" s="258">
        <f>IFERROR(IF(N(Y15)&lt;&gt;0,(Y15+Y37)/Y15,""),"")</f>
        <v>1</v>
      </c>
      <c r="Z305" s="258">
        <f>IFERROR(IF(N(Z15)&lt;&gt;0,(Z15+Z37)/Z15,""),"")</f>
        <v>1</v>
      </c>
      <c r="AA305" s="258">
        <f>IFERROR(IF(N(AA15)&lt;&gt;0,(AA15+AA37)/AA15,""),"")</f>
        <v>1</v>
      </c>
      <c r="AB305" s="258">
        <f>IFERROR(IF(N(AB15)&lt;&gt;0,(AB15+AB37)/AB15,""),"")</f>
        <v>1</v>
      </c>
      <c r="AC305" s="258">
        <f>IFERROR(IF(N(AC15)&lt;&gt;0,(AC15+AC37)/AC15,""),"")</f>
        <v>1</v>
      </c>
      <c r="AD305" s="258">
        <f>IFERROR(IF(N(AD15)&lt;&gt;0,(AD15+AD37)/AD15,""),"")</f>
        <v>1</v>
      </c>
      <c r="AE305" s="258">
        <f>IFERROR(IF(N(AE15)&lt;&gt;0,(AE15+AE37)/AE15,""),"")</f>
        <v>1</v>
      </c>
      <c r="AF305" s="258">
        <f>IFERROR(IF(N(AF15)&lt;&gt;0,(AF15+AF37)/AF15,""),"")</f>
        <v>1</v>
      </c>
      <c r="AG305" s="258">
        <f>IFERROR(IF(N(AG15)&lt;&gt;0,(AG15+AG37)/AG15,""),"")</f>
        <v>1</v>
      </c>
      <c r="AH305" s="258">
        <f>IFERROR(IF(N(AH15)&lt;&gt;0,(AH15+AH37)/AH15,""),"")</f>
        <v>1</v>
      </c>
      <c r="AI305" s="258">
        <f>IFERROR(IF(N(AI15)&lt;&gt;0,(AI15+AI37)/AI15,""),"")</f>
        <v>1</v>
      </c>
      <c r="AJ305" s="258">
        <f>IFERROR(IF(N(AJ15)&lt;&gt;0,(AJ15+AJ37)/AJ15,""),"")</f>
        <v>1</v>
      </c>
      <c r="AK305" s="258">
        <f>IFERROR(IF(N(AK15)&lt;&gt;0,(AK15+AK37)/AK15,""),"")</f>
        <v>1</v>
      </c>
      <c r="AL305" s="258">
        <f>IFERROR(IF(N(AL15)&lt;&gt;0,(AL15+AL37)/AL15,""),"")</f>
        <v>1</v>
      </c>
      <c r="AM305" s="258">
        <f>IFERROR(IF(N(AM15)&lt;&gt;0,(AM15+AM37)/AM15,""),"")</f>
        <v>1</v>
      </c>
      <c r="AN305" s="258">
        <f>IFERROR(IF(N(AN15)&lt;&gt;0,(AN15+AN37)/AN15,""),"")</f>
        <v>1</v>
      </c>
      <c r="AO305" s="258">
        <f>IFERROR(IF(N(AO15)&lt;&gt;0,(AO15+AO37)/AO15,""),"")</f>
        <v>1</v>
      </c>
      <c r="AP305" s="258">
        <f>IFERROR(IF(N(AP15)&lt;&gt;0,(AP15+AP37)/AP15,""),"")</f>
        <v>1</v>
      </c>
      <c r="AQ305" s="258">
        <f>IFERROR(IF(N(AQ15)&lt;&gt;0,(AQ15+AQ37)/AQ15,""),"")</f>
        <v>1</v>
      </c>
      <c r="AR305" s="258">
        <f>IFERROR(IF(N(AR15)&lt;&gt;0,(AR15+AR37)/AR15,""),"")</f>
        <v>1</v>
      </c>
      <c r="AS305" s="258">
        <f>IFERROR(IF(N(AS15)&lt;&gt;0,(AS15+AS37)/AS15,""),"")</f>
        <v>1</v>
      </c>
      <c r="AT305" s="258">
        <f>IFERROR(IF(N(AT15)&lt;&gt;0,(AT15+AT37)/AT15,""),"")</f>
        <v>1</v>
      </c>
      <c r="AU305" s="258">
        <f>IFERROR(IF(N(AU15)&lt;&gt;0,(AU15+AU37)/AU15,""),"")</f>
        <v>1</v>
      </c>
      <c r="AV305" s="258">
        <f>IFERROR(IF(N(AV15)&lt;&gt;0,(AV15+AV37)/AV15,""),"")</f>
        <v>1</v>
      </c>
      <c r="AW305" s="258">
        <f>IFERROR(IF(N(AW15)&lt;&gt;0,(AW15+AW37)/AW15,""),"")</f>
        <v>1</v>
      </c>
      <c r="AX305" s="258">
        <f>IFERROR(IF(N(AX15)&lt;&gt;0,(AX15+AX37)/AX15,""),"")</f>
        <v>1</v>
      </c>
      <c r="AY305" s="258">
        <f>IFERROR(IF(N(AY15)&lt;&gt;0,(AY15+AY37)/AY15,""),"")</f>
        <v>1</v>
      </c>
      <c r="AZ305" s="258">
        <f>IFERROR(IF(N(AZ15)&lt;&gt;0,(AZ15+AZ37)/AZ15,""),"")</f>
        <v>1</v>
      </c>
      <c r="BA305" s="258">
        <f>IFERROR(IF(N(BA15)&lt;&gt;0,(BA15+BA37)/BA15,""),"")</f>
        <v>1</v>
      </c>
      <c r="BB305" s="258">
        <f>IFERROR(IF(N(BB15)&lt;&gt;0,(BB15+BB37)/BB15,""),"")</f>
        <v>1</v>
      </c>
      <c r="BC305" s="258">
        <f>IFERROR(IF(N(BC15)&lt;&gt;0,(BC15+BC37)/BC15,""),"")</f>
        <v>1</v>
      </c>
      <c r="BD305" s="258">
        <f>IFERROR(IF(N(BD15)&lt;&gt;0,(BD15+BD37)/BD15,""),"")</f>
        <v>1</v>
      </c>
      <c r="BE305" s="258">
        <f>IFERROR(IF(N(BE15)&lt;&gt;0,(BE15+BE37)/BE15,""),"")</f>
        <v>1</v>
      </c>
      <c r="BF305" s="258">
        <f>IFERROR(IF(N(BF15)&lt;&gt;0,(BF15+BF37)/BF15,""),"")</f>
        <v>1</v>
      </c>
      <c r="BG305" s="80" t="n"/>
      <c r="BH305" s="80" t="n"/>
      <c r="BI305" s="80" t="n"/>
      <c r="BJ305" s="80" t="n"/>
      <c r="BL305" s="80" t="n"/>
      <c r="BM305" s="80" t="n"/>
      <c r="BN305" s="80" t="n"/>
      <c r="BO305" s="80" t="n"/>
      <c r="BQ305" s="80" t="n"/>
      <c r="BR305" s="80" t="n"/>
      <c r="BS305" s="80" t="n"/>
      <c r="BT305" s="80" t="n"/>
      <c r="BV305" s="80" t="n"/>
      <c r="BW305" s="80" t="n"/>
      <c r="BX305" s="80" t="n"/>
      <c r="BY305" s="80" t="n"/>
      <c r="CA305" s="80" t="n"/>
      <c r="CB305" s="80" t="n"/>
      <c r="CC305" s="80" t="n"/>
      <c r="CD305" s="80" t="n"/>
      <c r="CF305" s="80" t="n"/>
      <c r="CG305" s="80" t="n"/>
      <c r="CH305" s="80" t="n"/>
      <c r="CI305" s="80" t="n"/>
      <c r="CK305" s="80" t="n"/>
      <c r="CL305" s="80" t="n"/>
      <c r="CM305" s="80" t="n"/>
      <c r="CN305" s="80" t="n"/>
      <c r="CP305" s="80" t="n"/>
      <c r="CQ305" s="80" t="n"/>
      <c r="CR305" s="80" t="n"/>
      <c r="CS305" s="80" t="n"/>
      <c r="CU305" s="80" t="n"/>
      <c r="CV305" s="80" t="n"/>
      <c r="CW305" s="80" t="n"/>
      <c r="CX305" s="80" t="n"/>
    </row>
    <row r="306" customFormat="1" s="77">
      <c r="A306" s="76" t="n"/>
      <c r="B306" s="76" t="n"/>
      <c r="C306" s="77" t="inlineStr">
        <is>
          <t>EBIT MARGIN</t>
        </is>
      </c>
      <c r="D306" s="78" t="str">
        <f>IFERROR((D56/D15),"")</f>
        <v/>
      </c>
      <c r="E306" s="78" t="str">
        <f>IFERROR((E56/E15),"")</f>
        <v/>
      </c>
      <c r="F306" s="78" t="str">
        <f>IFERROR((F56/F15),"")</f>
        <v/>
      </c>
      <c r="G306" s="78" t="str">
        <f>IFERROR((G56/G15),"")</f>
        <v/>
      </c>
      <c r="H306" s="258" t="str">
        <f>IFERROR(IF(N(H15)&lt;&gt;0,H56/H15,""),"")</f>
        <v/>
      </c>
      <c r="I306" s="257">
        <f>IFERROR(IF(N(I15)&lt;&gt;0,I56/I15,""),"")</f>
        <v>0.528760529482551</v>
      </c>
      <c r="J306" s="257">
        <f>IFERROR(IF(N(J15)&lt;&gt;0,J56/J15,""),"")</f>
        <v>0.517005300353357</v>
      </c>
      <c r="K306" s="257">
        <f>IFERROR(IF(N(K15)&lt;&gt;0,K56/K15,""),"")</f>
        <v>0.545035105315948</v>
      </c>
      <c r="L306" s="257">
        <f>IFERROR(IF(N(L15)&lt;&gt;0,L56/L15,""),"")</f>
        <v>0.541986196319019</v>
      </c>
      <c r="M306" s="258">
        <f>IFERROR(IF(N(M15)&lt;&gt;0,M56/M15,""),"")</f>
        <v>0.533891124761703</v>
      </c>
      <c r="N306" s="257">
        <f>IFERROR(IF(N(N15)&lt;&gt;0,N56/N15,""),"")</f>
        <v>0.570930907683375</v>
      </c>
      <c r="O306" s="257">
        <f>IFERROR(IF(N(O15)&lt;&gt;0,O56/O15,""),"")</f>
        <v>0.549026741859196</v>
      </c>
      <c r="P306" s="257">
        <f>IFERROR(IF(N(P15)&lt;&gt;0,P56/P15,""),"")</f>
        <v>0.540653231410702</v>
      </c>
      <c r="Q306" s="257">
        <f>IFERROR(IF(N(Q15)&lt;&gt;0,Q56/Q15,""),"")</f>
        <v>0.547361182740244</v>
      </c>
      <c r="R306" s="258">
        <f>IFERROR(IF(N(R15)&lt;&gt;0,R56/R15,""),"")</f>
        <v>0.551513243692944</v>
      </c>
      <c r="S306" s="257">
        <f>IFERROR(IF(N(S15)&lt;&gt;0,S56/S15,""),"")</f>
        <v>0.545581071677105</v>
      </c>
      <c r="T306" s="257">
        <f>IFERROR(IF(N(T15)&lt;&gt;0,T56/T15,""),"")</f>
        <v>0.583187111182007</v>
      </c>
      <c r="U306" s="257">
        <f>IFERROR(IF(N(U15)&lt;&gt;0,U56/U15,""),"")</f>
        <v>0.588397367212613</v>
      </c>
      <c r="V306" s="257">
        <f>IFERROR(IF(N(V15)&lt;&gt;0,V56/V15,""),"")</f>
        <v>0.514966401954795</v>
      </c>
      <c r="W306" s="258">
        <f>IFERROR(IF(N(W15)&lt;&gt;0,W56/W15,""),"")</f>
        <v>0.558132122081441</v>
      </c>
      <c r="X306" s="257">
        <f>IFERROR(IF(N(X15)&lt;&gt;0,X56/X15,""),"")</f>
        <v>0.567737870195337</v>
      </c>
      <c r="Y306" s="257">
        <f>IFERROR(IF(N(Y15)&lt;&gt;0,Y56/Y15,""),"")</f>
        <v>0.57980175262175</v>
      </c>
      <c r="Z306" s="257">
        <f>IFERROR(IF(N(Z15)&lt;&gt;0,Z56/Z15,""),"")</f>
        <v>0.543357307640114</v>
      </c>
      <c r="AA306" s="257">
        <f>IFERROR(IF(N(AA15)&lt;&gt;0,AA56/AA15,""),"")</f>
        <v>0.525837895580184</v>
      </c>
      <c r="AB306" s="258">
        <f>IFERROR(IF(N(AB15)&lt;&gt;0,AB56/AB15,""),"")</f>
        <v>0.5532005538396</v>
      </c>
      <c r="AC306" s="257">
        <f>IFERROR(IF(N(AC15)&lt;&gt;0,AC56/AC15,""),"")</f>
        <v>0.572275862068966</v>
      </c>
      <c r="AD306" s="257">
        <f>IFERROR(IF(N(AD15)&lt;&gt;0,AD56/AD15,""),"")</f>
        <v>0.587360137710562</v>
      </c>
      <c r="AE306" s="257">
        <f>IFERROR(IF(N(AE15)&lt;&gt;0,AE56/AE15,""),"")</f>
        <v>0.588351546152058</v>
      </c>
      <c r="AF306" s="257">
        <f>IFERROR(IF(N(AF15)&lt;&gt;0,AF56/AF15,""),"")</f>
        <v>0.557574381103793</v>
      </c>
      <c r="AG306" s="258">
        <f>IFERROR(IF(N(AG15)&lt;&gt;0,AG56/AG15,""),"")</f>
        <v>0.576286176084901</v>
      </c>
      <c r="AH306" s="257">
        <f>IFERROR(IF(N(AH15)&lt;&gt;0,AH56/AH15,""),"")</f>
        <v>0.584305787092165</v>
      </c>
      <c r="AI306" s="257">
        <f>IFERROR(IF(N(AI15)&lt;&gt;0,AI56/AI15,""),"")</f>
        <v>0.60224210412849</v>
      </c>
      <c r="AJ306" s="257">
        <f>IFERROR(IF(N(AJ15)&lt;&gt;0,AJ56/AJ15,""),"")</f>
        <v>0.582018303042672</v>
      </c>
      <c r="AK306" s="257">
        <f>IFERROR(IF(N(AK15)&lt;&gt;0,AK56/AK15,""),"")</f>
        <v>0.582018303042672</v>
      </c>
      <c r="AL306" s="258">
        <f>IFERROR(IF(N(AL15)&lt;&gt;0,AL56/AL15,""),"")</f>
        <v>0.587483116923263</v>
      </c>
      <c r="AM306" s="257">
        <f>IFERROR(IF(N(AM15)&lt;&gt;0,AM56/AM15,""),"")</f>
        <v>0.582018303042672</v>
      </c>
      <c r="AN306" s="257">
        <f>IFERROR(IF(N(AN15)&lt;&gt;0,AN56/AN15,""),"")</f>
        <v>0.582018303042672</v>
      </c>
      <c r="AO306" s="257">
        <f>IFERROR(IF(N(AO15)&lt;&gt;0,AO56/AO15,""),"")</f>
        <v>0.582018303042672</v>
      </c>
      <c r="AP306" s="257">
        <f>IFERROR(IF(N(AP15)&lt;&gt;0,AP56/AP15,""),"")</f>
        <v>0.582018303042672</v>
      </c>
      <c r="AQ306" s="258">
        <f>IFERROR(IF(N(AQ15)&lt;&gt;0,AQ56/AQ15,""),"")</f>
        <v>0.582018303042672</v>
      </c>
      <c r="AR306" s="257">
        <f>IFERROR(IF(N(AR15)&lt;&gt;0,AR56/AR15,""),"")</f>
        <v>0.582018303042672</v>
      </c>
      <c r="AS306" s="257">
        <f>IFERROR(IF(N(AS15)&lt;&gt;0,AS56/AS15,""),"")</f>
        <v>0.582018303042672</v>
      </c>
      <c r="AT306" s="257">
        <f>IFERROR(IF(N(AT15)&lt;&gt;0,AT56/AT15,""),"")</f>
        <v>0.582018303042672</v>
      </c>
      <c r="AU306" s="257">
        <f>IFERROR(IF(N(AU15)&lt;&gt;0,AU56/AU15,""),"")</f>
        <v>0.582018303042672</v>
      </c>
      <c r="AV306" s="258">
        <f>IFERROR(IF(N(AV15)&lt;&gt;0,AV56/AV15,""),"")</f>
        <v>0.582018303042672</v>
      </c>
      <c r="AW306" s="257">
        <f>IFERROR(IF(N(AW15)&lt;&gt;0,AW56/AW15,""),"")</f>
        <v>0.582018303042672</v>
      </c>
      <c r="AX306" s="257">
        <f>IFERROR(IF(N(AX15)&lt;&gt;0,AX56/AX15,""),"")</f>
        <v>0.582018303042672</v>
      </c>
      <c r="AY306" s="257">
        <f>IFERROR(IF(N(AY15)&lt;&gt;0,AY56/AY15,""),"")</f>
        <v>0.582018303042672</v>
      </c>
      <c r="AZ306" s="257">
        <f>IFERROR(IF(N(AZ15)&lt;&gt;0,AZ56/AZ15,""),"")</f>
        <v>0.582018303042672</v>
      </c>
      <c r="BA306" s="258">
        <f>IFERROR(IF(N(BA15)&lt;&gt;0,BA56/BA15,""),"")</f>
        <v>0.582018303042672</v>
      </c>
      <c r="BB306" s="257">
        <f>IFERROR(IF(N(BB15)&lt;&gt;0,BB56/BB15,""),"")</f>
        <v>0.582018303042672</v>
      </c>
      <c r="BC306" s="257">
        <f>IFERROR(IF(N(BC15)&lt;&gt;0,BC56/BC15,""),"")</f>
        <v>0.582018303042672</v>
      </c>
      <c r="BD306" s="257">
        <f>IFERROR(IF(N(BD15)&lt;&gt;0,BD56/BD15,""),"")</f>
        <v>0.582018303042672</v>
      </c>
      <c r="BE306" s="257">
        <f>IFERROR(IF(N(BE15)&lt;&gt;0,BE56/BE15,""),"")</f>
        <v>0.582018303042672</v>
      </c>
      <c r="BF306" s="258">
        <f>IFERROR(IF(N(BF15)&lt;&gt;0,BF56/BF15,""),"")</f>
        <v>0.582018303042672</v>
      </c>
      <c r="BG306" s="81" t="n"/>
      <c r="BH306" s="81" t="n"/>
      <c r="BI306" s="81" t="n"/>
      <c r="BJ306" s="81" t="n"/>
      <c r="BL306" s="81" t="n"/>
      <c r="BM306" s="81" t="n"/>
      <c r="BN306" s="81" t="n"/>
      <c r="BO306" s="81" t="n"/>
      <c r="BQ306" s="81" t="n"/>
      <c r="BR306" s="81" t="n"/>
      <c r="BS306" s="81" t="n"/>
      <c r="BT306" s="81" t="n"/>
      <c r="BV306" s="81" t="n"/>
      <c r="BW306" s="81" t="n"/>
      <c r="BX306" s="81" t="n"/>
      <c r="BY306" s="81" t="n"/>
      <c r="CA306" s="81" t="n"/>
      <c r="CB306" s="81" t="n"/>
      <c r="CC306" s="81" t="n"/>
      <c r="CD306" s="81" t="n"/>
      <c r="CF306" s="81" t="n"/>
      <c r="CG306" s="81" t="n"/>
      <c r="CH306" s="81" t="n"/>
      <c r="CI306" s="81" t="n"/>
      <c r="CK306" s="81" t="n"/>
      <c r="CL306" s="81" t="n"/>
      <c r="CM306" s="81" t="n"/>
      <c r="CN306" s="81" t="n"/>
      <c r="CP306" s="81" t="n"/>
      <c r="CQ306" s="81" t="n"/>
      <c r="CR306" s="81" t="n"/>
      <c r="CS306" s="81" t="n"/>
      <c r="CU306" s="81" t="n"/>
      <c r="CV306" s="81" t="n"/>
      <c r="CW306" s="81" t="n"/>
      <c r="CX306" s="81" t="n"/>
    </row>
    <row r="307" customFormat="1" s="77">
      <c r="A307" s="76" t="n"/>
      <c r="B307" s="76" t="n"/>
      <c r="C307" s="77" t="inlineStr">
        <is>
          <t>EBITDA MARGIN</t>
        </is>
      </c>
      <c r="D307" s="78" t="str">
        <f>IFERROR(D52/D15,"")</f>
        <v/>
      </c>
      <c r="E307" s="78" t="str">
        <f>IFERROR(E52/E15,"")</f>
        <v/>
      </c>
      <c r="F307" s="78" t="str">
        <f>IFERROR(F52/F15,"")</f>
        <v/>
      </c>
      <c r="G307" s="78" t="str">
        <f>IFERROR(G52/G15,"")</f>
        <v/>
      </c>
      <c r="H307" s="258" t="str">
        <f>IFERROR(IF(N(H15)&lt;&gt;0,H52/H15,""),"")</f>
        <v/>
      </c>
      <c r="I307" s="257">
        <f>IFERROR(IF(N(I15)&lt;&gt;0,I52/I15,""),"")</f>
        <v>0.567990373044525</v>
      </c>
      <c r="J307" s="257">
        <f>IFERROR(IF(N(J15)&lt;&gt;0,J52/J15,""),"")</f>
        <v>0.558083038869258</v>
      </c>
      <c r="K307" s="257">
        <f>IFERROR(IF(N(K15)&lt;&gt;0,K52/K15,""),"")</f>
        <v>0.582748244734203</v>
      </c>
      <c r="L307" s="257">
        <f>IFERROR(IF(N(L15)&lt;&gt;0,L52/L15,""),"")</f>
        <v>0.578220858895706</v>
      </c>
      <c r="M307" s="258">
        <f>IFERROR(IF(N(M15)&lt;&gt;0,M52/M15,""),"")</f>
        <v>0.57233636941326</v>
      </c>
      <c r="N307" s="257">
        <f>IFERROR(IF(N(N15)&lt;&gt;0,N52/N15,""),"")</f>
        <v>0.608089800658022</v>
      </c>
      <c r="O307" s="257">
        <f>IFERROR(IF(N(O15)&lt;&gt;0,O52/O15,""),"")</f>
        <v>0.583409132253957</v>
      </c>
      <c r="P307" s="257">
        <f>IFERROR(IF(N(P15)&lt;&gt;0,P52/P15,""),"")</f>
        <v>0.5727936066713</v>
      </c>
      <c r="Q307" s="257">
        <f>IFERROR(IF(N(Q15)&lt;&gt;0,Q52/Q15,""),"")</f>
        <v>0.578992607873474</v>
      </c>
      <c r="R307" s="258">
        <f>IFERROR(IF(N(R15)&lt;&gt;0,R52/R15,""),"")</f>
        <v>0.585240814858119</v>
      </c>
      <c r="S307" s="257">
        <f>IFERROR(IF(N(S15)&lt;&gt;0,S52/S15,""),"")</f>
        <v>0.578810020876827</v>
      </c>
      <c r="T307" s="257">
        <f>IFERROR(IF(N(T15)&lt;&gt;0,T52/T15,""),"")</f>
        <v>0.613814005423513</v>
      </c>
      <c r="U307" s="257">
        <f>IFERROR(IF(N(U15)&lt;&gt;0,U52/U15,""),"")</f>
        <v>0.62069493341497</v>
      </c>
      <c r="V307" s="257">
        <f>IFERROR(IF(N(V15)&lt;&gt;0,V52/V15,""),"")</f>
        <v>0.546273671350031</v>
      </c>
      <c r="W307" s="258">
        <f>IFERROR(IF(N(W15)&lt;&gt;0,W52/W15,""),"")</f>
        <v>0.58996732807395</v>
      </c>
      <c r="X307" s="257">
        <f>IFERROR(IF(N(X15)&lt;&gt;0,X52/X15,""),"")</f>
        <v>0.601764335223693</v>
      </c>
      <c r="Y307" s="257">
        <f>IFERROR(IF(N(Y15)&lt;&gt;0,Y52/Y15,""),"")</f>
        <v>0.612124694727769</v>
      </c>
      <c r="Z307" s="257">
        <f>IFERROR(IF(N(Z15)&lt;&gt;0,Z52/Z15,""),"")</f>
        <v>0.573890622879631</v>
      </c>
      <c r="AA307" s="257">
        <f>IFERROR(IF(N(AA15)&lt;&gt;0,AA52/AA15,""),"")</f>
        <v>0.556683135265055</v>
      </c>
      <c r="AB307" s="258">
        <f>IFERROR(IF(N(AB15)&lt;&gt;0,AB52/AB15,""),"")</f>
        <v>0.585046330812653</v>
      </c>
      <c r="AC307" s="257">
        <f>IFERROR(IF(N(AC15)&lt;&gt;0,AC52/AC15,""),"")</f>
        <v>0.610206896551724</v>
      </c>
      <c r="AD307" s="257">
        <f>IFERROR(IF(N(AD15)&lt;&gt;0,AD52/AD15,""),"")</f>
        <v>0.621910734046477</v>
      </c>
      <c r="AE307" s="257">
        <f>IFERROR(IF(N(AE15)&lt;&gt;0,AE52/AE15,""),"")</f>
        <v>0.622064636131132</v>
      </c>
      <c r="AF307" s="257">
        <f>IFERROR(IF(N(AF15)&lt;&gt;0,AF52/AF15,""),"")</f>
        <v>0.591301385419032</v>
      </c>
      <c r="AG307" s="258">
        <f>IFERROR(IF(N(AG15)&lt;&gt;0,AG52/AG15,""),"")</f>
        <v>0.61114330151566</v>
      </c>
      <c r="AH307" s="257">
        <f>IFERROR(IF(N(AH15)&lt;&gt;0,AH52/AH15,""),"")</f>
        <v>0.619909502262444</v>
      </c>
      <c r="AI307" s="257">
        <f>IFERROR(IF(N(AI15)&lt;&gt;0,AI52/AI15,""),"")</f>
        <v>0.63555028565269</v>
      </c>
      <c r="AJ307" s="257">
        <f>IFERROR(IF(N(AJ15)&lt;&gt;0,AJ52/AJ15,""),"")</f>
        <v>0.61682390667725</v>
      </c>
      <c r="AK307" s="257">
        <f>IFERROR(IF(N(AK15)&lt;&gt;0,AK52/AK15,""),"")</f>
        <v>0.61682390667725</v>
      </c>
      <c r="AL307" s="258">
        <f>IFERROR(IF(N(AL15)&lt;&gt;0,AL52/AL15,""),"")</f>
        <v>0.622098770092354</v>
      </c>
      <c r="AM307" s="257">
        <f>IFERROR(IF(N(AM15)&lt;&gt;0,AM52/AM15,""),"")</f>
        <v>0.61682390667725</v>
      </c>
      <c r="AN307" s="257">
        <f>IFERROR(IF(N(AN15)&lt;&gt;0,AN52/AN15,""),"")</f>
        <v>0.61682390667725</v>
      </c>
      <c r="AO307" s="257">
        <f>IFERROR(IF(N(AO15)&lt;&gt;0,AO52/AO15,""),"")</f>
        <v>0.61682390667725</v>
      </c>
      <c r="AP307" s="257">
        <f>IFERROR(IF(N(AP15)&lt;&gt;0,AP52/AP15,""),"")</f>
        <v>0.61682390667725</v>
      </c>
      <c r="AQ307" s="258">
        <f>IFERROR(IF(N(AQ15)&lt;&gt;0,AQ52/AQ15,""),"")</f>
        <v>0.61682390667725</v>
      </c>
      <c r="AR307" s="257">
        <f>IFERROR(IF(N(AR15)&lt;&gt;0,AR52/AR15,""),"")</f>
        <v>0.61682390667725</v>
      </c>
      <c r="AS307" s="257">
        <f>IFERROR(IF(N(AS15)&lt;&gt;0,AS52/AS15,""),"")</f>
        <v>0.61682390667725</v>
      </c>
      <c r="AT307" s="257">
        <f>IFERROR(IF(N(AT15)&lt;&gt;0,AT52/AT15,""),"")</f>
        <v>0.61682390667725</v>
      </c>
      <c r="AU307" s="257">
        <f>IFERROR(IF(N(AU15)&lt;&gt;0,AU52/AU15,""),"")</f>
        <v>0.61682390667725</v>
      </c>
      <c r="AV307" s="258">
        <f>IFERROR(IF(N(AV15)&lt;&gt;0,AV52/AV15,""),"")</f>
        <v>0.61682390667725</v>
      </c>
      <c r="AW307" s="257">
        <f>IFERROR(IF(N(AW15)&lt;&gt;0,AW52/AW15,""),"")</f>
        <v>0.61682390667725</v>
      </c>
      <c r="AX307" s="257">
        <f>IFERROR(IF(N(AX15)&lt;&gt;0,AX52/AX15,""),"")</f>
        <v>0.61682390667725</v>
      </c>
      <c r="AY307" s="257">
        <f>IFERROR(IF(N(AY15)&lt;&gt;0,AY52/AY15,""),"")</f>
        <v>0.61682390667725</v>
      </c>
      <c r="AZ307" s="257">
        <f>IFERROR(IF(N(AZ15)&lt;&gt;0,AZ52/AZ15,""),"")</f>
        <v>0.61682390667725</v>
      </c>
      <c r="BA307" s="258">
        <f>IFERROR(IF(N(BA15)&lt;&gt;0,BA52/BA15,""),"")</f>
        <v>0.61682390667725</v>
      </c>
      <c r="BB307" s="257">
        <f>IFERROR(IF(N(BB15)&lt;&gt;0,BB52/BB15,""),"")</f>
        <v>0.61682390667725</v>
      </c>
      <c r="BC307" s="257">
        <f>IFERROR(IF(N(BC15)&lt;&gt;0,BC52/BC15,""),"")</f>
        <v>0.61682390667725</v>
      </c>
      <c r="BD307" s="257">
        <f>IFERROR(IF(N(BD15)&lt;&gt;0,BD52/BD15,""),"")</f>
        <v>0.61682390667725</v>
      </c>
      <c r="BE307" s="257">
        <f>IFERROR(IF(N(BE15)&lt;&gt;0,BE52/BE15,""),"")</f>
        <v>0.61682390667725</v>
      </c>
      <c r="BF307" s="258">
        <f>IFERROR(IF(N(BF15)&lt;&gt;0,BF52/BF15,""),"")</f>
        <v>0.61682390667725</v>
      </c>
      <c r="BG307" s="81" t="n"/>
      <c r="BH307" s="81" t="n"/>
      <c r="BI307" s="81" t="n"/>
      <c r="BJ307" s="81" t="n"/>
      <c r="BL307" s="81" t="n"/>
      <c r="BM307" s="81" t="n"/>
      <c r="BN307" s="81" t="n"/>
      <c r="BO307" s="81" t="n"/>
      <c r="BQ307" s="81" t="n"/>
      <c r="BR307" s="81" t="n"/>
      <c r="BS307" s="81" t="n"/>
      <c r="BT307" s="81" t="n"/>
      <c r="BV307" s="81" t="n"/>
      <c r="BW307" s="81" t="n"/>
      <c r="BX307" s="81" t="n"/>
      <c r="BY307" s="81" t="n"/>
      <c r="CA307" s="81" t="n"/>
      <c r="CB307" s="81" t="n"/>
      <c r="CC307" s="81" t="n"/>
      <c r="CD307" s="81" t="n"/>
      <c r="CF307" s="81" t="n"/>
      <c r="CG307" s="81" t="n"/>
      <c r="CH307" s="81" t="n"/>
      <c r="CI307" s="81" t="n"/>
      <c r="CK307" s="81" t="n"/>
      <c r="CL307" s="81" t="n"/>
      <c r="CM307" s="81" t="n"/>
      <c r="CN307" s="81" t="n"/>
      <c r="CP307" s="81" t="n"/>
      <c r="CQ307" s="81" t="n"/>
      <c r="CR307" s="81" t="n"/>
      <c r="CS307" s="81" t="n"/>
      <c r="CU307" s="81" t="n"/>
      <c r="CV307" s="81" t="n"/>
      <c r="CW307" s="81" t="n"/>
      <c r="CX307" s="81" t="n"/>
    </row>
    <row r="308" customFormat="1" s="77">
      <c r="A308" s="76" t="n"/>
      <c r="B308" s="76" t="n"/>
      <c r="C308" s="77" t="inlineStr">
        <is>
          <t>ETR</t>
        </is>
      </c>
      <c r="D308" s="78" t="str">
        <f>IFERROR(-D114/D113,"")</f>
        <v/>
      </c>
      <c r="E308" s="78" t="str">
        <f>IFERROR(-E114/E113,"")</f>
        <v/>
      </c>
      <c r="F308" s="78" t="str">
        <f>IFERROR(-F114/F113,"")</f>
        <v/>
      </c>
      <c r="G308" s="78" t="str">
        <f>IFERROR(-G114/G113,"")</f>
        <v/>
      </c>
      <c r="H308" s="258" t="str">
        <f>IFERROR(IF(N(H113)&lt;&gt;0,-H114/H113,""),"")</f>
        <v/>
      </c>
      <c r="I308" s="257">
        <f>IFERROR(IF(N(I113)&lt;&gt;0,-I114/I113,""),"")</f>
        <v>0.165296803652968</v>
      </c>
      <c r="J308" s="257">
        <f>IFERROR(IF(N(J113)&lt;&gt;0,-J114/J113,""),"")</f>
        <v>0.166263115415658</v>
      </c>
      <c r="K308" s="257">
        <f>IFERROR(IF(N(K113)&lt;&gt;0,-K114/K113,""),"")</f>
        <v>0.142755681818182</v>
      </c>
      <c r="L308" s="257">
        <f>IFERROR(IF(N(L113)&lt;&gt;0,-L114/L113,""),"")</f>
        <v>0.157279489904357</v>
      </c>
      <c r="M308" s="258">
        <f>IFERROR(IF(N(M113)&lt;&gt;0,-M114/M113,""),"")</f>
        <v>0.157174735616571</v>
      </c>
      <c r="N308" s="257">
        <f>IFERROR(IF(N(N113)&lt;&gt;0,-N114/N113,""),"")</f>
        <v>0.0512080778939776</v>
      </c>
      <c r="O308" s="257">
        <f>IFERROR(IF(N(O113)&lt;&gt;0,-O114/O113,""),"")</f>
        <v>0.186919228020014</v>
      </c>
      <c r="P308" s="257">
        <f>IFERROR(IF(N(P113)&lt;&gt;0,-P114/P113,""),"")</f>
        <v>0.1865234375</v>
      </c>
      <c r="Q308" s="257">
        <f>IFERROR(IF(N(Q113)&lt;&gt;0,-Q114/Q113,""),"")</f>
        <v>0.18258336031078</v>
      </c>
      <c r="R308" s="258">
        <f>IFERROR(IF(N(R113)&lt;&gt;0,-R114/R113,""),"")</f>
        <v>0.153596999659052</v>
      </c>
      <c r="S308" s="257">
        <f>IFERROR(IF(N(S113)&lt;&gt;0,-S114/S113,""),"")</f>
        <v>0.172450052576236</v>
      </c>
      <c r="T308" s="257">
        <f>IFERROR(IF(N(T113)&lt;&gt;0,-T114/T113,""),"")</f>
        <v>0.231911447084233</v>
      </c>
      <c r="U308" s="257">
        <f>IFERROR(IF(N(U113)&lt;&gt;0,-U114/U113,""),"")</f>
        <v>0.14969423025791</v>
      </c>
      <c r="V308" s="257">
        <f>IFERROR(IF(N(V113)&lt;&gt;0,-V114/V113,""),"")</f>
        <v>0.159590484793737</v>
      </c>
      <c r="W308" s="258">
        <f>IFERROR(IF(N(W113)&lt;&gt;0,-W114/W113,""),"")</f>
        <v>0.179192022875577</v>
      </c>
      <c r="X308" s="257">
        <f>IFERROR(IF(N(X113)&lt;&gt;0,-X114/X113,""),"")</f>
        <v>0.153738055087128</v>
      </c>
      <c r="Y308" s="257">
        <f>IFERROR(IF(N(Y113)&lt;&gt;0,-Y114/Y113,""),"")</f>
        <v>0.172886519421173</v>
      </c>
      <c r="Z308" s="257">
        <f>IFERROR(IF(N(Z113)&lt;&gt;0,-Z114/Z113,""),"")</f>
        <v>0.155975168132437</v>
      </c>
      <c r="AA308" s="257">
        <f>IFERROR(IF(N(AA113)&lt;&gt;0,-AA114/AA113,""),"")</f>
        <v>0.141094834232845</v>
      </c>
      <c r="AB308" s="258">
        <f>IFERROR(IF(N(AB113)&lt;&gt;0,-AB114/AB113,""),"")</f>
        <v>0.156024649272322</v>
      </c>
      <c r="AC308" s="257">
        <f>IFERROR(IF(N(AC113)&lt;&gt;0,-AC114/AC113,""),"")</f>
        <v>0.186306127511784</v>
      </c>
      <c r="AD308" s="257">
        <f>IFERROR(IF(N(AD113)&lt;&gt;0,-AD114/AD113,""),"")</f>
        <v>0.207833904109589</v>
      </c>
      <c r="AE308" s="257">
        <f>IFERROR(IF(N(AE113)&lt;&gt;0,-AE114/AE113,""),"")</f>
        <v>0.214442888577716</v>
      </c>
      <c r="AF308" s="257">
        <f>IFERROR(IF(N(AF113)&lt;&gt;0,-AF114/AF113,""),"")</f>
        <v>0.167350287120591</v>
      </c>
      <c r="AG308" s="258">
        <f>IFERROR(IF(N(AG113)&lt;&gt;0,-AG114/AG113,""),"")</f>
        <v>0.19431585746582</v>
      </c>
      <c r="AH308" s="257">
        <f>IFERROR(IF(N(AH113)&lt;&gt;0,-AH114/AH113,""),"")</f>
        <v>0.193266832917706</v>
      </c>
      <c r="AI308" s="257">
        <f>IFERROR(IF(N(AI113)&lt;&gt;0,-AI114/AI113,""),"")</f>
        <v>0.200145825738243</v>
      </c>
      <c r="AJ308" s="257">
        <f>IFERROR(IF(N(AJ113)&lt;&gt;0,-AJ114/AJ113,""),"")</f>
        <v>0.194890977662605</v>
      </c>
      <c r="AK308" s="257">
        <f>IFERROR(IF(N(AK113)&lt;&gt;0,-AK114/AK113,""),"")</f>
        <v>0.194890977662605</v>
      </c>
      <c r="AL308" s="258">
        <f>IFERROR(IF(N(AL113)&lt;&gt;0,-AL114/AL113,""),"")</f>
        <v>0.195834001737871</v>
      </c>
      <c r="AM308" s="257">
        <f>IFERROR(IF(N(AM113)&lt;&gt;0,-AM114/AM113,""),"")</f>
        <v>0.194890977662605</v>
      </c>
      <c r="AN308" s="257">
        <f>IFERROR(IF(N(AN113)&lt;&gt;0,-AN114/AN113,""),"")</f>
        <v>0.194890977662605</v>
      </c>
      <c r="AO308" s="257">
        <f>IFERROR(IF(N(AO113)&lt;&gt;0,-AO114/AO113,""),"")</f>
        <v>0.194890977662605</v>
      </c>
      <c r="AP308" s="257">
        <f>IFERROR(IF(N(AP113)&lt;&gt;0,-AP114/AP113,""),"")</f>
        <v>0.194890977662605</v>
      </c>
      <c r="AQ308" s="258">
        <f>IFERROR(IF(N(AQ113)&lt;&gt;0,-AQ114/AQ113,""),"")</f>
        <v>0.194890977662605</v>
      </c>
      <c r="AR308" s="257">
        <f>IFERROR(IF(N(AR113)&lt;&gt;0,-AR114/AR113,""),"")</f>
        <v>0.194890977662605</v>
      </c>
      <c r="AS308" s="257">
        <f>IFERROR(IF(N(AS113)&lt;&gt;0,-AS114/AS113,""),"")</f>
        <v>0.194890977662605</v>
      </c>
      <c r="AT308" s="257">
        <f>IFERROR(IF(N(AT113)&lt;&gt;0,-AT114/AT113,""),"")</f>
        <v>0.194890977662605</v>
      </c>
      <c r="AU308" s="257">
        <f>IFERROR(IF(N(AU113)&lt;&gt;0,-AU114/AU113,""),"")</f>
        <v>0.194890977662605</v>
      </c>
      <c r="AV308" s="258">
        <f>IFERROR(IF(N(AV113)&lt;&gt;0,-AV114/AV113,""),"")</f>
        <v>0.194890977662605</v>
      </c>
      <c r="AW308" s="257">
        <f>IFERROR(IF(N(AW113)&lt;&gt;0,-AW114/AW113,""),"")</f>
        <v>0.194890977662605</v>
      </c>
      <c r="AX308" s="257">
        <f>IFERROR(IF(N(AX113)&lt;&gt;0,-AX114/AX113,""),"")</f>
        <v>0.194890977662605</v>
      </c>
      <c r="AY308" s="257">
        <f>IFERROR(IF(N(AY113)&lt;&gt;0,-AY114/AY113,""),"")</f>
        <v>0.194890977662605</v>
      </c>
      <c r="AZ308" s="257">
        <f>IFERROR(IF(N(AZ113)&lt;&gt;0,-AZ114/AZ113,""),"")</f>
        <v>0.194890977662605</v>
      </c>
      <c r="BA308" s="258">
        <f>IFERROR(IF(N(BA113)&lt;&gt;0,-BA114/BA113,""),"")</f>
        <v>0.194890977662605</v>
      </c>
      <c r="BB308" s="257">
        <f>IFERROR(IF(N(BB113)&lt;&gt;0,-BB114/BB113,""),"")</f>
        <v>0.194890977662605</v>
      </c>
      <c r="BC308" s="257">
        <f>IFERROR(IF(N(BC113)&lt;&gt;0,-BC114/BC113,""),"")</f>
        <v>0.194890977662605</v>
      </c>
      <c r="BD308" s="257">
        <f>IFERROR(IF(N(BD113)&lt;&gt;0,-BD114/BD113,""),"")</f>
        <v>0.194890977662605</v>
      </c>
      <c r="BE308" s="257">
        <f>IFERROR(IF(N(BE113)&lt;&gt;0,-BE114/BE113,""),"")</f>
        <v>0.194890977662605</v>
      </c>
      <c r="BF308" s="258">
        <f>IFERROR(IF(N(BF113)&lt;&gt;0,-BF114/BF113,""),"")</f>
        <v>0.194890977662605</v>
      </c>
      <c r="BG308" s="81" t="n"/>
      <c r="BH308" s="81" t="n"/>
      <c r="BI308" s="81" t="n"/>
      <c r="BJ308" s="81" t="n"/>
      <c r="BL308" s="81" t="n"/>
      <c r="BM308" s="81" t="n"/>
      <c r="BN308" s="81" t="n"/>
      <c r="BO308" s="81" t="n"/>
      <c r="BQ308" s="81" t="n"/>
      <c r="BR308" s="81" t="n"/>
      <c r="BS308" s="81" t="n"/>
      <c r="BT308" s="81" t="n"/>
      <c r="BV308" s="81" t="n"/>
      <c r="BW308" s="81" t="n"/>
      <c r="BX308" s="81" t="n"/>
      <c r="BY308" s="81" t="n"/>
      <c r="CA308" s="81" t="n"/>
      <c r="CB308" s="81" t="n"/>
      <c r="CC308" s="81" t="n"/>
      <c r="CD308" s="81" t="n"/>
      <c r="CF308" s="81" t="n"/>
      <c r="CG308" s="81" t="n"/>
      <c r="CH308" s="81" t="n"/>
      <c r="CI308" s="81" t="n"/>
      <c r="CK308" s="81" t="n"/>
      <c r="CL308" s="81" t="n"/>
      <c r="CM308" s="81" t="n"/>
      <c r="CN308" s="81" t="n"/>
      <c r="CP308" s="81" t="n"/>
      <c r="CQ308" s="81" t="n"/>
      <c r="CR308" s="81" t="n"/>
      <c r="CS308" s="81" t="n"/>
      <c r="CU308" s="81" t="n"/>
      <c r="CV308" s="81" t="n"/>
      <c r="CW308" s="81" t="n"/>
      <c r="CX308" s="81" t="n"/>
    </row>
    <row r="309" customFormat="1" s="77">
      <c r="A309" s="76" t="n"/>
      <c r="B309" s="76" t="n"/>
    </row>
    <row r="310" customFormat="1" s="77">
      <c r="A310" s="76" t="n"/>
      <c r="B310" s="76" t="n"/>
      <c r="C310" s="74" t="inlineStr">
        <is>
          <t>CAPITAL STRUCTURE</t>
        </is>
      </c>
    </row>
    <row r="311" customFormat="1" s="77">
      <c r="A311" s="76" t="n"/>
      <c r="B311" s="76" t="n"/>
      <c r="C311" s="77" t="inlineStr">
        <is>
          <t>TOTAL DEBT / EQUITY (BOOK VALUE)</t>
        </is>
      </c>
      <c r="H311" s="262" t="str">
        <f>IFERROR(IF(N(H254)&lt;&gt;0,(N(H195)+N(H196)+N(H197)+N(H200)+N(H218)+N(H221))/H254,""),"")</f>
        <v/>
      </c>
      <c r="I311" s="262">
        <f>IFERROR(IF(N(I254)&lt;&gt;0,(N(I195)+N(I196)+N(I197)+N(I200)+N(I218)+N(I221))/I254,""),"")</f>
        <v>2.14938788160546</v>
      </c>
      <c r="J311" s="262">
        <f>IFERROR(IF(N(J254)&lt;&gt;0,(N(J195)+N(J196)+N(J197)+N(J200)+N(J218)+N(J221))/J254,""),"")</f>
        <v>2.11584716090729</v>
      </c>
      <c r="K311" s="262">
        <f>IFERROR(IF(N(K254)&lt;&gt;0,(N(K195)+N(K196)+N(K197)+N(K200)+N(K218)+N(K221))/K254,""),"")</f>
        <v>2.03778300499853</v>
      </c>
      <c r="L311" s="262">
        <f>IFERROR(IF(N(L254)&lt;&gt;0,(N(L195)+N(L196)+N(L197)+N(L200)+N(L218)+N(L221))/L254,""),"")</f>
        <v>1.87547220723152</v>
      </c>
      <c r="M311" s="262">
        <f>IFERROR(IF(N(M254)&lt;&gt;0,(N(M195)+N(M196)+N(M197)+N(M200)+N(M218)+N(M221))/M254,""),"")</f>
        <v>1.87547220723152</v>
      </c>
      <c r="N311" s="262">
        <f>IFERROR(IF(N(N254)&lt;&gt;0,(N(N195)+N(N196)+N(N197)+N(N200)+N(N218)+N(N221))/N254,""),"")</f>
        <v>2.05413744740533</v>
      </c>
      <c r="O311" s="262">
        <f>IFERROR(IF(N(O254)&lt;&gt;0,(N(O195)+N(O196)+N(O197)+N(O200)+N(O218)+N(O221))/O254,""),"")</f>
        <v>2.31251996167359</v>
      </c>
      <c r="P311" s="262">
        <f>IFERROR(IF(N(P254)&lt;&gt;0,(N(P195)+N(P196)+N(P197)+N(P200)+N(P218)+N(P221))/P254,""),"")</f>
        <v>2.25578146826013</v>
      </c>
      <c r="Q311" s="262">
        <f>IFERROR(IF(N(Q254)&lt;&gt;0,(N(Q195)+N(Q196)+N(Q197)+N(Q200)+N(Q218)+N(Q221))/Q254,""),"")</f>
        <v>2.19899639328838</v>
      </c>
      <c r="R311" s="262">
        <f>IFERROR(IF(N(R254)&lt;&gt;0,(N(R195)+N(R196)+N(R197)+N(R200)+N(R218)+N(R221))/R254,""),"")</f>
        <v>2.19899639328838</v>
      </c>
      <c r="S311" s="262">
        <f>IFERROR(IF(N(S254)&lt;&gt;0,(N(S195)+N(S196)+N(S197)+N(S200)+N(S218)+N(S221))/S254,""),"")</f>
        <v>2.87923062696505</v>
      </c>
      <c r="T311" s="262">
        <f>IFERROR(IF(N(T254)&lt;&gt;0,(N(T195)+N(T196)+N(T197)+N(T200)+N(T218)+N(T221))/T254,""),"")</f>
        <v>2.79978490768955</v>
      </c>
      <c r="U311" s="262">
        <f>IFERROR(IF(N(U254)&lt;&gt;0,(N(U195)+N(U196)+N(U197)+N(U200)+N(U218)+N(U221))/U254,""),"")</f>
        <v>2.43942955649585</v>
      </c>
      <c r="V311" s="262">
        <f>IFERROR(IF(N(V254)&lt;&gt;0,(N(V195)+N(V196)+N(V197)+N(V200)+N(V218)+N(V221))/V254,""),"")</f>
        <v>2.24110332999857</v>
      </c>
      <c r="W311" s="262">
        <f>IFERROR(IF(N(W254)&lt;&gt;0,(N(W195)+N(W196)+N(W197)+N(W200)+N(W218)+N(W221))/W254,""),"")</f>
        <v>2.24110332999857</v>
      </c>
      <c r="X311" s="262">
        <f>IFERROR(IF(N(X254)&lt;&gt;0,(N(X195)+N(X196)+N(X197)+N(X200)+N(X218)+N(X221))/X254,""),"")</f>
        <v>2.13861521620142</v>
      </c>
      <c r="Y311" s="262">
        <f>IFERROR(IF(N(Y254)&lt;&gt;0,(N(Y195)+N(Y196)+N(Y197)+N(Y200)+N(Y218)+N(Y221))/Y254,""),"")</f>
        <v>2.085672280139</v>
      </c>
      <c r="Z311" s="262">
        <f>IFERROR(IF(N(Z254)&lt;&gt;0,(N(Z195)+N(Z196)+N(Z197)+N(Z200)+N(Z218)+N(Z221))/Z254,""),"")</f>
        <v>2.44838623632969</v>
      </c>
      <c r="AA311" s="262">
        <f>IFERROR(IF(N(AA254)&lt;&gt;0,(N(AA195)+N(AA196)+N(AA197)+N(AA200)+N(AA218)+N(AA221))/AA254,""),"")</f>
        <v>2.79754412893323</v>
      </c>
      <c r="AB311" s="262">
        <f>IFERROR(IF(N(AB254)&lt;&gt;0,(N(AB195)+N(AB196)+N(AB197)+N(AB200)+N(AB218)+N(AB221))/AB254,""),"")</f>
        <v>2.79754412893323</v>
      </c>
      <c r="AC311" s="262">
        <f>IFERROR(IF(N(AC254)&lt;&gt;0,(N(AC195)+N(AC196)+N(AC197)+N(AC200)+N(AC218)+N(AC221))/AC254,""),"")</f>
        <v>2.80794504181601</v>
      </c>
      <c r="AD311" s="262">
        <f>IFERROR(IF(N(AD254)&lt;&gt;0,(N(AD195)+N(AD196)+N(AD197)+N(AD200)+N(AD218)+N(AD221))/AD254,""),"")</f>
        <v>2.40919481838964</v>
      </c>
      <c r="AE311" s="262">
        <f>IFERROR(IF(N(AE254)&lt;&gt;0,(N(AE195)+N(AE196)+N(AE197)+N(AE200)+N(AE218)+N(AE221))/AE254,""),"")</f>
        <v>2.3971461043061</v>
      </c>
      <c r="AF311" s="262">
        <f>IFERROR(IF(N(AF254)&lt;&gt;0,(N(AF195)+N(AF196)+N(AF197)+N(AF200)+N(AF218)+N(AF221))/AF254,""),"")</f>
        <v>2.45287890524142</v>
      </c>
      <c r="AG311" s="262">
        <f>IFERROR(IF(N(AG254)&lt;&gt;0,(N(AG195)+N(AG196)+N(AG197)+N(AG200)+N(AG218)+N(AG221))/AG254,""),"")</f>
        <v>2.45287890524142</v>
      </c>
      <c r="AH311" s="262">
        <f>IFERROR(IF(N(AH254)&lt;&gt;0,(N(AH195)+N(AH196)+N(AH197)+N(AH200)+N(AH218)+N(AH221))/AH254,""),"")</f>
        <v>2.82058911038381</v>
      </c>
      <c r="AI311" s="262">
        <f>IFERROR(IF(N(AI254)&lt;&gt;0,(N(AI195)+N(AI196)+N(AI197)+N(AI200)+N(AI218)+N(AI221))/AI254,""),"")</f>
        <v>4.39582590082055</v>
      </c>
      <c r="AJ311" s="262">
        <f>IFERROR(IF(N(AJ254)&lt;&gt;0,(N(AJ195)+N(AJ196)+N(AJ197)+N(AJ200)+N(AJ218)+N(AJ221))/AJ254,""),"")</f>
        <v>2.37550715195605</v>
      </c>
      <c r="AK311" s="262">
        <f>IFERROR(IF(N(AK254)&lt;&gt;0,(N(AK195)+N(AK196)+N(AK197)+N(AK200)+N(AK218)+N(AK221))/AK254,""),"")</f>
        <v>1.61544294939404</v>
      </c>
      <c r="AL311" s="262">
        <f>IFERROR(IF(N(AL254)&lt;&gt;0,(N(AL195)+N(AL196)+N(AL197)+N(AL200)+N(AL218)+N(AL221))/AL254,""),"")</f>
        <v>1.61544294939404</v>
      </c>
      <c r="AM311" s="262">
        <f>IFERROR(IF(N(AM254)&lt;&gt;0,(N(AM195)+N(AM196)+N(AM197)+N(AM200)+N(AM218)+N(AM221))/AM254,""),"")</f>
        <v>1.23775987316536</v>
      </c>
      <c r="AN311" s="262">
        <f>IFERROR(IF(N(AN254)&lt;&gt;0,(N(AN195)+N(AN196)+N(AN197)+N(AN200)+N(AN218)+N(AN221))/AN254,""),"")</f>
        <v>0.983702705669356</v>
      </c>
      <c r="AO311" s="262">
        <f>IFERROR(IF(N(AO254)&lt;&gt;0,(N(AO195)+N(AO196)+N(AO197)+N(AO200)+N(AO218)+N(AO221))/AO254,""),"")</f>
        <v>0.805957496088079</v>
      </c>
      <c r="AP311" s="262">
        <f>IFERROR(IF(N(AP254)&lt;&gt;0,(N(AP195)+N(AP196)+N(AP197)+N(AP200)+N(AP218)+N(AP221))/AP254,""),"")</f>
        <v>0.680147197082847</v>
      </c>
      <c r="AQ311" s="262">
        <f>IFERROR(IF(N(AQ254)&lt;&gt;0,(N(AQ195)+N(AQ196)+N(AQ197)+N(AQ200)+N(AQ218)+N(AQ221))/AQ254,""),"")</f>
        <v>0.680147197082847</v>
      </c>
      <c r="AR311" s="262">
        <f>IFERROR(IF(N(AR254)&lt;&gt;0,(N(AR195)+N(AR196)+N(AR197)+N(AR200)+N(AR218)+N(AR221))/AR254,""),"")</f>
        <v>0.592346303905536</v>
      </c>
      <c r="AS311" s="262">
        <f>IFERROR(IF(N(AS254)&lt;&gt;0,(N(AS195)+N(AS196)+N(AS197)+N(AS200)+N(AS218)+N(AS221))/AS254,""),"")</f>
        <v>0.518418441388985</v>
      </c>
      <c r="AT311" s="262">
        <f>IFERROR(IF(N(AT254)&lt;&gt;0,(N(AT195)+N(AT196)+N(AT197)+N(AT200)+N(AT218)+N(AT221))/AT254,""),"")</f>
        <v>0.457119505780101</v>
      </c>
      <c r="AU311" s="262">
        <f>IFERROR(IF(N(AU254)&lt;&gt;0,(N(AU195)+N(AU196)+N(AU197)+N(AU200)+N(AU218)+N(AU221))/AU254,""),"")</f>
        <v>0.407761464712561</v>
      </c>
      <c r="AV311" s="262">
        <f>IFERROR(IF(N(AV254)&lt;&gt;0,(N(AV195)+N(AV196)+N(AV197)+N(AV200)+N(AV218)+N(AV221))/AV254,""),"")</f>
        <v>0.407761464712561</v>
      </c>
      <c r="AW311" s="262">
        <f>IFERROR(IF(N(AW254)&lt;&gt;0,(N(AW195)+N(AW196)+N(AW197)+N(AW200)+N(AW218)+N(AW221))/AW254,""),"")</f>
        <v>0.36999099694017</v>
      </c>
      <c r="AX311" s="262">
        <f>IFERROR(IF(N(AX254)&lt;&gt;0,(N(AX195)+N(AX196)+N(AX197)+N(AX200)+N(AX218)+N(AX221))/AX254,""),"")</f>
        <v>0.335646296791073</v>
      </c>
      <c r="AY311" s="262">
        <f>IFERROR(IF(N(AY254)&lt;&gt;0,(N(AY195)+N(AY196)+N(AY197)+N(AY200)+N(AY218)+N(AY221))/AY254,""),"")</f>
        <v>0.305205778800161</v>
      </c>
      <c r="AZ311" s="262">
        <f>IFERROR(IF(N(AZ254)&lt;&gt;0,(N(AZ195)+N(AZ196)+N(AZ197)+N(AZ200)+N(AZ218)+N(AZ221))/AZ254,""),"")</f>
        <v>0.279276861827993</v>
      </c>
      <c r="BA311" s="262">
        <f>IFERROR(IF(N(BA254)&lt;&gt;0,(N(BA195)+N(BA196)+N(BA197)+N(BA200)+N(BA218)+N(BA221))/BA254,""),"")</f>
        <v>0.279276861827993</v>
      </c>
      <c r="BB311" s="262">
        <f>IFERROR(IF(N(BB254)&lt;&gt;0,(N(BB195)+N(BB196)+N(BB197)+N(BB200)+N(BB218)+N(BB221))/BB254,""),"")</f>
        <v>0.25859672916616</v>
      </c>
      <c r="BC311" s="262">
        <f>IFERROR(IF(N(BC254)&lt;&gt;0,(N(BC195)+N(BC196)+N(BC197)+N(BC200)+N(BC218)+N(BC221))/BC254,""),"")</f>
        <v>0.239043146253591</v>
      </c>
      <c r="BD311" s="262">
        <f>IFERROR(IF(N(BD254)&lt;&gt;0,(N(BD195)+N(BD196)+N(BD197)+N(BD200)+N(BD218)+N(BD221))/BD254,""),"")</f>
        <v>0.221081488648567</v>
      </c>
      <c r="BE311" s="262">
        <f>IFERROR(IF(N(BE254)&lt;&gt;0,(N(BE195)+N(BE196)+N(BE197)+N(BE200)+N(BE218)+N(BE221))/BE254,""),"")</f>
        <v>0.205290199806519</v>
      </c>
      <c r="BF311" s="262">
        <f>IFERROR(IF(N(BF254)&lt;&gt;0,(N(BF195)+N(BF196)+N(BF197)+N(BF200)+N(BF218)+N(BF221))/BF254,""),"")</f>
        <v>0.205290199806519</v>
      </c>
    </row>
    <row r="312" customFormat="1" s="77">
      <c r="A312" s="76" t="n"/>
      <c r="B312" s="76" t="n"/>
      <c r="C312" s="77" t="inlineStr">
        <is>
          <t>NET DEBT / (NET DEBT + EQUITY) (BOOK VALUE)</t>
        </is>
      </c>
      <c r="H312" s="258" t="str">
        <f>IFERROR(IF(((N(H195)+N(H196)+N(H197)+N(H200)+N(H218)+N(H221))-N(H127)+N(H254))&lt;&gt;0,((N(H195)+N(H196)+N(H197)+N(H200)+N(H218)+N(H221))-N(H127))/((N(H195)+N(H196)+N(H197)+N(H200)+N(H218)+N(H221))-N(H127)+H254),""),"")</f>
        <v/>
      </c>
      <c r="I312" s="258">
        <f>IFERROR(IF(((N(I195)+N(I196)+N(I197)+N(I200)+N(I218)+N(I221))-N(I127)+N(I254))&lt;&gt;0,((N(I195)+N(I196)+N(I197)+N(I200)+N(I218)+N(I221))-N(I127))/((N(I195)+N(I196)+N(I197)+N(I200)+N(I218)+N(I221))-N(I127)+I254),""),"")</f>
        <v>0.487368922783603</v>
      </c>
      <c r="J312" s="258">
        <f>IFERROR(IF(((N(J195)+N(J196)+N(J197)+N(J200)+N(J218)+N(J221))-N(J127)+N(J254))&lt;&gt;0,((N(J195)+N(J196)+N(J197)+N(J200)+N(J218)+N(J221))-N(J127))/((N(J195)+N(J196)+N(J197)+N(J200)+N(J218)+N(J221))-N(J127)+J254),""),"")</f>
        <v>0.520790779107091</v>
      </c>
      <c r="K312" s="258">
        <f>IFERROR(IF(((N(K195)+N(K196)+N(K197)+N(K200)+N(K218)+N(K221))-N(K127)+N(K254))&lt;&gt;0,((N(K195)+N(K196)+N(K197)+N(K200)+N(K218)+N(K221))-N(K127))/((N(K195)+N(K196)+N(K197)+N(K200)+N(K218)+N(K221))-N(K127)+K254),""),"")</f>
        <v>0.505201134793046</v>
      </c>
      <c r="L312" s="258">
        <f>IFERROR(IF(((N(L195)+N(L196)+N(L197)+N(L200)+N(L218)+N(L221))-N(L127)+N(L254))&lt;&gt;0,((N(L195)+N(L196)+N(L197)+N(L200)+N(L218)+N(L221))-N(L127))/((N(L195)+N(L196)+N(L197)+N(L200)+N(L218)+N(L221))-N(L127)+L254),""),"")</f>
        <v>0.44764885609956</v>
      </c>
      <c r="M312" s="258">
        <f>IFERROR(IF(((N(M195)+N(M196)+N(M197)+N(M200)+N(M218)+N(M221))-N(M127)+N(M254))&lt;&gt;0,((N(M195)+N(M196)+N(M197)+N(M200)+N(M218)+N(M221))-N(M127))/((N(M195)+N(M196)+N(M197)+N(M200)+N(M218)+N(M221))-N(M127)+M254),""),"")</f>
        <v>0.44764885609956</v>
      </c>
      <c r="N312" s="258">
        <f>IFERROR(IF(((N(N195)+N(N196)+N(N197)+N(N200)+N(N218)+N(N221))-N(N127)+N(N254))&lt;&gt;0,((N(N195)+N(N196)+N(N197)+N(N200)+N(N218)+N(N221))-N(N127))/((N(N195)+N(N196)+N(N197)+N(N200)+N(N218)+N(N221))-N(N127)+N254),""),"")</f>
        <v>0.506506090808416</v>
      </c>
      <c r="O312" s="258">
        <f>IFERROR(IF(((N(O195)+N(O196)+N(O197)+N(O200)+N(O218)+N(O221))-N(O127)+N(O254))&lt;&gt;0,((N(O195)+N(O196)+N(O197)+N(O200)+N(O218)+N(O221))-N(O127))/((N(O195)+N(O196)+N(O197)+N(O200)+N(O218)+N(O221))-N(O127)+O254),""),"")</f>
        <v>0.564655172413793</v>
      </c>
      <c r="P312" s="258">
        <f>IFERROR(IF(((N(P195)+N(P196)+N(P197)+N(P200)+N(P218)+N(P221))-N(P127)+N(P254))&lt;&gt;0,((N(P195)+N(P196)+N(P197)+N(P200)+N(P218)+N(P221))-N(P127))/((N(P195)+N(P196)+N(P197)+N(P200)+N(P218)+N(P221))-N(P127)+P254),""),"")</f>
        <v>0.501778533869471</v>
      </c>
      <c r="Q312" s="258">
        <f>IFERROR(IF(((N(Q195)+N(Q196)+N(Q197)+N(Q200)+N(Q218)+N(Q221))-N(Q127)+N(Q254))&lt;&gt;0,((N(Q195)+N(Q196)+N(Q197)+N(Q200)+N(Q218)+N(Q221))-N(Q127))/((N(Q195)+N(Q196)+N(Q197)+N(Q200)+N(Q218)+N(Q221))-N(Q127)+Q254),""),"")</f>
        <v>0.509159482758621</v>
      </c>
      <c r="R312" s="258">
        <f>IFERROR(IF(((N(R195)+N(R196)+N(R197)+N(R200)+N(R218)+N(R221))-N(R127)+N(R254))&lt;&gt;0,((N(R195)+N(R196)+N(R197)+N(R200)+N(R218)+N(R221))-N(R127))/((N(R195)+N(R196)+N(R197)+N(R200)+N(R218)+N(R221))-N(R127)+R254),""),"")</f>
        <v>0.509159482758621</v>
      </c>
      <c r="S312" s="258">
        <f>IFERROR(IF(((N(S195)+N(S196)+N(S197)+N(S200)+N(S218)+N(S221))-N(S127)+N(S254))&lt;&gt;0,((N(S195)+N(S196)+N(S197)+N(S200)+N(S218)+N(S221))-N(S127))/((N(S195)+N(S196)+N(S197)+N(S200)+N(S218)+N(S221))-N(S127)+S254),""),"")</f>
        <v>0.613978724923253</v>
      </c>
      <c r="T312" s="258">
        <f>IFERROR(IF(((N(T195)+N(T196)+N(T197)+N(T200)+N(T218)+N(T221))-N(T127)+N(T254))&lt;&gt;0,((N(T195)+N(T196)+N(T197)+N(T200)+N(T218)+N(T221))-N(T127))/((N(T195)+N(T196)+N(T197)+N(T200)+N(T218)+N(T221))-N(T127)+T254),""),"")</f>
        <v>0.620088525706503</v>
      </c>
      <c r="U312" s="258">
        <f>IFERROR(IF(((N(U195)+N(U196)+N(U197)+N(U200)+N(U218)+N(U221))-N(U127)+N(U254))&lt;&gt;0,((N(U195)+N(U196)+N(U197)+N(U200)+N(U218)+N(U221))-N(U127))/((N(U195)+N(U196)+N(U197)+N(U200)+N(U218)+N(U221))-N(U127)+U254),""),"")</f>
        <v>0.55856105153926</v>
      </c>
      <c r="V312" s="258">
        <f>IFERROR(IF(((N(V195)+N(V196)+N(V197)+N(V200)+N(V218)+N(V221))-N(V127)+N(V254))&lt;&gt;0,((N(V195)+N(V196)+N(V197)+N(V200)+N(V218)+N(V221))-N(V127))/((N(V195)+N(V196)+N(V197)+N(V200)+N(V218)+N(V221))-N(V127)+V254),""),"")</f>
        <v>0.481626907690028</v>
      </c>
      <c r="W312" s="258">
        <f>IFERROR(IF(((N(W195)+N(W196)+N(W197)+N(W200)+N(W218)+N(W221))-N(W127)+N(W254))&lt;&gt;0,((N(W195)+N(W196)+N(W197)+N(W200)+N(W218)+N(W221))-N(W127))/((N(W195)+N(W196)+N(W197)+N(W200)+N(W218)+N(W221))-N(W127)+W254),""),"")</f>
        <v>0.481626907690028</v>
      </c>
      <c r="X312" s="258">
        <f>IFERROR(IF(((N(X195)+N(X196)+N(X197)+N(X200)+N(X218)+N(X221))-N(X127)+N(X254))&lt;&gt;0,((N(X195)+N(X196)+N(X197)+N(X200)+N(X218)+N(X221))-N(X127))/((N(X195)+N(X196)+N(X197)+N(X200)+N(X218)+N(X221))-N(X127)+X254),""),"")</f>
        <v>0.5217277486911</v>
      </c>
      <c r="Y312" s="258">
        <f>IFERROR(IF(((N(Y195)+N(Y196)+N(Y197)+N(Y200)+N(Y218)+N(Y221))-N(Y127)+N(Y254))&lt;&gt;0,((N(Y195)+N(Y196)+N(Y197)+N(Y200)+N(Y218)+N(Y221))-N(Y127))/((N(Y195)+N(Y196)+N(Y197)+N(Y200)+N(Y218)+N(Y221))-N(Y127)+Y254),""),"")</f>
        <v>0.524318138470341</v>
      </c>
      <c r="Z312" s="258">
        <f>IFERROR(IF(((N(Z195)+N(Z196)+N(Z197)+N(Z200)+N(Z218)+N(Z221))-N(Z127)+N(Z254))&lt;&gt;0,((N(Z195)+N(Z196)+N(Z197)+N(Z200)+N(Z218)+N(Z221))-N(Z127))/((N(Z195)+N(Z196)+N(Z197)+N(Z200)+N(Z218)+N(Z221))-N(Z127)+Z254),""),"")</f>
        <v>0.481286751988931</v>
      </c>
      <c r="AA312" s="258">
        <f>IFERROR(IF(((N(AA195)+N(AA196)+N(AA197)+N(AA200)+N(AA218)+N(AA221))-N(AA127)+N(AA254))&lt;&gt;0,((N(AA195)+N(AA196)+N(AA197)+N(AA200)+N(AA218)+N(AA221))-N(AA127))/((N(AA195)+N(AA196)+N(AA197)+N(AA200)+N(AA218)+N(AA221))-N(AA127)+AA254),""),"")</f>
        <v>0.592022042707746</v>
      </c>
      <c r="AB312" s="258">
        <f>IFERROR(IF(((N(AB195)+N(AB196)+N(AB197)+N(AB200)+N(AB218)+N(AB221))-N(AB127)+N(AB254))&lt;&gt;0,((N(AB195)+N(AB196)+N(AB197)+N(AB200)+N(AB218)+N(AB221))-N(AB127))/((N(AB195)+N(AB196)+N(AB197)+N(AB200)+N(AB218)+N(AB221))-N(AB127)+AB254),""),"")</f>
        <v>0.592022042707746</v>
      </c>
      <c r="AC312" s="258">
        <f>IFERROR(IF(((N(AC195)+N(AC196)+N(AC197)+N(AC200)+N(AC218)+N(AC221))-N(AC127)+N(AC254))&lt;&gt;0,((N(AC195)+N(AC196)+N(AC197)+N(AC200)+N(AC218)+N(AC221))-N(AC127))/((N(AC195)+N(AC196)+N(AC197)+N(AC200)+N(AC218)+N(AC221))-N(AC127)+AC254),""),"")</f>
        <v>0.619631901840491</v>
      </c>
      <c r="AD312" s="258">
        <f>IFERROR(IF(((N(AD195)+N(AD196)+N(AD197)+N(AD200)+N(AD218)+N(AD221))-N(AD127)+N(AD254))&lt;&gt;0,((N(AD195)+N(AD196)+N(AD197)+N(AD200)+N(AD218)+N(AD221))-N(AD127))/((N(AD195)+N(AD196)+N(AD197)+N(AD200)+N(AD218)+N(AD221))-N(AD127)+AD254),""),"")</f>
        <v>0.549465011157521</v>
      </c>
      <c r="AE312" s="258">
        <f>IFERROR(IF(((N(AE195)+N(AE196)+N(AE197)+N(AE200)+N(AE218)+N(AE221))-N(AE127)+N(AE254))&lt;&gt;0,((N(AE195)+N(AE196)+N(AE197)+N(AE200)+N(AE218)+N(AE221))-N(AE127))/((N(AE195)+N(AE196)+N(AE197)+N(AE200)+N(AE218)+N(AE221))-N(AE127)+AE254),""),"")</f>
        <v>0.512796850006152</v>
      </c>
      <c r="AF312" s="258">
        <f>IFERROR(IF(((N(AF195)+N(AF196)+N(AF197)+N(AF200)+N(AF218)+N(AF221))-N(AF127)+N(AF254))&lt;&gt;0,((N(AF195)+N(AF196)+N(AF197)+N(AF200)+N(AF218)+N(AF221))-N(AF127))/((N(AF195)+N(AF196)+N(AF197)+N(AF200)+N(AF218)+N(AF221))-N(AF127)+AF254),""),"")</f>
        <v>0.51123170116103</v>
      </c>
      <c r="AG312" s="258">
        <f>IFERROR(IF(((N(AG195)+N(AG196)+N(AG197)+N(AG200)+N(AG218)+N(AG221))-N(AG127)+N(AG254))&lt;&gt;0,((N(AG195)+N(AG196)+N(AG197)+N(AG200)+N(AG218)+N(AG221))-N(AG127))/((N(AG195)+N(AG196)+N(AG197)+N(AG200)+N(AG218)+N(AG221))-N(AG127)+AG254),""),"")</f>
        <v>0.51123170116103</v>
      </c>
      <c r="AH312" s="258">
        <f>IFERROR(IF(((N(AH195)+N(AH196)+N(AH197)+N(AH200)+N(AH218)+N(AH221))-N(AH127)+N(AH254))&lt;&gt;0,((N(AH195)+N(AH196)+N(AH197)+N(AH200)+N(AH218)+N(AH221))-N(AH127))/((N(AH195)+N(AH196)+N(AH197)+N(AH200)+N(AH218)+N(AH221))-N(AH127)+AH254),""),"")</f>
        <v>0.615071866231461</v>
      </c>
      <c r="AI312" s="258">
        <f>IFERROR(IF(((N(AI195)+N(AI196)+N(AI197)+N(AI200)+N(AI218)+N(AI221))-N(AI127)+N(AI254))&lt;&gt;0,((N(AI195)+N(AI196)+N(AI197)+N(AI200)+N(AI218)+N(AI221))-N(AI127))/((N(AI195)+N(AI196)+N(AI197)+N(AI200)+N(AI218)+N(AI221))-N(AI127)+AI254),""),"")</f>
        <v>0.699248927038627</v>
      </c>
      <c r="AJ312" s="258">
        <f>IFERROR(IF(((N(AJ195)+N(AJ196)+N(AJ197)+N(AJ200)+N(AJ218)+N(AJ221))-N(AJ127)+N(AJ254))&lt;&gt;0,((N(AJ195)+N(AJ196)+N(AJ197)+N(AJ200)+N(AJ218)+N(AJ221))-N(AJ127))/((N(AJ195)+N(AJ196)+N(AJ197)+N(AJ200)+N(AJ218)+N(AJ221))-N(AJ127)+AJ254),""),"")</f>
        <v>0.422538033595336</v>
      </c>
      <c r="AK312" s="258">
        <f>IFERROR(IF(((N(AK195)+N(AK196)+N(AK197)+N(AK200)+N(AK218)+N(AK221))-N(AK127)+N(AK254))&lt;&gt;0,((N(AK195)+N(AK196)+N(AK197)+N(AK200)+N(AK218)+N(AK221))-N(AK127))/((N(AK195)+N(AK196)+N(AK197)+N(AK200)+N(AK218)+N(AK221))-N(AK127)+AK254),""),"")</f>
        <v>0.0328104363274464</v>
      </c>
      <c r="AL312" s="258">
        <f>IFERROR(IF(((N(AL195)+N(AL196)+N(AL197)+N(AL200)+N(AL218)+N(AL221))-N(AL127)+N(AL254))&lt;&gt;0,((N(AL195)+N(AL196)+N(AL197)+N(AL200)+N(AL218)+N(AL221))-N(AL127))/((N(AL195)+N(AL196)+N(AL197)+N(AL200)+N(AL218)+N(AL221))-N(AL127)+AL254),""),"")</f>
        <v>0.0328104363274464</v>
      </c>
      <c r="AM312" s="258">
        <f>IFERROR(IF(((N(AM195)+N(AM196)+N(AM197)+N(AM200)+N(AM218)+N(AM221))-N(AM127)+N(AM254))&lt;&gt;0,((N(AM195)+N(AM196)+N(AM197)+N(AM200)+N(AM218)+N(AM221))-N(AM127))/((N(AM195)+N(AM196)+N(AM197)+N(AM200)+N(AM218)+N(AM221))-N(AM127)+AM254),""),"")</f>
        <v>-0.53896411382498</v>
      </c>
      <c r="AN312" s="258">
        <f>IFERROR(IF(((N(AN195)+N(AN196)+N(AN197)+N(AN200)+N(AN218)+N(AN221))-N(AN127)+N(AN254))&lt;&gt;0,((N(AN195)+N(AN196)+N(AN197)+N(AN200)+N(AN218)+N(AN221))-N(AN127))/((N(AN195)+N(AN196)+N(AN197)+N(AN200)+N(AN218)+N(AN221))-N(AN127)+AN254),""),"")</f>
        <v>-1.4353931504363</v>
      </c>
      <c r="AO312" s="258">
        <f>IFERROR(IF(((N(AO195)+N(AO196)+N(AO197)+N(AO200)+N(AO218)+N(AO221))-N(AO127)+N(AO254))&lt;&gt;0,((N(AO195)+N(AO196)+N(AO197)+N(AO200)+N(AO218)+N(AO221))-N(AO127))/((N(AO195)+N(AO196)+N(AO197)+N(AO200)+N(AO218)+N(AO221))-N(AO127)+AO254),""),"")</f>
        <v>-3.36415913460168</v>
      </c>
      <c r="AP312" s="258">
        <f>IFERROR(IF(((N(AP195)+N(AP196)+N(AP197)+N(AP200)+N(AP218)+N(AP221))-N(AP127)+N(AP254))&lt;&gt;0,((N(AP195)+N(AP196)+N(AP197)+N(AP200)+N(AP218)+N(AP221))-N(AP127))/((N(AP195)+N(AP196)+N(AP197)+N(AP200)+N(AP218)+N(AP221))-N(AP127)+AP254),""),"")</f>
        <v>-11.4008388517861</v>
      </c>
      <c r="AQ312" s="258">
        <f>IFERROR(IF(((N(AQ195)+N(AQ196)+N(AQ197)+N(AQ200)+N(AQ218)+N(AQ221))-N(AQ127)+N(AQ254))&lt;&gt;0,((N(AQ195)+N(AQ196)+N(AQ197)+N(AQ200)+N(AQ218)+N(AQ221))-N(AQ127))/((N(AQ195)+N(AQ196)+N(AQ197)+N(AQ200)+N(AQ218)+N(AQ221))-N(AQ127)+AQ254),""),"")</f>
        <v>-11.4008388517861</v>
      </c>
      <c r="AR312" s="258">
        <f>IFERROR(IF(((N(AR195)+N(AR196)+N(AR197)+N(AR200)+N(AR218)+N(AR221))-N(AR127)+N(AR254))&lt;&gt;0,((N(AR195)+N(AR196)+N(AR197)+N(AR200)+N(AR218)+N(AR221))-N(AR127))/((N(AR195)+N(AR196)+N(AR197)+N(AR200)+N(AR218)+N(AR221))-N(AR127)+AR254),""),"")</f>
        <v>20.9253866260226</v>
      </c>
      <c r="AS312" s="258">
        <f>IFERROR(IF(((N(AS195)+N(AS196)+N(AS197)+N(AS200)+N(AS218)+N(AS221))-N(AS127)+N(AS254))&lt;&gt;0,((N(AS195)+N(AS196)+N(AS197)+N(AS200)+N(AS218)+N(AS221))-N(AS127))/((N(AS195)+N(AS196)+N(AS197)+N(AS200)+N(AS218)+N(AS221))-N(AS127)+AS254),""),"")</f>
        <v>7.82756792167847</v>
      </c>
      <c r="AT312" s="258">
        <f>IFERROR(IF(((N(AT195)+N(AT196)+N(AT197)+N(AT200)+N(AT218)+N(AT221))-N(AT127)+N(AT254))&lt;&gt;0,((N(AT195)+N(AT196)+N(AT197)+N(AT200)+N(AT218)+N(AT221))-N(AT127))/((N(AT195)+N(AT196)+N(AT197)+N(AT200)+N(AT218)+N(AT221))-N(AT127)+AT254),""),"")</f>
        <v>5.17899506800437</v>
      </c>
      <c r="AU312" s="258">
        <f>IFERROR(IF(((N(AU195)+N(AU196)+N(AU197)+N(AU200)+N(AU218)+N(AU221))-N(AU127)+N(AU254))&lt;&gt;0,((N(AU195)+N(AU196)+N(AU197)+N(AU200)+N(AU218)+N(AU221))-N(AU127))/((N(AU195)+N(AU196)+N(AU197)+N(AU200)+N(AU218)+N(AU221))-N(AU127)+AU254),""),"")</f>
        <v>4.01037872541734</v>
      </c>
      <c r="AV312" s="258">
        <f>IFERROR(IF(((N(AV195)+N(AV196)+N(AV197)+N(AV200)+N(AV218)+N(AV221))-N(AV127)+N(AV254))&lt;&gt;0,((N(AV195)+N(AV196)+N(AV197)+N(AV200)+N(AV218)+N(AV221))-N(AV127))/((N(AV195)+N(AV196)+N(AV197)+N(AV200)+N(AV218)+N(AV221))-N(AV127)+AV254),""),"")</f>
        <v>4.01037872541734</v>
      </c>
      <c r="AW312" s="258">
        <f>IFERROR(IF(((N(AW195)+N(AW196)+N(AW197)+N(AW200)+N(AW218)+N(AW221))-N(AW127)+N(AW254))&lt;&gt;0,((N(AW195)+N(AW196)+N(AW197)+N(AW200)+N(AW218)+N(AW221))-N(AW127))/((N(AW195)+N(AW196)+N(AW197)+N(AW200)+N(AW218)+N(AW221))-N(AW127)+AW254),""),"")</f>
        <v>3.33462898544581</v>
      </c>
      <c r="AX312" s="258">
        <f>IFERROR(IF(((N(AX195)+N(AX196)+N(AX197)+N(AX200)+N(AX218)+N(AX221))-N(AX127)+N(AX254))&lt;&gt;0,((N(AX195)+N(AX196)+N(AX197)+N(AX200)+N(AX218)+N(AX221))-N(AX127))/((N(AX195)+N(AX196)+N(AX197)+N(AX200)+N(AX218)+N(AX221))-N(AX127)+AX254),""),"")</f>
        <v>2.96686932007146</v>
      </c>
      <c r="AY312" s="258">
        <f>IFERROR(IF(((N(AY195)+N(AY196)+N(AY197)+N(AY200)+N(AY218)+N(AY221))-N(AY127)+N(AY254))&lt;&gt;0,((N(AY195)+N(AY196)+N(AY197)+N(AY200)+N(AY218)+N(AY221))-N(AY127))/((N(AY195)+N(AY196)+N(AY197)+N(AY200)+N(AY218)+N(AY221))-N(AY127)+AY254),""),"")</f>
        <v>2.6925064623656</v>
      </c>
      <c r="AZ312" s="258">
        <f>IFERROR(IF(((N(AZ195)+N(AZ196)+N(AZ197)+N(AZ200)+N(AZ218)+N(AZ221))-N(AZ127)+N(AZ254))&lt;&gt;0,((N(AZ195)+N(AZ196)+N(AZ197)+N(AZ200)+N(AZ218)+N(AZ221))-N(AZ127))/((N(AZ195)+N(AZ196)+N(AZ197)+N(AZ200)+N(AZ218)+N(AZ221))-N(AZ127)+AZ254),""),"")</f>
        <v>2.47071646786896</v>
      </c>
      <c r="BA312" s="258">
        <f>IFERROR(IF(((N(BA195)+N(BA196)+N(BA197)+N(BA200)+N(BA218)+N(BA221))-N(BA127)+N(BA254))&lt;&gt;0,((N(BA195)+N(BA196)+N(BA197)+N(BA200)+N(BA218)+N(BA221))-N(BA127))/((N(BA195)+N(BA196)+N(BA197)+N(BA200)+N(BA218)+N(BA221))-N(BA127)+BA254),""),"")</f>
        <v>2.47071646786896</v>
      </c>
      <c r="BB312" s="258">
        <f>IFERROR(IF(((N(BB195)+N(BB196)+N(BB197)+N(BB200)+N(BB218)+N(BB221))-N(BB127)+N(BB254))&lt;&gt;0,((N(BB195)+N(BB196)+N(BB197)+N(BB200)+N(BB218)+N(BB221))-N(BB127))/((N(BB195)+N(BB196)+N(BB197)+N(BB200)+N(BB218)+N(BB221))-N(BB127)+BB254),""),"")</f>
        <v>2.28455417360806</v>
      </c>
      <c r="BC312" s="258">
        <f>IFERROR(IF(((N(BC195)+N(BC196)+N(BC197)+N(BC200)+N(BC218)+N(BC221))-N(BC127)+N(BC254))&lt;&gt;0,((N(BC195)+N(BC196)+N(BC197)+N(BC200)+N(BC218)+N(BC221))-N(BC127))/((N(BC195)+N(BC196)+N(BC197)+N(BC200)+N(BC218)+N(BC221))-N(BC127)+BC254),""),"")</f>
        <v>2.15402994579371</v>
      </c>
      <c r="BD312" s="258">
        <f>IFERROR(IF(((N(BD195)+N(BD196)+N(BD197)+N(BD200)+N(BD218)+N(BD221))-N(BD127)+N(BD254))&lt;&gt;0,((N(BD195)+N(BD196)+N(BD197)+N(BD200)+N(BD218)+N(BD221))-N(BD127))/((N(BD195)+N(BD196)+N(BD197)+N(BD200)+N(BD218)+N(BD221))-N(BD127)+BD254),""),"")</f>
        <v>2.04215450704018</v>
      </c>
      <c r="BE312" s="258">
        <f>IFERROR(IF(((N(BE195)+N(BE196)+N(BE197)+N(BE200)+N(BE218)+N(BE221))-N(BE127)+N(BE254))&lt;&gt;0,((N(BE195)+N(BE196)+N(BE197)+N(BE200)+N(BE218)+N(BE221))-N(BE127))/((N(BE195)+N(BE196)+N(BE197)+N(BE200)+N(BE218)+N(BE221))-N(BE127)+BE254),""),"")</f>
        <v>1.94121490995957</v>
      </c>
      <c r="BF312" s="258">
        <f>IFERROR(IF(((N(BF195)+N(BF196)+N(BF197)+N(BF200)+N(BF218)+N(BF221))-N(BF127)+N(BF254))&lt;&gt;0,((N(BF195)+N(BF196)+N(BF197)+N(BF200)+N(BF218)+N(BF221))-N(BF127))/((N(BF195)+N(BF196)+N(BF197)+N(BF200)+N(BF218)+N(BF221))-N(BF127)+BF254),""),"")</f>
        <v>1.94121490995957</v>
      </c>
    </row>
    <row r="313" customFormat="1" s="77">
      <c r="A313" s="76" t="n"/>
      <c r="B313" s="76" t="n"/>
    </row>
    <row r="314" customFormat="1" s="77">
      <c r="A314" s="76" t="n"/>
      <c r="B314" s="76" t="n"/>
      <c r="C314" s="74" t="inlineStr">
        <is>
          <t>FINANCIAL RISK RATIOS</t>
        </is>
      </c>
    </row>
    <row r="315" customFormat="1" s="77">
      <c r="A315" s="76" t="n"/>
      <c r="B315" s="76" t="n"/>
      <c r="C315" s="77" t="inlineStr">
        <is>
          <t>EBITDA / TOTAL INTEREST (LTM)</t>
        </is>
      </c>
      <c r="D315" s="82" t="str">
        <f>IFERROR(D52/-D57,"")</f>
        <v/>
      </c>
      <c r="E315" s="82" t="str">
        <f>IFERROR(E52/-E57,"")</f>
        <v/>
      </c>
      <c r="F315" s="82" t="str">
        <f>IFERROR(F52/-F57,"")</f>
        <v/>
      </c>
      <c r="G315" s="82" t="str">
        <f>IFERROR(G52/-G57,"")</f>
        <v/>
      </c>
      <c r="H315" s="262" t="str">
        <f>IFERROR(IF(AND(COUNT(H52)=1,(H57)&lt;&gt;0),(H52)/-(H57),""),"")</f>
        <v/>
      </c>
      <c r="I315" s="262" t="str">
        <f>""</f>
        <v/>
      </c>
      <c r="J315" s="262" t="str">
        <f>""</f>
        <v/>
      </c>
      <c r="K315" s="262" t="str">
        <f>""</f>
        <v/>
      </c>
      <c r="L315" s="262">
        <f>IFERROR(IF(AND(COUNT(I52,J52,K52,L52)=4,(I57+J57+K57+L57)&lt;&gt;0),(I52+J52+K52+L52)/-(I57+J57+K57+L57),""),"")</f>
        <v>25.07656612529</v>
      </c>
      <c r="M315" s="262">
        <f>IFERROR(IF(AND(COUNT(I52,J52,K52,L52)=4,(I57+J57+K57+L57)&lt;&gt;0),(I52+J52+K52+L52)/-(I57+J57+K57+L57),""),"")</f>
        <v>25.07656612529</v>
      </c>
      <c r="N315" s="262">
        <f>IFERROR(IF(AND(COUNT(J52,K52,L52,N52)=4,(J57+K57+L57+N57)&lt;&gt;0),(J52+K52+L52+N52)/-(J57+K57+L57+N57),""),"")</f>
        <v>26.705069124424</v>
      </c>
      <c r="O315" s="262">
        <f>IFERROR(IF(AND(COUNT(K52,L52,N52,O52)=4,(K57+L57+N57+O57)&lt;&gt;0),(K52+L52+N52+O52)/-(K57+L57+N57+O57),""),"")</f>
        <v>27.7601809954751</v>
      </c>
      <c r="P315" s="262">
        <f>IFERROR(IF(AND(COUNT(L52,N52,O52,P52)=4,(L57+N57+O57+P57)&lt;&gt;0),(L52+N52+O52+P52)/-(L57+N57+O57+P57),""),"")</f>
        <v>28.0132743362832</v>
      </c>
      <c r="Q315" s="262">
        <f>IFERROR(IF(AND(COUNT(N52,O52,P52,Q52)=4,(N57+O57+P57+Q57)&lt;&gt;0),(N52+O52+P52+Q52)/-(N57+O57+P57+Q57),""),"")</f>
        <v>27.6305732484076</v>
      </c>
      <c r="R315" s="262">
        <f>IFERROR(IF(AND(COUNT(N52,O52,P52,Q52)=4,(N57+O57+P57+Q57)&lt;&gt;0),(N52+O52+P52+Q52)/-(N57+O57+P57+Q57),""),"")</f>
        <v>27.6305732484076</v>
      </c>
      <c r="S315" s="262">
        <f>IFERROR(IF(AND(COUNT(O52,P52,Q52,S52)=4,(O57+P57+Q57+S57)&lt;&gt;0),(O52+P52+Q52+S52)/-(O57+P57+Q57+S57),""),"")</f>
        <v>26.7728194726166</v>
      </c>
      <c r="T315" s="262">
        <f>IFERROR(IF(AND(COUNT(P52,Q52,S52,T52)=4,(P57+Q57+S57+T57)&lt;&gt;0),(P52+Q52+S52+T52)/-(P57+Q57+S57+T57),""),"")</f>
        <v>26.4627151051625</v>
      </c>
      <c r="U315" s="262">
        <f>IFERROR(IF(AND(COUNT(Q52,S52,T52,U52)=4,(Q57+S57+T57+U57)&lt;&gt;0),(Q52+S52+T52+U52)/-(Q57+S57+T57+U57),""),"")</f>
        <v>26.3501805054152</v>
      </c>
      <c r="V315" s="262">
        <f>IFERROR(IF(AND(COUNT(S52,T52,U52,V52)=4,(S57+T57+U57+V57)&lt;&gt;0),(S52+T52+U52+V52)/-(S57+T57+U57+V57),""),"")</f>
        <v>25.7513043478261</v>
      </c>
      <c r="W315" s="262">
        <f>IFERROR(IF(AND(COUNT(S52,T52,U52,V52)=4,(S57+T57+U57+V57)&lt;&gt;0),(S52+T52+U52+V52)/-(S57+T57+U57+V57),""),"")</f>
        <v>25.7513043478261</v>
      </c>
      <c r="X315" s="262">
        <f>IFERROR(IF(AND(COUNT(T52,U52,V52,X52)=4,(T57+U57+V57+X57)&lt;&gt;0),(T52+U52+V52+X52)/-(T57+U57+V57+X57),""),"")</f>
        <v>25.8010118043845</v>
      </c>
      <c r="Y315" s="262">
        <f>IFERROR(IF(AND(COUNT(U52,V52,X52,Y52)=4,(U57+V57+X57+Y57)&lt;&gt;0),(U52+V52+X52+Y52)/-(U57+V57+X57+Y57),""),"")</f>
        <v>26.1013289036545</v>
      </c>
      <c r="Z315" s="262">
        <f>IFERROR(IF(AND(COUNT(V52,X52,Y52,Z52)=4,(V57+X57+Y57+Z57)&lt;&gt;0),(V52+X52+Y52+Z52)/-(V57+X57+Y57+Z57),""),"")</f>
        <v>26.044262295082</v>
      </c>
      <c r="AA315" s="262">
        <f>IFERROR(IF(AND(COUNT(X52,Y52,Z52,AA52)=4,(X57+Y57+Z57+AA57)&lt;&gt;0),(X52+Y52+Z52+AA52)/-(X57+Y57+Z57+AA57),""),"")</f>
        <v>25.5092879256966</v>
      </c>
      <c r="AB315" s="262">
        <f>IFERROR(IF(AND(COUNT(X52,Y52,Z52,AA52)=4,(X57+Y57+Z57+AA57)&lt;&gt;0),(X52+Y52+Z52+AA52)/-(X57+Y57+Z57+AA57),""),"")</f>
        <v>25.5092879256966</v>
      </c>
      <c r="AC315" s="262">
        <f>IFERROR(IF(AND(COUNT(Y52,Z52,AA52,AC52)=4,(Y57+Z57+AA57+AC57)&lt;&gt;0),(Y52+Z52+AA52+AC52)/-(Y57+Z57+AA57+AC57),""),"")</f>
        <v>25.1961651917404</v>
      </c>
      <c r="AD315" s="262">
        <f>IFERROR(IF(AND(COUNT(Z52,AA52,AC52,AD52)=4,(Z57+AA57+AC57+AD57)&lt;&gt;0),(Z52+AA52+AC52+AD52)/-(Z57+AA57+AC57+AD57),""),"")</f>
        <v>24.8333333333333</v>
      </c>
      <c r="AE315" s="262">
        <f>IFERROR(IF(AND(COUNT(AA52,AC52,AD52,AE52)=4,(AA57+AC57+AD57+AE57)&lt;&gt;0),(AA52+AC52+AD52+AE52)/-(AA57+AC57+AD57+AE57),""),"")</f>
        <v>25.4377510040161</v>
      </c>
      <c r="AF315" s="262">
        <f>IFERROR(IF(AND(COUNT(AB52,AD52,AE52,AF52)=4,(AB57+AD57+AE57+AF57)&lt;&gt;0),(AB52+AD52+AE52+AF52)/-(AB57+AD57+AE57+AF57),""),"")</f>
        <v>27.0615514333895</v>
      </c>
      <c r="AG315" s="262">
        <f>IFERROR(IF(AND(COUNT(AC52,AD52,AE52,AF52)=4,(AC57+AD57+AE57+AF57)&lt;&gt;0),(AC52+AD52+AE52+AF52)/-(AC57+AD57+AE57+AF57),""),"")</f>
        <v>27.7562326869806</v>
      </c>
      <c r="AH315" s="262">
        <f>IFERROR(IF(AND(COUNT(AD52,AF52,AG52,AH52)=4,(AD57+AF57+AG57+AH57)&lt;&gt;0),(AD52+AF52+AG52+AH52)/-(AD57+AF57+AG57+AH57),""),"")</f>
        <v>28.1609833465504</v>
      </c>
      <c r="AI315" s="262">
        <f>IFERROR(IF(AND(COUNT(AE52,AG52,AH52,AI52)=4,(AE57+AG57+AH57+AI57)&lt;&gt;0),(AE52+AG52+AH52+AI52)/-(AE57+AG57+AH57+AI57),""),"")</f>
        <v>27.836003051106</v>
      </c>
      <c r="AJ315" s="262" t="str">
        <f>IFERROR(IF(AND(COUNT(AF52,AH52,AI52,AJ52)=4,(AF57+AH57+AI57+AJ57)&lt;&gt;0),(AF52+AH52+AI52+AJ52)/-(AF57+AH57+AI57+AJ57),""),"")</f>
        <v/>
      </c>
      <c r="AK315" s="262" t="str">
        <f>IFERROR(IF(AND(COUNT(AH52,AI52,AJ52,AK52)=4,(AH57+AI57+AJ57+AK57)&lt;&gt;0),(AH52+AI52+AJ52+AK52)/-(AH57+AI57+AJ57+AK57),""),"")</f>
        <v/>
      </c>
      <c r="AL315" s="262" t="str">
        <f>IFERROR(IF(AND(COUNT(AH52,AI52,AJ52,AK52)=4,(AH57+AI57+AJ57+AK57)&lt;&gt;0),(AH52+AI52+AJ52+AK52)/-(AH57+AI57+AJ57+AK57),""),"")</f>
        <v/>
      </c>
      <c r="AM315" s="262" t="str">
        <f>IFERROR(IF(AND(COUNT(AI52,AJ52,AK52,AM52)=4,(AI57+AJ57+AK57+AM57)&lt;&gt;0),(AI52+AJ52+AK52+AM52)/-(AI57+AJ57+AK57+AM57),""),"")</f>
        <v/>
      </c>
      <c r="AN315" s="262" t="str">
        <f>IFERROR(IF(AND(COUNT(AJ52,AK52,AM52,AN52)=4,(AJ57+AK57+AM57+AN57)&lt;&gt;0),(AJ52+AK52+AM52+AN52)/-(AJ57+AK57+AM57+AN57),""),"")</f>
        <v/>
      </c>
      <c r="AO315" s="262" t="str">
        <f>IFERROR(IF(AND(COUNT(AK52,AM52,AN52,AO52)=4,(AK57+AM57+AN57+AO57)&lt;&gt;0),(AK52+AM52+AN52+AO52)/-(AK57+AM57+AN57+AO57),""),"")</f>
        <v/>
      </c>
      <c r="AP315" s="262" t="str">
        <f>IFERROR(IF(AND(COUNT(AM52,AN52,AO52,AP52)=4,(AM57+AN57+AO57+AP57)&lt;&gt;0),(AM52+AN52+AO52+AP52)/-(AM57+AN57+AO57+AP57),""),"")</f>
        <v/>
      </c>
      <c r="AQ315" s="262" t="str">
        <f>IFERROR(IF(AND(COUNT(AM52,AN52,AO52,AP52)=4,(AM57+AN57+AO57+AP57)&lt;&gt;0),(AM52+AN52+AO52+AP52)/-(AM57+AN57+AO57+AP57),""),"")</f>
        <v/>
      </c>
      <c r="AR315" s="262" t="str">
        <f>IFERROR(IF(AND(COUNT(AN52,AO52,AP52,AR52)=4,(AN57+AO57+AP57+AR57)&lt;&gt;0),(AN52+AO52+AP52+AR52)/-(AN57+AO57+AP57+AR57),""),"")</f>
        <v/>
      </c>
      <c r="AS315" s="262" t="str">
        <f>IFERROR(IF(AND(COUNT(AO52,AP52,AR52,AS52)=4,(AO57+AP57+AR57+AS57)&lt;&gt;0),(AO52+AP52+AR52+AS52)/-(AO57+AP57+AR57+AS57),""),"")</f>
        <v/>
      </c>
      <c r="AT315" s="262" t="str">
        <f>IFERROR(IF(AND(COUNT(AP52,AR52,AS52,AT52)=4,(AP57+AR57+AS57+AT57)&lt;&gt;0),(AP52+AR52+AS52+AT52)/-(AP57+AR57+AS57+AT57),""),"")</f>
        <v/>
      </c>
      <c r="AU315" s="262" t="str">
        <f>IFERROR(IF(AND(COUNT(AR52,AS52,AT52,AU52)=4,(AR57+AS57+AT57+AU57)&lt;&gt;0),(AR52+AS52+AT52+AU52)/-(AR57+AS57+AT57+AU57),""),"")</f>
        <v/>
      </c>
      <c r="AV315" s="262" t="str">
        <f>IFERROR(IF(AND(COUNT(AR52,AS52,AT52,AU52)=4,(AR57+AS57+AT57+AU57)&lt;&gt;0),(AR52+AS52+AT52+AU52)/-(AR57+AS57+AT57+AU57),""),"")</f>
        <v/>
      </c>
      <c r="AW315" s="262" t="str">
        <f>IFERROR(IF(AND(COUNT(AS52,AT52,AU52,AW52)=4,(AS57+AT57+AU57+AW57)&lt;&gt;0),(AS52+AT52+AU52+AW52)/-(AS57+AT57+AU57+AW57),""),"")</f>
        <v/>
      </c>
      <c r="AX315" s="262" t="str">
        <f>IFERROR(IF(AND(COUNT(AT52,AU52,AW52,AX52)=4,(AT57+AU57+AW57+AX57)&lt;&gt;0),(AT52+AU52+AW52+AX52)/-(AT57+AU57+AW57+AX57),""),"")</f>
        <v/>
      </c>
      <c r="AY315" s="262" t="str">
        <f>IFERROR(IF(AND(COUNT(AU52,AW52,AX52,AY52)=4,(AU57+AW57+AX57+AY57)&lt;&gt;0),(AU52+AW52+AX52+AY52)/-(AU57+AW57+AX57+AY57),""),"")</f>
        <v/>
      </c>
      <c r="AZ315" s="262" t="str">
        <f>IFERROR(IF(AND(COUNT(AW52,AX52,AY52,AZ52)=4,(AW57+AX57+AY57+AZ57)&lt;&gt;0),(AW52+AX52+AY52+AZ52)/-(AW57+AX57+AY57+AZ57),""),"")</f>
        <v/>
      </c>
      <c r="BA315" s="262" t="str">
        <f>IFERROR(IF(AND(COUNT(AW52,AX52,AY52,AZ52)=4,(AW57+AX57+AY57+AZ57)&lt;&gt;0),(AW52+AX52+AY52+AZ52)/-(AW57+AX57+AY57+AZ57),""),"")</f>
        <v/>
      </c>
      <c r="BB315" s="262" t="str">
        <f>IFERROR(IF(AND(COUNT(AX52,AY52,AZ52,BB52)=4,(AX57+AY57+AZ57+BB57)&lt;&gt;0),(AX52+AY52+AZ52+BB52)/-(AX57+AY57+AZ57+BB57),""),"")</f>
        <v/>
      </c>
      <c r="BC315" s="262" t="str">
        <f>IFERROR(IF(AND(COUNT(AY52,AZ52,BB52,BC52)=4,(AY57+AZ57+BB57+BC57)&lt;&gt;0),(AY52+AZ52+BB52+BC52)/-(AY57+AZ57+BB57+BC57),""),"")</f>
        <v/>
      </c>
      <c r="BD315" s="262" t="str">
        <f>IFERROR(IF(AND(COUNT(AZ52,BB52,BC52,BD52)=4,(AZ57+BB57+BC57+BD57)&lt;&gt;0),(AZ52+BB52+BC52+BD52)/-(AZ57+BB57+BC57+BD57),""),"")</f>
        <v/>
      </c>
      <c r="BE315" s="262" t="str">
        <f>IFERROR(IF(AND(COUNT(BB52,BC52,BD52,BE52)=4,(BB57+BC57+BD57+BE57)&lt;&gt;0),(BB52+BC52+BD52+BE52)/-(BB57+BC57+BD57+BE57),""),"")</f>
        <v/>
      </c>
      <c r="BF315" s="262" t="str">
        <f>IFERROR(IF(AND(COUNT(BB52,BC52,BD52,BE52)=4,(BB57+BC57+BD57+BE57)&lt;&gt;0),(BB52+BC52+BD52+BE52)/-(BB57+BC57+BD57+BE57),""),"")</f>
        <v/>
      </c>
      <c r="BG315" s="82" t="n"/>
      <c r="BH315" s="82" t="n"/>
      <c r="BI315" s="82" t="n"/>
      <c r="BJ315" s="82" t="n"/>
      <c r="BL315" s="82" t="n"/>
      <c r="BM315" s="82" t="n"/>
      <c r="BN315" s="82" t="n"/>
      <c r="BO315" s="82" t="n"/>
      <c r="BQ315" s="82" t="n"/>
      <c r="BR315" s="82" t="n"/>
      <c r="BS315" s="82" t="n"/>
      <c r="BT315" s="82" t="n"/>
      <c r="BV315" s="82" t="n"/>
      <c r="BW315" s="82" t="n"/>
      <c r="BX315" s="82" t="n"/>
      <c r="BY315" s="82" t="n"/>
      <c r="CA315" s="82" t="n"/>
      <c r="CB315" s="82" t="n"/>
      <c r="CC315" s="82" t="n"/>
      <c r="CD315" s="82" t="n"/>
      <c r="CF315" s="82" t="n"/>
      <c r="CG315" s="82" t="n"/>
      <c r="CH315" s="82" t="n"/>
      <c r="CI315" s="82" t="n"/>
      <c r="CK315" s="82" t="n"/>
      <c r="CL315" s="82" t="n"/>
      <c r="CM315" s="82" t="n"/>
      <c r="CN315" s="82" t="n"/>
      <c r="CP315" s="82" t="n"/>
      <c r="CQ315" s="82" t="n"/>
      <c r="CR315" s="82" t="n"/>
      <c r="CS315" s="82" t="n"/>
      <c r="CU315" s="82" t="n"/>
      <c r="CV315" s="82" t="n"/>
      <c r="CW315" s="82" t="n"/>
      <c r="CX315" s="82" t="n"/>
    </row>
    <row r="316" customFormat="1" s="77">
      <c r="A316" s="76" t="n"/>
      <c r="B316" s="76" t="n"/>
      <c r="C316" s="77" t="inlineStr">
        <is>
          <t>(EBITDA - CAPEX) / TOTAL INTEREST (LTM)</t>
        </is>
      </c>
      <c r="D316" s="82" t="str">
        <f>IFERROR((D52-D151)/-D57,"")</f>
        <v/>
      </c>
      <c r="E316" s="82" t="str">
        <f>IFERROR((E52-E151)/-E57,"")</f>
        <v/>
      </c>
      <c r="F316" s="82" t="str">
        <f>IFERROR((F52-F151)/-F57,"")</f>
        <v/>
      </c>
      <c r="G316" s="82" t="str">
        <f>IFERROR((G52-G151)/-G57,"")</f>
        <v/>
      </c>
      <c r="H316" s="262" t="str">
        <f>IFERROR(IF(AND(COUNT(H52)=1,(H57)&lt;&gt;0),((H52)-(H151))/-(H57),""),"")</f>
        <v/>
      </c>
      <c r="I316" s="262" t="str">
        <f>""</f>
        <v/>
      </c>
      <c r="J316" s="262" t="str">
        <f>""</f>
        <v/>
      </c>
      <c r="K316" s="262" t="str">
        <f>""</f>
        <v/>
      </c>
      <c r="L316" s="262">
        <f>IFERROR(IF(AND(COUNT(I52,J52,K52,L52)=4,(I57+J57+K57+L57)&lt;&gt;0),((I52+J52+K52+L52)-(I151+J151+K151+L151))/-(I57+J57+K57+L57),""),"")</f>
        <v>23.6380510440835</v>
      </c>
      <c r="M316" s="262">
        <f>IFERROR(IF(AND(COUNT(I52,J52,K52,L52)=4,(I57+J57+K57+L57)&lt;&gt;0),((I52+J52+K52+L52)-(I151+J151+K151+L151))/-(I57+J57+K57+L57),""),"")</f>
        <v>23.6380510440835</v>
      </c>
      <c r="N316" s="262">
        <f>IFERROR(IF(AND(COUNT(J52,K52,L52,N52)=4,(J57+K57+L57+N57)&lt;&gt;0),((J52+K52+L52+N52)-(J151+K151+L151+N151))/-(J57+K57+L57+N57),""),"")</f>
        <v>24.7188940092166</v>
      </c>
      <c r="O316" s="262">
        <f>IFERROR(IF(AND(COUNT(K52,L52,N52,O52)=4,(K57+L57+N57+O57)&lt;&gt;0),((K52+L52+N52+O52)-(K151+L151+N151+O151))/-(K57+L57+N57+O57),""),"")</f>
        <v>25.7941176470588</v>
      </c>
      <c r="P316" s="262">
        <f>IFERROR(IF(AND(COUNT(L52,N52,O52,P52)=4,(L57+N57+O57+P57)&lt;&gt;0),((L52+N52+O52+P52)-(L151+N151+O151+P151))/-(L57+N57+O57+P57),""),"")</f>
        <v>26.141592920354</v>
      </c>
      <c r="Q316" s="262">
        <f>IFERROR(IF(AND(COUNT(N52,O52,P52,Q52)=4,(N57+O57+P57+Q57)&lt;&gt;0),((N52+O52+P52+Q52)-(N151+O151+P151+Q151))/-(N57+O57+P57+Q57),""),"")</f>
        <v>25.828025477707</v>
      </c>
      <c r="R316" s="262">
        <f>IFERROR(IF(AND(COUNT(N52,O52,P52,Q52)=4,(N57+O57+P57+Q57)&lt;&gt;0),((N52+O52+P52+Q52)-(N151+O151+P151+Q151))/-(N57+O57+P57+Q57),""),"")</f>
        <v>25.828025477707</v>
      </c>
      <c r="S316" s="262">
        <f>IFERROR(IF(AND(COUNT(O52,P52,Q52,S52)=4,(O57+P57+Q57+S57)&lt;&gt;0),((O52+P52+Q52+S52)-(O151+P151+Q151+S151))/-(O57+P57+Q57+S57),""),"")</f>
        <v>25.1541582150101</v>
      </c>
      <c r="T316" s="262">
        <f>IFERROR(IF(AND(COUNT(P52,Q52,S52,T52)=4,(P57+Q57+S57+T57)&lt;&gt;0),((P52+Q52+S52+T52)-(P151+Q151+S151+T151))/-(P57+Q57+S57+T57),""),"")</f>
        <v>24.9560229445507</v>
      </c>
      <c r="U316" s="262">
        <f>IFERROR(IF(AND(COUNT(Q52,S52,T52,U52)=4,(Q57+S57+T57+U57)&lt;&gt;0),((Q52+S52+T52+U52)-(Q151+S151+T151+U151))/-(Q57+S57+T57+U57),""),"")</f>
        <v>24.9079422382671</v>
      </c>
      <c r="V316" s="262">
        <f>IFERROR(IF(AND(COUNT(S52,T52,U52,V52)=4,(S57+T57+U57+V57)&lt;&gt;0),((S52+T52+U52+V52)-(S151+T151+U151+V151))/-(S57+T57+U57+V57),""),"")</f>
        <v>24.2660869565217</v>
      </c>
      <c r="W316" s="262">
        <f>IFERROR(IF(AND(COUNT(S52,T52,U52,V52)=4,(S57+T57+U57+V57)&lt;&gt;0),((S52+T52+U52+V52)-(S151+T151+U151+V151))/-(S57+T57+U57+V57),""),"")</f>
        <v>24.2660869565217</v>
      </c>
      <c r="X316" s="262">
        <f>IFERROR(IF(AND(COUNT(T52,U52,V52,X52)=4,(T57+U57+V57+X57)&lt;&gt;0),((T52+U52+V52+X52)-(T151+U151+V151+X151))/-(T57+U57+V57+X57),""),"")</f>
        <v>24.29173693086</v>
      </c>
      <c r="Y316" s="262">
        <f>IFERROR(IF(AND(COUNT(U52,V52,X52,Y52)=4,(U57+V57+X57+Y57)&lt;&gt;0),((U52+V52+X52+Y52)-(U151+V151+X151+Y151))/-(U57+V57+X57+Y57),""),"")</f>
        <v>24.4086378737542</v>
      </c>
      <c r="Z316" s="262">
        <f>IFERROR(IF(AND(COUNT(V52,X52,Y52,Z52)=4,(V57+X57+Y57+Z57)&lt;&gt;0),((V52+X52+Y52+Z52)-(V151+X151+Y151+Z151))/-(V57+X57+Y57+Z57),""),"")</f>
        <v>24.2819672131148</v>
      </c>
      <c r="AA316" s="262">
        <f>IFERROR(IF(AND(COUNT(X52,Y52,Z52,AA52)=4,(X57+Y57+Z57+AA57)&lt;&gt;0),((X52+Y52+Z52+AA52)-(X151+Y151+Z151+AA151))/-(X57+Y57+Z57+AA57),""),"")</f>
        <v>24.0015479876161</v>
      </c>
      <c r="AB316" s="262">
        <f>IFERROR(IF(AND(COUNT(X52,Y52,Z52,AA52)=4,(X57+Y57+Z57+AA57)&lt;&gt;0),((X52+Y52+Z52+AA52)-(X151+Y151+Z151+AA151))/-(X57+Y57+Z57+AA57),""),"")</f>
        <v>24.0015479876161</v>
      </c>
      <c r="AC316" s="262">
        <f>IFERROR(IF(AND(COUNT(Y52,Z52,AA52,AC52)=4,(Y57+Z57+AA57+AC57)&lt;&gt;0),((Y52+Z52+AA52+AC52)-(Y151+Z151+AA151+AC151))/-(Y57+Z57+AA57+AC57),""),"")</f>
        <v>23.6474926253687</v>
      </c>
      <c r="AD316" s="262">
        <f>IFERROR(IF(AND(COUNT(Z52,AA52,AC52,AD52)=4,(Z57+AA57+AC57+AD57)&lt;&gt;0),((Z52+AA52+AC52+AD52)-(Z151+AA151+AC151+AD151))/-(Z57+AA57+AC57+AD57),""),"")</f>
        <v>23.3208333333333</v>
      </c>
      <c r="AE316" s="262">
        <f>IFERROR(IF(AND(COUNT(AA52,AC52,AD52,AE52)=4,(AA57+AC57+AD57+AE57)&lt;&gt;0),((AA52+AC52+AD52+AE52)-(AA151+AC151+AD151+AE151))/-(AA57+AC57+AD57+AE57),""),"")</f>
        <v>23.8313253012048</v>
      </c>
      <c r="AF316" s="262">
        <f>IFERROR(IF(AND(COUNT(AB52,AD52,AE52,AF52)=4,(AB57+AD57+AE57+AF57)&lt;&gt;0),((AB52+AD52+AE52+AF52)-(AB151+AD151+AE151+AF151))/-(AB57+AD57+AE57+AF57),""),"")</f>
        <v>26.2183811129848</v>
      </c>
      <c r="AG316" s="262">
        <f>IFERROR(IF(AND(COUNT(AC52,AD52,AE52,AF52)=4,(AC57+AD57+AE57+AF57)&lt;&gt;0),((AC52+AD52+AE52+AF52)-(AC151+AD151+AE151+AF151))/-(AC57+AD57+AE57+AF57),""),"")</f>
        <v>25.9445983379501</v>
      </c>
      <c r="AH316" s="262">
        <f>IFERROR(IF(AND(COUNT(AD52,AF52,AG52,AH52)=4,(AD57+AF57+AG57+AH57)&lt;&gt;0),((AD52+AF52+AG52+AH52)-(AD151+AF151+AG151+AH151))/-(AD57+AF57+AG57+AH57),""),"")</f>
        <v>26.3457573354481</v>
      </c>
      <c r="AI316" s="262">
        <f>IFERROR(IF(AND(COUNT(AE52,AG52,AH52,AI52)=4,(AE57+AG57+AH57+AI57)&lt;&gt;0),((AE52+AG52+AH52+AI52)-(AE151+AG151+AH151+AI151))/-(AE57+AG57+AH57+AI57),""),"")</f>
        <v>25.9153318077803</v>
      </c>
      <c r="AJ316" s="262" t="str">
        <f>IFERROR(IF(AND(COUNT(AF52,AH52,AI52,AJ52)=4,(AF57+AH57+AI57+AJ57)&lt;&gt;0),((AF52+AH52+AI52+AJ52)-(AF151+AH151+AI151+AJ151))/-(AF57+AH57+AI57+AJ57),""),"")</f>
        <v/>
      </c>
      <c r="AK316" s="262" t="str">
        <f>IFERROR(IF(AND(COUNT(AH52,AI52,AJ52,AK52)=4,(AH57+AI57+AJ57+AK57)&lt;&gt;0),((AH52+AI52+AJ52+AK52)-(AH151+AI151+AJ151+AK151))/-(AH57+AI57+AJ57+AK57),""),"")</f>
        <v/>
      </c>
      <c r="AL316" s="262" t="str">
        <f>IFERROR(IF(AND(COUNT(AH52,AI52,AJ52,AK52)=4,(AH57+AI57+AJ57+AK57)&lt;&gt;0),((AH52+AI52+AJ52+AK52)-(AH151+AI151+AJ151+AK151))/-(AH57+AI57+AJ57+AK57),""),"")</f>
        <v/>
      </c>
      <c r="AM316" s="262" t="str">
        <f>IFERROR(IF(AND(COUNT(AI52,AJ52,AK52,AM52)=4,(AI57+AJ57+AK57+AM57)&lt;&gt;0),((AI52+AJ52+AK52+AM52)-(AI151+AJ151+AK151+AM151))/-(AI57+AJ57+AK57+AM57),""),"")</f>
        <v/>
      </c>
      <c r="AN316" s="262" t="str">
        <f>IFERROR(IF(AND(COUNT(AJ52,AK52,AM52,AN52)=4,(AJ57+AK57+AM57+AN57)&lt;&gt;0),((AJ52+AK52+AM52+AN52)-(AJ151+AK151+AM151+AN151))/-(AJ57+AK57+AM57+AN57),""),"")</f>
        <v/>
      </c>
      <c r="AO316" s="262" t="str">
        <f>IFERROR(IF(AND(COUNT(AK52,AM52,AN52,AO52)=4,(AK57+AM57+AN57+AO57)&lt;&gt;0),((AK52+AM52+AN52+AO52)-(AK151+AM151+AN151+AO151))/-(AK57+AM57+AN57+AO57),""),"")</f>
        <v/>
      </c>
      <c r="AP316" s="262" t="str">
        <f>IFERROR(IF(AND(COUNT(AM52,AN52,AO52,AP52)=4,(AM57+AN57+AO57+AP57)&lt;&gt;0),((AM52+AN52+AO52+AP52)-(AM151+AN151+AO151+AP151))/-(AM57+AN57+AO57+AP57),""),"")</f>
        <v/>
      </c>
      <c r="AQ316" s="262" t="str">
        <f>IFERROR(IF(AND(COUNT(AM52,AN52,AO52,AP52)=4,(AM57+AN57+AO57+AP57)&lt;&gt;0),((AM52+AN52+AO52+AP52)-(AM151+AN151+AO151+AP151))/-(AM57+AN57+AO57+AP57),""),"")</f>
        <v/>
      </c>
      <c r="AR316" s="262" t="str">
        <f>IFERROR(IF(AND(COUNT(AN52,AO52,AP52,AR52)=4,(AN57+AO57+AP57+AR57)&lt;&gt;0),((AN52+AO52+AP52+AR52)-(AN151+AO151+AP151+AR151))/-(AN57+AO57+AP57+AR57),""),"")</f>
        <v/>
      </c>
      <c r="AS316" s="262" t="str">
        <f>IFERROR(IF(AND(COUNT(AO52,AP52,AR52,AS52)=4,(AO57+AP57+AR57+AS57)&lt;&gt;0),((AO52+AP52+AR52+AS52)-(AO151+AP151+AR151+AS151))/-(AO57+AP57+AR57+AS57),""),"")</f>
        <v/>
      </c>
      <c r="AT316" s="262" t="str">
        <f>IFERROR(IF(AND(COUNT(AP52,AR52,AS52,AT52)=4,(AP57+AR57+AS57+AT57)&lt;&gt;0),((AP52+AR52+AS52+AT52)-(AP151+AR151+AS151+AT151))/-(AP57+AR57+AS57+AT57),""),"")</f>
        <v/>
      </c>
      <c r="AU316" s="262" t="str">
        <f>IFERROR(IF(AND(COUNT(AR52,AS52,AT52,AU52)=4,(AR57+AS57+AT57+AU57)&lt;&gt;0),((AR52+AS52+AT52+AU52)-(AR151+AS151+AT151+AU151))/-(AR57+AS57+AT57+AU57),""),"")</f>
        <v/>
      </c>
      <c r="AV316" s="262" t="str">
        <f>IFERROR(IF(AND(COUNT(AR52,AS52,AT52,AU52)=4,(AR57+AS57+AT57+AU57)&lt;&gt;0),((AR52+AS52+AT52+AU52)-(AR151+AS151+AT151+AU151))/-(AR57+AS57+AT57+AU57),""),"")</f>
        <v/>
      </c>
      <c r="AW316" s="262" t="str">
        <f>IFERROR(IF(AND(COUNT(AS52,AT52,AU52,AW52)=4,(AS57+AT57+AU57+AW57)&lt;&gt;0),((AS52+AT52+AU52+AW52)-(AS151+AT151+AU151+AW151))/-(AS57+AT57+AU57+AW57),""),"")</f>
        <v/>
      </c>
      <c r="AX316" s="262" t="str">
        <f>IFERROR(IF(AND(COUNT(AT52,AU52,AW52,AX52)=4,(AT57+AU57+AW57+AX57)&lt;&gt;0),((AT52+AU52+AW52+AX52)-(AT151+AU151+AW151+AX151))/-(AT57+AU57+AW57+AX57),""),"")</f>
        <v/>
      </c>
      <c r="AY316" s="262" t="str">
        <f>IFERROR(IF(AND(COUNT(AU52,AW52,AX52,AY52)=4,(AU57+AW57+AX57+AY57)&lt;&gt;0),((AU52+AW52+AX52+AY52)-(AU151+AW151+AX151+AY151))/-(AU57+AW57+AX57+AY57),""),"")</f>
        <v/>
      </c>
      <c r="AZ316" s="262" t="str">
        <f>IFERROR(IF(AND(COUNT(AW52,AX52,AY52,AZ52)=4,(AW57+AX57+AY57+AZ57)&lt;&gt;0),((AW52+AX52+AY52+AZ52)-(AW151+AX151+AY151+AZ151))/-(AW57+AX57+AY57+AZ57),""),"")</f>
        <v/>
      </c>
      <c r="BA316" s="262" t="str">
        <f>IFERROR(IF(AND(COUNT(AW52,AX52,AY52,AZ52)=4,(AW57+AX57+AY57+AZ57)&lt;&gt;0),((AW52+AX52+AY52+AZ52)-(AW151+AX151+AY151+AZ151))/-(AW57+AX57+AY57+AZ57),""),"")</f>
        <v/>
      </c>
      <c r="BB316" s="262" t="str">
        <f>IFERROR(IF(AND(COUNT(AX52,AY52,AZ52,BB52)=4,(AX57+AY57+AZ57+BB57)&lt;&gt;0),((AX52+AY52+AZ52+BB52)-(AX151+AY151+AZ151+BB151))/-(AX57+AY57+AZ57+BB57),""),"")</f>
        <v/>
      </c>
      <c r="BC316" s="262" t="str">
        <f>IFERROR(IF(AND(COUNT(AY52,AZ52,BB52,BC52)=4,(AY57+AZ57+BB57+BC57)&lt;&gt;0),((AY52+AZ52+BB52+BC52)-(AY151+AZ151+BB151+BC151))/-(AY57+AZ57+BB57+BC57),""),"")</f>
        <v/>
      </c>
      <c r="BD316" s="262" t="str">
        <f>IFERROR(IF(AND(COUNT(AZ52,BB52,BC52,BD52)=4,(AZ57+BB57+BC57+BD57)&lt;&gt;0),((AZ52+BB52+BC52+BD52)-(AZ151+BB151+BC151+BD151))/-(AZ57+BB57+BC57+BD57),""),"")</f>
        <v/>
      </c>
      <c r="BE316" s="262" t="str">
        <f>IFERROR(IF(AND(COUNT(BB52,BC52,BD52,BE52)=4,(BB57+BC57+BD57+BE57)&lt;&gt;0),((BB52+BC52+BD52+BE52)-(BB151+BC151+BD151+BE151))/-(BB57+BC57+BD57+BE57),""),"")</f>
        <v/>
      </c>
      <c r="BF316" s="262" t="str">
        <f>IFERROR(IF(AND(COUNT(BB52,BC52,BD52,BE52)=4,(BB57+BC57+BD57+BE57)&lt;&gt;0),((BB52+BC52+BD52+BE52)-(BB151+BC151+BD151+BE151))/-(BB57+BC57+BD57+BE57),""),"")</f>
        <v/>
      </c>
      <c r="BG316" s="82" t="n"/>
      <c r="BH316" s="82" t="n"/>
      <c r="BI316" s="82" t="n"/>
      <c r="BJ316" s="82" t="n"/>
      <c r="BL316" s="82" t="n"/>
      <c r="BM316" s="82" t="n"/>
      <c r="BN316" s="82" t="n"/>
      <c r="BO316" s="82" t="n"/>
      <c r="BQ316" s="82" t="n"/>
      <c r="BR316" s="82" t="n"/>
      <c r="BS316" s="82" t="n"/>
      <c r="BT316" s="82" t="n"/>
      <c r="BV316" s="82" t="n"/>
      <c r="BW316" s="82" t="n"/>
      <c r="BX316" s="82" t="n"/>
      <c r="BY316" s="82" t="n"/>
      <c r="CA316" s="82" t="n"/>
      <c r="CB316" s="82" t="n"/>
      <c r="CC316" s="82" t="n"/>
      <c r="CD316" s="82" t="n"/>
      <c r="CF316" s="82" t="n"/>
      <c r="CG316" s="82" t="n"/>
      <c r="CH316" s="82" t="n"/>
      <c r="CI316" s="82" t="n"/>
      <c r="CK316" s="82" t="n"/>
      <c r="CL316" s="82" t="n"/>
      <c r="CM316" s="82" t="n"/>
      <c r="CN316" s="82" t="n"/>
      <c r="CP316" s="82" t="n"/>
      <c r="CQ316" s="82" t="n"/>
      <c r="CR316" s="82" t="n"/>
      <c r="CS316" s="82" t="n"/>
      <c r="CU316" s="82" t="n"/>
      <c r="CV316" s="82" t="n"/>
      <c r="CW316" s="82" t="n"/>
      <c r="CX316" s="82" t="n"/>
    </row>
    <row r="317" customFormat="1" s="77">
      <c r="A317" s="76" t="n"/>
      <c r="B317" s="76" t="n"/>
      <c r="C317" s="77" t="inlineStr">
        <is>
          <t>TOTAL DEBT / EBITDA (LTM)</t>
        </is>
      </c>
      <c r="D317" s="82" t="str">
        <f>IFERROR(SUM(D195,D196,D197,D200,D218,D221)/D52,"")</f>
        <v/>
      </c>
      <c r="E317" s="82" t="str">
        <f>IFERROR(SUM(E195,E196,E197,E200,E218,E221)/E52,"")</f>
        <v/>
      </c>
      <c r="F317" s="82" t="str">
        <f>IFERROR(SUM(F195,F196,F197,F200,F218,F221)/F52,"")</f>
        <v/>
      </c>
      <c r="G317" s="82" t="str">
        <f>IFERROR(SUM(G195,G196,G197,G200,G218,G221)/G52,"")</f>
        <v/>
      </c>
      <c r="H317" s="262" t="str">
        <f>IFERROR(IF(AND(COUNT(H52)=1,(H52)&lt;&gt;0),(N(H195)+N(H196)+N(H197)+N(H200)+N(H218)+N(H221))/(H52),""),"")</f>
        <v/>
      </c>
      <c r="I317" s="262" t="str">
        <f>""</f>
        <v/>
      </c>
      <c r="J317" s="262" t="str">
        <f>""</f>
        <v/>
      </c>
      <c r="K317" s="262" t="str">
        <f>""</f>
        <v/>
      </c>
      <c r="L317" s="262">
        <f>IFERROR(IF(AND(COUNT(I52,J52,K52,L52)=4,(I52+J52+K52+L52)&lt;&gt;0),(N(L195)+N(L196)+N(L197)+N(L200)+N(L218)+N(L221))/(I52+J52+K52+L52),""),"")</f>
        <v>1.28617690599556</v>
      </c>
      <c r="M317" s="262">
        <f>IFERROR(IF(AND(COUNT(I52,J52,K52,L52)=4,(I52+J52+K52+L52)&lt;&gt;0),(N(M195)+N(M196)+N(M197)+N(M200)+N(M218)+N(M221))/(I52+J52+K52+L52),""),"")</f>
        <v>1.28617690599556</v>
      </c>
      <c r="N317" s="262">
        <f>IFERROR(IF(AND(COUNT(J52,K52,L52,N52)=4,(J52+K52+L52+N52)&lt;&gt;0),(N(N195)+N(N196)+N(N197)+N(N200)+N(N218)+N(N221))/(J52+K52+L52+N52),""),"")</f>
        <v>1.26367558239862</v>
      </c>
      <c r="O317" s="262">
        <f>IFERROR(IF(AND(COUNT(K52,L52,N52,O52)=4,(K52+L52+N52+O52)&lt;&gt;0),(N(O195)+N(O196)+N(O197)+N(O200)+N(O218)+N(O221))/(K52+L52+N52+O52),""),"")</f>
        <v>1.18019559902201</v>
      </c>
      <c r="P317" s="262">
        <f>IFERROR(IF(AND(COUNT(L52,N52,O52,P52)=4,(L52+N52+O52+P52)&lt;&gt;0),(N(P195)+N(P196)+N(P197)+N(P200)+N(P218)+N(P221))/(L52+N52+O52+P52),""),"")</f>
        <v>1.14784394250513</v>
      </c>
      <c r="Q317" s="262">
        <f>IFERROR(IF(AND(COUNT(N52,O52,P52,Q52)=4,(N52+O52+P52+Q52)&lt;&gt;0),(N(Q195)+N(Q196)+N(Q197)+N(Q200)+N(Q218)+N(Q221))/(N52+O52+P52+Q52),""),"")</f>
        <v>1.07753188873521</v>
      </c>
      <c r="R317" s="262">
        <f>IFERROR(IF(AND(COUNT(N52,O52,P52,Q52)=4,(N52+O52+P52+Q52)&lt;&gt;0),(N(R195)+N(R196)+N(R197)+N(R200)+N(R218)+N(R221))/(N52+O52+P52+Q52),""),"")</f>
        <v>1.07753188873521</v>
      </c>
      <c r="S317" s="262">
        <f>IFERROR(IF(AND(COUNT(O52,P52,Q52,S52)=4,(O52+P52+Q52+S52)&lt;&gt;0),(N(S195)+N(S196)+N(S197)+N(S200)+N(S218)+N(S221))/(O52+P52+Q52+S52),""),"")</f>
        <v>1.17948329418895</v>
      </c>
      <c r="T317" s="262">
        <f>IFERROR(IF(AND(COUNT(P52,Q52,S52,T52)=4,(P52+Q52+S52+T52)&lt;&gt;0),(N(T195)+N(T196)+N(T197)+N(T200)+N(T218)+N(T221))/(P52+Q52+S52+T52),""),"")</f>
        <v>1.12861271676301</v>
      </c>
      <c r="U317" s="262">
        <f>IFERROR(IF(AND(COUNT(Q52,S52,T52,U52)=4,(Q52+S52+T52+U52)&lt;&gt;0),(N(U195)+N(U196)+N(U197)+N(U200)+N(U218)+N(U221))/(Q52+S52+T52+U52),""),"")</f>
        <v>1.06631045348678</v>
      </c>
      <c r="V317" s="262">
        <f>IFERROR(IF(AND(COUNT(S52,T52,U52,V52)=4,(S52+T52+U52+V52)&lt;&gt;0),(N(V195)+N(V196)+N(V197)+N(V200)+N(V218)+N(V221))/(S52+T52+U52+V52),""),"")</f>
        <v>1.05902613628689</v>
      </c>
      <c r="W317" s="262">
        <f>IFERROR(IF(AND(COUNT(S52,T52,U52,V52)=4,(S52+T52+U52+V52)&lt;&gt;0),(N(W195)+N(W196)+N(W197)+N(W200)+N(W218)+N(W221))/(S52+T52+U52+V52),""),"")</f>
        <v>1.05902613628689</v>
      </c>
      <c r="X317" s="262">
        <f>IFERROR(IF(AND(COUNT(T52,U52,V52,X52)=4,(T52+U52+V52+X52)&lt;&gt;0),(N(X195)+N(X196)+N(X197)+N(X200)+N(X218)+N(X221))/(T52+U52+V52+X52),""),"")</f>
        <v>1.02150326797386</v>
      </c>
      <c r="Y317" s="262">
        <f>IFERROR(IF(AND(COUNT(U52,V52,X52,Y52)=4,(U52+V52+X52+Y52)&lt;&gt;0),(N(Y195)+N(Y196)+N(Y197)+N(Y200)+N(Y218)+N(Y221))/(U52+V52+X52+Y52),""),"")</f>
        <v>0.993126710367212</v>
      </c>
      <c r="Z317" s="262">
        <f>IFERROR(IF(AND(COUNT(V52,X52,Y52,Z52)=4,(V52+X52+Y52+Z52)&lt;&gt;0),(N(Z195)+N(Z196)+N(Z197)+N(Z200)+N(Z218)+N(Z221))/(V52+X52+Y52+Z52),""),"")</f>
        <v>1.15553597280796</v>
      </c>
      <c r="AA317" s="262">
        <f>IFERROR(IF(AND(COUNT(X52,Y52,Z52,AA52)=4,(X52+Y52+Z52+AA52)&lt;&gt;0),(N(AA195)+N(AA196)+N(AA197)+N(AA200)+N(AA218)+N(AA221))/(X52+Y52+Z52+AA52),""),"")</f>
        <v>1.10601371442442</v>
      </c>
      <c r="AB317" s="262">
        <f>IFERROR(IF(AND(COUNT(X52,Y52,Z52,AA52)=4,(X52+Y52+Z52+AA52)&lt;&gt;0),(N(AB195)+N(AB196)+N(AB197)+N(AB200)+N(AB218)+N(AB221))/(X52+Y52+Z52+AA52),""),"")</f>
        <v>1.10601371442442</v>
      </c>
      <c r="AC317" s="262">
        <f>IFERROR(IF(AND(COUNT(Y52,Z52,AA52,AC52)=4,(Y52+Z52+AA52+AC52)&lt;&gt;0),(N(AC195)+N(AC196)+N(AC197)+N(AC200)+N(AC218)+N(AC221))/(Y52+Z52+AA52+AC52),""),"")</f>
        <v>1.10062635368495</v>
      </c>
      <c r="AD317" s="262">
        <f>IFERROR(IF(AND(COUNT(Z52,AA52,AC52,AD52)=4,(Z52+AA52+AC52+AD52)&lt;&gt;0),(N(AD195)+N(AD196)+N(AD197)+N(AD200)+N(AD218)+N(AD221))/(Z52+AA52+AC52+AD52),""),"")</f>
        <v>1.06096196868009</v>
      </c>
      <c r="AE317" s="262">
        <f>IFERROR(IF(AND(COUNT(AA52,AC52,AD52,AE52)=4,(AA52+AC52+AD52+AE52)&lt;&gt;0),(N(AE195)+N(AE196)+N(AE197)+N(AE200)+N(AE218)+N(AE221))/(AA52+AC52+AD52+AE52),""),"")</f>
        <v>0.999000105252079</v>
      </c>
      <c r="AF317" s="262">
        <f>IFERROR(IF(AND(COUNT(AB52,AD52,AE52,AF52)=4,(AB52+AD52+AE52+AF52)&lt;&gt;0),(N(AF195)+N(AF196)+N(AF197)+N(AF200)+N(AF218)+N(AF221))/(AB52+AD52+AE52+AF52),""),"")</f>
        <v>0.59199252219972</v>
      </c>
      <c r="AG317" s="262">
        <f>IFERROR(IF(AND(COUNT(AC52,AD52,AE52,AF52)=4,(AC52+AD52+AE52+AF52)&lt;&gt;0),(N(AG195)+N(AG196)+N(AG197)+N(AG200)+N(AG218)+N(AG221))/(AC52+AD52+AE52+AF52),""),"")</f>
        <v>0.94810379241517</v>
      </c>
      <c r="AH317" s="262">
        <f>IFERROR(IF(AND(COUNT(AD52,AF52,AG52,AH52)=4,(AD52+AF52+AG52+AH52)&lt;&gt;0),(N(AH195)+N(AH196)+N(AH197)+N(AH200)+N(AH218)+N(AH221))/(AD52+AF52+AG52+AH52),""),"")</f>
        <v>0.53391906733125</v>
      </c>
      <c r="AI317" s="262">
        <f>IFERROR(IF(AND(COUNT(AE52,AG52,AH52,AI52)=4,(AE52+AG52+AH52+AI52)&lt;&gt;0),(N(AI195)+N(AI196)+N(AI197)+N(AI200)+N(AI218)+N(AI221))/(AE52+AG52+AH52+AI52),""),"")</f>
        <v>0.675280190721508</v>
      </c>
      <c r="AJ317" s="262">
        <f>IFERROR(IF(AND(COUNT(AF52,AH52,AI52,AJ52)=4,(AF52+AH52+AI52+AJ52)&lt;&gt;0),(N(AJ195)+N(AJ196)+N(AJ197)+N(AJ200)+N(AJ218)+N(AJ221))/(AF52+AH52+AI52+AJ52),""),"")</f>
        <v>1.09732387144277</v>
      </c>
      <c r="AK317" s="262">
        <f>IFERROR(IF(AND(COUNT(AH52,AI52,AJ52,AK52)=4,(AH52+AI52+AJ52+AK52)&lt;&gt;0),(N(AK195)+N(AK196)+N(AK197)+N(AK200)+N(AK218)+N(AK221))/(AH52+AI52+AJ52+AK52),""),"")</f>
        <v>1.04665472947141</v>
      </c>
      <c r="AL317" s="262">
        <f>IFERROR(IF(AND(COUNT(AH52,AI52,AJ52,AK52)=4,(AH52+AI52+AJ52+AK52)&lt;&gt;0),(N(AL195)+N(AL196)+N(AL197)+N(AL200)+N(AL218)+N(AL221))/(AH52+AI52+AJ52+AK52),""),"")</f>
        <v>1.04665472947141</v>
      </c>
      <c r="AM317" s="262">
        <f>IFERROR(IF(AND(COUNT(AI52,AJ52,AK52,AM52)=4,(AI52+AJ52+AK52+AM52)&lt;&gt;0),(N(AM195)+N(AM196)+N(AM197)+N(AM200)+N(AM218)+N(AM221))/(AI52+AJ52+AK52+AM52),""),"")</f>
        <v>1.01240340604174</v>
      </c>
      <c r="AN317" s="262">
        <f>IFERROR(IF(AND(COUNT(AJ52,AK52,AM52,AN52)=4,(AJ52+AK52+AM52+AN52)&lt;&gt;0),(N(AN195)+N(AN196)+N(AN197)+N(AN200)+N(AN218)+N(AN221))/(AJ52+AK52+AM52+AN52),""),"")</f>
        <v>0.982735906367574</v>
      </c>
      <c r="AO317" s="262">
        <f>IFERROR(IF(AND(COUNT(AK52,AM52,AN52,AO52)=4,(AK52+AM52+AN52+AO52)&lt;&gt;0),(N(AO195)+N(AO196)+N(AO197)+N(AO200)+N(AO218)+N(AO221))/(AK52+AM52+AN52+AO52),""),"")</f>
        <v>0.94591170357437</v>
      </c>
      <c r="AP317" s="262">
        <f>IFERROR(IF(AND(COUNT(AM52,AN52,AO52,AP52)=4,(AM52+AN52+AO52+AP52)&lt;&gt;0),(N(AP195)+N(AP196)+N(AP197)+N(AP200)+N(AP218)+N(AP221))/(AM52+AN52+AO52+AP52),""),"")</f>
        <v>0.910967228111256</v>
      </c>
      <c r="AQ317" s="262">
        <f>IFERROR(IF(AND(COUNT(AM52,AN52,AO52,AP52)=4,(AM52+AN52+AO52+AP52)&lt;&gt;0),(N(AQ195)+N(AQ196)+N(AQ197)+N(AQ200)+N(AQ218)+N(AQ221))/(AM52+AN52+AO52+AP52),""),"")</f>
        <v>0.910967228111256</v>
      </c>
      <c r="AR317" s="262">
        <f>IFERROR(IF(AND(COUNT(AN52,AO52,AP52,AR52)=4,(AN52+AO52+AP52+AR52)&lt;&gt;0),(N(AR195)+N(AR196)+N(AR197)+N(AR200)+N(AR218)+N(AR221))/(AN52+AO52+AP52+AR52),""),"")</f>
        <v>0.880909245371234</v>
      </c>
      <c r="AS317" s="262">
        <f>IFERROR(IF(AND(COUNT(AO52,AP52,AR52,AS52)=4,(AO52+AP52+AR52+AS52)&lt;&gt;0),(N(AS195)+N(AS196)+N(AS197)+N(AS200)+N(AS218)+N(AS221))/(AO52+AP52+AR52+AS52),""),"")</f>
        <v>0.849929925136238</v>
      </c>
      <c r="AT317" s="262">
        <f>IFERROR(IF(AND(COUNT(AP52,AR52,AS52,AT52)=4,(AP52+AR52+AS52+AT52)&lt;&gt;0),(N(AT195)+N(AT196)+N(AT197)+N(AT200)+N(AT218)+N(AT221))/(AP52+AR52+AS52+AT52),""),"")</f>
        <v>0.818983768196226</v>
      </c>
      <c r="AU317" s="262">
        <f>IFERROR(IF(AND(COUNT(AR52,AS52,AT52,AU52)=4,(AR52+AS52+AT52+AU52)&lt;&gt;0),(N(AU195)+N(AU196)+N(AU197)+N(AU200)+N(AU218)+N(AU221))/(AR52+AS52+AT52+AU52),""),"")</f>
        <v>0.789554140933611</v>
      </c>
      <c r="AV317" s="262">
        <f>IFERROR(IF(AND(COUNT(AR52,AS52,AT52,AU52)=4,(AR52+AS52+AT52+AU52)&lt;&gt;0),(N(AV195)+N(AV196)+N(AV197)+N(AV200)+N(AV218)+N(AV221))/(AR52+AS52+AT52+AU52),""),"")</f>
        <v>0.789554140933611</v>
      </c>
      <c r="AW317" s="262">
        <f>IFERROR(IF(AND(COUNT(AS52,AT52,AU52,AW52)=4,(AS52+AT52+AU52+AW52)&lt;&gt;0),(N(AW195)+N(AW196)+N(AW197)+N(AW200)+N(AW218)+N(AW221))/(AS52+AT52+AU52+AW52),""),"")</f>
        <v>0.764322277143128</v>
      </c>
      <c r="AX317" s="262">
        <f>IFERROR(IF(AND(COUNT(AT52,AU52,AW52,AX52)=4,(AT52+AU52+AW52+AX52)&lt;&gt;0),(N(AX195)+N(AX196)+N(AX197)+N(AX200)+N(AX218)+N(AX221))/(AT52+AU52+AW52+AX52),""),"")</f>
        <v>0.738260227110755</v>
      </c>
      <c r="AY317" s="262">
        <f>IFERROR(IF(AND(COUNT(AU52,AW52,AX52,AY52)=4,(AU52+AW52+AX52+AY52)&lt;&gt;0),(N(AY195)+N(AY196)+N(AY197)+N(AY200)+N(AY218)+N(AY221))/(AU52+AW52+AX52+AY52),""),"")</f>
        <v>0.712168343376778</v>
      </c>
      <c r="AZ317" s="262">
        <f>IFERROR(IF(AND(COUNT(AW52,AX52,AY52,AZ52)=4,(AW52+AX52+AY52+AZ52)&lt;&gt;0),(N(AZ195)+N(AZ196)+N(AZ197)+N(AZ200)+N(AZ218)+N(AZ221))/(AW52+AX52+AY52+AZ52),""),"")</f>
        <v>0.687301398415276</v>
      </c>
      <c r="BA317" s="262">
        <f>IFERROR(IF(AND(COUNT(AW52,AX52,AY52,AZ52)=4,(AW52+AX52+AY52+AZ52)&lt;&gt;0),(N(BA195)+N(BA196)+N(BA197)+N(BA200)+N(BA218)+N(BA221))/(AW52+AX52+AY52+AZ52),""),"")</f>
        <v>0.687301398415276</v>
      </c>
      <c r="BB317" s="262">
        <f>IFERROR(IF(AND(COUNT(AX52,AY52,AZ52,BB52)=4,(AX52+AY52+AZ52+BB52)&lt;&gt;0),(N(BB195)+N(BB196)+N(BB197)+N(BB200)+N(BB218)+N(BB221))/(AX52+AY52+AZ52+BB52),""),"")</f>
        <v>0.666052585524844</v>
      </c>
      <c r="BC317" s="262">
        <f>IFERROR(IF(AND(COUNT(AY52,AZ52,BB52,BC52)=4,(AY52+AZ52+BB52+BC52)&lt;&gt;0),(N(BC195)+N(BC196)+N(BC197)+N(BC200)+N(BC218)+N(BC221))/(AY52+AZ52+BB52+BC52),""),"")</f>
        <v>0.644056612690693</v>
      </c>
      <c r="BD317" s="262">
        <f>IFERROR(IF(AND(COUNT(AZ52,BB52,BC52,BD52)=4,(AZ52+BB52+BC52+BD52)&lt;&gt;0),(N(BD195)+N(BD196)+N(BD197)+N(BD200)+N(BD218)+N(BD221))/(AZ52+BB52+BC52+BD52),""),"")</f>
        <v>0.621986412771742</v>
      </c>
      <c r="BE317" s="262">
        <f>IFERROR(IF(AND(COUNT(BB52,BC52,BD52,BE52)=4,(BB52+BC52+BD52+BE52)&lt;&gt;0),(N(BE195)+N(BE196)+N(BE197)+N(BE200)+N(BE218)+N(BE221))/(BB52+BC52+BD52+BE52),""),"")</f>
        <v>0.600906520688387</v>
      </c>
      <c r="BF317" s="262">
        <f>IFERROR(IF(AND(COUNT(BB52,BC52,BD52,BE52)=4,(BB52+BC52+BD52+BE52)&lt;&gt;0),(N(BF195)+N(BF196)+N(BF197)+N(BF200)+N(BF218)+N(BF221))/(BB52+BC52+BD52+BE52),""),"")</f>
        <v>0.600906520688387</v>
      </c>
      <c r="BG317" s="82" t="n"/>
      <c r="BH317" s="82" t="n"/>
      <c r="BI317" s="82" t="n"/>
      <c r="BJ317" s="82" t="n"/>
      <c r="BL317" s="82" t="n"/>
      <c r="BM317" s="82" t="n"/>
      <c r="BN317" s="82" t="n"/>
      <c r="BO317" s="82" t="n"/>
      <c r="BQ317" s="82" t="n"/>
      <c r="BR317" s="82" t="n"/>
      <c r="BS317" s="82" t="n"/>
      <c r="BT317" s="82" t="n"/>
      <c r="BV317" s="82" t="n"/>
      <c r="BW317" s="82" t="n"/>
      <c r="BX317" s="82" t="n"/>
      <c r="BY317" s="82" t="n"/>
      <c r="CA317" s="82" t="n"/>
      <c r="CB317" s="82" t="n"/>
      <c r="CC317" s="82" t="n"/>
      <c r="CD317" s="82" t="n"/>
      <c r="CF317" s="82" t="n"/>
      <c r="CG317" s="82" t="n"/>
      <c r="CH317" s="82" t="n"/>
      <c r="CI317" s="82" t="n"/>
      <c r="CK317" s="82" t="n"/>
      <c r="CL317" s="82" t="n"/>
      <c r="CM317" s="82" t="n"/>
      <c r="CN317" s="82" t="n"/>
      <c r="CP317" s="82" t="n"/>
      <c r="CQ317" s="82" t="n"/>
      <c r="CR317" s="82" t="n"/>
      <c r="CS317" s="82" t="n"/>
      <c r="CU317" s="82" t="n"/>
      <c r="CV317" s="82" t="n"/>
      <c r="CW317" s="82" t="n"/>
      <c r="CX317" s="82" t="n"/>
    </row>
    <row r="318" customFormat="1" s="77">
      <c r="A318" s="76" t="n"/>
      <c r="B318" s="76" t="n"/>
      <c r="C318" s="77" t="inlineStr">
        <is>
          <t>TOTAL DEBT / TOTAL CAPITALIZATION</t>
        </is>
      </c>
      <c r="D318" s="80" t="str">
        <f>IFERROR(SUM(D195+D196+D197+D200+D218+D221)/(SUM(D195+D196+D197+D200+D218+D221)+D254),"")</f>
        <v/>
      </c>
      <c r="E318" s="80" t="str">
        <f>IFERROR(SUM(E195+E196+E197+E200+E218+E221)/(SUM(E195+E196+E197+E200+E218+E221)+E254),"")</f>
        <v/>
      </c>
      <c r="F318" s="80" t="str">
        <f>IFERROR(SUM(F195+F196+F197+F200+F218+F221)/(SUM(F195+F196+F197+F200+F218+F221)+F254),"")</f>
        <v/>
      </c>
      <c r="G318" s="80" t="str">
        <f>IFERROR(SUM(G195+G196+G197+G200+G218+G221)/(SUM(G195+G196+G197+G200+G218+G221)+G254),"")</f>
        <v/>
      </c>
      <c r="H318" s="258" t="str">
        <f>IFERROR(IF(((N(H195)+N(H196)+N(H197)+N(H200)+N(H218)+N(H221))+N(H254))&lt;&gt;0,(N(H195)+N(H196)+N(H197)+N(H200)+N(H218)+N(H221))/((N(H195)+N(H196)+N(H197)+N(H200)+N(H218)+N(H221))+H254),""),"")</f>
        <v/>
      </c>
      <c r="I318" s="258">
        <f>IFERROR(IF(((N(I195)+N(I196)+N(I197)+N(I200)+N(I218)+N(I221))+N(I254))&lt;&gt;0,(N(I195)+N(I196)+N(I197)+N(I200)+N(I218)+N(I221))/((N(I195)+N(I196)+N(I197)+N(I200)+N(I218)+N(I221))+I254),""),"")</f>
        <v>0.682477980613099</v>
      </c>
      <c r="J318" s="258">
        <f>IFERROR(IF(((N(J195)+N(J196)+N(J197)+N(J200)+N(J218)+N(J221))+N(J254))&lt;&gt;0,(N(J195)+N(J196)+N(J197)+N(J200)+N(J218)+N(J221))/((N(J195)+N(J196)+N(J197)+N(J200)+N(J218)+N(J221))+J254),""),"")</f>
        <v>0.67905999609146</v>
      </c>
      <c r="K318" s="258">
        <f>IFERROR(IF(((N(K195)+N(K196)+N(K197)+N(K200)+N(K218)+N(K221))+N(K254))&lt;&gt;0,(N(K195)+N(K196)+N(K197)+N(K200)+N(K218)+N(K221))/((N(K195)+N(K196)+N(K197)+N(K200)+N(K218)+N(K221))+K254),""),"")</f>
        <v>0.670812563519334</v>
      </c>
      <c r="L318" s="258">
        <f>IFERROR(IF(((N(L195)+N(L196)+N(L197)+N(L200)+N(L218)+N(L221))+N(L254))&lt;&gt;0,(N(L195)+N(L196)+N(L197)+N(L200)+N(L218)+N(L221))/((N(L195)+N(L196)+N(L197)+N(L200)+N(L218)+N(L221))+L254),""),"")</f>
        <v>0.652231032703045</v>
      </c>
      <c r="M318" s="258">
        <f>IFERROR(IF(((N(M195)+N(M196)+N(M197)+N(M200)+N(M218)+N(M221))+N(M254))&lt;&gt;0,(N(M195)+N(M196)+N(M197)+N(M200)+N(M218)+N(M221))/((N(M195)+N(M196)+N(M197)+N(M200)+N(M218)+N(M221))+M254),""),"")</f>
        <v>0.652231032703045</v>
      </c>
      <c r="N318" s="258">
        <f>IFERROR(IF(((N(N195)+N(N196)+N(N197)+N(N200)+N(N218)+N(N221))+N(N254))&lt;&gt;0,(N(N195)+N(N196)+N(N197)+N(N200)+N(N218)+N(N221))/((N(N195)+N(N196)+N(N197)+N(N200)+N(N218)+N(N221))+N254),""),"")</f>
        <v>0.67257531227039</v>
      </c>
      <c r="O318" s="258">
        <f>IFERROR(IF(((N(O195)+N(O196)+N(O197)+N(O200)+N(O218)+N(O221))+N(O254))&lt;&gt;0,(N(O195)+N(O196)+N(O197)+N(O200)+N(O218)+N(O221))/((N(O195)+N(O196)+N(O197)+N(O200)+N(O218)+N(O221))+O254),""),"")</f>
        <v>0.698115026756014</v>
      </c>
      <c r="P318" s="258">
        <f>IFERROR(IF(((N(P195)+N(P196)+N(P197)+N(P200)+N(P218)+N(P221))+N(P254))&lt;&gt;0,(N(P195)+N(P196)+N(P197)+N(P200)+N(P218)+N(P221))/((N(P195)+N(P196)+N(P197)+N(P200)+N(P218)+N(P221))+P254),""),"")</f>
        <v>0.692854078276207</v>
      </c>
      <c r="Q318" s="258">
        <f>IFERROR(IF(((N(Q195)+N(Q196)+N(Q197)+N(Q200)+N(Q218)+N(Q221))+N(Q254))&lt;&gt;0,(N(Q195)+N(Q196)+N(Q197)+N(Q200)+N(Q218)+N(Q221))/((N(Q195)+N(Q196)+N(Q197)+N(Q200)+N(Q218)+N(Q221))+Q254),""),"")</f>
        <v>0.687401960784314</v>
      </c>
      <c r="R318" s="258">
        <f>IFERROR(IF(((N(R195)+N(R196)+N(R197)+N(R200)+N(R218)+N(R221))+N(R254))&lt;&gt;0,(N(R195)+N(R196)+N(R197)+N(R200)+N(R218)+N(R221))/((N(R195)+N(R196)+N(R197)+N(R200)+N(R218)+N(R221))+R254),""),"")</f>
        <v>0.687401960784314</v>
      </c>
      <c r="S318" s="258">
        <f>IFERROR(IF(((N(S195)+N(S196)+N(S197)+N(S200)+N(S218)+N(S221))+N(S254))&lt;&gt;0,(N(S195)+N(S196)+N(S197)+N(S200)+N(S218)+N(S221))/((N(S195)+N(S196)+N(S197)+N(S200)+N(S218)+N(S221))+S254),""),"")</f>
        <v>0.742216924910608</v>
      </c>
      <c r="T318" s="258">
        <f>IFERROR(IF(((N(T195)+N(T196)+N(T197)+N(T200)+N(T218)+N(T221))+N(T254))&lt;&gt;0,(N(T195)+N(T196)+N(T197)+N(T200)+N(T218)+N(T221))/((N(T195)+N(T196)+N(T197)+N(T200)+N(T218)+N(T221))+T254),""),"")</f>
        <v>0.736827208830605</v>
      </c>
      <c r="U318" s="258">
        <f>IFERROR(IF(((N(U195)+N(U196)+N(U197)+N(U200)+N(U218)+N(U221))+N(U254))&lt;&gt;0,(N(U195)+N(U196)+N(U197)+N(U200)+N(U218)+N(U221))/((N(U195)+N(U196)+N(U197)+N(U200)+N(U218)+N(U221))+U254),""),"")</f>
        <v>0.709254112179341</v>
      </c>
      <c r="V318" s="258">
        <f>IFERROR(IF(((N(V195)+N(V196)+N(V197)+N(V200)+N(V218)+N(V221))+N(V254))&lt;&gt;0,(N(V195)+N(V196)+N(V197)+N(V200)+N(V218)+N(V221))/((N(V195)+N(V196)+N(V197)+N(V200)+N(V218)+N(V221))+V254),""),"")</f>
        <v>0.69146309198342</v>
      </c>
      <c r="W318" s="258">
        <f>IFERROR(IF(((N(W195)+N(W196)+N(W197)+N(W200)+N(W218)+N(W221))+N(W254))&lt;&gt;0,(N(W195)+N(W196)+N(W197)+N(W200)+N(W218)+N(W221))/((N(W195)+N(W196)+N(W197)+N(W200)+N(W218)+N(W221))+W254),""),"")</f>
        <v>0.69146309198342</v>
      </c>
      <c r="X318" s="258">
        <f>IFERROR(IF(((N(X195)+N(X196)+N(X197)+N(X200)+N(X218)+N(X221))+N(X254))&lt;&gt;0,(N(X195)+N(X196)+N(X197)+N(X200)+N(X218)+N(X221))/((N(X195)+N(X196)+N(X197)+N(X200)+N(X218)+N(X221))+X254),""),"")</f>
        <v>0.681388150150412</v>
      </c>
      <c r="Y318" s="258">
        <f>IFERROR(IF(((N(Y195)+N(Y196)+N(Y197)+N(Y200)+N(Y218)+N(Y221))+N(Y254))&lt;&gt;0,(N(Y195)+N(Y196)+N(Y197)+N(Y200)+N(Y218)+N(Y221))/((N(Y195)+N(Y196)+N(Y197)+N(Y200)+N(Y218)+N(Y221))+Y254),""),"")</f>
        <v>0.675921514272101</v>
      </c>
      <c r="Z318" s="258">
        <f>IFERROR(IF(((N(Z195)+N(Z196)+N(Z197)+N(Z200)+N(Z218)+N(Z221))+N(Z254))&lt;&gt;0,(N(Z195)+N(Z196)+N(Z197)+N(Z200)+N(Z218)+N(Z221))/((N(Z195)+N(Z196)+N(Z197)+N(Z200)+N(Z218)+N(Z221))+Z254),""),"")</f>
        <v>0.710009282178218</v>
      </c>
      <c r="AA318" s="258">
        <f>IFERROR(IF(((N(AA195)+N(AA196)+N(AA197)+N(AA200)+N(AA218)+N(AA221))+N(AA254))&lt;&gt;0,(N(AA195)+N(AA196)+N(AA197)+N(AA200)+N(AA218)+N(AA221))/((N(AA195)+N(AA196)+N(AA197)+N(AA200)+N(AA218)+N(AA221))+AA254),""),"")</f>
        <v>0.736671921102623</v>
      </c>
      <c r="AB318" s="258">
        <f>IFERROR(IF(((N(AB195)+N(AB196)+N(AB197)+N(AB200)+N(AB218)+N(AB221))+N(AB254))&lt;&gt;0,(N(AB195)+N(AB196)+N(AB197)+N(AB200)+N(AB218)+N(AB221))/((N(AB195)+N(AB196)+N(AB197)+N(AB200)+N(AB218)+N(AB221))+AB254),""),"")</f>
        <v>0.736671921102623</v>
      </c>
      <c r="AC318" s="258">
        <f>IFERROR(IF(((N(AC195)+N(AC196)+N(AC197)+N(AC200)+N(AC218)+N(AC221))+N(AC254))&lt;&gt;0,(N(AC195)+N(AC196)+N(AC197)+N(AC200)+N(AC218)+N(AC221))/((N(AC195)+N(AC196)+N(AC197)+N(AC200)+N(AC218)+N(AC221))+AC254),""),"")</f>
        <v>0.73739116793474</v>
      </c>
      <c r="AD318" s="258">
        <f>IFERROR(IF(((N(AD195)+N(AD196)+N(AD197)+N(AD200)+N(AD218)+N(AD221))+N(AD254))&lt;&gt;0,(N(AD195)+N(AD196)+N(AD197)+N(AD200)+N(AD218)+N(AD221))/((N(AD195)+N(AD196)+N(AD197)+N(AD200)+N(AD218)+N(AD221))+AD254),""),"")</f>
        <v>0.70667560721204</v>
      </c>
      <c r="AE318" s="258">
        <f>IFERROR(IF(((N(AE195)+N(AE196)+N(AE197)+N(AE200)+N(AE218)+N(AE221))+N(AE254))&lt;&gt;0,(N(AE195)+N(AE196)+N(AE197)+N(AE200)+N(AE218)+N(AE221))/((N(AE195)+N(AE196)+N(AE197)+N(AE200)+N(AE218)+N(AE221))+AE254),""),"")</f>
        <v>0.705635268753253</v>
      </c>
      <c r="AF318" s="258">
        <f>IFERROR(IF(((N(AF195)+N(AF196)+N(AF197)+N(AF200)+N(AF218)+N(AF221))+N(AF254))&lt;&gt;0,(N(AF195)+N(AF196)+N(AF197)+N(AF200)+N(AF218)+N(AF221))/((N(AF195)+N(AF196)+N(AF197)+N(AF200)+N(AF218)+N(AF221))+AF254),""),"")</f>
        <v>0.7103865998654</v>
      </c>
      <c r="AG318" s="258">
        <f>IFERROR(IF(((N(AG195)+N(AG196)+N(AG197)+N(AG200)+N(AG218)+N(AG221))+N(AG254))&lt;&gt;0,(N(AG195)+N(AG196)+N(AG197)+N(AG200)+N(AG218)+N(AG221))/((N(AG195)+N(AG196)+N(AG197)+N(AG200)+N(AG218)+N(AG221))+AG254),""),"")</f>
        <v>0.7103865998654</v>
      </c>
      <c r="AH318" s="258">
        <f>IFERROR(IF(((N(AH195)+N(AH196)+N(AH197)+N(AH200)+N(AH218)+N(AH221))+N(AH254))&lt;&gt;0,(N(AH195)+N(AH196)+N(AH197)+N(AH200)+N(AH218)+N(AH221))/((N(AH195)+N(AH196)+N(AH197)+N(AH200)+N(AH218)+N(AH221))+AH254),""),"")</f>
        <v>0.738260260104353</v>
      </c>
      <c r="AI318" s="258">
        <f>IFERROR(IF(((N(AI195)+N(AI196)+N(AI197)+N(AI200)+N(AI218)+N(AI221))+N(AI254))&lt;&gt;0,(N(AI195)+N(AI196)+N(AI197)+N(AI200)+N(AI218)+N(AI221))/((N(AI195)+N(AI196)+N(AI197)+N(AI200)+N(AI218)+N(AI221))+AI254),""),"")</f>
        <v>0.814671559390393</v>
      </c>
      <c r="AJ318" s="258">
        <f>IFERROR(IF(((N(AJ195)+N(AJ196)+N(AJ197)+N(AJ200)+N(AJ218)+N(AJ221))+N(AJ254))&lt;&gt;0,(N(AJ195)+N(AJ196)+N(AJ197)+N(AJ200)+N(AJ218)+N(AJ221))/((N(AJ195)+N(AJ196)+N(AJ197)+N(AJ200)+N(AJ218)+N(AJ221))+AJ254),""),"")</f>
        <v>0.70374822064278</v>
      </c>
      <c r="AK318" s="258">
        <f>IFERROR(IF(((N(AK195)+N(AK196)+N(AK197)+N(AK200)+N(AK218)+N(AK221))+N(AK254))&lt;&gt;0,(N(AK195)+N(AK196)+N(AK197)+N(AK200)+N(AK218)+N(AK221))/((N(AK195)+N(AK196)+N(AK197)+N(AK200)+N(AK218)+N(AK221))+AK254),""),"")</f>
        <v>0.617655586702174</v>
      </c>
      <c r="AL318" s="258">
        <f>IFERROR(IF(((N(AL195)+N(AL196)+N(AL197)+N(AL200)+N(AL218)+N(AL221))+N(AL254))&lt;&gt;0,(N(AL195)+N(AL196)+N(AL197)+N(AL200)+N(AL218)+N(AL221))/((N(AL195)+N(AL196)+N(AL197)+N(AL200)+N(AL218)+N(AL221))+AL254),""),"")</f>
        <v>0.617655586702174</v>
      </c>
      <c r="AM318" s="258">
        <f>IFERROR(IF(((N(AM195)+N(AM196)+N(AM197)+N(AM200)+N(AM218)+N(AM221))+N(AM254))&lt;&gt;0,(N(AM195)+N(AM196)+N(AM197)+N(AM200)+N(AM218)+N(AM221))/((N(AM195)+N(AM196)+N(AM197)+N(AM200)+N(AM218)+N(AM221))+AM254),""),"")</f>
        <v>0.55312452779597</v>
      </c>
      <c r="AN318" s="258">
        <f>IFERROR(IF(((N(AN195)+N(AN196)+N(AN197)+N(AN200)+N(AN218)+N(AN221))+N(AN254))&lt;&gt;0,(N(AN195)+N(AN196)+N(AN197)+N(AN200)+N(AN218)+N(AN221))/((N(AN195)+N(AN196)+N(AN197)+N(AN200)+N(AN218)+N(AN221))+AN254),""),"")</f>
        <v>0.495892203432483</v>
      </c>
      <c r="AO318" s="258">
        <f>IFERROR(IF(((N(AO195)+N(AO196)+N(AO197)+N(AO200)+N(AO218)+N(AO221))+N(AO254))&lt;&gt;0,(N(AO195)+N(AO196)+N(AO197)+N(AO200)+N(AO218)+N(AO221))/((N(AO195)+N(AO196)+N(AO197)+N(AO200)+N(AO218)+N(AO221))+AO254),""),"")</f>
        <v>0.446277112187789</v>
      </c>
      <c r="AP318" s="258">
        <f>IFERROR(IF(((N(AP195)+N(AP196)+N(AP197)+N(AP200)+N(AP218)+N(AP221))+N(AP254))&lt;&gt;0,(N(AP195)+N(AP196)+N(AP197)+N(AP200)+N(AP218)+N(AP221))/((N(AP195)+N(AP196)+N(AP197)+N(AP200)+N(AP218)+N(AP221))+AP254),""),"")</f>
        <v>0.404814053354225</v>
      </c>
      <c r="AQ318" s="258">
        <f>IFERROR(IF(((N(AQ195)+N(AQ196)+N(AQ197)+N(AQ200)+N(AQ218)+N(AQ221))+N(AQ254))&lt;&gt;0,(N(AQ195)+N(AQ196)+N(AQ197)+N(AQ200)+N(AQ218)+N(AQ221))/((N(AQ195)+N(AQ196)+N(AQ197)+N(AQ200)+N(AQ218)+N(AQ221))+AQ254),""),"")</f>
        <v>0.404814053354225</v>
      </c>
      <c r="AR318" s="258">
        <f>IFERROR(IF(((N(AR195)+N(AR196)+N(AR197)+N(AR200)+N(AR218)+N(AR221))+N(AR254))&lt;&gt;0,(N(AR195)+N(AR196)+N(AR197)+N(AR200)+N(AR218)+N(AR221))/((N(AR195)+N(AR196)+N(AR197)+N(AR200)+N(AR218)+N(AR221))+AR254),""),"")</f>
        <v>0.371995904692775</v>
      </c>
      <c r="AS318" s="258">
        <f>IFERROR(IF(((N(AS195)+N(AS196)+N(AS197)+N(AS200)+N(AS218)+N(AS221))+N(AS254))&lt;&gt;0,(N(AS195)+N(AS196)+N(AS197)+N(AS200)+N(AS218)+N(AS221))/((N(AS195)+N(AS196)+N(AS197)+N(AS200)+N(AS218)+N(AS221))+AS254),""),"")</f>
        <v>0.341420011281448</v>
      </c>
      <c r="AT318" s="258">
        <f>IFERROR(IF(((N(AT195)+N(AT196)+N(AT197)+N(AT200)+N(AT218)+N(AT221))+N(AT254))&lt;&gt;0,(N(AT195)+N(AT196)+N(AT197)+N(AT200)+N(AT218)+N(AT221))/((N(AT195)+N(AT196)+N(AT197)+N(AT200)+N(AT218)+N(AT221))+AT254),""),"")</f>
        <v>0.313714492165399</v>
      </c>
      <c r="AU318" s="258">
        <f>IFERROR(IF(((N(AU195)+N(AU196)+N(AU197)+N(AU200)+N(AU218)+N(AU221))+N(AU254))&lt;&gt;0,(N(AU195)+N(AU196)+N(AU197)+N(AU200)+N(AU218)+N(AU221))/((N(AU195)+N(AU196)+N(AU197)+N(AU200)+N(AU218)+N(AU221))+AU254),""),"")</f>
        <v>0.289652384252341</v>
      </c>
      <c r="AV318" s="258">
        <f>IFERROR(IF(((N(AV195)+N(AV196)+N(AV197)+N(AV200)+N(AV218)+N(AV221))+N(AV254))&lt;&gt;0,(N(AV195)+N(AV196)+N(AV197)+N(AV200)+N(AV218)+N(AV221))/((N(AV195)+N(AV196)+N(AV197)+N(AV200)+N(AV218)+N(AV221))+AV254),""),"")</f>
        <v>0.289652384252341</v>
      </c>
      <c r="AW318" s="258">
        <f>IFERROR(IF(((N(AW195)+N(AW196)+N(AW197)+N(AW200)+N(AW218)+N(AW221))+N(AW254))&lt;&gt;0,(N(AW195)+N(AW196)+N(AW197)+N(AW200)+N(AW218)+N(AW221))/((N(AW195)+N(AW196)+N(AW197)+N(AW200)+N(AW218)+N(AW221))+AW254),""),"")</f>
        <v>0.270068195898026</v>
      </c>
      <c r="AX318" s="258">
        <f>IFERROR(IF(((N(AX195)+N(AX196)+N(AX197)+N(AX200)+N(AX218)+N(AX221))+N(AX254))&lt;&gt;0,(N(AX195)+N(AX196)+N(AX197)+N(AX200)+N(AX218)+N(AX221))/((N(AX195)+N(AX196)+N(AX197)+N(AX200)+N(AX218)+N(AX221))+AX254),""),"")</f>
        <v>0.251298788906518</v>
      </c>
      <c r="AY318" s="258">
        <f>IFERROR(IF(((N(AY195)+N(AY196)+N(AY197)+N(AY200)+N(AY218)+N(AY221))+N(AY254))&lt;&gt;0,(N(AY195)+N(AY196)+N(AY197)+N(AY200)+N(AY218)+N(AY221))/((N(AY195)+N(AY196)+N(AY197)+N(AY200)+N(AY218)+N(AY221))+AY254),""),"")</f>
        <v>0.233837287389831</v>
      </c>
      <c r="AZ318" s="258">
        <f>IFERROR(IF(((N(AZ195)+N(AZ196)+N(AZ197)+N(AZ200)+N(AZ218)+N(AZ221))+N(AZ254))&lt;&gt;0,(N(AZ195)+N(AZ196)+N(AZ197)+N(AZ200)+N(AZ218)+N(AZ221))/((N(AZ195)+N(AZ196)+N(AZ197)+N(AZ200)+N(AZ218)+N(AZ221))+AZ254),""),"")</f>
        <v>0.21830838199397</v>
      </c>
      <c r="BA318" s="258">
        <f>IFERROR(IF(((N(BA195)+N(BA196)+N(BA197)+N(BA200)+N(BA218)+N(BA221))+N(BA254))&lt;&gt;0,(N(BA195)+N(BA196)+N(BA197)+N(BA200)+N(BA218)+N(BA221))/((N(BA195)+N(BA196)+N(BA197)+N(BA200)+N(BA218)+N(BA221))+BA254),""),"")</f>
        <v>0.21830838199397</v>
      </c>
      <c r="BB318" s="258">
        <f>IFERROR(IF(((N(BB195)+N(BB196)+N(BB197)+N(BB200)+N(BB218)+N(BB221))+N(BB254))&lt;&gt;0,(N(BB195)+N(BB196)+N(BB197)+N(BB200)+N(BB218)+N(BB221))/((N(BB195)+N(BB196)+N(BB197)+N(BB200)+N(BB218)+N(BB221))+BB254),""),"")</f>
        <v>0.20546432639904</v>
      </c>
      <c r="BC318" s="258">
        <f>IFERROR(IF(((N(BC195)+N(BC196)+N(BC197)+N(BC200)+N(BC218)+N(BC221))+N(BC254))&lt;&gt;0,(N(BC195)+N(BC196)+N(BC197)+N(BC200)+N(BC218)+N(BC221))/((N(BC195)+N(BC196)+N(BC197)+N(BC200)+N(BC218)+N(BC221))+BC254),""),"")</f>
        <v>0.192925603096526</v>
      </c>
      <c r="BD318" s="258">
        <f>IFERROR(IF(((N(BD195)+N(BD196)+N(BD197)+N(BD200)+N(BD218)+N(BD221))+N(BD254))&lt;&gt;0,(N(BD195)+N(BD196)+N(BD197)+N(BD200)+N(BD218)+N(BD221))/((N(BD195)+N(BD196)+N(BD197)+N(BD200)+N(BD218)+N(BD221))+BD254),""),"")</f>
        <v>0.181053836868209</v>
      </c>
      <c r="BE318" s="258">
        <f>IFERROR(IF(((N(BE195)+N(BE196)+N(BE197)+N(BE200)+N(BE218)+N(BE221))+N(BE254))&lt;&gt;0,(N(BE195)+N(BE196)+N(BE197)+N(BE200)+N(BE218)+N(BE221))/((N(BE195)+N(BE196)+N(BE197)+N(BE200)+N(BE218)+N(BE221))+BE254),""),"")</f>
        <v>0.170324291892088</v>
      </c>
      <c r="BF318" s="258">
        <f>IFERROR(IF(((N(BF195)+N(BF196)+N(BF197)+N(BF200)+N(BF218)+N(BF221))+N(BF254))&lt;&gt;0,(N(BF195)+N(BF196)+N(BF197)+N(BF200)+N(BF218)+N(BF221))/((N(BF195)+N(BF196)+N(BF197)+N(BF200)+N(BF218)+N(BF221))+BF254),""),"")</f>
        <v>0.170324291892088</v>
      </c>
      <c r="BG318" s="80" t="n"/>
      <c r="BH318" s="80" t="n"/>
      <c r="BI318" s="80" t="n"/>
      <c r="BJ318" s="80" t="n"/>
      <c r="BL318" s="80" t="n"/>
      <c r="BM318" s="80" t="n"/>
      <c r="BN318" s="80" t="n"/>
      <c r="BO318" s="80" t="n"/>
      <c r="BQ318" s="80" t="n"/>
      <c r="BR318" s="80" t="n"/>
      <c r="BS318" s="80" t="n"/>
      <c r="BT318" s="80" t="n"/>
      <c r="BV318" s="80" t="n"/>
      <c r="BW318" s="80" t="n"/>
      <c r="BX318" s="80" t="n"/>
      <c r="BY318" s="80" t="n"/>
      <c r="CA318" s="80" t="n"/>
      <c r="CB318" s="80" t="n"/>
      <c r="CC318" s="80" t="n"/>
      <c r="CD318" s="80" t="n"/>
      <c r="CF318" s="80" t="n"/>
      <c r="CG318" s="80" t="n"/>
      <c r="CH318" s="80" t="n"/>
      <c r="CI318" s="80" t="n"/>
      <c r="CK318" s="80" t="n"/>
      <c r="CL318" s="80" t="n"/>
      <c r="CM318" s="80" t="n"/>
      <c r="CN318" s="80" t="n"/>
      <c r="CP318" s="80" t="n"/>
      <c r="CQ318" s="80" t="n"/>
      <c r="CR318" s="80" t="n"/>
      <c r="CS318" s="80" t="n"/>
      <c r="CU318" s="80" t="n"/>
      <c r="CV318" s="80" t="n"/>
      <c r="CW318" s="80" t="n"/>
      <c r="CX318" s="80" t="n"/>
    </row>
    <row r="319" customFormat="1" s="77">
      <c r="A319" s="76" t="n"/>
      <c r="B319" s="76" t="n"/>
      <c r="C319" s="77" t="inlineStr">
        <is>
          <t>NET DEBT / EBITDA (LTM)</t>
        </is>
      </c>
      <c r="D319" s="82" t="str">
        <f>IFERROR(SUM((D195+D196+D197+D200+D218)-D127)/(D52*4),"")</f>
        <v/>
      </c>
      <c r="E319" s="82" t="str">
        <f>IFERROR(SUM((E195+E196+E197+E200+E218)-E127)/(E52*4),"")</f>
        <v/>
      </c>
      <c r="F319" s="82" t="str">
        <f>IFERROR(SUM((F195+F196+F197+F200+F218)-F127)/(F52*4),"")</f>
        <v/>
      </c>
      <c r="G319" s="82" t="str">
        <f>IFERROR(SUM((G195+G196+G197+G200+G218)-G127)/(G52*4),"")</f>
        <v/>
      </c>
      <c r="H319" s="262" t="str">
        <f>IFERROR(IF(AND(COUNT(H52)=1,(H52)&lt;&gt;0),((N(H195)+N(H196)+N(H197)+N(H200)+N(H218)+N(H221))-N(H127))/(H52),""),"")</f>
        <v/>
      </c>
      <c r="I319" s="262" t="str">
        <f>""</f>
        <v/>
      </c>
      <c r="J319" s="262" t="str">
        <f>""</f>
        <v/>
      </c>
      <c r="K319" s="262" t="str">
        <f>""</f>
        <v/>
      </c>
      <c r="L319" s="262">
        <f>IFERROR(IF(AND(COUNT(I52,J52,K52,L52)=4,(I52+J52+K52+L52)&lt;&gt;0),((N(L195)+N(L196)+N(L197)+N(L200)+N(L218)+N(L221))-N(L127))/(I52+J52+K52+L52),""),"")</f>
        <v>0.55579200592154</v>
      </c>
      <c r="M319" s="262">
        <f>IFERROR(IF(AND(COUNT(I52,J52,K52,L52)=4,(I52+J52+K52+L52)&lt;&gt;0),((N(M195)+N(M196)+N(M197)+N(M200)+N(M218)+N(M221))-N(M127))/(I52+J52+K52+L52),""),"")</f>
        <v>0.55579200592154</v>
      </c>
      <c r="N319" s="262">
        <f>IFERROR(IF(AND(COUNT(J52,K52,L52,N52)=4,(J52+K52+L52+N52)&lt;&gt;0),((N(N195)+N(N196)+N(N197)+N(N200)+N(N218)+N(N221))-N(N127))/(J52+K52+L52+N52),""),"")</f>
        <v>0.631406384814495</v>
      </c>
      <c r="O319" s="262">
        <f>IFERROR(IF(AND(COUNT(K52,L52,N52,O52)=4,(K52+L52+N52+O52)&lt;&gt;0),((N(O195)+N(O196)+N(O197)+N(O200)+N(O218)+N(O221))-N(O127))/(K52+L52+N52+O52),""),"")</f>
        <v>0.661939690301549</v>
      </c>
      <c r="P319" s="262">
        <f>IFERROR(IF(AND(COUNT(L52,N52,O52,P52)=4,(L52+N52+O52+P52)&lt;&gt;0),((N(P195)+N(P196)+N(P197)+N(P200)+N(P218)+N(P221))-N(P127))/(L52+N52+O52+P52),""),"")</f>
        <v>0.512478281472121</v>
      </c>
      <c r="Q319" s="262">
        <f>IFERROR(IF(AND(COUNT(N52,O52,P52,Q52)=4,(N52+O52+P52+Q52)&lt;&gt;0),((N(Q195)+N(Q196)+N(Q197)+N(Q200)+N(Q218)+N(Q221))-N(Q127))/(N52+O52+P52+Q52),""),"")</f>
        <v>0.508298755186722</v>
      </c>
      <c r="R319" s="262">
        <f>IFERROR(IF(AND(COUNT(N52,O52,P52,Q52)=4,(N52+O52+P52+Q52)&lt;&gt;0),((N(R195)+N(R196)+N(R197)+N(R200)+N(R218)+N(R221))-N(R127))/(N52+O52+P52+Q52),""),"")</f>
        <v>0.508298755186722</v>
      </c>
      <c r="S319" s="262">
        <f>IFERROR(IF(AND(COUNT(O52,P52,Q52,S52)=4,(O52+P52+Q52+S52)&lt;&gt;0),((N(S195)+N(S196)+N(S197)+N(S200)+N(S218)+N(S221))-N(S127))/(O52+P52+Q52+S52),""),"")</f>
        <v>0.651564512463065</v>
      </c>
      <c r="T319" s="262">
        <f>IFERROR(IF(AND(COUNT(P52,Q52,S52,T52)=4,(P52+Q52+S52+T52)&lt;&gt;0),((N(T195)+N(T196)+N(T197)+N(T200)+N(T218)+N(T221))-N(T127))/(P52+Q52+S52+T52),""),"")</f>
        <v>0.657947976878613</v>
      </c>
      <c r="U319" s="262">
        <f>IFERROR(IF(AND(COUNT(Q52,S52,T52,U52)=4,(Q52+S52+T52+U52)&lt;&gt;0),((N(U195)+N(U196)+N(U197)+N(U200)+N(U218)+N(U221))-N(U127))/(Q52+S52+T52+U52),""),"")</f>
        <v>0.55308946431018</v>
      </c>
      <c r="V319" s="262">
        <f>IFERROR(IF(AND(COUNT(S52,T52,U52,V52)=4,(S52+T52+U52+V52)&lt;&gt;0),((N(V195)+N(V196)+N(V197)+N(V200)+N(V218)+N(V221))-N(V127))/(S52+T52+U52+V52),""),"")</f>
        <v>0.439049098399406</v>
      </c>
      <c r="W319" s="262">
        <f>IFERROR(IF(AND(COUNT(S52,T52,U52,V52)=4,(S52+T52+U52+V52)&lt;&gt;0),((N(W195)+N(W196)+N(W197)+N(W200)+N(W218)+N(W221))-N(W127))/(S52+T52+U52+V52),""),"")</f>
        <v>0.439049098399406</v>
      </c>
      <c r="X319" s="262">
        <f>IFERROR(IF(AND(COUNT(T52,U52,V52,X52)=4,(T52+U52+V52+X52)&lt;&gt;0),((N(X195)+N(X196)+N(X197)+N(X200)+N(X218)+N(X221))-N(X127))/(T52+U52+V52+X52),""),"")</f>
        <v>0.521045751633987</v>
      </c>
      <c r="Y319" s="262">
        <f>IFERROR(IF(AND(COUNT(U52,V52,X52,Y52)=4,(U52+V52+X52+Y52)&lt;&gt;0),((N(Y195)+N(Y196)+N(Y197)+N(Y200)+N(Y218)+N(Y221))-N(Y127))/(U52+V52+X52+Y52),""),"")</f>
        <v>0.524852033348183</v>
      </c>
      <c r="Z319" s="262">
        <f>IFERROR(IF(AND(COUNT(V52,X52,Y52,Z52)=4,(V52+X52+Y52+Z52)&lt;&gt;0),((N(Z195)+N(Z196)+N(Z197)+N(Z200)+N(Z218)+N(Z221))-N(Z127))/(V52+X52+Y52+Z52),""),"")</f>
        <v>0.437905205513942</v>
      </c>
      <c r="AA319" s="262">
        <f>IFERROR(IF(AND(COUNT(X52,Y52,Z52,AA52)=4,(X52+Y52+Z52+AA52)&lt;&gt;0),((N(AA195)+N(AA196)+N(AA197)+N(AA200)+N(AA218)+N(AA221))-N(AA127))/(X52+Y52+Z52+AA52),""),"")</f>
        <v>0.573699860428424</v>
      </c>
      <c r="AB319" s="262">
        <f>IFERROR(IF(AND(COUNT(X52,Y52,Z52,AA52)=4,(X52+Y52+Z52+AA52)&lt;&gt;0),((N(AB195)+N(AB196)+N(AB197)+N(AB200)+N(AB218)+N(AB221))-N(AB127))/(X52+Y52+Z52+AA52),""),"")</f>
        <v>0.573699860428424</v>
      </c>
      <c r="AC319" s="262">
        <f>IFERROR(IF(AND(COUNT(Y52,Z52,AA52,AC52)=4,(Y52+Z52+AA52+AC52)&lt;&gt;0),((N(AC195)+N(AC196)+N(AC197)+N(AC200)+N(AC218)+N(AC221))-N(AC127))/(Y52+Z52+AA52+AC52),""),"")</f>
        <v>0.638529532283557</v>
      </c>
      <c r="AD319" s="262">
        <f>IFERROR(IF(AND(COUNT(Z52,AA52,AC52,AD52)=4,(Z52+AA52+AC52+AD52)&lt;&gt;0),((N(AD195)+N(AD196)+N(AD197)+N(AD200)+N(AD218)+N(AD221))-N(AD127))/(Z52+AA52+AC52+AD52),""),"")</f>
        <v>0.537080536912752</v>
      </c>
      <c r="AE319" s="262">
        <f>IFERROR(IF(AND(COUNT(AA52,AC52,AD52,AE52)=4,(AA52+AC52+AD52+AE52)&lt;&gt;0),((N(AE195)+N(AE196)+N(AE197)+N(AE200)+N(AE218)+N(AE221))-N(AE127))/(AA52+AC52+AD52+AE52),""),"")</f>
        <v>0.438638038101253</v>
      </c>
      <c r="AF319" s="262">
        <f>IFERROR(IF(AND(COUNT(AB52,AD52,AE52,AF52)=4,(AB52+AD52+AE52+AF52)&lt;&gt;0),((N(AF195)+N(AF196)+N(AF197)+N(AF200)+N(AF218)+N(AF221))-N(AF127))/(AB52+AD52+AE52+AF52),""),"")</f>
        <v>0.252438074466428</v>
      </c>
      <c r="AG319" s="262">
        <f>IFERROR(IF(AND(COUNT(AC52,AD52,AE52,AF52)=4,(AC52+AD52+AE52+AF52)&lt;&gt;0),((N(AG195)+N(AG196)+N(AG197)+N(AG200)+N(AG218)+N(AG221))-N(AG127))/(AC52+AD52+AE52+AF52),""),"")</f>
        <v>0.404291417165669</v>
      </c>
      <c r="AH319" s="262">
        <f>IFERROR(IF(AND(COUNT(AD52,AF52,AG52,AH52)=4,(AD52+AF52+AG52+AH52)&lt;&gt;0),((N(AH195)+N(AH196)+N(AH197)+N(AH200)+N(AH218)+N(AH221))-N(AH127))/(AD52+AF52+AG52+AH52),""),"")</f>
        <v>0.302469657289291</v>
      </c>
      <c r="AI319" s="262">
        <f>IFERROR(IF(AND(COUNT(AE52,AG52,AH52,AI52)=4,(AE52+AG52+AH52+AI52)&lt;&gt;0),((N(AI195)+N(AI196)+N(AI197)+N(AI200)+N(AI218)+N(AI221))-N(AI127))/(AE52+AG52+AH52+AI52),""),"")</f>
        <v>0.35716438769079</v>
      </c>
      <c r="AJ319" s="262">
        <f>IFERROR(IF(AND(COUNT(AF52,AH52,AI52,AJ52)=4,(AF52+AH52+AI52+AJ52)&lt;&gt;0),((N(AJ195)+N(AJ196)+N(AJ197)+N(AJ200)+N(AJ218)+N(AJ221))-N(AJ127))/(AF52+AH52+AI52+AJ52),""),"")</f>
        <v>0.338003273387759</v>
      </c>
      <c r="AK319" s="262">
        <f>IFERROR(IF(AND(COUNT(AH52,AI52,AJ52,AK52)=4,(AH52+AI52+AJ52+AK52)&lt;&gt;0),((N(AK195)+N(AK196)+N(AK197)+N(AK200)+N(AK218)+N(AK221))-N(AK127))/(AH52+AI52+AJ52+AK52),""),"")</f>
        <v>0.0219792171213327</v>
      </c>
      <c r="AL319" s="262">
        <f>IFERROR(IF(AND(COUNT(AH52,AI52,AJ52,AK52)=4,(AH52+AI52+AJ52+AK52)&lt;&gt;0),((N(AL195)+N(AL196)+N(AL197)+N(AL200)+N(AL218)+N(AL221))-N(AL127))/(AH52+AI52+AJ52+AK52),""),"")</f>
        <v>0.0219792171213327</v>
      </c>
      <c r="AM319" s="262">
        <f>IFERROR(IF(AND(COUNT(AI52,AJ52,AK52,AM52)=4,(AI52+AJ52+AK52+AM52)&lt;&gt;0),((N(AM195)+N(AM196)+N(AM197)+N(AM200)+N(AM218)+N(AM221))-N(AM127))/(AI52+AJ52+AK52+AM52),""),"")</f>
        <v>-0.286449820684318</v>
      </c>
      <c r="AN319" s="262">
        <f>IFERROR(IF(AND(COUNT(AJ52,AK52,AM52,AN52)=4,(AJ52+AK52+AM52+AN52)&lt;&gt;0),((N(AN195)+N(AN196)+N(AN197)+N(AN200)+N(AN218)+N(AN221))-N(AN127))/(AJ52+AK52+AM52+AN52),""),"")</f>
        <v>-0.588809417498748</v>
      </c>
      <c r="AO319" s="262">
        <f>IFERROR(IF(AND(COUNT(AK52,AM52,AN52,AO52)=4,(AK52+AM52+AN52+AO52)&lt;&gt;0),((N(AO195)+N(AO196)+N(AO197)+N(AO200)+N(AO218)+N(AO221))-N(AO127))/(AK52+AM52+AN52+AO52),""),"")</f>
        <v>-0.904720461705801</v>
      </c>
      <c r="AP319" s="262">
        <f>IFERROR(IF(AND(COUNT(AM52,AN52,AO52,AP52)=4,(AM52+AN52+AO52+AP52)&lt;&gt;0),((N(AP195)+N(AP196)+N(AP197)+N(AP200)+N(AP218)+N(AP221))-N(AP127))/(AM52+AN52+AO52+AP52),""),"")</f>
        <v>-1.2313615379012</v>
      </c>
      <c r="AQ319" s="262">
        <f>IFERROR(IF(AND(COUNT(AM52,AN52,AO52,AP52)=4,(AM52+AN52+AO52+AP52)&lt;&gt;0),((N(AQ195)+N(AQ196)+N(AQ197)+N(AQ200)+N(AQ218)+N(AQ221))-N(AQ127))/(AM52+AN52+AO52+AP52),""),"")</f>
        <v>-1.2313615379012</v>
      </c>
      <c r="AR319" s="262">
        <f>IFERROR(IF(AND(COUNT(AN52,AO52,AP52,AR52)=4,(AN52+AO52+AP52+AR52)&lt;&gt;0),((N(AR195)+N(AR196)+N(AR197)+N(AR200)+N(AR218)+N(AR221))-N(AR127))/(AN52+AO52+AP52+AR52),""),"")</f>
        <v>-1.56178849413422</v>
      </c>
      <c r="AS319" s="262">
        <f>IFERROR(IF(AND(COUNT(AO52,AP52,AR52,AS52)=4,(AO52+AP52+AR52+AS52)&lt;&gt;0),((N(AS195)+N(AS196)+N(AS197)+N(AS200)+N(AS218)+N(AS221))-N(AS127))/(AO52+AP52+AR52+AS52),""),"")</f>
        <v>-1.87959159384527</v>
      </c>
      <c r="AT319" s="262">
        <f>IFERROR(IF(AND(COUNT(AP52,AR52,AS52,AT52)=4,(AP52+AR52+AS52+AT52)&lt;&gt;0),((N(AT195)+N(AT196)+N(AT197)+N(AT200)+N(AT218)+N(AT221))-N(AT127))/(AP52+AR52+AS52+AT52),""),"")</f>
        <v>-2.22033844981983</v>
      </c>
      <c r="AU319" s="262">
        <f>IFERROR(IF(AND(COUNT(AR52,AS52,AT52,AU52)=4,(AR52+AS52+AT52+AU52)&lt;&gt;0),((N(AU195)+N(AU196)+N(AU197)+N(AU200)+N(AU218)+N(AU221))-N(AU127))/(AR52+AS52+AT52+AU52),""),"")</f>
        <v>-2.57952645705669</v>
      </c>
      <c r="AV319" s="262">
        <f>IFERROR(IF(AND(COUNT(AR52,AS52,AT52,AU52)=4,(AR52+AS52+AT52+AU52)&lt;&gt;0),((N(AV195)+N(AV196)+N(AV197)+N(AV200)+N(AV218)+N(AV221))-N(AV127))/(AR52+AS52+AT52+AU52),""),"")</f>
        <v>-2.57952645705669</v>
      </c>
      <c r="AW319" s="262">
        <f>IFERROR(IF(AND(COUNT(AS52,AT52,AU52,AW52)=4,(AS52+AT52+AU52+AW52)&lt;&gt;0),((N(AW195)+N(AW196)+N(AW197)+N(AW200)+N(AW218)+N(AW221))-N(AW127))/(AS52+AT52+AU52+AW52),""),"")</f>
        <v>-2.95063173498743</v>
      </c>
      <c r="AX319" s="262">
        <f>IFERROR(IF(AND(COUNT(AT52,AU52,AW52,AX52)=4,(AT52+AU52+AW52+AX52)&lt;&gt;0),((N(AX195)+N(AX196)+N(AX197)+N(AX200)+N(AX218)+N(AX221))-N(AX127))/(AT52+AU52+AW52+AX52),""),"")</f>
        <v>-3.31780245016688</v>
      </c>
      <c r="AY319" s="262">
        <f>IFERROR(IF(AND(COUNT(AU52,AW52,AX52,AY52)=4,(AU52+AW52+AX52+AY52)&lt;&gt;0),((N(AY195)+N(AY196)+N(AY197)+N(AY200)+N(AY218)+N(AY221))-N(AY127))/(AU52+AW52+AX52+AY52),""),"")</f>
        <v>-3.71207148755326</v>
      </c>
      <c r="AZ319" s="262">
        <f>IFERROR(IF(AND(COUNT(AW52,AX52,AY52,AZ52)=4,(AW52+AX52+AY52+AZ52)&lt;&gt;0),((N(AZ195)+N(AZ196)+N(AZ197)+N(AZ200)+N(AZ218)+N(AZ221))-N(AZ127))/(AW52+AX52+AY52+AZ52),""),"")</f>
        <v>-4.13434035306009</v>
      </c>
      <c r="BA319" s="262">
        <f>IFERROR(IF(AND(COUNT(AW52,AX52,AY52,AZ52)=4,(AW52+AX52+AY52+AZ52)&lt;&gt;0),((N(BA195)+N(BA196)+N(BA197)+N(BA200)+N(BA218)+N(BA221))-N(BA127))/(AW52+AX52+AY52+AZ52),""),"")</f>
        <v>-4.13434035306009</v>
      </c>
      <c r="BB319" s="262">
        <f>IFERROR(IF(AND(COUNT(AX52,AY52,AZ52,BB52)=4,(AX52+AY52+AZ52+BB52)&lt;&gt;0),((N(BB195)+N(BB196)+N(BB197)+N(BB200)+N(BB218)+N(BB221))-N(BB127))/(AX52+AY52+AZ52+BB52),""),"")</f>
        <v>-4.58072824250001</v>
      </c>
      <c r="BC319" s="262">
        <f>IFERROR(IF(AND(COUNT(AY52,AZ52,BB52,BC52)=4,(AY52+AZ52+BB52+BC52)&lt;&gt;0),((N(BC195)+N(BC196)+N(BC197)+N(BC200)+N(BC218)+N(BC221))-N(BC127))/(AY52+AZ52+BB52+BC52),""),"")</f>
        <v>-5.02900891540884</v>
      </c>
      <c r="BD319" s="262">
        <f>IFERROR(IF(AND(COUNT(AZ52,BB52,BC52,BD52)=4,(AZ52+BB52+BC52+BD52)&lt;&gt;0),((N(BD195)+N(BD196)+N(BD197)+N(BD200)+N(BD218)+N(BD221))-N(BD127))/(AZ52+BB52+BC52+BD52),""),"")</f>
        <v>-5.5129620585595</v>
      </c>
      <c r="BE319" s="262">
        <f>IFERROR(IF(AND(COUNT(BB52,BC52,BD52,BE52)=4,(BB52+BC52+BD52+BE52)&lt;&gt;0),((N(BE195)+N(BE196)+N(BE197)+N(BE200)+N(BE218)+N(BE221))-N(BE127))/(BB52+BC52+BD52+BE52),""),"")</f>
        <v>-6.03703257703927</v>
      </c>
      <c r="BF319" s="262">
        <f>IFERROR(IF(AND(COUNT(BB52,BC52,BD52,BE52)=4,(BB52+BC52+BD52+BE52)&lt;&gt;0),((N(BF195)+N(BF196)+N(BF197)+N(BF200)+N(BF218)+N(BF221))-N(BF127))/(BB52+BC52+BD52+BE52),""),"")</f>
        <v>-6.03703257703927</v>
      </c>
      <c r="BG319" s="82" t="n"/>
      <c r="BH319" s="82" t="n"/>
      <c r="BI319" s="82" t="n"/>
      <c r="BJ319" s="82" t="n"/>
      <c r="BL319" s="82" t="n"/>
      <c r="BM319" s="82" t="n"/>
      <c r="BN319" s="82" t="n"/>
      <c r="BO319" s="82" t="n"/>
      <c r="BQ319" s="82" t="n"/>
      <c r="BR319" s="82" t="n"/>
      <c r="BS319" s="82" t="n"/>
      <c r="BT319" s="82" t="n"/>
      <c r="BV319" s="82" t="n"/>
      <c r="BW319" s="82" t="n"/>
      <c r="BX319" s="82" t="n"/>
      <c r="BY319" s="82" t="n"/>
      <c r="CA319" s="82" t="n"/>
      <c r="CB319" s="82" t="n"/>
      <c r="CC319" s="82" t="n"/>
      <c r="CD319" s="82" t="n"/>
      <c r="CF319" s="82" t="n"/>
      <c r="CG319" s="82" t="n"/>
      <c r="CH319" s="82" t="n"/>
      <c r="CI319" s="82" t="n"/>
      <c r="CK319" s="82" t="n"/>
      <c r="CL319" s="82" t="n"/>
      <c r="CM319" s="82" t="n"/>
      <c r="CN319" s="82" t="n"/>
      <c r="CP319" s="82" t="n"/>
      <c r="CQ319" s="82" t="n"/>
      <c r="CR319" s="82" t="n"/>
      <c r="CS319" s="82" t="n"/>
      <c r="CU319" s="82" t="n"/>
      <c r="CV319" s="82" t="n"/>
      <c r="CW319" s="82" t="n"/>
      <c r="CX319" s="82" t="n"/>
    </row>
    <row r="320" customFormat="1" s="77">
      <c r="A320" s="76" t="n"/>
      <c r="B320" s="76" t="n"/>
      <c r="C320" s="83" t="inlineStr">
        <is>
          <t>NET DEBT (EX IFRS 16.) / EBITDA (LTM)</t>
        </is>
      </c>
      <c r="D320" s="82" t="str">
        <f>IFERROR(SUM((D195+D196+D200)-D127)/(D52*4),"")</f>
        <v/>
      </c>
      <c r="E320" s="82" t="str">
        <f>IFERROR(SUM((E195+E196+E200)-E127)/(E52*4),"")</f>
        <v/>
      </c>
      <c r="F320" s="82" t="str">
        <f>IFERROR(SUM((F195+F196+F200)-F127)/(F52*4),"")</f>
        <v/>
      </c>
      <c r="G320" s="82" t="str">
        <f>IFERROR(SUM((G195+G196+G200)-G127)/(G52*4),"")</f>
        <v/>
      </c>
      <c r="H320" s="262" t="str">
        <f>IFERROR(IF(AND(COUNT(H52)=1,(H52)&lt;&gt;0),((N(H195)+N(H196)+N(H200)+N(H221))-N(H127))/(H52),""),"")</f>
        <v/>
      </c>
      <c r="I320" s="262" t="str">
        <f>""</f>
        <v/>
      </c>
      <c r="J320" s="262" t="str">
        <f>""</f>
        <v/>
      </c>
      <c r="K320" s="262" t="str">
        <f>""</f>
        <v/>
      </c>
      <c r="L320" s="262">
        <f>IFERROR(IF(AND(COUNT(I52,J52,K52,L52)=4,(I52+J52+K52+L52)&lt;&gt;0),((N(L195)+N(L196)+N(L200)+N(L221))-N(L127))/(I52+J52+K52+L52),""),"")</f>
        <v>0.55579200592154</v>
      </c>
      <c r="M320" s="262">
        <f>IFERROR(IF(AND(COUNT(I52,J52,K52,L52)=4,(I52+J52+K52+L52)&lt;&gt;0),((N(M195)+N(M196)+N(M200)+N(M221))-N(M127))/(I52+J52+K52+L52),""),"")</f>
        <v>0.55579200592154</v>
      </c>
      <c r="N320" s="262">
        <f>IFERROR(IF(AND(COUNT(J52,K52,L52,N52)=4,(J52+K52+L52+N52)&lt;&gt;0),((N(N195)+N(N196)+N(N200)+N(N221))-N(N127))/(J52+K52+L52+N52),""),"")</f>
        <v>0.631406384814495</v>
      </c>
      <c r="O320" s="262">
        <f>IFERROR(IF(AND(COUNT(K52,L52,N52,O52)=4,(K52+L52+N52+O52)&lt;&gt;0),((N(O195)+N(O196)+N(O200)+N(O221))-N(O127))/(K52+L52+N52+O52),""),"")</f>
        <v>0.661939690301549</v>
      </c>
      <c r="P320" s="262">
        <f>IFERROR(IF(AND(COUNT(L52,N52,O52,P52)=4,(L52+N52+O52+P52)&lt;&gt;0),((N(P195)+N(P196)+N(P200)+N(P221))-N(P127))/(L52+N52+O52+P52),""),"")</f>
        <v>0.512478281472121</v>
      </c>
      <c r="Q320" s="262">
        <f>IFERROR(IF(AND(COUNT(N52,O52,P52,Q52)=4,(N52+O52+P52+Q52)&lt;&gt;0),((N(Q195)+N(Q196)+N(Q200)+N(Q221))-N(Q127))/(N52+O52+P52+Q52),""),"")</f>
        <v>0.508298755186722</v>
      </c>
      <c r="R320" s="262">
        <f>IFERROR(IF(AND(COUNT(N52,O52,P52,Q52)=4,(N52+O52+P52+Q52)&lt;&gt;0),((N(R195)+N(R196)+N(R200)+N(R221))-N(R127))/(N52+O52+P52+Q52),""),"")</f>
        <v>0.508298755186722</v>
      </c>
      <c r="S320" s="262">
        <f>IFERROR(IF(AND(COUNT(O52,P52,Q52,S52)=4,(O52+P52+Q52+S52)&lt;&gt;0),((N(S195)+N(S196)+N(S200)+N(S221))-N(S127))/(O52+P52+Q52+S52),""),"")</f>
        <v>0.651564512463065</v>
      </c>
      <c r="T320" s="262">
        <f>IFERROR(IF(AND(COUNT(P52,Q52,S52,T52)=4,(P52+Q52+S52+T52)&lt;&gt;0),((N(T195)+N(T196)+N(T200)+N(T221))-N(T127))/(P52+Q52+S52+T52),""),"")</f>
        <v>0.657947976878613</v>
      </c>
      <c r="U320" s="262">
        <f>IFERROR(IF(AND(COUNT(Q52,S52,T52,U52)=4,(Q52+S52+T52+U52)&lt;&gt;0),((N(U195)+N(U196)+N(U200)+N(U221))-N(U127))/(Q52+S52+T52+U52),""),"")</f>
        <v>0.55308946431018</v>
      </c>
      <c r="V320" s="262">
        <f>IFERROR(IF(AND(COUNT(S52,T52,U52,V52)=4,(S52+T52+U52+V52)&lt;&gt;0),((N(V195)+N(V196)+N(V200)+N(V221))-N(V127))/(S52+T52+U52+V52),""),"")</f>
        <v>0.439049098399406</v>
      </c>
      <c r="W320" s="262">
        <f>IFERROR(IF(AND(COUNT(S52,T52,U52,V52)=4,(S52+T52+U52+V52)&lt;&gt;0),((N(W195)+N(W196)+N(W200)+N(W221))-N(W127))/(S52+T52+U52+V52),""),"")</f>
        <v>0.439049098399406</v>
      </c>
      <c r="X320" s="262">
        <f>IFERROR(IF(AND(COUNT(T52,U52,V52,X52)=4,(T52+U52+V52+X52)&lt;&gt;0),((N(X195)+N(X196)+N(X200)+N(X221))-N(X127))/(T52+U52+V52+X52),""),"")</f>
        <v>0.521045751633987</v>
      </c>
      <c r="Y320" s="262">
        <f>IFERROR(IF(AND(COUNT(U52,V52,X52,Y52)=4,(U52+V52+X52+Y52)&lt;&gt;0),((N(Y195)+N(Y196)+N(Y200)+N(Y221))-N(Y127))/(U52+V52+X52+Y52),""),"")</f>
        <v>0.524852033348183</v>
      </c>
      <c r="Z320" s="262">
        <f>IFERROR(IF(AND(COUNT(V52,X52,Y52,Z52)=4,(V52+X52+Y52+Z52)&lt;&gt;0),((N(Z195)+N(Z196)+N(Z200)+N(Z221))-N(Z127))/(V52+X52+Y52+Z52),""),"")</f>
        <v>0.437905205513942</v>
      </c>
      <c r="AA320" s="262">
        <f>IFERROR(IF(AND(COUNT(X52,Y52,Z52,AA52)=4,(X52+Y52+Z52+AA52)&lt;&gt;0),((N(AA195)+N(AA196)+N(AA200)+N(AA221))-N(AA127))/(X52+Y52+Z52+AA52),""),"")</f>
        <v>0.573699860428424</v>
      </c>
      <c r="AB320" s="262">
        <f>IFERROR(IF(AND(COUNT(X52,Y52,Z52,AA52)=4,(X52+Y52+Z52+AA52)&lt;&gt;0),((N(AB195)+N(AB196)+N(AB200)+N(AB221))-N(AB127))/(X52+Y52+Z52+AA52),""),"")</f>
        <v>0.573699860428424</v>
      </c>
      <c r="AC320" s="262">
        <f>IFERROR(IF(AND(COUNT(Y52,Z52,AA52,AC52)=4,(Y52+Z52+AA52+AC52)&lt;&gt;0),((N(AC195)+N(AC196)+N(AC200)+N(AC221))-N(AC127))/(Y52+Z52+AA52+AC52),""),"")</f>
        <v>0.638529532283557</v>
      </c>
      <c r="AD320" s="262">
        <f>IFERROR(IF(AND(COUNT(Z52,AA52,AC52,AD52)=4,(Z52+AA52+AC52+AD52)&lt;&gt;0),((N(AD195)+N(AD196)+N(AD200)+N(AD221))-N(AD127))/(Z52+AA52+AC52+AD52),""),"")</f>
        <v>0.537080536912752</v>
      </c>
      <c r="AE320" s="262">
        <f>IFERROR(IF(AND(COUNT(AA52,AC52,AD52,AE52)=4,(AA52+AC52+AD52+AE52)&lt;&gt;0),((N(AE195)+N(AE196)+N(AE200)+N(AE221))-N(AE127))/(AA52+AC52+AD52+AE52),""),"")</f>
        <v>0.438638038101253</v>
      </c>
      <c r="AF320" s="262">
        <f>IFERROR(IF(AND(COUNT(AB52,AD52,AE52,AF52)=4,(AB52+AD52+AE52+AF52)&lt;&gt;0),((N(AF195)+N(AF196)+N(AF200)+N(AF221))-N(AF127))/(AB52+AD52+AE52+AF52),""),"")</f>
        <v>0.252438074466428</v>
      </c>
      <c r="AG320" s="262">
        <f>IFERROR(IF(AND(COUNT(AC52,AD52,AE52,AF52)=4,(AC52+AD52+AE52+AF52)&lt;&gt;0),((N(AG195)+N(AG196)+N(AG200)+N(AG221))-N(AG127))/(AC52+AD52+AE52+AF52),""),"")</f>
        <v>0.404291417165669</v>
      </c>
      <c r="AH320" s="262">
        <f>IFERROR(IF(AND(COUNT(AD52,AF52,AG52,AH52)=4,(AD52+AF52+AG52+AH52)&lt;&gt;0),((N(AH195)+N(AH196)+N(AH200)+N(AH221))-N(AH127))/(AD52+AF52+AG52+AH52),""),"")</f>
        <v>0.302469657289291</v>
      </c>
      <c r="AI320" s="262">
        <f>IFERROR(IF(AND(COUNT(AE52,AG52,AH52,AI52)=4,(AE52+AG52+AH52+AI52)&lt;&gt;0),((N(AI195)+N(AI196)+N(AI200)+N(AI221))-N(AI127))/(AE52+AG52+AH52+AI52),""),"")</f>
        <v>0.35716438769079</v>
      </c>
      <c r="AJ320" s="262">
        <f>IFERROR(IF(AND(COUNT(AF52,AH52,AI52,AJ52)=4,(AF52+AH52+AI52+AJ52)&lt;&gt;0),((N(AJ195)+N(AJ196)+N(AJ200)+N(AJ221))-N(AJ127))/(AF52+AH52+AI52+AJ52),""),"")</f>
        <v>0.338003273387759</v>
      </c>
      <c r="AK320" s="262">
        <f>IFERROR(IF(AND(COUNT(AH52,AI52,AJ52,AK52)=4,(AH52+AI52+AJ52+AK52)&lt;&gt;0),((N(AK195)+N(AK196)+N(AK200)+N(AK221))-N(AK127))/(AH52+AI52+AJ52+AK52),""),"")</f>
        <v>0.0219792171213327</v>
      </c>
      <c r="AL320" s="262">
        <f>IFERROR(IF(AND(COUNT(AH52,AI52,AJ52,AK52)=4,(AH52+AI52+AJ52+AK52)&lt;&gt;0),((N(AL195)+N(AL196)+N(AL200)+N(AL221))-N(AL127))/(AH52+AI52+AJ52+AK52),""),"")</f>
        <v>0.0219792171213327</v>
      </c>
      <c r="AM320" s="262">
        <f>IFERROR(IF(AND(COUNT(AI52,AJ52,AK52,AM52)=4,(AI52+AJ52+AK52+AM52)&lt;&gt;0),((N(AM195)+N(AM196)+N(AM200)+N(AM221))-N(AM127))/(AI52+AJ52+AK52+AM52),""),"")</f>
        <v>-0.286449820684318</v>
      </c>
      <c r="AN320" s="262">
        <f>IFERROR(IF(AND(COUNT(AJ52,AK52,AM52,AN52)=4,(AJ52+AK52+AM52+AN52)&lt;&gt;0),((N(AN195)+N(AN196)+N(AN200)+N(AN221))-N(AN127))/(AJ52+AK52+AM52+AN52),""),"")</f>
        <v>-0.588809417498748</v>
      </c>
      <c r="AO320" s="262">
        <f>IFERROR(IF(AND(COUNT(AK52,AM52,AN52,AO52)=4,(AK52+AM52+AN52+AO52)&lt;&gt;0),((N(AO195)+N(AO196)+N(AO200)+N(AO221))-N(AO127))/(AK52+AM52+AN52+AO52),""),"")</f>
        <v>-0.904720461705801</v>
      </c>
      <c r="AP320" s="262">
        <f>IFERROR(IF(AND(COUNT(AM52,AN52,AO52,AP52)=4,(AM52+AN52+AO52+AP52)&lt;&gt;0),((N(AP195)+N(AP196)+N(AP200)+N(AP221))-N(AP127))/(AM52+AN52+AO52+AP52),""),"")</f>
        <v>-1.2313615379012</v>
      </c>
      <c r="AQ320" s="262">
        <f>IFERROR(IF(AND(COUNT(AM52,AN52,AO52,AP52)=4,(AM52+AN52+AO52+AP52)&lt;&gt;0),((N(AQ195)+N(AQ196)+N(AQ200)+N(AQ221))-N(AQ127))/(AM52+AN52+AO52+AP52),""),"")</f>
        <v>-1.2313615379012</v>
      </c>
      <c r="AR320" s="262">
        <f>IFERROR(IF(AND(COUNT(AN52,AO52,AP52,AR52)=4,(AN52+AO52+AP52+AR52)&lt;&gt;0),((N(AR195)+N(AR196)+N(AR200)+N(AR221))-N(AR127))/(AN52+AO52+AP52+AR52),""),"")</f>
        <v>-1.56178849413422</v>
      </c>
      <c r="AS320" s="262">
        <f>IFERROR(IF(AND(COUNT(AO52,AP52,AR52,AS52)=4,(AO52+AP52+AR52+AS52)&lt;&gt;0),((N(AS195)+N(AS196)+N(AS200)+N(AS221))-N(AS127))/(AO52+AP52+AR52+AS52),""),"")</f>
        <v>-1.87959159384527</v>
      </c>
      <c r="AT320" s="262">
        <f>IFERROR(IF(AND(COUNT(AP52,AR52,AS52,AT52)=4,(AP52+AR52+AS52+AT52)&lt;&gt;0),((N(AT195)+N(AT196)+N(AT200)+N(AT221))-N(AT127))/(AP52+AR52+AS52+AT52),""),"")</f>
        <v>-2.22033844981983</v>
      </c>
      <c r="AU320" s="262">
        <f>IFERROR(IF(AND(COUNT(AR52,AS52,AT52,AU52)=4,(AR52+AS52+AT52+AU52)&lt;&gt;0),((N(AU195)+N(AU196)+N(AU200)+N(AU221))-N(AU127))/(AR52+AS52+AT52+AU52),""),"")</f>
        <v>-2.57952645705669</v>
      </c>
      <c r="AV320" s="262">
        <f>IFERROR(IF(AND(COUNT(AR52,AS52,AT52,AU52)=4,(AR52+AS52+AT52+AU52)&lt;&gt;0),((N(AV195)+N(AV196)+N(AV200)+N(AV221))-N(AV127))/(AR52+AS52+AT52+AU52),""),"")</f>
        <v>-2.57952645705669</v>
      </c>
      <c r="AW320" s="262">
        <f>IFERROR(IF(AND(COUNT(AS52,AT52,AU52,AW52)=4,(AS52+AT52+AU52+AW52)&lt;&gt;0),((N(AW195)+N(AW196)+N(AW200)+N(AW221))-N(AW127))/(AS52+AT52+AU52+AW52),""),"")</f>
        <v>-2.95063173498743</v>
      </c>
      <c r="AX320" s="262">
        <f>IFERROR(IF(AND(COUNT(AT52,AU52,AW52,AX52)=4,(AT52+AU52+AW52+AX52)&lt;&gt;0),((N(AX195)+N(AX196)+N(AX200)+N(AX221))-N(AX127))/(AT52+AU52+AW52+AX52),""),"")</f>
        <v>-3.31780245016688</v>
      </c>
      <c r="AY320" s="262">
        <f>IFERROR(IF(AND(COUNT(AU52,AW52,AX52,AY52)=4,(AU52+AW52+AX52+AY52)&lt;&gt;0),((N(AY195)+N(AY196)+N(AY200)+N(AY221))-N(AY127))/(AU52+AW52+AX52+AY52),""),"")</f>
        <v>-3.71207148755326</v>
      </c>
      <c r="AZ320" s="262">
        <f>IFERROR(IF(AND(COUNT(AW52,AX52,AY52,AZ52)=4,(AW52+AX52+AY52+AZ52)&lt;&gt;0),((N(AZ195)+N(AZ196)+N(AZ200)+N(AZ221))-N(AZ127))/(AW52+AX52+AY52+AZ52),""),"")</f>
        <v>-4.13434035306009</v>
      </c>
      <c r="BA320" s="262">
        <f>IFERROR(IF(AND(COUNT(AW52,AX52,AY52,AZ52)=4,(AW52+AX52+AY52+AZ52)&lt;&gt;0),((N(BA195)+N(BA196)+N(BA200)+N(BA221))-N(BA127))/(AW52+AX52+AY52+AZ52),""),"")</f>
        <v>-4.13434035306009</v>
      </c>
      <c r="BB320" s="262">
        <f>IFERROR(IF(AND(COUNT(AX52,AY52,AZ52,BB52)=4,(AX52+AY52+AZ52+BB52)&lt;&gt;0),((N(BB195)+N(BB196)+N(BB200)+N(BB221))-N(BB127))/(AX52+AY52+AZ52+BB52),""),"")</f>
        <v>-4.58072824250001</v>
      </c>
      <c r="BC320" s="262">
        <f>IFERROR(IF(AND(COUNT(AY52,AZ52,BB52,BC52)=4,(AY52+AZ52+BB52+BC52)&lt;&gt;0),((N(BC195)+N(BC196)+N(BC200)+N(BC221))-N(BC127))/(AY52+AZ52+BB52+BC52),""),"")</f>
        <v>-5.02900891540884</v>
      </c>
      <c r="BD320" s="262">
        <f>IFERROR(IF(AND(COUNT(AZ52,BB52,BC52,BD52)=4,(AZ52+BB52+BC52+BD52)&lt;&gt;0),((N(BD195)+N(BD196)+N(BD200)+N(BD221))-N(BD127))/(AZ52+BB52+BC52+BD52),""),"")</f>
        <v>-5.5129620585595</v>
      </c>
      <c r="BE320" s="262">
        <f>IFERROR(IF(AND(COUNT(BB52,BC52,BD52,BE52)=4,(BB52+BC52+BD52+BE52)&lt;&gt;0),((N(BE195)+N(BE196)+N(BE200)+N(BE221))-N(BE127))/(BB52+BC52+BD52+BE52),""),"")</f>
        <v>-6.03703257703927</v>
      </c>
      <c r="BF320" s="262">
        <f>IFERROR(IF(AND(COUNT(BB52,BC52,BD52,BE52)=4,(BB52+BC52+BD52+BE52)&lt;&gt;0),((N(BF195)+N(BF196)+N(BF200)+N(BF221))-N(BF127))/(BB52+BC52+BD52+BE52),""),"")</f>
        <v>-6.03703257703927</v>
      </c>
      <c r="BG320" s="82" t="n"/>
      <c r="BH320" s="82" t="n"/>
      <c r="BI320" s="82" t="n"/>
      <c r="BJ320" s="82" t="n"/>
      <c r="BL320" s="82" t="n"/>
      <c r="BM320" s="82" t="n"/>
      <c r="BN320" s="82" t="n"/>
      <c r="BO320" s="82" t="n"/>
      <c r="BQ320" s="82" t="n"/>
      <c r="BR320" s="82" t="n"/>
      <c r="BS320" s="82" t="n"/>
      <c r="BT320" s="82" t="n"/>
      <c r="BV320" s="82" t="n"/>
      <c r="BW320" s="82" t="n"/>
      <c r="BX320" s="82" t="n"/>
      <c r="BY320" s="82" t="n"/>
      <c r="CA320" s="82" t="n"/>
      <c r="CB320" s="82" t="n"/>
      <c r="CC320" s="82" t="n"/>
      <c r="CD320" s="82" t="n"/>
      <c r="CF320" s="82" t="n"/>
      <c r="CG320" s="82" t="n"/>
      <c r="CH320" s="82" t="n"/>
      <c r="CI320" s="82" t="n"/>
      <c r="CK320" s="82" t="n"/>
      <c r="CL320" s="82" t="n"/>
      <c r="CM320" s="82" t="n"/>
      <c r="CN320" s="82" t="n"/>
      <c r="CP320" s="82" t="n"/>
      <c r="CQ320" s="82" t="n"/>
      <c r="CR320" s="82" t="n"/>
      <c r="CS320" s="82" t="n"/>
      <c r="CU320" s="82" t="n"/>
      <c r="CV320" s="82" t="n"/>
      <c r="CW320" s="82" t="n"/>
      <c r="CX320" s="82" t="n"/>
    </row>
    <row r="321" customFormat="1" s="77">
      <c r="A321" s="76" t="n"/>
      <c r="B321" s="76" t="n"/>
      <c r="C321" s="77" t="inlineStr">
        <is>
          <t>INTEREST COVERAGE (EBIT / INTEREST, LTM)</t>
        </is>
      </c>
      <c r="D321" s="82" t="str">
        <f>IFERROR(D56/-D57,"")</f>
        <v/>
      </c>
      <c r="E321" s="82" t="str">
        <f>IFERROR(E56/-E57,"")</f>
        <v/>
      </c>
      <c r="F321" s="82" t="str">
        <f>IFERROR(F56/-F57,"")</f>
        <v/>
      </c>
      <c r="G321" s="82" t="str">
        <f>IFERROR(G56/-G57,"")</f>
        <v/>
      </c>
      <c r="H321" s="262" t="str">
        <f>IFERROR(IF(AND(COUNT(H56)=1,(H57)&lt;&gt;0),(H56)/-(H57),""),"")</f>
        <v/>
      </c>
      <c r="I321" s="262" t="str">
        <f>""</f>
        <v/>
      </c>
      <c r="J321" s="262" t="str">
        <f>""</f>
        <v/>
      </c>
      <c r="K321" s="262" t="str">
        <f>""</f>
        <v/>
      </c>
      <c r="L321" s="262">
        <f>IFERROR(IF(AND(COUNT(I56,J56,K56,L56)=4,(I57+J57+K57+L57)&lt;&gt;0),(I56+J56+K56+L56)/-(I57+J57+K57+L57),""),"")</f>
        <v>23.3921113689095</v>
      </c>
      <c r="M321" s="262">
        <f>IFERROR(IF(AND(COUNT(I56,J56,K56,L56)=4,(I57+J57+K57+L57)&lt;&gt;0),(I56+J56+K56+L56)/-(I57+J57+K57+L57),""),"")</f>
        <v>23.3921113689095</v>
      </c>
      <c r="N321" s="262">
        <f>IFERROR(IF(AND(COUNT(J56,K56,L56,N56)=4,(J57+K57+L57+N57)&lt;&gt;0),(J56+K56+L56+N56)/-(J57+K57+L57+N57),""),"")</f>
        <v>24.9654377880184</v>
      </c>
      <c r="O321" s="262">
        <f>IFERROR(IF(AND(COUNT(K56,L56,N56,O56)=4,(K57+L57+N57+O57)&lt;&gt;0),(K56+L56+N56+O56)/-(K57+L57+N57+O57),""),"")</f>
        <v>26.0452488687783</v>
      </c>
      <c r="P321" s="262">
        <f>IFERROR(IF(AND(COUNT(L56,N56,O56,P56)=4,(L57+N57+O57+P57)&lt;&gt;0),(L56+N56+O56+P56)/-(L57+N57+O57+P57),""),"")</f>
        <v>26.3429203539823</v>
      </c>
      <c r="Q321" s="262">
        <f>IFERROR(IF(AND(COUNT(N56,O56,P56,Q56)=4,(N57+O57+P57+Q57)&lt;&gt;0),(N56+O56+P56+Q56)/-(N57+O57+P57+Q57),""),"")</f>
        <v>26.0382165605096</v>
      </c>
      <c r="R321" s="262">
        <f>IFERROR(IF(AND(COUNT(N56,O56,P56,Q56)=4,(N57+O57+P57+Q57)&lt;&gt;0),(N56+O56+P56+Q56)/-(N57+O57+P57+Q57),""),"")</f>
        <v>26.0382165605096</v>
      </c>
      <c r="S321" s="262">
        <f>IFERROR(IF(AND(COUNT(O56,P56,Q56,S56)=4,(O57+P57+Q57+S57)&lt;&gt;0),(O56+P56+Q56+S56)/-(O57+P57+Q57+S57),""),"")</f>
        <v>25.2535496957404</v>
      </c>
      <c r="T321" s="262">
        <f>IFERROR(IF(AND(COUNT(P56,Q56,S56,T56)=4,(P57+Q57+S57+T57)&lt;&gt;0),(P56+Q56+S56+T56)/-(P57+Q57+S57+T57),""),"")</f>
        <v>25.0248565965583</v>
      </c>
      <c r="U321" s="262">
        <f>IFERROR(IF(AND(COUNT(Q56,S56,T56,U56)=4,(Q57+S57+T57+U57)&lt;&gt;0),(Q56+S56+T56+U56)/-(Q57+S57+T57+U57),""),"")</f>
        <v>24.9458483754513</v>
      </c>
      <c r="V321" s="262">
        <f>IFERROR(IF(AND(COUNT(S56,T56,U56,V56)=4,(S57+T57+U57+V57)&lt;&gt;0),(S56+T56+U56+V56)/-(S57+T57+U57+V57),""),"")</f>
        <v>24.3617391304348</v>
      </c>
      <c r="W321" s="262">
        <f>IFERROR(IF(AND(COUNT(S56,T56,U56,V56)=4,(S57+T57+U57+V57)&lt;&gt;0),(S56+T56+U56+V56)/-(S57+T57+U57+V57),""),"")</f>
        <v>24.3617391304348</v>
      </c>
      <c r="X321" s="262">
        <f>IFERROR(IF(AND(COUNT(T56,U56,V56,X56)=4,(T57+U57+V57+X57)&lt;&gt;0),(T56+U56+V56+X56)/-(T57+U57+V57+X57),""),"")</f>
        <v>24.4114671163575</v>
      </c>
      <c r="Y321" s="262">
        <f>IFERROR(IF(AND(COUNT(U56,V56,X56,Y56)=4,(U57+V57+X57+Y57)&lt;&gt;0),(U56+V56+X56+Y56)/-(U57+V57+X57+Y57),""),"")</f>
        <v>24.6777408637874</v>
      </c>
      <c r="Z321" s="262">
        <f>IFERROR(IF(AND(COUNT(V56,X56,Y56,Z56)=4,(V57+X57+Y57+Z57)&lt;&gt;0),(V56+X56+Y56+Z56)/-(V57+X57+Y57+Z57),""),"")</f>
        <v>24.616393442623</v>
      </c>
      <c r="AA321" s="262">
        <f>IFERROR(IF(AND(COUNT(X56,Y56,Z56,AA56)=4,(X57+Y57+Z57+AA57)&lt;&gt;0),(X56+Y56+Z56+AA56)/-(X57+Y57+Z57+AA57),""),"")</f>
        <v>24.1207430340557</v>
      </c>
      <c r="AB321" s="262">
        <f>IFERROR(IF(AND(COUNT(X56,Y56,Z56,AA56)=4,(X57+Y57+Z57+AA57)&lt;&gt;0),(X56+Y56+Z56+AA56)/-(X57+Y57+Z57+AA57),""),"")</f>
        <v>24.1207430340557</v>
      </c>
      <c r="AC321" s="262">
        <f>IFERROR(IF(AND(COUNT(Y56,Z56,AA56,AC56)=4,(Y57+Z57+AA57+AC57)&lt;&gt;0),(Y56+Z56+AA56+AC56)/-(Y57+Z57+AA57+AC57),""),"")</f>
        <v>23.7861356932153</v>
      </c>
      <c r="AD321" s="262">
        <f>IFERROR(IF(AND(COUNT(Z56,AA56,AC56,AD56)=4,(Z57+AA57+AC57+AD57)&lt;&gt;0),(Z56+AA56+AC56+AD56)/-(Z57+AA57+AC57+AD57),""),"")</f>
        <v>23.4277777777778</v>
      </c>
      <c r="AE321" s="262">
        <f>IFERROR(IF(AND(COUNT(AA56,AC56,AD56,AE56)=4,(AA57+AC57+AD57+AE57)&lt;&gt;0),(AA56+AC56+AD56+AE56)/-(AA57+AC57+AD57+AE57),""),"")</f>
        <v>23.995983935743</v>
      </c>
      <c r="AF321" s="262">
        <f>IFERROR(IF(AND(COUNT(AB56,AD56,AE56,AF56)=4,(AB57+AD57+AE57+AF57)&lt;&gt;0),(AB56+AD56+AE56+AF56)/-(AB57+AD57+AE57+AF57),""),"")</f>
        <v>25.5733558178752</v>
      </c>
      <c r="AG321" s="262">
        <f>IFERROR(IF(AND(COUNT(AC56,AD56,AE56,AF56)=4,(AC57+AD57+AE57+AF57)&lt;&gt;0),(AC56+AD56+AE56+AF56)/-(AC57+AD57+AE57+AF57),""),"")</f>
        <v>26.1731301939058</v>
      </c>
      <c r="AH321" s="262">
        <f>IFERROR(IF(AND(COUNT(AD56,AF56,AG56,AH56)=4,(AD57+AF57+AG57+AH57)&lt;&gt;0),(AD56+AF56+AG56+AH56)/-(AD57+AF57+AG57+AH57),""),"")</f>
        <v>26.5590800951626</v>
      </c>
      <c r="AI321" s="262">
        <f>IFERROR(IF(AND(COUNT(AE56,AG56,AH56,AI56)=4,(AE57+AG57+AH57+AI57)&lt;&gt;0),(AE56+AG56+AH56+AI56)/-(AE57+AG57+AH57+AI57),""),"")</f>
        <v>26.279176201373</v>
      </c>
      <c r="AJ321" s="262" t="str">
        <f>IFERROR(IF(AND(COUNT(AF56,AH56,AI56,AJ56)=4,(AF57+AH57+AI57+AJ57)&lt;&gt;0),(AF56+AH56+AI56+AJ56)/-(AF57+AH57+AI57+AJ57),""),"")</f>
        <v/>
      </c>
      <c r="AK321" s="262" t="str">
        <f>IFERROR(IF(AND(COUNT(AH56,AI56,AJ56,AK56)=4,(AH57+AI57+AJ57+AK57)&lt;&gt;0),(AH56+AI56+AJ56+AK56)/-(AH57+AI57+AJ57+AK57),""),"")</f>
        <v/>
      </c>
      <c r="AL321" s="262" t="str">
        <f>IFERROR(IF(AND(COUNT(AH56,AI56,AJ56,AK56)=4,(AH57+AI57+AJ57+AK57)&lt;&gt;0),(AH56+AI56+AJ56+AK56)/-(AH57+AI57+AJ57+AK57),""),"")</f>
        <v/>
      </c>
      <c r="AM321" s="262" t="str">
        <f>IFERROR(IF(AND(COUNT(AI56,AJ56,AK56,AM56)=4,(AI57+AJ57+AK57+AM57)&lt;&gt;0),(AI56+AJ56+AK56+AM56)/-(AI57+AJ57+AK57+AM57),""),"")</f>
        <v/>
      </c>
      <c r="AN321" s="262" t="str">
        <f>IFERROR(IF(AND(COUNT(AJ56,AK56,AM56,AN56)=4,(AJ57+AK57+AM57+AN57)&lt;&gt;0),(AJ56+AK56+AM56+AN56)/-(AJ57+AK57+AM57+AN57),""),"")</f>
        <v/>
      </c>
      <c r="AO321" s="262" t="str">
        <f>IFERROR(IF(AND(COUNT(AK56,AM56,AN56,AO56)=4,(AK57+AM57+AN57+AO57)&lt;&gt;0),(AK56+AM56+AN56+AO56)/-(AK57+AM57+AN57+AO57),""),"")</f>
        <v/>
      </c>
      <c r="AP321" s="262" t="str">
        <f>IFERROR(IF(AND(COUNT(AM56,AN56,AO56,AP56)=4,(AM57+AN57+AO57+AP57)&lt;&gt;0),(AM56+AN56+AO56+AP56)/-(AM57+AN57+AO57+AP57),""),"")</f>
        <v/>
      </c>
      <c r="AQ321" s="262" t="str">
        <f>IFERROR(IF(AND(COUNT(AM56,AN56,AO56,AP56)=4,(AM57+AN57+AO57+AP57)&lt;&gt;0),(AM56+AN56+AO56+AP56)/-(AM57+AN57+AO57+AP57),""),"")</f>
        <v/>
      </c>
      <c r="AR321" s="262" t="str">
        <f>IFERROR(IF(AND(COUNT(AN56,AO56,AP56,AR56)=4,(AN57+AO57+AP57+AR57)&lt;&gt;0),(AN56+AO56+AP56+AR56)/-(AN57+AO57+AP57+AR57),""),"")</f>
        <v/>
      </c>
      <c r="AS321" s="262" t="str">
        <f>IFERROR(IF(AND(COUNT(AO56,AP56,AR56,AS56)=4,(AO57+AP57+AR57+AS57)&lt;&gt;0),(AO56+AP56+AR56+AS56)/-(AO57+AP57+AR57+AS57),""),"")</f>
        <v/>
      </c>
      <c r="AT321" s="262" t="str">
        <f>IFERROR(IF(AND(COUNT(AP56,AR56,AS56,AT56)=4,(AP57+AR57+AS57+AT57)&lt;&gt;0),(AP56+AR56+AS56+AT56)/-(AP57+AR57+AS57+AT57),""),"")</f>
        <v/>
      </c>
      <c r="AU321" s="262" t="str">
        <f>IFERROR(IF(AND(COUNT(AR56,AS56,AT56,AU56)=4,(AR57+AS57+AT57+AU57)&lt;&gt;0),(AR56+AS56+AT56+AU56)/-(AR57+AS57+AT57+AU57),""),"")</f>
        <v/>
      </c>
      <c r="AV321" s="262" t="str">
        <f>IFERROR(IF(AND(COUNT(AR56,AS56,AT56,AU56)=4,(AR57+AS57+AT57+AU57)&lt;&gt;0),(AR56+AS56+AT56+AU56)/-(AR57+AS57+AT57+AU57),""),"")</f>
        <v/>
      </c>
      <c r="AW321" s="262" t="str">
        <f>IFERROR(IF(AND(COUNT(AS56,AT56,AU56,AW56)=4,(AS57+AT57+AU57+AW57)&lt;&gt;0),(AS56+AT56+AU56+AW56)/-(AS57+AT57+AU57+AW57),""),"")</f>
        <v/>
      </c>
      <c r="AX321" s="262" t="str">
        <f>IFERROR(IF(AND(COUNT(AT56,AU56,AW56,AX56)=4,(AT57+AU57+AW57+AX57)&lt;&gt;0),(AT56+AU56+AW56+AX56)/-(AT57+AU57+AW57+AX57),""),"")</f>
        <v/>
      </c>
      <c r="AY321" s="262" t="str">
        <f>IFERROR(IF(AND(COUNT(AU56,AW56,AX56,AY56)=4,(AU57+AW57+AX57+AY57)&lt;&gt;0),(AU56+AW56+AX56+AY56)/-(AU57+AW57+AX57+AY57),""),"")</f>
        <v/>
      </c>
      <c r="AZ321" s="262" t="str">
        <f>IFERROR(IF(AND(COUNT(AW56,AX56,AY56,AZ56)=4,(AW57+AX57+AY57+AZ57)&lt;&gt;0),(AW56+AX56+AY56+AZ56)/-(AW57+AX57+AY57+AZ57),""),"")</f>
        <v/>
      </c>
      <c r="BA321" s="262" t="str">
        <f>IFERROR(IF(AND(COUNT(AW56,AX56,AY56,AZ56)=4,(AW57+AX57+AY57+AZ57)&lt;&gt;0),(AW56+AX56+AY56+AZ56)/-(AW57+AX57+AY57+AZ57),""),"")</f>
        <v/>
      </c>
      <c r="BB321" s="262" t="str">
        <f>IFERROR(IF(AND(COUNT(AX56,AY56,AZ56,BB56)=4,(AX57+AY57+AZ57+BB57)&lt;&gt;0),(AX56+AY56+AZ56+BB56)/-(AX57+AY57+AZ57+BB57),""),"")</f>
        <v/>
      </c>
      <c r="BC321" s="262" t="str">
        <f>IFERROR(IF(AND(COUNT(AY56,AZ56,BB56,BC56)=4,(AY57+AZ57+BB57+BC57)&lt;&gt;0),(AY56+AZ56+BB56+BC56)/-(AY57+AZ57+BB57+BC57),""),"")</f>
        <v/>
      </c>
      <c r="BD321" s="262" t="str">
        <f>IFERROR(IF(AND(COUNT(AZ56,BB56,BC56,BD56)=4,(AZ57+BB57+BC57+BD57)&lt;&gt;0),(AZ56+BB56+BC56+BD56)/-(AZ57+BB57+BC57+BD57),""),"")</f>
        <v/>
      </c>
      <c r="BE321" s="262" t="str">
        <f>IFERROR(IF(AND(COUNT(BB56,BC56,BD56,BE56)=4,(BB57+BC57+BD57+BE57)&lt;&gt;0),(BB56+BC56+BD56+BE56)/-(BB57+BC57+BD57+BE57),""),"")</f>
        <v/>
      </c>
      <c r="BF321" s="262" t="str">
        <f>IFERROR(IF(AND(COUNT(BB56,BC56,BD56,BE56)=4,(BB57+BC57+BD57+BE57)&lt;&gt;0),(BB56+BC56+BD56+BE56)/-(BB57+BC57+BD57+BE57),""),"")</f>
        <v/>
      </c>
      <c r="BG321" s="82" t="n"/>
      <c r="BH321" s="82" t="n"/>
      <c r="BI321" s="82" t="n"/>
      <c r="BJ321" s="82" t="n"/>
      <c r="BL321" s="82" t="n"/>
      <c r="BM321" s="82" t="n"/>
      <c r="BN321" s="82" t="n"/>
      <c r="BO321" s="82" t="n"/>
      <c r="BQ321" s="82" t="n"/>
      <c r="BR321" s="82" t="n"/>
      <c r="BS321" s="82" t="n"/>
      <c r="BT321" s="82" t="n"/>
      <c r="BV321" s="82" t="n"/>
      <c r="BW321" s="82" t="n"/>
      <c r="BX321" s="82" t="n"/>
      <c r="BY321" s="82" t="n"/>
      <c r="CA321" s="82" t="n"/>
      <c r="CB321" s="82" t="n"/>
      <c r="CC321" s="82" t="n"/>
      <c r="CD321" s="82" t="n"/>
      <c r="CF321" s="82" t="n"/>
      <c r="CG321" s="82" t="n"/>
      <c r="CH321" s="82" t="n"/>
      <c r="CI321" s="82" t="n"/>
      <c r="CK321" s="82" t="n"/>
      <c r="CL321" s="82" t="n"/>
      <c r="CM321" s="82" t="n"/>
      <c r="CN321" s="82" t="n"/>
      <c r="CP321" s="82" t="n"/>
      <c r="CQ321" s="82" t="n"/>
      <c r="CR321" s="82" t="n"/>
      <c r="CS321" s="82" t="n"/>
      <c r="CU321" s="82" t="n"/>
      <c r="CV321" s="82" t="n"/>
      <c r="CW321" s="82" t="n"/>
      <c r="CX321" s="82" t="n"/>
    </row>
    <row r="322" customFormat="1" s="77">
      <c r="A322" s="76" t="n"/>
      <c r="B322" s="76" t="n"/>
    </row>
    <row r="323" customFormat="1" s="77">
      <c r="A323" s="76" t="n"/>
      <c r="B323" s="76" t="n"/>
      <c r="C323" s="74" t="inlineStr">
        <is>
          <t>INTERNAL LIQUIDITY</t>
        </is>
      </c>
    </row>
    <row r="324" customFormat="1" s="77">
      <c r="A324" s="76" t="n"/>
      <c r="B324" s="76" t="n"/>
      <c r="C324" s="77" t="inlineStr">
        <is>
          <t>CURRENT RATIO</t>
        </is>
      </c>
      <c r="D324" s="82" t="str">
        <f>IFERROR(SUM(D127,D128,D132,D136,D137,D138)/SUM(D181,D185,D187,D188),"")</f>
        <v/>
      </c>
      <c r="E324" s="82" t="str">
        <f>IFERROR(SUM(E127,E128,E132,E136,E137,E138)/SUM(E181,E185,E187,E188),"")</f>
        <v/>
      </c>
      <c r="F324" s="82" t="str">
        <f>IFERROR(SUM(F127,F128,F132,F136,F137,F138)/SUM(F181,F185,F187,F188),"")</f>
        <v/>
      </c>
      <c r="G324" s="82" t="str">
        <f>IFERROR(SUM(G127,G128,G132,G136,G137,G138)/SUM(G181,G185,G187,G188),"")</f>
        <v/>
      </c>
      <c r="H324" s="262" t="str">
        <f>IFERROR(IF((N(H181)+N(H185)+N(H187)+N(H188)+N(H195)+N(H196)+N(H197))&lt;&gt;0,(N(H127)+(N(H128)+N(H132)+N(H136)+N(H137)+N(H138)))/(N(H181)+N(H185)+N(H187)+N(H188)+N(H195)+N(H196)+N(H197)),""),"")</f>
        <v/>
      </c>
      <c r="I324" s="262">
        <f>IFERROR(IF((N(I181)+N(I185)+N(I187)+N(I188)+N(I195)+N(I196)+N(I197))&lt;&gt;0,(N(I127)+(N(I128)+N(I132)+N(I136)+N(I137)+N(I138)))/(N(I181)+N(I185)+N(I187)+N(I188)+N(I195)+N(I196)+N(I197)),""),"")</f>
        <v>1.46962962962963</v>
      </c>
      <c r="J324" s="262">
        <f>IFERROR(IF((N(J181)+N(J185)+N(J187)+N(J188)+N(J195)+N(J196)+N(J197))&lt;&gt;0,(N(J127)+(N(J128)+N(J132)+N(J136)+N(J137)+N(J138)))/(N(J181)+N(J185)+N(J187)+N(J188)+N(J195)+N(J196)+N(J197)),""),"")</f>
        <v>1.37496680534655</v>
      </c>
      <c r="K324" s="262">
        <f>IFERROR(IF((N(K181)+N(K185)+N(K187)+N(K188)+N(K195)+N(K196)+N(K197))&lt;&gt;0,(N(K127)+(N(K128)+N(K132)+N(K136)+N(K137)+N(K138)))/(N(K181)+N(K185)+N(K187)+N(K188)+N(K195)+N(K196)+N(K197)),""),"")</f>
        <v>1.37124816192371</v>
      </c>
      <c r="L324" s="262">
        <f>IFERROR(IF((N(L181)+N(L185)+N(L187)+N(L188)+N(L195)+N(L196)+N(L197))&lt;&gt;0,(N(L127)+(N(L128)+N(L132)+N(L136)+N(L137)+N(L138)))/(N(L181)+N(L185)+N(L187)+N(L188)+N(L195)+N(L196)+N(L197)),""),"")</f>
        <v>1.32464671022641</v>
      </c>
      <c r="M324" s="262">
        <f>IFERROR(IF((N(M181)+N(M185)+N(M187)+N(M188)+N(M195)+N(M196)+N(M197))&lt;&gt;0,(N(M127)+(N(M128)+N(M132)+N(M136)+N(M137)+N(M138)))/(N(M181)+N(M185)+N(M187)+N(M188)+N(M195)+N(M196)+N(M197)),""),"")</f>
        <v>1.32464671022641</v>
      </c>
      <c r="N324" s="262">
        <f>IFERROR(IF((N(N181)+N(N185)+N(N187)+N(N188)+N(N195)+N(N196)+N(N197))&lt;&gt;0,(N(N127)+(N(N128)+N(N132)+N(N136)+N(N137)+N(N138)))/(N(N181)+N(N185)+N(N187)+N(N188)+N(N195)+N(N196)+N(N197)),""),"")</f>
        <v>1.40409121395037</v>
      </c>
      <c r="O324" s="262">
        <f>IFERROR(IF((N(O181)+N(O185)+N(O187)+N(O188)+N(O195)+N(O196)+N(O197))&lt;&gt;0,(N(O127)+(N(O128)+N(O132)+N(O136)+N(O137)+N(O138)))/(N(O181)+N(O185)+N(O187)+N(O188)+N(O195)+N(O196)+N(O197)),""),"")</f>
        <v>1.33479520066198</v>
      </c>
      <c r="P324" s="262">
        <f>IFERROR(IF((N(P181)+N(P185)+N(P187)+N(P188)+N(P195)+N(P196)+N(P197))&lt;&gt;0,(N(P127)+(N(P128)+N(P132)+N(P136)+N(P137)+N(P138)))/(N(P181)+N(P185)+N(P187)+N(P188)+N(P195)+N(P196)+N(P197)),""),"")</f>
        <v>1.32769367764915</v>
      </c>
      <c r="Q324" s="262">
        <f>IFERROR(IF((N(Q181)+N(Q185)+N(Q187)+N(Q188)+N(Q195)+N(Q196)+N(Q197))&lt;&gt;0,(N(Q127)+(N(Q128)+N(Q132)+N(Q136)+N(Q137)+N(Q138)))/(N(Q181)+N(Q185)+N(Q187)+N(Q188)+N(Q195)+N(Q196)+N(Q197)),""),"")</f>
        <v>1.2530520076212</v>
      </c>
      <c r="R324" s="262">
        <f>IFERROR(IF((N(R181)+N(R185)+N(R187)+N(R188)+N(R195)+N(R196)+N(R197))&lt;&gt;0,(N(R127)+(N(R128)+N(R132)+N(R136)+N(R137)+N(R138)))/(N(R181)+N(R185)+N(R187)+N(R188)+N(R195)+N(R196)+N(R197)),""),"")</f>
        <v>1.2530520076212</v>
      </c>
      <c r="S324" s="262">
        <f>IFERROR(IF((N(S181)+N(S185)+N(S187)+N(S188)+N(S195)+N(S196)+N(S197))&lt;&gt;0,(N(S127)+(N(S128)+N(S132)+N(S136)+N(S137)+N(S138)))/(N(S181)+N(S185)+N(S187)+N(S188)+N(S195)+N(S196)+N(S197)),""),"")</f>
        <v>1.29565599589774</v>
      </c>
      <c r="T324" s="262">
        <f>IFERROR(IF((N(T181)+N(T185)+N(T187)+N(T188)+N(T195)+N(T196)+N(T197))&lt;&gt;0,(N(T127)+(N(T128)+N(T132)+N(T136)+N(T137)+N(T138)))/(N(T181)+N(T185)+N(T187)+N(T188)+N(T195)+N(T196)+N(T197)),""),"")</f>
        <v>1.20599890680514</v>
      </c>
      <c r="U324" s="262">
        <f>IFERROR(IF((N(U181)+N(U185)+N(U187)+N(U188)+N(U195)+N(U196)+N(U197))&lt;&gt;0,(N(U127)+(N(U128)+N(U132)+N(U136)+N(U137)+N(U138)))/(N(U181)+N(U185)+N(U187)+N(U188)+N(U195)+N(U196)+N(U197)),""),"")</f>
        <v>1.26406777326262</v>
      </c>
      <c r="V324" s="262">
        <f>IFERROR(IF((N(V181)+N(V185)+N(V187)+N(V188)+N(V195)+N(V196)+N(V197))&lt;&gt;0,(N(V127)+(N(V128)+N(V132)+N(V136)+N(V137)+N(V138)))/(N(V181)+N(V185)+N(V187)+N(V188)+N(V195)+N(V196)+N(V197)),""),"")</f>
        <v>1.24913920314806</v>
      </c>
      <c r="W324" s="262">
        <f>IFERROR(IF((N(W181)+N(W185)+N(W187)+N(W188)+N(W195)+N(W196)+N(W197))&lt;&gt;0,(N(W127)+(N(W128)+N(W132)+N(W136)+N(W137)+N(W138)))/(N(W181)+N(W185)+N(W187)+N(W188)+N(W195)+N(W196)+N(W197)),""),"")</f>
        <v>1.24913920314806</v>
      </c>
      <c r="X324" s="262">
        <f>IFERROR(IF((N(X181)+N(X185)+N(X187)+N(X188)+N(X195)+N(X196)+N(X197))&lt;&gt;0,(N(X127)+(N(X128)+N(X132)+N(X136)+N(X137)+N(X138)))/(N(X181)+N(X185)+N(X187)+N(X188)+N(X195)+N(X196)+N(X197)),""),"")</f>
        <v>1.16847086660751</v>
      </c>
      <c r="Y324" s="262">
        <f>IFERROR(IF((N(Y181)+N(Y185)+N(Y187)+N(Y188)+N(Y195)+N(Y196)+N(Y197))&lt;&gt;0,(N(Y127)+(N(Y128)+N(Y132)+N(Y136)+N(Y137)+N(Y138)))/(N(Y181)+N(Y185)+N(Y187)+N(Y188)+N(Y195)+N(Y196)+N(Y197)),""),"")</f>
        <v>1.23143516737207</v>
      </c>
      <c r="Z324" s="262">
        <f>IFERROR(IF((N(Z181)+N(Z185)+N(Z187)+N(Z188)+N(Z195)+N(Z196)+N(Z197))&lt;&gt;0,(N(Z127)+(N(Z128)+N(Z132)+N(Z136)+N(Z137)+N(Z138)))/(N(Z181)+N(Z185)+N(Z187)+N(Z188)+N(Z195)+N(Z196)+N(Z197)),""),"")</f>
        <v>1.38267607262634</v>
      </c>
      <c r="AA324" s="262">
        <f>IFERROR(IF((N(AA181)+N(AA185)+N(AA187)+N(AA188)+N(AA195)+N(AA196)+N(AA197))&lt;&gt;0,(N(AA127)+(N(AA128)+N(AA132)+N(AA136)+N(AA137)+N(AA138)))/(N(AA181)+N(AA185)+N(AA187)+N(AA188)+N(AA195)+N(AA196)+N(AA197)),""),"")</f>
        <v>1.110197710718</v>
      </c>
      <c r="AB324" s="262">
        <f>IFERROR(IF((N(AB181)+N(AB185)+N(AB187)+N(AB188)+N(AB195)+N(AB196)+N(AB197))&lt;&gt;0,(N(AB127)+(N(AB128)+N(AB132)+N(AB136)+N(AB137)+N(AB138)))/(N(AB181)+N(AB185)+N(AB187)+N(AB188)+N(AB195)+N(AB196)+N(AB197)),""),"")</f>
        <v>1.110197710718</v>
      </c>
      <c r="AC324" s="262">
        <f>IFERROR(IF((N(AC181)+N(AC185)+N(AC187)+N(AC188)+N(AC195)+N(AC196)+N(AC197))&lt;&gt;0,(N(AC127)+(N(AC128)+N(AC132)+N(AC136)+N(AC137)+N(AC138)))/(N(AC181)+N(AC185)+N(AC187)+N(AC188)+N(AC195)+N(AC196)+N(AC197)),""),"")</f>
        <v>1.19918106349562</v>
      </c>
      <c r="AD324" s="262">
        <f>IFERROR(IF((N(AD181)+N(AD185)+N(AD187)+N(AD188)+N(AD195)+N(AD196)+N(AD197))&lt;&gt;0,(N(AD127)+(N(AD128)+N(AD132)+N(AD136)+N(AD137)+N(AD138)))/(N(AD181)+N(AD185)+N(AD187)+N(AD188)+N(AD195)+N(AD196)+N(AD197)),""),"")</f>
        <v>1.24599295811656</v>
      </c>
      <c r="AE324" s="262">
        <f>IFERROR(IF((N(AE181)+N(AE185)+N(AE187)+N(AE188)+N(AE195)+N(AE196)+N(AE197))&lt;&gt;0,(N(AE127)+(N(AE128)+N(AE132)+N(AE136)+N(AE137)+N(AE138)))/(N(AE181)+N(AE185)+N(AE187)+N(AE188)+N(AE195)+N(AE196)+N(AE197)),""),"")</f>
        <v>1.19697482240371</v>
      </c>
      <c r="AF324" s="262">
        <f>IFERROR(IF((N(AF181)+N(AF185)+N(AF187)+N(AF188)+N(AF195)+N(AF196)+N(AF197))&lt;&gt;0,(N(AF127)+(N(AF128)+N(AF132)+N(AF136)+N(AF137)+N(AF138)))/(N(AF181)+N(AF185)+N(AF187)+N(AF188)+N(AF195)+N(AF196)+N(AF197)),""),"")</f>
        <v>1.1038133731658</v>
      </c>
      <c r="AG324" s="262">
        <f>IFERROR(IF((N(AG181)+N(AG185)+N(AG187)+N(AG188)+N(AG195)+N(AG196)+N(AG197))&lt;&gt;0,(N(AG127)+(N(AG128)+N(AG132)+N(AG136)+N(AG137)+N(AG138)))/(N(AG181)+N(AG185)+N(AG187)+N(AG188)+N(AG195)+N(AG196)+N(AG197)),""),"")</f>
        <v>1.1038133731658</v>
      </c>
      <c r="AH324" s="262">
        <f>IFERROR(IF((N(AH181)+N(AH185)+N(AH187)+N(AH188)+N(AH195)+N(AH196)+N(AH197))&lt;&gt;0,(N(AH127)+(N(AH128)+N(AH132)+N(AH136)+N(AH137)+N(AH138)))/(N(AH181)+N(AH185)+N(AH187)+N(AH188)+N(AH195)+N(AH196)+N(AH197)),""),"")</f>
        <v>1.04185924827767</v>
      </c>
      <c r="AI324" s="262">
        <f>IFERROR(IF((N(AI181)+N(AI185)+N(AI187)+N(AI188)+N(AI195)+N(AI196)+N(AI197))&lt;&gt;0,(N(AI127)+(N(AI128)+N(AI132)+N(AI136)+N(AI137)+N(AI138)))/(N(AI181)+N(AI185)+N(AI187)+N(AI188)+N(AI195)+N(AI196)+N(AI197)),""),"")</f>
        <v>1.11834106542953</v>
      </c>
      <c r="AJ324" s="262">
        <f>IFERROR(IF((N(AJ181)+N(AJ185)+N(AJ187)+N(AJ188)+N(AJ195)+N(AJ196)+N(AJ197))&lt;&gt;0,(N(AJ127)+(N(AJ128)+N(AJ132)+N(AJ136)+N(AJ137)+N(AJ138)))/(N(AJ181)+N(AJ185)+N(AJ187)+N(AJ188)+N(AJ195)+N(AJ196)+N(AJ197)),""),"")</f>
        <v>1.2948180117143</v>
      </c>
      <c r="AK324" s="262">
        <f>IFERROR(IF((N(AK181)+N(AK185)+N(AK187)+N(AK188)+N(AK195)+N(AK196)+N(AK197))&lt;&gt;0,(N(AK127)+(N(AK128)+N(AK132)+N(AK136)+N(AK137)+N(AK138)))/(N(AK181)+N(AK185)+N(AK187)+N(AK188)+N(AK195)+N(AK196)+N(AK197)),""),"")</f>
        <v>1.43927828023499</v>
      </c>
      <c r="AL324" s="262">
        <f>IFERROR(IF((N(AL181)+N(AL185)+N(AL187)+N(AL188)+N(AL195)+N(AL196)+N(AL197))&lt;&gt;0,(N(AL127)+(N(AL128)+N(AL132)+N(AL136)+N(AL137)+N(AL138)))/(N(AL181)+N(AL185)+N(AL187)+N(AL188)+N(AL195)+N(AL196)+N(AL197)),""),"")</f>
        <v>1.43927828023499</v>
      </c>
      <c r="AM324" s="262">
        <f>IFERROR(IF((N(AM181)+N(AM185)+N(AM187)+N(AM188)+N(AM195)+N(AM196)+N(AM197))&lt;&gt;0,(N(AM127)+(N(AM128)+N(AM132)+N(AM136)+N(AM137)+N(AM138)))/(N(AM181)+N(AM185)+N(AM187)+N(AM188)+N(AM195)+N(AM196)+N(AM197)),""),"")</f>
        <v>1.54719753992596</v>
      </c>
      <c r="AN324" s="262">
        <f>IFERROR(IF((N(AN181)+N(AN185)+N(AN187)+N(AN188)+N(AN195)+N(AN196)+N(AN197))&lt;&gt;0,(N(AN127)+(N(AN128)+N(AN132)+N(AN136)+N(AN137)+N(AN138)))/(N(AN181)+N(AN185)+N(AN187)+N(AN188)+N(AN195)+N(AN196)+N(AN197)),""),"")</f>
        <v>1.64320015863441</v>
      </c>
      <c r="AO324" s="262">
        <f>IFERROR(IF((N(AO181)+N(AO185)+N(AO187)+N(AO188)+N(AO195)+N(AO196)+N(AO197))&lt;&gt;0,(N(AO127)+(N(AO128)+N(AO132)+N(AO136)+N(AO137)+N(AO138)))/(N(AO181)+N(AO185)+N(AO187)+N(AO188)+N(AO195)+N(AO196)+N(AO197)),""),"")</f>
        <v>1.72293881028095</v>
      </c>
      <c r="AP324" s="262">
        <f>IFERROR(IF((N(AP181)+N(AP185)+N(AP187)+N(AP188)+N(AP195)+N(AP196)+N(AP197))&lt;&gt;0,(N(AP127)+(N(AP128)+N(AP132)+N(AP136)+N(AP137)+N(AP138)))/(N(AP181)+N(AP185)+N(AP187)+N(AP188)+N(AP195)+N(AP196)+N(AP197)),""),"")</f>
        <v>1.78047317632863</v>
      </c>
      <c r="AQ324" s="262">
        <f>IFERROR(IF((N(AQ181)+N(AQ185)+N(AQ187)+N(AQ188)+N(AQ195)+N(AQ196)+N(AQ197))&lt;&gt;0,(N(AQ127)+(N(AQ128)+N(AQ132)+N(AQ136)+N(AQ137)+N(AQ138)))/(N(AQ181)+N(AQ185)+N(AQ187)+N(AQ188)+N(AQ195)+N(AQ196)+N(AQ197)),""),"")</f>
        <v>1.78047317632863</v>
      </c>
      <c r="AR324" s="262">
        <f>IFERROR(IF((N(AR181)+N(AR185)+N(AR187)+N(AR188)+N(AR195)+N(AR196)+N(AR197))&lt;&gt;0,(N(AR127)+(N(AR128)+N(AR132)+N(AR136)+N(AR137)+N(AR138)))/(N(AR181)+N(AR185)+N(AR187)+N(AR188)+N(AR195)+N(AR196)+N(AR197)),""),"")</f>
        <v>1.81216448104571</v>
      </c>
      <c r="AS324" s="262">
        <f>IFERROR(IF((N(AS181)+N(AS185)+N(AS187)+N(AS188)+N(AS195)+N(AS196)+N(AS197))&lt;&gt;0,(N(AS127)+(N(AS128)+N(AS132)+N(AS136)+N(AS137)+N(AS138)))/(N(AS181)+N(AS185)+N(AS187)+N(AS188)+N(AS195)+N(AS196)+N(AS197)),""),"")</f>
        <v>1.83659006313737</v>
      </c>
      <c r="AT324" s="262">
        <f>IFERROR(IF((N(AT181)+N(AT185)+N(AT187)+N(AT188)+N(AT195)+N(AT196)+N(AT197))&lt;&gt;0,(N(AT127)+(N(AT128)+N(AT132)+N(AT136)+N(AT137)+N(AT138)))/(N(AT181)+N(AT185)+N(AT187)+N(AT188)+N(AT195)+N(AT196)+N(AT197)),""),"")</f>
        <v>1.85123712166899</v>
      </c>
      <c r="AU324" s="262">
        <f>IFERROR(IF((N(AU181)+N(AU185)+N(AU187)+N(AU188)+N(AU195)+N(AU196)+N(AU197))&lt;&gt;0,(N(AU127)+(N(AU128)+N(AU132)+N(AU136)+N(AU137)+N(AU138)))/(N(AU181)+N(AU185)+N(AU187)+N(AU188)+N(AU195)+N(AU196)+N(AU197)),""),"")</f>
        <v>1.85239715520805</v>
      </c>
      <c r="AV324" s="262">
        <f>IFERROR(IF((N(AV181)+N(AV185)+N(AV187)+N(AV188)+N(AV195)+N(AV196)+N(AV197))&lt;&gt;0,(N(AV127)+(N(AV128)+N(AV132)+N(AV136)+N(AV137)+N(AV138)))/(N(AV181)+N(AV185)+N(AV187)+N(AV188)+N(AV195)+N(AV196)+N(AV197)),""),"")</f>
        <v>1.85239715520805</v>
      </c>
      <c r="AW324" s="262">
        <f>IFERROR(IF((N(AW181)+N(AW185)+N(AW187)+N(AW188)+N(AW195)+N(AW196)+N(AW197))&lt;&gt;0,(N(AW127)+(N(AW128)+N(AW132)+N(AW136)+N(AW137)+N(AW138)))/(N(AW181)+N(AW185)+N(AW187)+N(AW188)+N(AW195)+N(AW196)+N(AW197)),""),"")</f>
        <v>1.83881193034016</v>
      </c>
      <c r="AX324" s="262">
        <f>IFERROR(IF((N(AX181)+N(AX185)+N(AX187)+N(AX188)+N(AX195)+N(AX196)+N(AX197))&lt;&gt;0,(N(AX127)+(N(AX128)+N(AX132)+N(AX136)+N(AX137)+N(AX138)))/(N(AX181)+N(AX185)+N(AX187)+N(AX188)+N(AX195)+N(AX196)+N(AX197)),""),"")</f>
        <v>1.82333793339716</v>
      </c>
      <c r="AY324" s="262">
        <f>IFERROR(IF((N(AY181)+N(AY185)+N(AY187)+N(AY188)+N(AY195)+N(AY196)+N(AY197))&lt;&gt;0,(N(AY127)+(N(AY128)+N(AY132)+N(AY136)+N(AY137)+N(AY138)))/(N(AY181)+N(AY185)+N(AY187)+N(AY188)+N(AY195)+N(AY196)+N(AY197)),""),"")</f>
        <v>1.80416736175336</v>
      </c>
      <c r="AZ324" s="262">
        <f>IFERROR(IF((N(AZ181)+N(AZ185)+N(AZ187)+N(AZ188)+N(AZ195)+N(AZ196)+N(AZ197))&lt;&gt;0,(N(AZ127)+(N(AZ128)+N(AZ132)+N(AZ136)+N(AZ137)+N(AZ138)))/(N(AZ181)+N(AZ185)+N(AZ187)+N(AZ188)+N(AZ195)+N(AZ196)+N(AZ197)),""),"")</f>
        <v>1.77861876654091</v>
      </c>
      <c r="BA324" s="262">
        <f>IFERROR(IF((N(BA181)+N(BA185)+N(BA187)+N(BA188)+N(BA195)+N(BA196)+N(BA197))&lt;&gt;0,(N(BA127)+(N(BA128)+N(BA132)+N(BA136)+N(BA137)+N(BA138)))/(N(BA181)+N(BA185)+N(BA187)+N(BA188)+N(BA195)+N(BA196)+N(BA197)),""),"")</f>
        <v>1.77861876654091</v>
      </c>
      <c r="BB324" s="262">
        <f>IFERROR(IF((N(BB181)+N(BB185)+N(BB187)+N(BB188)+N(BB195)+N(BB196)+N(BB197))&lt;&gt;0,(N(BB127)+(N(BB128)+N(BB132)+N(BB136)+N(BB137)+N(BB138)))/(N(BB181)+N(BB185)+N(BB187)+N(BB188)+N(BB195)+N(BB196)+N(BB197)),""),"")</f>
        <v>1.74624140026451</v>
      </c>
      <c r="BC324" s="262">
        <f>IFERROR(IF((N(BC181)+N(BC185)+N(BC187)+N(BC188)+N(BC195)+N(BC196)+N(BC197))&lt;&gt;0,(N(BC127)+(N(BC128)+N(BC132)+N(BC136)+N(BC137)+N(BC138)))/(N(BC181)+N(BC185)+N(BC187)+N(BC188)+N(BC195)+N(BC196)+N(BC197)),""),"")</f>
        <v>1.71528483874134</v>
      </c>
      <c r="BD324" s="262">
        <f>IFERROR(IF((N(BD181)+N(BD185)+N(BD187)+N(BD188)+N(BD195)+N(BD196)+N(BD197))&lt;&gt;0,(N(BD127)+(N(BD128)+N(BD132)+N(BD136)+N(BD137)+N(BD138)))/(N(BD181)+N(BD185)+N(BD187)+N(BD188)+N(BD195)+N(BD196)+N(BD197)),""),"")</f>
        <v>1.68424549558994</v>
      </c>
      <c r="BE324" s="262">
        <f>IFERROR(IF((N(BE181)+N(BE185)+N(BE187)+N(BE188)+N(BE195)+N(BE196)+N(BE197))&lt;&gt;0,(N(BE127)+(N(BE128)+N(BE132)+N(BE136)+N(BE137)+N(BE138)))/(N(BE181)+N(BE185)+N(BE187)+N(BE188)+N(BE195)+N(BE196)+N(BE197)),""),"")</f>
        <v>1.651022367674</v>
      </c>
      <c r="BF324" s="262">
        <f>IFERROR(IF((N(BF181)+N(BF185)+N(BF187)+N(BF188)+N(BF195)+N(BF196)+N(BF197))&lt;&gt;0,(N(BF127)+(N(BF128)+N(BF132)+N(BF136)+N(BF137)+N(BF138)))/(N(BF181)+N(BF185)+N(BF187)+N(BF188)+N(BF195)+N(BF196)+N(BF197)),""),"")</f>
        <v>1.651022367674</v>
      </c>
      <c r="BG324" s="82" t="n"/>
      <c r="BH324" s="82" t="n"/>
      <c r="BI324" s="82" t="n"/>
      <c r="BJ324" s="82" t="n"/>
      <c r="BL324" s="82" t="n"/>
      <c r="BM324" s="82" t="n"/>
      <c r="BN324" s="82" t="n"/>
      <c r="BO324" s="82" t="n"/>
      <c r="BQ324" s="82" t="n"/>
      <c r="BR324" s="82" t="n"/>
      <c r="BS324" s="82" t="n"/>
      <c r="BT324" s="82" t="n"/>
      <c r="BV324" s="82" t="n"/>
      <c r="BW324" s="82" t="n"/>
      <c r="BX324" s="82" t="n"/>
      <c r="BY324" s="82" t="n"/>
      <c r="CA324" s="82" t="n"/>
      <c r="CB324" s="82" t="n"/>
      <c r="CC324" s="82" t="n"/>
      <c r="CD324" s="82" t="n"/>
      <c r="CF324" s="82" t="n"/>
      <c r="CG324" s="82" t="n"/>
      <c r="CH324" s="82" t="n"/>
      <c r="CI324" s="82" t="n"/>
      <c r="CK324" s="82" t="n"/>
      <c r="CL324" s="82" t="n"/>
      <c r="CM324" s="82" t="n"/>
      <c r="CN324" s="82" t="n"/>
      <c r="CP324" s="82" t="n"/>
      <c r="CQ324" s="82" t="n"/>
      <c r="CR324" s="82" t="n"/>
      <c r="CS324" s="82" t="n"/>
      <c r="CU324" s="82" t="n"/>
      <c r="CV324" s="82" t="n"/>
      <c r="CW324" s="82" t="n"/>
      <c r="CX324" s="82" t="n"/>
    </row>
    <row r="325" customFormat="1" s="77">
      <c r="A325" s="76" t="n"/>
      <c r="B325" s="76" t="n"/>
      <c r="C325" s="77" t="inlineStr">
        <is>
          <t>CASH RATIO</t>
        </is>
      </c>
      <c r="D325" s="82" t="str">
        <f>IFERROR(SUM(D127)/SUM(D181,D185,D187,D188),"")</f>
        <v/>
      </c>
      <c r="E325" s="82" t="str">
        <f>IFERROR(SUM(E127)/SUM(E181,E185,E187,E188),"")</f>
        <v/>
      </c>
      <c r="F325" s="82" t="str">
        <f>IFERROR(SUM(F127)/SUM(F181,F185,F187,F188),"")</f>
        <v/>
      </c>
      <c r="G325" s="82" t="str">
        <f>IFERROR(SUM(G127)/SUM(G181,G185,G187,G188),"")</f>
        <v/>
      </c>
      <c r="H325" s="262" t="str">
        <f>IFERROR(IF((N(H181)+N(H185)+N(H187)+N(H188)+N(H195)+N(H196)+N(H197))&lt;&gt;0,N(H127)/(N(H181)+N(H185)+N(H187)+N(H188)+N(H195)+N(H196)+N(H197)),""),"")</f>
        <v/>
      </c>
      <c r="I325" s="262">
        <f>IFERROR(IF((N(I181)+N(I185)+N(I187)+N(I188)+N(I195)+N(I196)+N(I197))&lt;&gt;0,N(I127)/(N(I181)+N(I185)+N(I187)+N(I188)+N(I195)+N(I196)+N(I197)),""),"")</f>
        <v>0.674074074074074</v>
      </c>
      <c r="J325" s="262">
        <f>IFERROR(IF((N(J181)+N(J185)+N(J187)+N(J188)+N(J195)+N(J196)+N(J197))&lt;&gt;0,N(J127)/(N(J181)+N(J185)+N(J187)+N(J188)+N(J195)+N(J196)+N(J197)),""),"")</f>
        <v>0.598388952819333</v>
      </c>
      <c r="K325" s="262">
        <f>IFERROR(IF((N(K181)+N(K185)+N(K187)+N(K188)+N(K195)+N(K196)+N(K197))&lt;&gt;0,N(K127)/(N(K181)+N(K185)+N(K187)+N(K188)+N(K195)+N(K196)+N(K197)),""),"")</f>
        <v>0.598218147219099</v>
      </c>
      <c r="L325" s="262">
        <f>IFERROR(IF((N(L181)+N(L185)+N(L187)+N(L188)+N(L195)+N(L196)+N(L197))&lt;&gt;0,N(L127)/(N(L181)+N(L185)+N(L187)+N(L188)+N(L195)+N(L196)+N(L197)),""),"")</f>
        <v>0.599756875854733</v>
      </c>
      <c r="M325" s="262">
        <f>IFERROR(IF((N(M181)+N(M185)+N(M187)+N(M188)+N(M195)+N(M196)+N(M197))&lt;&gt;0,N(M127)/(N(M181)+N(M185)+N(M187)+N(M188)+N(M195)+N(M196)+N(M197)),""),"")</f>
        <v>0.599756875854733</v>
      </c>
      <c r="N325" s="262">
        <f>IFERROR(IF((N(N181)+N(N185)+N(N187)+N(N188)+N(N195)+N(N196)+N(N197))&lt;&gt;0,N(N127)/(N(N181)+N(N185)+N(N187)+N(N188)+N(N195)+N(N196)+N(N197)),""),"")</f>
        <v>0.614352783366868</v>
      </c>
      <c r="O325" s="262">
        <f>IFERROR(IF((N(O181)+N(O185)+N(O187)+N(O188)+N(O195)+N(O196)+N(O197))&lt;&gt;0,N(O127)/(N(O181)+N(O185)+N(O187)+N(O188)+N(O195)+N(O196)+N(O197)),""),"")</f>
        <v>0.526189491104675</v>
      </c>
      <c r="P325" s="262">
        <f>IFERROR(IF((N(P181)+N(P185)+N(P187)+N(P188)+N(P195)+N(P196)+N(P197))&lt;&gt;0,N(P127)/(N(P181)+N(P185)+N(P187)+N(P188)+N(P195)+N(P196)+N(P197)),""),"")</f>
        <v>0.596987236568715</v>
      </c>
      <c r="Q325" s="262">
        <f>IFERROR(IF((N(Q181)+N(Q185)+N(Q187)+N(Q188)+N(Q195)+N(Q196)+N(Q197))&lt;&gt;0,N(Q127)/(N(Q181)+N(Q185)+N(Q187)+N(Q188)+N(Q195)+N(Q196)+N(Q197)),""),"")</f>
        <v>0.52275774468986</v>
      </c>
      <c r="R325" s="262">
        <f>IFERROR(IF((N(R181)+N(R185)+N(R187)+N(R188)+N(R195)+N(R196)+N(R197))&lt;&gt;0,N(R127)/(N(R181)+N(R185)+N(R187)+N(R188)+N(R195)+N(R196)+N(R197)),""),"")</f>
        <v>0.52275774468986</v>
      </c>
      <c r="S325" s="262">
        <f>IFERROR(IF((N(S181)+N(S185)+N(S187)+N(S188)+N(S195)+N(S196)+N(S197))&lt;&gt;0,N(S127)/(N(S181)+N(S185)+N(S187)+N(S188)+N(S195)+N(S196)+N(S197)),""),"")</f>
        <v>0.510438795692623</v>
      </c>
      <c r="T325" s="262">
        <f>IFERROR(IF((N(T181)+N(T185)+N(T187)+N(T188)+N(T195)+N(T196)+N(T197))&lt;&gt;0,N(T127)/(N(T181)+N(T185)+N(T187)+N(T188)+N(T195)+N(T196)+N(T197)),""),"")</f>
        <v>0.445066958185297</v>
      </c>
      <c r="U325" s="262">
        <f>IFERROR(IF((N(U181)+N(U185)+N(U187)+N(U188)+N(U195)+N(U196)+N(U197))&lt;&gt;0,N(U127)/(N(U181)+N(U185)+N(U187)+N(U188)+N(U195)+N(U196)+N(U197)),""),"")</f>
        <v>0.516013499552311</v>
      </c>
      <c r="V325" s="262">
        <f>IFERROR(IF((N(V181)+N(V185)+N(V187)+N(V188)+N(V195)+N(V196)+N(V197))&lt;&gt;0,N(V127)/(N(V181)+N(V185)+N(V187)+N(V188)+N(V195)+N(V196)+N(V197)),""),"")</f>
        <v>0.564436792916872</v>
      </c>
      <c r="W325" s="262">
        <f>IFERROR(IF((N(W181)+N(W185)+N(W187)+N(W188)+N(W195)+N(W196)+N(W197))&lt;&gt;0,N(W127)/(N(W181)+N(W185)+N(W187)+N(W188)+N(W195)+N(W196)+N(W197)),""),"")</f>
        <v>0.564436792916872</v>
      </c>
      <c r="X325" s="262">
        <f>IFERROR(IF((N(X181)+N(X185)+N(X187)+N(X188)+N(X195)+N(X196)+N(X197))&lt;&gt;0,N(X127)/(N(X181)+N(X185)+N(X187)+N(X188)+N(X195)+N(X196)+N(X197)),""),"")</f>
        <v>0.452942916296954</v>
      </c>
      <c r="Y325" s="262">
        <f>IFERROR(IF((N(Y181)+N(Y185)+N(Y187)+N(Y188)+N(Y195)+N(Y196)+N(Y197))&lt;&gt;0,N(Y127)/(N(Y181)+N(Y185)+N(Y187)+N(Y188)+N(Y195)+N(Y196)+N(Y197)),""),"")</f>
        <v>0.471848146723099</v>
      </c>
      <c r="Z325" s="262">
        <f>IFERROR(IF((N(Z181)+N(Z185)+N(Z187)+N(Z188)+N(Z195)+N(Z196)+N(Z197))&lt;&gt;0,N(Z127)/(N(Z181)+N(Z185)+N(Z187)+N(Z188)+N(Z195)+N(Z196)+N(Z197)),""),"")</f>
        <v>0.659245981265179</v>
      </c>
      <c r="AA325" s="262">
        <f>IFERROR(IF((N(AA181)+N(AA185)+N(AA187)+N(AA188)+N(AA195)+N(AA196)+N(AA197))&lt;&gt;0,N(AA127)/(N(AA181)+N(AA185)+N(AA187)+N(AA188)+N(AA195)+N(AA196)+N(AA197)),""),"")</f>
        <v>0.45639958376691</v>
      </c>
      <c r="AB325" s="262">
        <f>IFERROR(IF((N(AB181)+N(AB185)+N(AB187)+N(AB188)+N(AB195)+N(AB196)+N(AB197))&lt;&gt;0,N(AB127)/(N(AB181)+N(AB185)+N(AB187)+N(AB188)+N(AB195)+N(AB196)+N(AB197)),""),"")</f>
        <v>0.45639958376691</v>
      </c>
      <c r="AC325" s="262">
        <f>IFERROR(IF((N(AC181)+N(AC185)+N(AC187)+N(AC188)+N(AC195)+N(AC196)+N(AC197))&lt;&gt;0,N(AC127)/(N(AC181)+N(AC185)+N(AC187)+N(AC188)+N(AC195)+N(AC196)+N(AC197)),""),"")</f>
        <v>0.442786627776531</v>
      </c>
      <c r="AD325" s="262">
        <f>IFERROR(IF((N(AD181)+N(AD185)+N(AD187)+N(AD188)+N(AD195)+N(AD196)+N(AD197))&lt;&gt;0,N(AD127)/(N(AD181)+N(AD185)+N(AD187)+N(AD188)+N(AD195)+N(AD196)+N(AD197)),""),"")</f>
        <v>0.492248673077934</v>
      </c>
      <c r="AE325" s="262">
        <f>IFERROR(IF((N(AE181)+N(AE185)+N(AE187)+N(AE188)+N(AE195)+N(AE196)+N(AE197))&lt;&gt;0,N(AE127)/(N(AE181)+N(AE185)+N(AE187)+N(AE188)+N(AE195)+N(AE196)+N(AE197)),""),"")</f>
        <v>0.514570144493307</v>
      </c>
      <c r="AF325" s="262">
        <f>IFERROR(IF((N(AF181)+N(AF185)+N(AF187)+N(AF188)+N(AF195)+N(AF196)+N(AF197))&lt;&gt;0,N(AF127)/(N(AF181)+N(AF185)+N(AF187)+N(AF188)+N(AF195)+N(AF196)+N(AF197)),""),"")</f>
        <v>0.478780423512872</v>
      </c>
      <c r="AG325" s="262">
        <f>IFERROR(IF((N(AG181)+N(AG185)+N(AG187)+N(AG188)+N(AG195)+N(AG196)+N(AG197))&lt;&gt;0,N(AG127)/(N(AG181)+N(AG185)+N(AG187)+N(AG188)+N(AG195)+N(AG196)+N(AG197)),""),"")</f>
        <v>0.478780423512872</v>
      </c>
      <c r="AH325" s="262">
        <f>IFERROR(IF((N(AH181)+N(AH185)+N(AH187)+N(AH188)+N(AH195)+N(AH196)+N(AH197))&lt;&gt;0,N(AH127)/(N(AH181)+N(AH185)+N(AH187)+N(AH188)+N(AH195)+N(AH196)+N(AH197)),""),"")</f>
        <v>0.358376209993896</v>
      </c>
      <c r="AI325" s="262">
        <f>IFERROR(IF((N(AI181)+N(AI185)+N(AI187)+N(AI188)+N(AI195)+N(AI196)+N(AI197))&lt;&gt;0,N(AI127)/(N(AI181)+N(AI185)+N(AI187)+N(AI188)+N(AI195)+N(AI196)+N(AI197)),""),"")</f>
        <v>0.464285714285714</v>
      </c>
      <c r="AJ325" s="262">
        <f>IFERROR(IF((N(AJ181)+N(AJ185)+N(AJ187)+N(AJ188)+N(AJ195)+N(AJ196)+N(AJ197))&lt;&gt;0,N(AJ127)/(N(AJ181)+N(AJ185)+N(AJ187)+N(AJ188)+N(AJ195)+N(AJ196)+N(AJ197)),""),"")</f>
        <v>0.657316574214335</v>
      </c>
      <c r="AK325" s="262">
        <f>IFERROR(IF((N(AK181)+N(AK185)+N(AK187)+N(AK188)+N(AK195)+N(AK196)+N(AK197))&lt;&gt;0,N(AK127)/(N(AK181)+N(AK185)+N(AK187)+N(AK188)+N(AK195)+N(AK196)+N(AK197)),""),"")</f>
        <v>0.851315152560609</v>
      </c>
      <c r="AL325" s="262">
        <f>IFERROR(IF((N(AL181)+N(AL185)+N(AL187)+N(AL188)+N(AL195)+N(AL196)+N(AL197))&lt;&gt;0,N(AL127)/(N(AL181)+N(AL185)+N(AL187)+N(AL188)+N(AL195)+N(AL196)+N(AL197)),""),"")</f>
        <v>0.851315152560609</v>
      </c>
      <c r="AM325" s="262">
        <f>IFERROR(IF((N(AM181)+N(AM185)+N(AM187)+N(AM188)+N(AM195)+N(AM196)+N(AM197))&lt;&gt;0,N(AM127)/(N(AM181)+N(AM185)+N(AM187)+N(AM188)+N(AM195)+N(AM196)+N(AM197)),""),"")</f>
        <v>1.01603975597609</v>
      </c>
      <c r="AN325" s="262">
        <f>IFERROR(IF((N(AN181)+N(AN185)+N(AN187)+N(AN188)+N(AN195)+N(AN196)+N(AN197))&lt;&gt;0,N(AN127)/(N(AN181)+N(AN185)+N(AN187)+N(AN188)+N(AN195)+N(AN196)+N(AN197)),""),"")</f>
        <v>1.14775956384438</v>
      </c>
      <c r="AO325" s="262">
        <f>IFERROR(IF((N(AO181)+N(AO185)+N(AO187)+N(AO188)+N(AO195)+N(AO196)+N(AO197))&lt;&gt;0,N(AO127)/(N(AO181)+N(AO185)+N(AO187)+N(AO188)+N(AO195)+N(AO196)+N(AO197)),""),"")</f>
        <v>1.26663026811439</v>
      </c>
      <c r="AP325" s="262">
        <f>IFERROR(IF((N(AP181)+N(AP185)+N(AP187)+N(AP188)+N(AP195)+N(AP196)+N(AP197))&lt;&gt;0,N(AP127)/(N(AP181)+N(AP185)+N(AP187)+N(AP188)+N(AP195)+N(AP196)+N(AP197)),""),"")</f>
        <v>1.3672953394932</v>
      </c>
      <c r="AQ325" s="262">
        <f>IFERROR(IF((N(AQ181)+N(AQ185)+N(AQ187)+N(AQ188)+N(AQ195)+N(AQ196)+N(AQ197))&lt;&gt;0,N(AQ127)/(N(AQ181)+N(AQ185)+N(AQ187)+N(AQ188)+N(AQ195)+N(AQ196)+N(AQ197)),""),"")</f>
        <v>1.3672953394932</v>
      </c>
      <c r="AR325" s="262">
        <f>IFERROR(IF((N(AR181)+N(AR185)+N(AR187)+N(AR188)+N(AR195)+N(AR196)+N(AR197))&lt;&gt;0,N(AR127)/(N(AR181)+N(AR185)+N(AR187)+N(AR188)+N(AR195)+N(AR196)+N(AR197)),""),"")</f>
        <v>1.44666567491119</v>
      </c>
      <c r="AS325" s="262">
        <f>IFERROR(IF((N(AS181)+N(AS185)+N(AS187)+N(AS188)+N(AS195)+N(AS196)+N(AS197))&lt;&gt;0,N(AS127)/(N(AS181)+N(AS185)+N(AS187)+N(AS188)+N(AS195)+N(AS196)+N(AS197)),""),"")</f>
        <v>1.49800033237131</v>
      </c>
      <c r="AT325" s="262">
        <f>IFERROR(IF((N(AT181)+N(AT185)+N(AT187)+N(AT188)+N(AT195)+N(AT196)+N(AT197))&lt;&gt;0,N(AT127)/(N(AT181)+N(AT185)+N(AT187)+N(AT188)+N(AT195)+N(AT196)+N(AT197)),""),"")</f>
        <v>1.54254910440431</v>
      </c>
      <c r="AU325" s="262">
        <f>IFERROR(IF((N(AU181)+N(AU185)+N(AU187)+N(AU188)+N(AU195)+N(AU196)+N(AU197))&lt;&gt;0,N(AU127)/(N(AU181)+N(AU185)+N(AU187)+N(AU188)+N(AU195)+N(AU196)+N(AU197)),""),"")</f>
        <v>1.57567834207044</v>
      </c>
      <c r="AV325" s="262">
        <f>IFERROR(IF((N(AV181)+N(AV185)+N(AV187)+N(AV188)+N(AV195)+N(AV196)+N(AV197))&lt;&gt;0,N(AV127)/(N(AV181)+N(AV185)+N(AV187)+N(AV188)+N(AV195)+N(AV196)+N(AV197)),""),"")</f>
        <v>1.57567834207044</v>
      </c>
      <c r="AW325" s="262">
        <f>IFERROR(IF((N(AW181)+N(AW185)+N(AW187)+N(AW188)+N(AW195)+N(AW196)+N(AW197))&lt;&gt;0,N(AW127)/(N(AW181)+N(AW185)+N(AW187)+N(AW188)+N(AW195)+N(AW196)+N(AW197)),""),"")</f>
        <v>1.59595154080029</v>
      </c>
      <c r="AX325" s="262">
        <f>IFERROR(IF((N(AX181)+N(AX185)+N(AX187)+N(AX188)+N(AX195)+N(AX196)+N(AX197))&lt;&gt;0,N(AX127)/(N(AX181)+N(AX185)+N(AX187)+N(AX188)+N(AX195)+N(AX196)+N(AX197)),""),"")</f>
        <v>1.60032908029502</v>
      </c>
      <c r="AY325" s="262">
        <f>IFERROR(IF((N(AY181)+N(AY185)+N(AY187)+N(AY188)+N(AY195)+N(AY196)+N(AY197))&lt;&gt;0,N(AY127)/(N(AY181)+N(AY185)+N(AY187)+N(AY188)+N(AY195)+N(AY196)+N(AY197)),""),"")</f>
        <v>1.60179583398037</v>
      </c>
      <c r="AZ325" s="262">
        <f>IFERROR(IF((N(AZ181)+N(AZ185)+N(AZ187)+N(AZ188)+N(AZ195)+N(AZ196)+N(AZ197))&lt;&gt;0,N(AZ127)/(N(AZ181)+N(AZ185)+N(AZ187)+N(AZ188)+N(AZ195)+N(AZ196)+N(AZ197)),""),"")</f>
        <v>1.59806651958766</v>
      </c>
      <c r="BA325" s="262">
        <f>IFERROR(IF((N(BA181)+N(BA185)+N(BA187)+N(BA188)+N(BA195)+N(BA196)+N(BA197))&lt;&gt;0,N(BA127)/(N(BA181)+N(BA185)+N(BA187)+N(BA188)+N(BA195)+N(BA196)+N(BA197)),""),"")</f>
        <v>1.59806651958766</v>
      </c>
      <c r="BB325" s="262">
        <f>IFERROR(IF((N(BB181)+N(BB185)+N(BB187)+N(BB188)+N(BB195)+N(BB196)+N(BB197))&lt;&gt;0,N(BB127)/(N(BB181)+N(BB185)+N(BB187)+N(BB188)+N(BB195)+N(BB196)+N(BB197)),""),"")</f>
        <v>1.58891189010657</v>
      </c>
      <c r="BC325" s="262">
        <f>IFERROR(IF((N(BC181)+N(BC185)+N(BC187)+N(BC188)+N(BC195)+N(BC196)+N(BC197))&lt;&gt;0,N(BC127)/(N(BC181)+N(BC185)+N(BC187)+N(BC188)+N(BC195)+N(BC196)+N(BC197)),""),"")</f>
        <v>1.57087967660658</v>
      </c>
      <c r="BD325" s="262">
        <f>IFERROR(IF((N(BD181)+N(BD185)+N(BD187)+N(BD188)+N(BD195)+N(BD196)+N(BD197))&lt;&gt;0,N(BD127)/(N(BD181)+N(BD185)+N(BD187)+N(BD188)+N(BD195)+N(BD196)+N(BD197)),""),"")</f>
        <v>1.55326497070234</v>
      </c>
      <c r="BE325" s="262">
        <f>IFERROR(IF((N(BE181)+N(BE185)+N(BE187)+N(BE188)+N(BE195)+N(BE196)+N(BE197))&lt;&gt;0,N(BE127)/(N(BE181)+N(BE185)+N(BE187)+N(BE188)+N(BE195)+N(BE196)+N(BE197)),""),"")</f>
        <v>1.53427141028039</v>
      </c>
      <c r="BF325" s="262">
        <f>IFERROR(IF((N(BF181)+N(BF185)+N(BF187)+N(BF188)+N(BF195)+N(BF196)+N(BF197))&lt;&gt;0,N(BF127)/(N(BF181)+N(BF185)+N(BF187)+N(BF188)+N(BF195)+N(BF196)+N(BF197)),""),"")</f>
        <v>1.53427141028039</v>
      </c>
      <c r="BG325" s="82" t="n"/>
      <c r="BH325" s="82" t="n"/>
      <c r="BI325" s="82" t="n"/>
      <c r="BJ325" s="82" t="n"/>
      <c r="BL325" s="82" t="n"/>
      <c r="BM325" s="82" t="n"/>
      <c r="BN325" s="82" t="n"/>
      <c r="BO325" s="82" t="n"/>
      <c r="BQ325" s="82" t="n"/>
      <c r="BR325" s="82" t="n"/>
      <c r="BS325" s="82" t="n"/>
      <c r="BT325" s="82" t="n"/>
      <c r="BV325" s="82" t="n"/>
      <c r="BW325" s="82" t="n"/>
      <c r="BX325" s="82" t="n"/>
      <c r="BY325" s="82" t="n"/>
      <c r="CA325" s="82" t="n"/>
      <c r="CB325" s="82" t="n"/>
      <c r="CC325" s="82" t="n"/>
      <c r="CD325" s="82" t="n"/>
      <c r="CF325" s="82" t="n"/>
      <c r="CG325" s="82" t="n"/>
      <c r="CH325" s="82" t="n"/>
      <c r="CI325" s="82" t="n"/>
      <c r="CK325" s="82" t="n"/>
      <c r="CL325" s="82" t="n"/>
      <c r="CM325" s="82" t="n"/>
      <c r="CN325" s="82" t="n"/>
      <c r="CP325" s="82" t="n"/>
      <c r="CQ325" s="82" t="n"/>
      <c r="CR325" s="82" t="n"/>
      <c r="CS325" s="82" t="n"/>
      <c r="CU325" s="82" t="n"/>
      <c r="CV325" s="82" t="n"/>
      <c r="CW325" s="82" t="n"/>
      <c r="CX325" s="82" t="n"/>
    </row>
    <row r="326" customFormat="1" s="77">
      <c r="A326" s="76" t="n"/>
      <c r="B326" s="76" t="n"/>
    </row>
    <row r="327" customFormat="1" s="77">
      <c r="A327" s="76" t="n"/>
      <c r="B327" s="76" t="n"/>
      <c r="C327" s="74" t="inlineStr">
        <is>
          <t>OPERATING EFFICIENCY</t>
        </is>
      </c>
    </row>
    <row r="328" customFormat="1" s="84">
      <c r="A328" s="81" t="n"/>
      <c r="B328" s="81" t="n"/>
      <c r="C328" s="84" t="inlineStr">
        <is>
          <t>RETURN ON CAPITAL (ROIC) - LTM</t>
        </is>
      </c>
      <c r="D328" t="str">
        <f>IFERROR(D330/D333,"")</f>
        <v/>
      </c>
      <c r="E328" t="str">
        <f>IFERROR(E330/E333,"")</f>
        <v/>
      </c>
      <c r="F328" t="str">
        <f>IFERROR(F330/F333,"")</f>
        <v/>
      </c>
      <c r="G328" t="str">
        <f>IFERROR(G330/G333,"")</f>
        <v/>
      </c>
      <c r="H328" s="257" t="str">
        <f>IFERROR(IF(AND(COUNT(H330)=1,N(H333)&lt;&gt;0),(H330)/H333,""),"")</f>
        <v/>
      </c>
      <c r="I328" s="257" t="str">
        <f>""</f>
        <v/>
      </c>
      <c r="J328" s="257" t="str">
        <f>""</f>
        <v/>
      </c>
      <c r="K328" s="257" t="str">
        <f>""</f>
        <v/>
      </c>
      <c r="L328" s="257">
        <f>IFERROR(IF(AND(COUNT(I330,J330,K330,L330)=4,N(L333)&lt;&gt;0),(I330+J330+K330+L330)/L333,""),"")</f>
        <v>0.615109647004977</v>
      </c>
      <c r="M328" s="257">
        <f>IFERROR(IF(AND(COUNT(I330,J330,K330,L330)=4,N(M333)&lt;&gt;0),(I330+J330+K330+L330)/M333,""),"")</f>
        <v>0.615109647004977</v>
      </c>
      <c r="N328" s="257">
        <f>IFERROR(IF(AND(COUNT(J330,K330,L330,N330)=4,N(N333)&lt;&gt;0),(J330+K330+L330+N330)/N333,""),"")</f>
        <v>0.637873662637528</v>
      </c>
      <c r="O328" s="257">
        <f>IFERROR(IF(AND(COUNT(K330,L330,N330,O330)=4,N(O333)&lt;&gt;0),(K330+L330+N330+O330)/O333,""),"")</f>
        <v>0.67531803690876</v>
      </c>
      <c r="P328" s="257">
        <f>IFERROR(IF(AND(COUNT(L330,N330,O330,P330)=4,N(P333)&lt;&gt;0),(L330+N330+O330+P330)/P333,""),"")</f>
        <v>0.765681871109259</v>
      </c>
      <c r="Q328" s="257">
        <f>IFERROR(IF(AND(COUNT(N330,O330,P330,Q330)=4,N(Q333)&lt;&gt;0),(N330+O330+P330+Q330)/Q333,""),"")</f>
        <v>0.776018497072756</v>
      </c>
      <c r="R328" s="257">
        <f>IFERROR(IF(AND(COUNT(N330,O330,P330,Q330)=4,N(R333)&lt;&gt;0),(N330+O330+P330+Q330)/R333,""),"")</f>
        <v>0.776018497072756</v>
      </c>
      <c r="S328" s="257">
        <f>IFERROR(IF(AND(COUNT(O330,P330,Q330,S330)=4,N(S333)&lt;&gt;0),(O330+P330+Q330+S330)/S333,""),"")</f>
        <v>0.707367883316685</v>
      </c>
      <c r="T328" s="257">
        <f>IFERROR(IF(AND(COUNT(P330,Q330,S330,T330)=4,N(T333)&lt;&gt;0),(P330+Q330+S330+T330)/T333,""),"")</f>
        <v>0.698774670281926</v>
      </c>
      <c r="U328" s="257">
        <f>IFERROR(IF(AND(COUNT(Q330,S330,T330,U330)=4,N(U333)&lt;&gt;0),(Q330+S330+T330+U330)/U333,""),"")</f>
        <v>0.759741128318062</v>
      </c>
      <c r="V328" s="257">
        <f>IFERROR(IF(AND(COUNT(S330,T330,U330,V330)=4,N(V333)&lt;&gt;0),(S330+T330+U330+V330)/V333,""),"")</f>
        <v>0.829722697681191</v>
      </c>
      <c r="W328" s="257">
        <f>IFERROR(IF(AND(COUNT(S330,T330,U330,V330)=4,N(W333)&lt;&gt;0),(S330+T330+U330+V330)/W333,""),"")</f>
        <v>0.829722697681191</v>
      </c>
      <c r="X328" s="257">
        <f>IFERROR(IF(AND(COUNT(T330,U330,V330,X330)=4,N(X333)&lt;&gt;0),(T330+U330+V330+X330)/X333,""),"")</f>
        <v>0.765471748037769</v>
      </c>
      <c r="Y328" s="257">
        <f>IFERROR(IF(AND(COUNT(U330,V330,X330,Y330)=4,N(Y333)&lt;&gt;0),(U330+V330+X330+Y330)/Y333,""),"")</f>
        <v>0.777455142614606</v>
      </c>
      <c r="Z328" s="257">
        <f>IFERROR(IF(AND(COUNT(V330,X330,Y330,Z330)=4,N(Z333)&lt;&gt;0),(V330+X330+Y330+Z330)/Z333,""),"")</f>
        <v>0.851222262169372</v>
      </c>
      <c r="AA328" s="257">
        <f>IFERROR(IF(AND(COUNT(X330,Y330,Z330,AA330)=4,N(AA333)&lt;&gt;0),(X330+Y330+Z330+AA330)/AA333,""),"")</f>
        <v>0.807442099144721</v>
      </c>
      <c r="AB328" s="257">
        <f>IFERROR(IF(AND(COUNT(X330,Y330,Z330,AA330)=4,N(AB333)&lt;&gt;0),(X330+Y330+Z330+AA330)/AB333,""),"")</f>
        <v>0.807442099144721</v>
      </c>
      <c r="AC328" s="257">
        <f>IFERROR(IF(AND(COUNT(Y330,Z330,AA330,AC330)=4,N(AC333)&lt;&gt;0),(Y330+Z330+AA330+AC330)/AC333,""),"")</f>
        <v>0.752055910160084</v>
      </c>
      <c r="AD328" s="257">
        <f>IFERROR(IF(AND(COUNT(Z330,AA330,AC330,AD330)=4,N(AD333)&lt;&gt;0),(Z330+AA330+AC330+AD330)/AD333,""),"")</f>
        <v>0.780470752697101</v>
      </c>
      <c r="AE328" s="257">
        <f>IFERROR(IF(AND(COUNT(AA330,AC330,AD330,AE330)=4,N(AE333)&lt;&gt;0),(AA330+AC330+AD330+AE330)/AE333,""),"")</f>
        <v>0.875649360719019</v>
      </c>
      <c r="AF328" s="257">
        <f>IFERROR(IF(AND(COUNT(AB330,AD330,AE330,AF330)=4,N(AF333)&lt;&gt;0),(AB330+AD330+AE330+AF330)/AF333,""),"")</f>
        <v>1.54744760051088</v>
      </c>
      <c r="AG328" s="257">
        <f>IFERROR(IF(AND(COUNT(AC330,AD330,AE330,AF330)=4,N(AG333)&lt;&gt;0),(AC330+AD330+AE330+AF330)/AG333,""),"")</f>
        <v>0.942383655101714</v>
      </c>
      <c r="AH328" s="257">
        <f>IFERROR(IF(AND(COUNT(AD330,AF330,AG330,AH330)=4,N(AH333)&lt;&gt;0),(AD330+AF330+AG330+AH330)/AH333,""),"")</f>
        <v>1.52052042388713</v>
      </c>
      <c r="AI328" s="257">
        <f>IFERROR(IF(AND(COUNT(AE330,AG330,AH330,AI330)=4,N(AI333)&lt;&gt;0),(AE330+AG330+AH330+AI330)/AI333,""),"")</f>
        <v>1.45756490133737</v>
      </c>
      <c r="AJ328" s="257">
        <f>IFERROR(IF(AND(COUNT(AF330,AH330,AI330,AJ330)=4,N(AJ333)&lt;&gt;0),(AF330+AH330+AI330+AJ330)/AJ333,""),"")</f>
        <v>0.940209910873761</v>
      </c>
      <c r="AK328" s="257">
        <f>IFERROR(IF(AND(COUNT(AH330,AI330,AJ330,AK330)=4,N(AK333)&lt;&gt;0),(AH330+AI330+AJ330+AK330)/AK333,""),"")</f>
        <v>1.11143246453035</v>
      </c>
      <c r="AL328" s="257">
        <f>IFERROR(IF(AND(COUNT(AH330,AI330,AJ330,AK330)=4,N(AL333)&lt;&gt;0),(AH330+AI330+AJ330+AK330)/AL333,""),"")</f>
        <v>1.11143246453035</v>
      </c>
      <c r="AM328" s="257">
        <f>IFERROR(IF(AND(COUNT(AI330,AJ330,AK330,AM330)=4,N(AM333)&lt;&gt;0),(AI330+AJ330+AK330+AM330)/AM333,""),"")</f>
        <v>1.39460721464883</v>
      </c>
      <c r="AN328" s="257">
        <f>IFERROR(IF(AND(COUNT(AJ330,AK330,AM330,AN330)=4,N(AN333)&lt;&gt;0),(AJ330+AK330+AM330+AN330)/AN333,""),"")</f>
        <v>1.79691016289589</v>
      </c>
      <c r="AO328" s="257">
        <f>IFERROR(IF(AND(COUNT(AK330,AM330,AN330,AO330)=4,N(AO333)&lt;&gt;0),(AK330+AM330+AN330+AO330)/AO333,""),"")</f>
        <v>2.70328879475075</v>
      </c>
      <c r="AP328" s="257">
        <f>IFERROR(IF(AND(COUNT(AM330,AN330,AO330,AP330)=4,N(AP333)&lt;&gt;0),(AM330+AN330+AO330+AP330)/AP333,""),"")</f>
        <v>6.34914026054427</v>
      </c>
      <c r="AQ328" s="257">
        <f>IFERROR(IF(AND(COUNT(AM330,AN330,AO330,AP330)=4,N(AQ333)&lt;&gt;0),(AM330+AN330+AO330+AP330)/AQ333,""),"")</f>
        <v>6.34914026054427</v>
      </c>
      <c r="AR328" s="257">
        <f>IFERROR(IF(AND(COUNT(AN330,AO330,AP330,AR330)=4,N(AR333)&lt;&gt;0),(AN330+AO330+AP330+AR330)/AR333,""),"")</f>
        <v>-11.9868924332934</v>
      </c>
      <c r="AS328" s="257">
        <f>IFERROR(IF(AND(COUNT(AO330,AP330,AR330,AS330)=4,N(AS333)&lt;&gt;0),(AO330+AP330+AR330+AS330)/AS333,""),"")</f>
        <v>-3.31360860227191</v>
      </c>
      <c r="AT328" s="257">
        <f>IFERROR(IF(AND(COUNT(AP330,AR330,AS330,AT330)=4,N(AT333)&lt;&gt;0),(AP330+AR330+AS330+AT330)/AT333,""),"")</f>
        <v>-1.8163221950758</v>
      </c>
      <c r="AU328" s="257">
        <f>IFERROR(IF(AND(COUNT(AR330,AS330,AT330,AU330)=4,N(AU333)&lt;&gt;0),(AR330+AS330+AT330+AU330)/AU333,""),"")</f>
        <v>-1.19989704120934</v>
      </c>
      <c r="AV328" s="257">
        <f>IFERROR(IF(AND(COUNT(AR330,AS330,AT330,AU330)=4,N(AV333)&lt;&gt;0),(AR330+AS330+AT330+AU330)/AV333,""),"")</f>
        <v>-1.19989704120934</v>
      </c>
      <c r="AW328" s="257">
        <f>IFERROR(IF(AND(COUNT(AS330,AT330,AU330,AW330)=4,N(AW333)&lt;&gt;0),(AS330+AT330+AU330+AW330)/AW333,""),"")</f>
        <v>-0.86812959015866</v>
      </c>
      <c r="AX328" s="257">
        <f>IFERROR(IF(AND(COUNT(AT330,AU330,AW330,AX330)=4,N(AX333)&lt;&gt;0),(AT330+AU330+AW330+AX330)/AX333,""),"")</f>
        <v>-0.685107077315574</v>
      </c>
      <c r="AY328" s="257">
        <f>IFERROR(IF(AND(COUNT(AU330,AW330,AX330,AY330)=4,N(AY333)&lt;&gt;0),(AU330+AW330+AX330+AY330)/AY333,""),"")</f>
        <v>-0.554686644120044</v>
      </c>
      <c r="AZ328" s="257">
        <f>IFERROR(IF(AND(COUNT(AW330,AX330,AY330,AZ330)=4,N(AZ333)&lt;&gt;0),(AW330+AX330+AY330+AZ330)/AZ333,""),"")</f>
        <v>-0.456386708569719</v>
      </c>
      <c r="BA328" s="257">
        <f>IFERROR(IF(AND(COUNT(AW330,AX330,AY330,AZ330)=4,N(BA333)&lt;&gt;0),(AW330+AX330+AY330+AZ330)/BA333,""),"")</f>
        <v>-0.456386708569719</v>
      </c>
      <c r="BB328" s="257">
        <f>IFERROR(IF(AND(COUNT(AX330,AY330,AZ330,BB330)=4,N(BB333)&lt;&gt;0),(AX330+AY330+AZ330+BB330)/BB333,""),"")</f>
        <v>-0.380491592703555</v>
      </c>
      <c r="BC328" s="257">
        <f>IFERROR(IF(AND(COUNT(AY330,AZ330,BB330,BC330)=4,N(BC333)&lt;&gt;0),(AY330+AZ330+BB330+BC330)/BC333,""),"")</f>
        <v>-0.326537901214412</v>
      </c>
      <c r="BD328" s="257">
        <f>IFERROR(IF(AND(COUNT(AZ330,BB330,BC330,BD330)=4,N(BD333)&lt;&gt;0),(AZ330+BB330+BC330+BD330)/BD333,""),"")</f>
        <v>-0.282237465783649</v>
      </c>
      <c r="BE328" s="257">
        <f>IFERROR(IF(AND(COUNT(BB330,BC330,BD330,BE330)=4,N(BE333)&lt;&gt;0),(BB330+BC330+BD330+BE330)/BE333,""),"")</f>
        <v>-0.24488050641447</v>
      </c>
      <c r="BF328" s="257">
        <f>IFERROR(IF(AND(COUNT(BB330,BC330,BD330,BE330)=4,N(BF333)&lt;&gt;0),(BB330+BC330+BD330+BE330)/BF333,""),"")</f>
        <v>-0.24488050641447</v>
      </c>
      <c r="BG328" s="81" t="n"/>
      <c r="BH328" s="81" t="n"/>
      <c r="BI328" s="81" t="n"/>
      <c r="BJ328" s="81" t="n"/>
      <c r="BL328" s="81" t="n"/>
      <c r="BM328" s="81" t="n"/>
      <c r="BN328" s="81" t="n"/>
      <c r="BO328" s="81" t="n"/>
      <c r="BQ328" s="81" t="n"/>
      <c r="BR328" s="81" t="n"/>
      <c r="BS328" s="81" t="n"/>
      <c r="BT328" s="81" t="n"/>
      <c r="BV328" s="81" t="n"/>
      <c r="BW328" s="81" t="n"/>
      <c r="BX328" s="81" t="n"/>
      <c r="BY328" s="81" t="n"/>
      <c r="CA328" s="81" t="n"/>
      <c r="CB328" s="81" t="n"/>
      <c r="CC328" s="81" t="n"/>
      <c r="CD328" s="81" t="n"/>
      <c r="CF328" s="81" t="n"/>
      <c r="CG328" s="81" t="n"/>
      <c r="CH328" s="81" t="n"/>
      <c r="CI328" s="81" t="n"/>
      <c r="CK328" s="81" t="n"/>
      <c r="CL328" s="81" t="n"/>
      <c r="CM328" s="81" t="n"/>
      <c r="CN328" s="81" t="n"/>
      <c r="CP328" s="81" t="n"/>
      <c r="CQ328" s="81" t="n"/>
      <c r="CR328" s="81" t="n"/>
      <c r="CS328" s="81" t="n"/>
      <c r="CU328" s="81" t="n"/>
      <c r="CV328" s="81" t="n"/>
      <c r="CW328" s="81" t="n"/>
      <c r="CX328" s="81" t="n"/>
    </row>
    <row r="329" customFormat="1" s="84">
      <c r="A329" s="81" t="n"/>
      <c r="B329" s="81" t="n"/>
      <c r="C329" s="84" t="inlineStr">
        <is>
          <t>RETURN ON CAPITAL (ROIC) - EX GOODWILL - LTM</t>
        </is>
      </c>
      <c r="D329" t="str">
        <f>IFERROR(D330/D334,"")</f>
        <v/>
      </c>
      <c r="E329" t="str">
        <f>IFERROR(E330/E334,"")</f>
        <v/>
      </c>
      <c r="F329" t="str">
        <f>IFERROR(F330/F334,"")</f>
        <v/>
      </c>
      <c r="G329" t="str">
        <f>IFERROR(G330/G334,"")</f>
        <v/>
      </c>
      <c r="H329" s="257" t="str">
        <f>IFERROR(IF(AND(COUNT(H330)=1,N(H334)&lt;&gt;0),(H330)/H334,""),"")</f>
        <v/>
      </c>
      <c r="I329" s="257" t="str">
        <f>""</f>
        <v/>
      </c>
      <c r="J329" s="257" t="str">
        <f>""</f>
        <v/>
      </c>
      <c r="K329" s="257" t="str">
        <f>""</f>
        <v/>
      </c>
      <c r="L329" s="257">
        <f>IFERROR(IF(AND(COUNT(I330,J330,K330,L330)=4,N(L334)&lt;&gt;0),(I330+J330+K330+L330)/L334,""),"")</f>
        <v>1.3811971169907</v>
      </c>
      <c r="M329" s="257">
        <f>IFERROR(IF(AND(COUNT(I330,J330,K330,L330)=4,N(M334)&lt;&gt;0),(I330+J330+K330+L330)/M334,""),"")</f>
        <v>1.3811971169907</v>
      </c>
      <c r="N329" s="257">
        <f>IFERROR(IF(AND(COUNT(J330,K330,L330,N330)=4,N(N334)&lt;&gt;0),(J330+K330+L330+N330)/N334,""),"")</f>
        <v>1.31255623686574</v>
      </c>
      <c r="O329" s="257">
        <f>IFERROR(IF(AND(COUNT(K330,L330,N330,O330)=4,N(O334)&lt;&gt;0),(K330+L330+N330+O330)/O334,""),"")</f>
        <v>1.37704776597412</v>
      </c>
      <c r="P329" s="257">
        <f>IFERROR(IF(AND(COUNT(L330,N330,O330,P330)=4,N(P334)&lt;&gt;0),(L330+N330+O330+P330)/P334,""),"")</f>
        <v>1.66612977459665</v>
      </c>
      <c r="Q329" s="257">
        <f>IFERROR(IF(AND(COUNT(N330,O330,P330,Q330)=4,N(Q334)&lt;&gt;0),(N330+O330+P330+Q330)/Q334,""),"")</f>
        <v>1.77161991869671</v>
      </c>
      <c r="R329" s="257">
        <f>IFERROR(IF(AND(COUNT(N330,O330,P330,Q330)=4,N(R334)&lt;&gt;0),(N330+O330+P330+Q330)/R334,""),"")</f>
        <v>1.77161991869671</v>
      </c>
      <c r="S329" s="257">
        <f>IFERROR(IF(AND(COUNT(O330,P330,Q330,S330)=4,N(S334)&lt;&gt;0),(O330+P330+Q330+S330)/S334,""),"")</f>
        <v>1.49292890312667</v>
      </c>
      <c r="T329" s="257">
        <f>IFERROR(IF(AND(COUNT(P330,Q330,S330,T330)=4,N(T334)&lt;&gt;0),(P330+Q330+S330+T330)/T334,""),"")</f>
        <v>1.40481562829642</v>
      </c>
      <c r="U329" s="257">
        <f>IFERROR(IF(AND(COUNT(Q330,S330,T330,U330)=4,N(U334)&lt;&gt;0),(Q330+S330+T330+U330)/U334,""),"")</f>
        <v>1.53353622745376</v>
      </c>
      <c r="V329" s="257">
        <f>IFERROR(IF(AND(COUNT(S330,T330,U330,V330)=4,N(V334)&lt;&gt;0),(S330+T330+U330+V330)/V334,""),"")</f>
        <v>1.85367563214839</v>
      </c>
      <c r="W329" s="257">
        <f>IFERROR(IF(AND(COUNT(S330,T330,U330,V330)=4,N(W334)&lt;&gt;0),(S330+T330+U330+V330)/W334,""),"")</f>
        <v>1.85367563214839</v>
      </c>
      <c r="X329" s="257">
        <f>IFERROR(IF(AND(COUNT(T330,U330,V330,X330)=4,N(X334)&lt;&gt;0),(T330+U330+V330+X330)/X334,""),"")</f>
        <v>1.48025941374878</v>
      </c>
      <c r="Y329" s="257">
        <f>IFERROR(IF(AND(COUNT(U330,V330,X330,Y330)=4,N(Y334)&lt;&gt;0),(U330+V330+X330+Y330)/Y334,""),"")</f>
        <v>1.46896322724289</v>
      </c>
      <c r="Z329" s="257">
        <f>IFERROR(IF(AND(COUNT(V330,X330,Y330,Z330)=4,N(Z334)&lt;&gt;0),(V330+X330+Y330+Z330)/Z334,""),"")</f>
        <v>1.77911822238534</v>
      </c>
      <c r="AA329" s="257">
        <f>IFERROR(IF(AND(COUNT(X330,Y330,Z330,AA330)=4,N(AA334)&lt;&gt;0),(X330+Y330+Z330+AA330)/AA334,""),"")</f>
        <v>1.85394079045128</v>
      </c>
      <c r="AB329" s="257">
        <f>IFERROR(IF(AND(COUNT(X330,Y330,Z330,AA330)=4,N(AB334)&lt;&gt;0),(X330+Y330+Z330+AA330)/AB334,""),"")</f>
        <v>1.85394079045128</v>
      </c>
      <c r="AC329" s="257">
        <f>IFERROR(IF(AND(COUNT(Y330,Z330,AA330,AC330)=4,N(AC334)&lt;&gt;0),(Y330+Z330+AA330+AC330)/AC334,""),"")</f>
        <v>1.57302321164451</v>
      </c>
      <c r="AD329" s="257">
        <f>IFERROR(IF(AND(COUNT(Z330,AA330,AC330,AD330)=4,N(AD334)&lt;&gt;0),(Z330+AA330+AC330+AD330)/AD334,""),"")</f>
        <v>1.68956763187025</v>
      </c>
      <c r="AE329" s="257">
        <f>IFERROR(IF(AND(COUNT(AA330,AC330,AD330,AE330)=4,N(AE334)&lt;&gt;0),(AA330+AC330+AD330+AE330)/AE334,""),"")</f>
        <v>2.07226183281778</v>
      </c>
      <c r="AF329" s="257">
        <f>IFERROR(IF(AND(COUNT(AB330,AD330,AE330,AF330)=4,N(AF334)&lt;&gt;0),(AB330+AD330+AE330+AF330)/AF334,""),"")</f>
        <v>3.79060136258579</v>
      </c>
      <c r="AG329" s="257">
        <f>IFERROR(IF(AND(COUNT(AC330,AD330,AE330,AF330)=4,N(AG334)&lt;&gt;0),(AC330+AD330+AE330+AF330)/AG334,""),"")</f>
        <v>2.30844699744779</v>
      </c>
      <c r="AH329" s="257">
        <f>IFERROR(IF(AND(COUNT(AD330,AF330,AG330,AH330)=4,N(AH334)&lt;&gt;0),(AD330+AF330+AG330+AH330)/AH334,""),"")</f>
        <v>3.27199666497129</v>
      </c>
      <c r="AI329" s="257">
        <f>IFERROR(IF(AND(COUNT(AE330,AG330,AH330,AI330)=4,N(AI334)&lt;&gt;0),(AE330+AG330+AH330+AI330)/AI334,""),"")</f>
        <v>2.92144894838213</v>
      </c>
      <c r="AJ329" s="257">
        <f>IFERROR(IF(AND(COUNT(AF330,AH330,AI330,AJ330)=4,N(AJ334)&lt;&gt;0),(AF330+AH330+AI330+AJ330)/AJ334,""),"")</f>
        <v>1.95713956734451</v>
      </c>
      <c r="AK329" s="257">
        <f>IFERROR(IF(AND(COUNT(AH330,AI330,AJ330,AK330)=4,N(AK334)&lt;&gt;0),(AH330+AI330+AJ330+AK330)/AK334,""),"")</f>
        <v>2.71352339671516</v>
      </c>
      <c r="AL329" s="257">
        <f>IFERROR(IF(AND(COUNT(AH330,AI330,AJ330,AK330)=4,N(AL334)&lt;&gt;0),(AH330+AI330+AJ330+AK330)/AL334,""),"")</f>
        <v>2.71352339671516</v>
      </c>
      <c r="AM329" s="257">
        <f>IFERROR(IF(AND(COUNT(AI330,AJ330,AK330,AM330)=4,N(AM334)&lt;&gt;0),(AI330+AJ330+AK330+AM330)/AM334,""),"")</f>
        <v>4.92324164839129</v>
      </c>
      <c r="AN329" s="257">
        <f>IFERROR(IF(AND(COUNT(AJ330,AK330,AM330,AN330)=4,N(AN334)&lt;&gt;0),(AJ330+AK330+AM330+AN330)/AN334,""),"")</f>
        <v>17.2655256756952</v>
      </c>
      <c r="AO329" s="257">
        <f>IFERROR(IF(AND(COUNT(AK330,AM330,AN330,AO330)=4,N(AO334)&lt;&gt;0),(AK330+AM330+AN330+AO330)/AO334,""),"")</f>
        <v>-9.09178610710928</v>
      </c>
      <c r="AP329" s="257">
        <f>IFERROR(IF(AND(COUNT(AM330,AN330,AO330,AP330)=4,N(AP334)&lt;&gt;0),(AM330+AN330+AO330+AP330)/AP334,""),"")</f>
        <v>-3.2821490998034</v>
      </c>
      <c r="AQ329" s="257">
        <f>IFERROR(IF(AND(COUNT(AM330,AN330,AO330,AP330)=4,N(AQ334)&lt;&gt;0),(AM330+AN330+AO330+AP330)/AQ334,""),"")</f>
        <v>-3.2821490998034</v>
      </c>
      <c r="AR329" s="257">
        <f>IFERROR(IF(AND(COUNT(AN330,AO330,AP330,AR330)=4,N(AR334)&lt;&gt;0),(AN330+AO330+AP330+AR330)/AR334,""),"")</f>
        <v>-1.88553102773129</v>
      </c>
      <c r="AS329" s="257">
        <f>IFERROR(IF(AND(COUNT(AO330,AP330,AR330,AS330)=4,N(AS334)&lt;&gt;0),(AO330+AP330+AR330+AS330)/AS334,""),"")</f>
        <v>-1.36425923429771</v>
      </c>
      <c r="AT329" s="257">
        <f>IFERROR(IF(AND(COUNT(AP330,AR330,AS330,AT330)=4,N(AT334)&lt;&gt;0),(AP330+AR330+AS330+AT330)/AT334,""),"")</f>
        <v>-1.03511602331914</v>
      </c>
      <c r="AU329" s="257">
        <f>IFERROR(IF(AND(COUNT(AR330,AS330,AT330,AU330)=4,N(AU334)&lt;&gt;0),(AR330+AS330+AT330+AU330)/AU334,""),"")</f>
        <v>-0.810382059797411</v>
      </c>
      <c r="AV329" s="257">
        <f>IFERROR(IF(AND(COUNT(AR330,AS330,AT330,AU330)=4,N(AV334)&lt;&gt;0),(AR330+AS330+AT330+AU330)/AV334,""),"")</f>
        <v>-0.810382059797411</v>
      </c>
      <c r="AW329" s="257">
        <f>IFERROR(IF(AND(COUNT(AS330,AT330,AU330,AW330)=4,N(AW334)&lt;&gt;0),(AS330+AT330+AU330+AW330)/AW334,""),"")</f>
        <v>-0.649485031512636</v>
      </c>
      <c r="AX329" s="257">
        <f>IFERROR(IF(AND(COUNT(AT330,AU330,AW330,AX330)=4,N(AX334)&lt;&gt;0),(AT330+AU330+AW330+AX330)/AX334,""),"")</f>
        <v>-0.545201912759817</v>
      </c>
      <c r="AY329" s="257">
        <f>IFERROR(IF(AND(COUNT(AU330,AW330,AX330,AY330)=4,N(AY334)&lt;&gt;0),(AU330+AW330+AX330+AY330)/AY334,""),"")</f>
        <v>-0.462077539937894</v>
      </c>
      <c r="AZ329" s="257">
        <f>IFERROR(IF(AND(COUNT(AW330,AX330,AY330,AZ330)=4,N(AZ334)&lt;&gt;0),(AW330+AX330+AY330+AZ330)/AZ334,""),"")</f>
        <v>-0.393727561049877</v>
      </c>
      <c r="BA329" s="257">
        <f>IFERROR(IF(AND(COUNT(AW330,AX330,AY330,AZ330)=4,N(BA334)&lt;&gt;0),(AW330+AX330+AY330+AZ330)/BA334,""),"")</f>
        <v>-0.393727561049877</v>
      </c>
      <c r="BB329" s="257">
        <f>IFERROR(IF(AND(COUNT(AX330,AY330,AZ330,BB330)=4,N(BB334)&lt;&gt;0),(AX330+AY330+AZ330+BB330)/BB334,""),"")</f>
        <v>-0.337142895840768</v>
      </c>
      <c r="BC329" s="257">
        <f>IFERROR(IF(AND(COUNT(AY330,AZ330,BB330,BC330)=4,N(BC334)&lt;&gt;0),(AY330+AZ330+BB330+BC330)/BC334,""),"")</f>
        <v>-0.295055371888997</v>
      </c>
      <c r="BD329" s="257">
        <f>IFERROR(IF(AND(COUNT(AZ330,BB330,BC330,BD330)=4,N(BD334)&lt;&gt;0),(AZ330+BB330+BC330+BD330)/BD334,""),"")</f>
        <v>-0.259155907545591</v>
      </c>
      <c r="BE329" s="257">
        <f>IFERROR(IF(AND(COUNT(BB330,BC330,BD330,BE330)=4,N(BE334)&lt;&gt;0),(BB330+BC330+BD330+BE330)/BE334,""),"")</f>
        <v>-0.227868560612721</v>
      </c>
      <c r="BF329" s="257">
        <f>IFERROR(IF(AND(COUNT(BB330,BC330,BD330,BE330)=4,N(BF334)&lt;&gt;0),(BB330+BC330+BD330+BE330)/BF334,""),"")</f>
        <v>-0.227868560612721</v>
      </c>
      <c r="BG329" s="81" t="n"/>
      <c r="BH329" s="81" t="n"/>
      <c r="BI329" s="81" t="n"/>
      <c r="BJ329" s="81" t="n"/>
      <c r="BL329" s="81" t="n"/>
      <c r="BM329" s="81" t="n"/>
      <c r="BN329" s="81" t="n"/>
      <c r="BO329" s="81" t="n"/>
      <c r="BQ329" s="81" t="n"/>
      <c r="BR329" s="81" t="n"/>
      <c r="BS329" s="81" t="n"/>
      <c r="BT329" s="81" t="n"/>
      <c r="BV329" s="81" t="n"/>
      <c r="BW329" s="81" t="n"/>
      <c r="BX329" s="81" t="n"/>
      <c r="BY329" s="81" t="n"/>
      <c r="CA329" s="81" t="n"/>
      <c r="CB329" s="81" t="n"/>
      <c r="CC329" s="81" t="n"/>
      <c r="CD329" s="81" t="n"/>
      <c r="CF329" s="81" t="n"/>
      <c r="CG329" s="81" t="n"/>
      <c r="CH329" s="81" t="n"/>
      <c r="CI329" s="81" t="n"/>
      <c r="CK329" s="81" t="n"/>
      <c r="CL329" s="81" t="n"/>
      <c r="CM329" s="81" t="n"/>
      <c r="CN329" s="81" t="n"/>
      <c r="CP329" s="81" t="n"/>
      <c r="CQ329" s="81" t="n"/>
      <c r="CR329" s="81" t="n"/>
      <c r="CS329" s="81" t="n"/>
      <c r="CU329" s="81" t="n"/>
      <c r="CV329" s="81" t="n"/>
      <c r="CW329" s="81" t="n"/>
      <c r="CX329" s="81" t="n"/>
    </row>
    <row r="330" customFormat="1" s="77">
      <c r="A330" s="76" t="n"/>
      <c r="B330" s="76" t="n"/>
      <c r="C330" s="77" t="inlineStr">
        <is>
          <t>NOPLAT</t>
        </is>
      </c>
      <c r="D330">
        <f>IFERROR(D331*(1-D332),"")</f>
        <v>0</v>
      </c>
      <c r="E330">
        <f>IFERROR(E331*(1-E332),"")</f>
        <v>0</v>
      </c>
      <c r="F330">
        <f>IFERROR(F331*(1-F332),"")</f>
        <v>0</v>
      </c>
      <c r="G330">
        <f>IFERROR(G331*(1-G332),"")</f>
        <v>0</v>
      </c>
      <c r="H330" s="263">
        <f>IFERROR(H331*(1-N(H332)),0)</f>
        <v>0</v>
      </c>
      <c r="I330" s="263">
        <f>IFERROR(I331*(1-N(I332)),0)</f>
        <v>1833.84292237443</v>
      </c>
      <c r="J330" s="263">
        <f>IFERROR(J331*(1-N(J332)),0)</f>
        <v>1951.77804681195</v>
      </c>
      <c r="K330" s="263">
        <f>IFERROR(K331*(1-N(K332)),0)</f>
        <v>2329.1328125</v>
      </c>
      <c r="L330" s="263">
        <f>IFERROR(L331*(1-N(L332)),0)</f>
        <v>2382.37088204038</v>
      </c>
      <c r="M330" s="263">
        <f>IFERROR(M331*(1-N(M332)),0)</f>
        <v>8497.36431551373</v>
      </c>
      <c r="N330" s="263">
        <f>IFERROR(N331*(1-N(N332)),0)</f>
        <v>2798.93617021277</v>
      </c>
      <c r="O330" s="263">
        <f>IFERROR(O331*(1-N(O332)),0)</f>
        <v>2453.8777698356</v>
      </c>
      <c r="P330" s="263">
        <f>IFERROR(P331*(1-N(P332)),0)</f>
        <v>2531.5390625</v>
      </c>
      <c r="Q330" s="263">
        <f>IFERROR(Q331*(1-N(Q332)),0)</f>
        <v>2602.65458077048</v>
      </c>
      <c r="R330" s="263">
        <f>IFERROR(R331*(1-N(R332)),0)</f>
        <v>10380.2863961814</v>
      </c>
      <c r="S330" s="263">
        <f>IFERROR(S331*(1-N(S332)),0)</f>
        <v>2595.19663512093</v>
      </c>
      <c r="T330" s="263">
        <f>IFERROR(T331*(1-N(T332)),0)</f>
        <v>2808.13174946004</v>
      </c>
      <c r="U330" s="263">
        <f>IFERROR(U331*(1-N(U332)),0)</f>
        <v>3268.57537888859</v>
      </c>
      <c r="V330" s="263">
        <f>IFERROR(V331*(1-N(V332)),0)</f>
        <v>2833.86088527552</v>
      </c>
      <c r="W330" s="263">
        <f>IFERROR(W331*(1-N(W332)),0)</f>
        <v>11497.8781435589</v>
      </c>
      <c r="X330" s="263">
        <f>IFERROR(X331*(1-N(X332)),0)</f>
        <v>3049.92804946599</v>
      </c>
      <c r="Y330" s="263">
        <f>IFERROR(Y331*(1-N(Y332)),0)</f>
        <v>3338.23000761615</v>
      </c>
      <c r="Z330" s="263">
        <f>IFERROR(Z331*(1-N(Z332)),0)</f>
        <v>3379.47542679772</v>
      </c>
      <c r="AA330" s="263">
        <f>IFERROR(AA331*(1-N(AA332)),0)</f>
        <v>3382.36854279106</v>
      </c>
      <c r="AB330" s="263">
        <f>IFERROR(AB331*(1-N(AB332)),0)</f>
        <v>13150.8239150387</v>
      </c>
      <c r="AC330" s="263">
        <f>IFERROR(AC331*(1-N(AC332)),0)</f>
        <v>3376.01587695361</v>
      </c>
      <c r="AD330" s="263">
        <f>IFERROR(AD331*(1-N(AD332)),0)</f>
        <v>3784.17744006849</v>
      </c>
      <c r="AE330" s="263">
        <f>IFERROR(AE331*(1-N(AE332)),0)</f>
        <v>3975.70454090818</v>
      </c>
      <c r="AF330" s="263">
        <f>IFERROR(AF331*(1-N(AF332)),0)</f>
        <v>4088.3100902379</v>
      </c>
      <c r="AG330" s="263">
        <f>IFERROR(AG331*(1-N(AG332)),0)</f>
        <v>15225.0132414684</v>
      </c>
      <c r="AH330" s="263">
        <f>IFERROR(AH331*(1-N(AH332)),0)</f>
        <v>3958.63965087282</v>
      </c>
      <c r="AI330" s="263">
        <f>IFERROR(AI331*(1-N(AI332)),0)</f>
        <v>4468.78527160044</v>
      </c>
      <c r="AJ330" s="263">
        <f>IFERROR(AJ331*(1-N(AJ332)),0)</f>
        <v>4670.78208556468</v>
      </c>
      <c r="AK330" s="263">
        <f>IFERROR(AK331*(1-N(AK332)),0)</f>
        <v>4781.55162119072</v>
      </c>
      <c r="AL330" s="263">
        <f>IFERROR(AL331*(1-N(AL332)),0)</f>
        <v>17880.1801754868</v>
      </c>
      <c r="AM330" s="263">
        <f>IFERROR(AM331*(1-N(AM332)),0)</f>
        <v>4560.01254993864</v>
      </c>
      <c r="AN330" s="263">
        <f>IFERROR(AN331*(1-N(AN332)),0)</f>
        <v>5037.29893138614</v>
      </c>
      <c r="AO330" s="263">
        <f>IFERROR(AO331*(1-N(AO332)),0)</f>
        <v>5412.3819567722</v>
      </c>
      <c r="AP330" s="263">
        <f>IFERROR(AP331*(1-N(AP332)),0)</f>
        <v>5540.73884112253</v>
      </c>
      <c r="AQ330" s="263">
        <f>IFERROR(AQ331*(1-N(AQ332)),0)</f>
        <v>20550.4322792195</v>
      </c>
      <c r="AR330" s="263">
        <f>IFERROR(AR331*(1-N(AR332)),0)</f>
        <v>5261.22500967217</v>
      </c>
      <c r="AS330" s="263">
        <f>IFERROR(AS331*(1-N(AS332)),0)</f>
        <v>5811.90574121562</v>
      </c>
      <c r="AT330" s="263">
        <f>IFERROR(AT331*(1-N(AT332)),0)</f>
        <v>6244.66687339522</v>
      </c>
      <c r="AU330" s="263">
        <f>IFERROR(AU331*(1-N(AU332)),0)</f>
        <v>6392.76173995795</v>
      </c>
      <c r="AV330" s="263">
        <f>IFERROR(AV331*(1-N(AV332)),0)</f>
        <v>23710.559364241</v>
      </c>
      <c r="AW330" s="263">
        <f>IFERROR(AW331*(1-N(AW332)),0)</f>
        <v>6043.95975673576</v>
      </c>
      <c r="AX330" s="263">
        <f>IFERROR(AX331*(1-N(AX332)),0)</f>
        <v>6676.56759505093</v>
      </c>
      <c r="AY330" s="263">
        <f>IFERROR(AY331*(1-N(AY332)),0)</f>
        <v>7173.71243534277</v>
      </c>
      <c r="AZ330" s="263">
        <f>IFERROR(AZ331*(1-N(AZ332)),0)</f>
        <v>7343.84000297936</v>
      </c>
      <c r="BA330" s="263">
        <f>IFERROR(BA331*(1-N(BA332)),0)</f>
        <v>27238.0797901088</v>
      </c>
      <c r="BB330" s="263">
        <f>IFERROR(BB331*(1-N(BB332)),0)</f>
        <v>6912.92547135514</v>
      </c>
      <c r="BC330" s="263">
        <f>IFERROR(BC331*(1-N(BC332)),0)</f>
        <v>7636.48602021454</v>
      </c>
      <c r="BD330" s="263">
        <f>IFERROR(BD331*(1-N(BD332)),0)</f>
        <v>8205.10748159607</v>
      </c>
      <c r="BE330" s="263">
        <f>IFERROR(BE331*(1-N(BE332)),0)</f>
        <v>8399.69501080388</v>
      </c>
      <c r="BF330" s="263">
        <f>IFERROR(BF331*(1-N(BF332)),0)</f>
        <v>31154.2139839696</v>
      </c>
      <c r="BG330" s="85" t="n"/>
      <c r="BH330" s="76" t="n"/>
      <c r="BI330" s="76" t="n"/>
      <c r="BJ330" s="76" t="n"/>
      <c r="BL330" s="85" t="n"/>
      <c r="BM330" s="76" t="n"/>
      <c r="BN330" s="76" t="n"/>
      <c r="BO330" s="76" t="n"/>
      <c r="BQ330" s="85" t="n"/>
      <c r="BR330" s="76" t="n"/>
      <c r="BS330" s="76" t="n"/>
      <c r="BT330" s="76" t="n"/>
      <c r="BV330" s="85" t="n"/>
      <c r="BW330" s="76" t="n"/>
      <c r="BX330" s="76" t="n"/>
      <c r="BY330" s="76" t="n"/>
      <c r="CA330" s="85" t="n"/>
      <c r="CB330" s="76" t="n"/>
      <c r="CC330" s="76" t="n"/>
      <c r="CD330" s="76" t="n"/>
      <c r="CF330" s="85" t="n"/>
      <c r="CG330" s="76" t="n"/>
      <c r="CH330" s="76" t="n"/>
      <c r="CI330" s="76" t="n"/>
      <c r="CK330" s="85" t="n"/>
      <c r="CL330" s="76" t="n"/>
      <c r="CM330" s="76" t="n"/>
      <c r="CN330" s="76" t="n"/>
      <c r="CP330" s="85" t="n"/>
      <c r="CQ330" s="76" t="n"/>
      <c r="CR330" s="76" t="n"/>
      <c r="CS330" s="76" t="n"/>
      <c r="CU330" s="85" t="n"/>
      <c r="CV330" s="76" t="n"/>
      <c r="CW330" s="76" t="n"/>
      <c r="CX330" s="76" t="n"/>
    </row>
    <row r="331" customFormat="1" s="77">
      <c r="A331" s="76" t="n"/>
      <c r="B331" s="76" t="n"/>
      <c r="C331" s="77" t="inlineStr">
        <is>
          <t>EBIT</t>
        </is>
      </c>
      <c r="D331" s="86">
        <f>IFERROR(D113,"")</f>
        <v>0</v>
      </c>
      <c r="E331" s="86">
        <f>IFERROR(E113,"")</f>
        <v>0</v>
      </c>
      <c r="F331" s="86">
        <f>IFERROR(F113,"")</f>
        <v>0</v>
      </c>
      <c r="G331" s="86">
        <f>IFERROR(G113,"")</f>
        <v>0</v>
      </c>
      <c r="H331" s="263">
        <f>IFERROR(H56,0)</f>
        <v>0</v>
      </c>
      <c r="I331" s="263">
        <f>IFERROR(I56,0)</f>
        <v>2197</v>
      </c>
      <c r="J331" s="263">
        <f>IFERROR(J56,0)</f>
        <v>2341</v>
      </c>
      <c r="K331" s="263">
        <f>IFERROR(K56,0)</f>
        <v>2717</v>
      </c>
      <c r="L331" s="263">
        <f>IFERROR(L56,0)</f>
        <v>2827</v>
      </c>
      <c r="M331" s="263">
        <f>IFERROR(M56,0)</f>
        <v>10082</v>
      </c>
      <c r="N331" s="263">
        <f>IFERROR(N56,0)</f>
        <v>2950</v>
      </c>
      <c r="O331" s="263">
        <f>IFERROR(O56,0)</f>
        <v>3018</v>
      </c>
      <c r="P331" s="263">
        <f>IFERROR(P56,0)</f>
        <v>3112</v>
      </c>
      <c r="Q331" s="263">
        <f>IFERROR(Q56,0)</f>
        <v>3184</v>
      </c>
      <c r="R331" s="263">
        <f>IFERROR(R56,0)</f>
        <v>12264</v>
      </c>
      <c r="S331" s="263">
        <f>IFERROR(S56,0)</f>
        <v>3136</v>
      </c>
      <c r="T331" s="263">
        <f>IFERROR(T56,0)</f>
        <v>3656</v>
      </c>
      <c r="U331" s="263">
        <f>IFERROR(U56,0)</f>
        <v>3844</v>
      </c>
      <c r="V331" s="263">
        <f>IFERROR(V56,0)</f>
        <v>3372</v>
      </c>
      <c r="W331" s="263">
        <f>IFERROR(W56,0)</f>
        <v>14008</v>
      </c>
      <c r="X331" s="263">
        <f>IFERROR(X56,0)</f>
        <v>3604</v>
      </c>
      <c r="Y331" s="263">
        <f>IFERROR(Y56,0)</f>
        <v>4036</v>
      </c>
      <c r="Z331" s="263">
        <f>IFERROR(Z56,0)</f>
        <v>4004</v>
      </c>
      <c r="AA331" s="263">
        <f>IFERROR(AA56,0)</f>
        <v>3938</v>
      </c>
      <c r="AB331" s="263">
        <f>IFERROR(AB56,0)</f>
        <v>15582</v>
      </c>
      <c r="AC331" s="263">
        <f>IFERROR(AC56,0)</f>
        <v>4149</v>
      </c>
      <c r="AD331" s="263">
        <f>IFERROR(AD56,0)</f>
        <v>4777</v>
      </c>
      <c r="AE331" s="263">
        <f>IFERROR(AE56,0)</f>
        <v>5061</v>
      </c>
      <c r="AF331" s="263">
        <f>IFERROR(AF56,0)</f>
        <v>4910</v>
      </c>
      <c r="AG331" s="263">
        <f>IFERROR(AG56,0)</f>
        <v>18897</v>
      </c>
      <c r="AH331" s="263">
        <f>IFERROR(AH56,0)</f>
        <v>4907</v>
      </c>
      <c r="AI331" s="263">
        <f>IFERROR(AI56,0)</f>
        <v>5587</v>
      </c>
      <c r="AJ331" s="263">
        <f>IFERROR(AJ56,0)</f>
        <v>5801.42807492636</v>
      </c>
      <c r="AK331" s="263">
        <f>IFERROR(AK56,0)</f>
        <v>5939.01134943054</v>
      </c>
      <c r="AL331" s="263">
        <f>IFERROR(AL56,0)</f>
        <v>22234.4394243569</v>
      </c>
      <c r="AM331" s="263">
        <f>IFERROR(AM56,0)</f>
        <v>5663.84480042218</v>
      </c>
      <c r="AN331" s="263">
        <f>IFERROR(AN56,0)</f>
        <v>6256.66685085932</v>
      </c>
      <c r="AO331" s="263">
        <f>IFERROR(AO56,0)</f>
        <v>6722.54540268217</v>
      </c>
      <c r="AP331" s="263">
        <f>IFERROR(AP56,0)</f>
        <v>6881.97335689598</v>
      </c>
      <c r="AQ331" s="263">
        <f>IFERROR(AQ56,0)</f>
        <v>25525.0304108597</v>
      </c>
      <c r="AR331" s="263">
        <f>IFERROR(AR56,0)</f>
        <v>6534.79822446625</v>
      </c>
      <c r="AS331" s="263">
        <f>IFERROR(AS56,0)</f>
        <v>7218.7810345765</v>
      </c>
      <c r="AT331" s="263">
        <f>IFERROR(AT56,0)</f>
        <v>7756.29970617604</v>
      </c>
      <c r="AU331" s="263">
        <f>IFERROR(AU56,0)</f>
        <v>7940.24357272567</v>
      </c>
      <c r="AV331" s="263">
        <f>IFERROR(AV56,0)</f>
        <v>29450.1225379445</v>
      </c>
      <c r="AW331" s="263">
        <f>IFERROR(AW56,0)</f>
        <v>7507.00785738174</v>
      </c>
      <c r="AX331" s="263">
        <f>IFERROR(AX56,0)</f>
        <v>8292.74968956067</v>
      </c>
      <c r="AY331" s="263">
        <f>IFERROR(AY56,0)</f>
        <v>8910.23729247999</v>
      </c>
      <c r="AZ331" s="263">
        <f>IFERROR(AZ56,0)</f>
        <v>9121.54726779572</v>
      </c>
      <c r="BA331" s="263">
        <f>IFERROR(BA56,0)</f>
        <v>33831.5421072181</v>
      </c>
      <c r="BB331" s="263">
        <f>IFERROR(BB56,0)</f>
        <v>8586.32219930353</v>
      </c>
      <c r="BC331" s="263">
        <f>IFERROR(BC56,0)</f>
        <v>9485.03346546069</v>
      </c>
      <c r="BD331" s="263">
        <f>IFERROR(BD56,0)</f>
        <v>10191.2998785866</v>
      </c>
      <c r="BE331" s="263">
        <f>IFERROR(BE56,0)</f>
        <v>10432.9907847981</v>
      </c>
      <c r="BF331" s="263">
        <f>IFERROR(BF56,0)</f>
        <v>38695.646328149</v>
      </c>
      <c r="BG331" s="63" t="n"/>
      <c r="BH331" s="63" t="n"/>
      <c r="BI331" s="63" t="n"/>
      <c r="BJ331" s="63" t="n"/>
      <c r="BL331" s="63" t="n"/>
      <c r="BM331" s="63" t="n"/>
      <c r="BN331" s="63" t="n"/>
      <c r="BO331" s="63" t="n"/>
      <c r="BQ331" s="63" t="n"/>
      <c r="BR331" s="63" t="n"/>
      <c r="BS331" s="63" t="n"/>
      <c r="BT331" s="63" t="n"/>
      <c r="BV331" s="63" t="n"/>
      <c r="BW331" s="63" t="n"/>
      <c r="BX331" s="63" t="n"/>
      <c r="BY331" s="63" t="n"/>
      <c r="CA331" s="63" t="n"/>
      <c r="CB331" s="63" t="n"/>
      <c r="CC331" s="63" t="n"/>
      <c r="CD331" s="63" t="n"/>
      <c r="CF331" s="63" t="n"/>
      <c r="CG331" s="63" t="n"/>
      <c r="CH331" s="63" t="n"/>
      <c r="CI331" s="63" t="n"/>
      <c r="CK331" s="63" t="n"/>
      <c r="CL331" s="63" t="n"/>
      <c r="CM331" s="63" t="n"/>
      <c r="CN331" s="63" t="n"/>
      <c r="CP331" s="63" t="n"/>
      <c r="CQ331" s="63" t="n"/>
      <c r="CR331" s="63" t="n"/>
      <c r="CS331" s="63" t="n"/>
      <c r="CU331" s="63" t="n"/>
      <c r="CV331" s="63" t="n"/>
      <c r="CW331" s="63" t="n"/>
      <c r="CX331" s="63" t="n"/>
    </row>
    <row r="332" customFormat="1" s="77">
      <c r="A332" s="76" t="n"/>
      <c r="B332" s="76" t="n"/>
      <c r="C332" s="77" t="inlineStr">
        <is>
          <t>ETR (LIMITED TO 0%-100%)</t>
        </is>
      </c>
      <c r="D332" s="87">
        <f>IFERROR(D115,"")</f>
        <v>0</v>
      </c>
      <c r="E332" s="87">
        <f>IFERROR(E115,"")</f>
        <v>0</v>
      </c>
      <c r="F332" s="87">
        <f>IFERROR(F115,"")</f>
        <v>0</v>
      </c>
      <c r="G332" s="87">
        <f>IFERROR(G115,"")</f>
        <v>0</v>
      </c>
      <c r="H332" s="258" t="str">
        <f>IFERROR(IF(N(H113)&lt;&gt;0,MAX(0,MIN(1,-H114/H113)),""),"")</f>
        <v/>
      </c>
      <c r="I332" s="258">
        <f>IFERROR(IF(N(I113)&lt;&gt;0,MAX(0,MIN(1,-I114/I113)),""),"")</f>
        <v>0.165296803652968</v>
      </c>
      <c r="J332" s="258">
        <f>IFERROR(IF(N(J113)&lt;&gt;0,MAX(0,MIN(1,-J114/J113)),""),"")</f>
        <v>0.166263115415658</v>
      </c>
      <c r="K332" s="258">
        <f>IFERROR(IF(N(K113)&lt;&gt;0,MAX(0,MIN(1,-K114/K113)),""),"")</f>
        <v>0.142755681818182</v>
      </c>
      <c r="L332" s="258">
        <f>IFERROR(IF(N(L113)&lt;&gt;0,MAX(0,MIN(1,-L114/L113)),""),"")</f>
        <v>0.157279489904357</v>
      </c>
      <c r="M332" s="258">
        <f>IFERROR(IF(N(M113)&lt;&gt;0,MAX(0,MIN(1,-M114/M113)),""),"")</f>
        <v>0.157174735616571</v>
      </c>
      <c r="N332" s="258">
        <f>IFERROR(IF(N(N113)&lt;&gt;0,MAX(0,MIN(1,-N114/N113)),""),"")</f>
        <v>0.0512080778939776</v>
      </c>
      <c r="O332" s="258">
        <f>IFERROR(IF(N(O113)&lt;&gt;0,MAX(0,MIN(1,-O114/O113)),""),"")</f>
        <v>0.186919228020014</v>
      </c>
      <c r="P332" s="258">
        <f>IFERROR(IF(N(P113)&lt;&gt;0,MAX(0,MIN(1,-P114/P113)),""),"")</f>
        <v>0.1865234375</v>
      </c>
      <c r="Q332" s="258">
        <f>IFERROR(IF(N(Q113)&lt;&gt;0,MAX(0,MIN(1,-Q114/Q113)),""),"")</f>
        <v>0.18258336031078</v>
      </c>
      <c r="R332" s="258">
        <f>IFERROR(IF(N(R113)&lt;&gt;0,MAX(0,MIN(1,-R114/R113)),""),"")</f>
        <v>0.153596999659052</v>
      </c>
      <c r="S332" s="258">
        <f>IFERROR(IF(N(S113)&lt;&gt;0,MAX(0,MIN(1,-S114/S113)),""),"")</f>
        <v>0.172450052576236</v>
      </c>
      <c r="T332" s="258">
        <f>IFERROR(IF(N(T113)&lt;&gt;0,MAX(0,MIN(1,-T114/T113)),""),"")</f>
        <v>0.231911447084233</v>
      </c>
      <c r="U332" s="258">
        <f>IFERROR(IF(N(U113)&lt;&gt;0,MAX(0,MIN(1,-U114/U113)),""),"")</f>
        <v>0.14969423025791</v>
      </c>
      <c r="V332" s="258">
        <f>IFERROR(IF(N(V113)&lt;&gt;0,MAX(0,MIN(1,-V114/V113)),""),"")</f>
        <v>0.159590484793737</v>
      </c>
      <c r="W332" s="258">
        <f>IFERROR(IF(N(W113)&lt;&gt;0,MAX(0,MIN(1,-W114/W113)),""),"")</f>
        <v>0.179192022875577</v>
      </c>
      <c r="X332" s="258">
        <f>IFERROR(IF(N(X113)&lt;&gt;0,MAX(0,MIN(1,-X114/X113)),""),"")</f>
        <v>0.153738055087128</v>
      </c>
      <c r="Y332" s="258">
        <f>IFERROR(IF(N(Y113)&lt;&gt;0,MAX(0,MIN(1,-Y114/Y113)),""),"")</f>
        <v>0.172886519421173</v>
      </c>
      <c r="Z332" s="258">
        <f>IFERROR(IF(N(Z113)&lt;&gt;0,MAX(0,MIN(1,-Z114/Z113)),""),"")</f>
        <v>0.155975168132437</v>
      </c>
      <c r="AA332" s="258">
        <f>IFERROR(IF(N(AA113)&lt;&gt;0,MAX(0,MIN(1,-AA114/AA113)),""),"")</f>
        <v>0.141094834232845</v>
      </c>
      <c r="AB332" s="258">
        <f>IFERROR(IF(N(AB113)&lt;&gt;0,MAX(0,MIN(1,-AB114/AB113)),""),"")</f>
        <v>0.156024649272322</v>
      </c>
      <c r="AC332" s="258">
        <f>IFERROR(IF(N(AC113)&lt;&gt;0,MAX(0,MIN(1,-AC114/AC113)),""),"")</f>
        <v>0.186306127511784</v>
      </c>
      <c r="AD332" s="258">
        <f>IFERROR(IF(N(AD113)&lt;&gt;0,MAX(0,MIN(1,-AD114/AD113)),""),"")</f>
        <v>0.207833904109589</v>
      </c>
      <c r="AE332" s="258">
        <f>IFERROR(IF(N(AE113)&lt;&gt;0,MAX(0,MIN(1,-AE114/AE113)),""),"")</f>
        <v>0.214442888577716</v>
      </c>
      <c r="AF332" s="258">
        <f>IFERROR(IF(N(AF113)&lt;&gt;0,MAX(0,MIN(1,-AF114/AF113)),""),"")</f>
        <v>0.167350287120591</v>
      </c>
      <c r="AG332" s="258">
        <f>IFERROR(IF(N(AG113)&lt;&gt;0,MAX(0,MIN(1,-AG114/AG113)),""),"")</f>
        <v>0.19431585746582</v>
      </c>
      <c r="AH332" s="258">
        <f>IFERROR(IF(N(AH113)&lt;&gt;0,MAX(0,MIN(1,-AH114/AH113)),""),"")</f>
        <v>0.193266832917706</v>
      </c>
      <c r="AI332" s="258">
        <f>IFERROR(IF(N(AI113)&lt;&gt;0,MAX(0,MIN(1,-AI114/AI113)),""),"")</f>
        <v>0.200145825738243</v>
      </c>
      <c r="AJ332" s="258">
        <f>IFERROR(IF(N(AJ113)&lt;&gt;0,MAX(0,MIN(1,-AJ114/AJ113)),""),"")</f>
        <v>0.194890977662605</v>
      </c>
      <c r="AK332" s="258">
        <f>IFERROR(IF(N(AK113)&lt;&gt;0,MAX(0,MIN(1,-AK114/AK113)),""),"")</f>
        <v>0.194890977662605</v>
      </c>
      <c r="AL332" s="258">
        <f>IFERROR(IF(N(AL113)&lt;&gt;0,MAX(0,MIN(1,-AL114/AL113)),""),"")</f>
        <v>0.195834001737871</v>
      </c>
      <c r="AM332" s="258">
        <f>IFERROR(IF(N(AM113)&lt;&gt;0,MAX(0,MIN(1,-AM114/AM113)),""),"")</f>
        <v>0.194890977662605</v>
      </c>
      <c r="AN332" s="258">
        <f>IFERROR(IF(N(AN113)&lt;&gt;0,MAX(0,MIN(1,-AN114/AN113)),""),"")</f>
        <v>0.194890977662605</v>
      </c>
      <c r="AO332" s="258">
        <f>IFERROR(IF(N(AO113)&lt;&gt;0,MAX(0,MIN(1,-AO114/AO113)),""),"")</f>
        <v>0.194890977662605</v>
      </c>
      <c r="AP332" s="258">
        <f>IFERROR(IF(N(AP113)&lt;&gt;0,MAX(0,MIN(1,-AP114/AP113)),""),"")</f>
        <v>0.194890977662605</v>
      </c>
      <c r="AQ332" s="258">
        <f>IFERROR(IF(N(AQ113)&lt;&gt;0,MAX(0,MIN(1,-AQ114/AQ113)),""),"")</f>
        <v>0.194890977662605</v>
      </c>
      <c r="AR332" s="258">
        <f>IFERROR(IF(N(AR113)&lt;&gt;0,MAX(0,MIN(1,-AR114/AR113)),""),"")</f>
        <v>0.194890977662605</v>
      </c>
      <c r="AS332" s="258">
        <f>IFERROR(IF(N(AS113)&lt;&gt;0,MAX(0,MIN(1,-AS114/AS113)),""),"")</f>
        <v>0.194890977662605</v>
      </c>
      <c r="AT332" s="258">
        <f>IFERROR(IF(N(AT113)&lt;&gt;0,MAX(0,MIN(1,-AT114/AT113)),""),"")</f>
        <v>0.194890977662605</v>
      </c>
      <c r="AU332" s="258">
        <f>IFERROR(IF(N(AU113)&lt;&gt;0,MAX(0,MIN(1,-AU114/AU113)),""),"")</f>
        <v>0.194890977662605</v>
      </c>
      <c r="AV332" s="258">
        <f>IFERROR(IF(N(AV113)&lt;&gt;0,MAX(0,MIN(1,-AV114/AV113)),""),"")</f>
        <v>0.194890977662605</v>
      </c>
      <c r="AW332" s="258">
        <f>IFERROR(IF(N(AW113)&lt;&gt;0,MAX(0,MIN(1,-AW114/AW113)),""),"")</f>
        <v>0.194890977662605</v>
      </c>
      <c r="AX332" s="258">
        <f>IFERROR(IF(N(AX113)&lt;&gt;0,MAX(0,MIN(1,-AX114/AX113)),""),"")</f>
        <v>0.194890977662605</v>
      </c>
      <c r="AY332" s="258">
        <f>IFERROR(IF(N(AY113)&lt;&gt;0,MAX(0,MIN(1,-AY114/AY113)),""),"")</f>
        <v>0.194890977662605</v>
      </c>
      <c r="AZ332" s="258">
        <f>IFERROR(IF(N(AZ113)&lt;&gt;0,MAX(0,MIN(1,-AZ114/AZ113)),""),"")</f>
        <v>0.194890977662605</v>
      </c>
      <c r="BA332" s="258">
        <f>IFERROR(IF(N(BA113)&lt;&gt;0,MAX(0,MIN(1,-BA114/BA113)),""),"")</f>
        <v>0.194890977662605</v>
      </c>
      <c r="BB332" s="258">
        <f>IFERROR(IF(N(BB113)&lt;&gt;0,MAX(0,MIN(1,-BB114/BB113)),""),"")</f>
        <v>0.194890977662605</v>
      </c>
      <c r="BC332" s="258">
        <f>IFERROR(IF(N(BC113)&lt;&gt;0,MAX(0,MIN(1,-BC114/BC113)),""),"")</f>
        <v>0.194890977662605</v>
      </c>
      <c r="BD332" s="258">
        <f>IFERROR(IF(N(BD113)&lt;&gt;0,MAX(0,MIN(1,-BD114/BD113)),""),"")</f>
        <v>0.194890977662605</v>
      </c>
      <c r="BE332" s="258">
        <f>IFERROR(IF(N(BE113)&lt;&gt;0,MAX(0,MIN(1,-BE114/BE113)),""),"")</f>
        <v>0.194890977662605</v>
      </c>
      <c r="BF332" s="258">
        <f>IFERROR(IF(N(BF113)&lt;&gt;0,MAX(0,MIN(1,-BF114/BF113)),""),"")</f>
        <v>0.194890977662605</v>
      </c>
      <c r="BG332" s="88" t="n"/>
      <c r="BH332" s="88" t="n"/>
      <c r="BI332" s="88" t="n"/>
      <c r="BJ332" s="88" t="n"/>
      <c r="BL332" s="88" t="n"/>
      <c r="BM332" s="88" t="n"/>
      <c r="BN332" s="88" t="n"/>
      <c r="BO332" s="88" t="n"/>
      <c r="BQ332" s="88" t="n"/>
      <c r="BR332" s="88" t="n"/>
      <c r="BS332" s="88" t="n"/>
      <c r="BT332" s="88" t="n"/>
      <c r="BV332" s="88" t="n"/>
      <c r="BW332" s="88" t="n"/>
      <c r="BX332" s="88" t="n"/>
      <c r="BY332" s="88" t="n"/>
      <c r="CA332" s="88" t="n"/>
      <c r="CB332" s="88" t="n"/>
      <c r="CC332" s="88" t="n"/>
      <c r="CD332" s="88" t="n"/>
      <c r="CF332" s="88" t="n"/>
      <c r="CG332" s="88" t="n"/>
      <c r="CH332" s="88" t="n"/>
      <c r="CI332" s="88" t="n"/>
      <c r="CK332" s="88" t="n"/>
      <c r="CL332" s="88" t="n"/>
      <c r="CM332" s="88" t="n"/>
      <c r="CN332" s="88" t="n"/>
      <c r="CP332" s="88" t="n"/>
      <c r="CQ332" s="88" t="n"/>
      <c r="CR332" s="88" t="n"/>
      <c r="CS332" s="88" t="n"/>
      <c r="CU332" s="88" t="n"/>
      <c r="CV332" s="88" t="n"/>
      <c r="CW332" s="88" t="n"/>
      <c r="CX332" s="88" t="n"/>
    </row>
    <row r="333" customFormat="1" s="77">
      <c r="A333" s="76" t="n"/>
      <c r="B333" s="76" t="n"/>
      <c r="C333" s="77" t="inlineStr">
        <is>
          <t>INVESTED CAPITAL</t>
        </is>
      </c>
      <c r="D333" s="86">
        <f>IFERROR(D336-D337+D338,"")</f>
        <v>0</v>
      </c>
      <c r="E333" s="86">
        <f>IFERROR(E336-E337+E338,"")</f>
        <v>0</v>
      </c>
      <c r="F333" s="86">
        <f>IFERROR(F336-F337+F338,"")</f>
        <v>0</v>
      </c>
      <c r="G333" s="86">
        <f>IFERROR(G336-G337+G338,"")</f>
        <v>0</v>
      </c>
      <c r="H333" s="263">
        <f>IFERROR(H335+H338,0)</f>
        <v>0</v>
      </c>
      <c r="I333" s="263">
        <f>IFERROR(I335+I338,0)</f>
        <v>12979</v>
      </c>
      <c r="J333" s="263">
        <f>IFERROR(J335+J338,0)</f>
        <v>14102</v>
      </c>
      <c r="K333" s="263">
        <f>IFERROR(K335+K338,0)</f>
        <v>14121</v>
      </c>
      <c r="L333" s="263">
        <f>IFERROR(L335+L338,0)</f>
        <v>13814</v>
      </c>
      <c r="M333" s="263">
        <f>IFERROR(M335+M338,0)</f>
        <v>13814</v>
      </c>
      <c r="N333" s="263">
        <f>IFERROR(N335+N338,0)</f>
        <v>14834</v>
      </c>
      <c r="O333" s="263">
        <f>IFERROR(O335+O338,0)</f>
        <v>14755</v>
      </c>
      <c r="P333" s="263">
        <f>IFERROR(P335+P338,0)</f>
        <v>13278</v>
      </c>
      <c r="Q333" s="263">
        <f>IFERROR(Q335+Q338,0)</f>
        <v>13385</v>
      </c>
      <c r="R333" s="263">
        <f>IFERROR(R335+R338,0)</f>
        <v>13385</v>
      </c>
      <c r="S333" s="263">
        <f>IFERROR(S335+S338,0)</f>
        <v>14396</v>
      </c>
      <c r="T333" s="263">
        <f>IFERROR(T335+T338,0)</f>
        <v>15080</v>
      </c>
      <c r="U333" s="263">
        <f>IFERROR(U335+U338,0)</f>
        <v>14840</v>
      </c>
      <c r="V333" s="263">
        <f>IFERROR(V335+V338,0)</f>
        <v>13867</v>
      </c>
      <c r="W333" s="263">
        <f>IFERROR(W335+W338,0)</f>
        <v>13867</v>
      </c>
      <c r="X333" s="263">
        <f>IFERROR(X335+X338,0)</f>
        <v>15625</v>
      </c>
      <c r="Y333" s="263">
        <f>IFERROR(Y335+Y338,0)</f>
        <v>16066</v>
      </c>
      <c r="Z333" s="263">
        <f>IFERROR(Z335+Z338,0)</f>
        <v>14804</v>
      </c>
      <c r="AA333" s="263">
        <f>IFERROR(AA335+AA338,0)</f>
        <v>16286</v>
      </c>
      <c r="AB333" s="263">
        <f>IFERROR(AB335+AB338,0)</f>
        <v>16286</v>
      </c>
      <c r="AC333" s="263">
        <f>IFERROR(AC335+AC338,0)</f>
        <v>17919</v>
      </c>
      <c r="AD333" s="263">
        <f>IFERROR(AD335+AD338,0)</f>
        <v>17838</v>
      </c>
      <c r="AE333" s="263">
        <f>IFERROR(AE335+AE338,0)</f>
        <v>16580</v>
      </c>
      <c r="AF333" s="263">
        <f>IFERROR(AF335+AF338,0)</f>
        <v>16155</v>
      </c>
      <c r="AG333" s="263">
        <f>IFERROR(AG335+AG338,0)</f>
        <v>16155</v>
      </c>
      <c r="AH333" s="263">
        <f>IFERROR(AH335+AH338,0)</f>
        <v>17794</v>
      </c>
      <c r="AI333" s="263">
        <f>IFERROR(AI335+AI338,0)</f>
        <v>18955</v>
      </c>
      <c r="AJ333" s="263">
        <f>IFERROR(AJ335+AJ338,0)</f>
        <v>18279.4468549092</v>
      </c>
      <c r="AK333" s="263">
        <f>IFERROR(AK335+AK338,0)</f>
        <v>16087.1300774753</v>
      </c>
      <c r="AL333" s="263">
        <f>IFERROR(AL335+AL338,0)</f>
        <v>16087.1300774753</v>
      </c>
      <c r="AM333" s="263">
        <f>IFERROR(AM335+AM338,0)</f>
        <v>13251.8542383621</v>
      </c>
      <c r="AN333" s="263">
        <f>IFERROR(AN335+AN338,0)</f>
        <v>10601.3342132697</v>
      </c>
      <c r="AO333" s="263">
        <f>IFERROR(AO335+AO338,0)</f>
        <v>7321.17304585377</v>
      </c>
      <c r="AP333" s="263">
        <f>IFERROR(AP335+AP338,0)</f>
        <v>3236.72677495045</v>
      </c>
      <c r="AQ333" s="263">
        <f>IFERROR(AQ335+AQ338,0)</f>
        <v>3236.72677495045</v>
      </c>
      <c r="AR333" s="263">
        <f>IFERROR(AR335+AR338,0)</f>
        <v>-1772.90693624037</v>
      </c>
      <c r="AS333" s="263">
        <f>IFERROR(AS335+AS338,0)</f>
        <v>-6647.2097922732</v>
      </c>
      <c r="AT333" s="263">
        <f>IFERROR(AT335+AT338,0)</f>
        <v>-12585.0669707043</v>
      </c>
      <c r="AU333" s="263">
        <f>IFERROR(AU335+AU338,0)</f>
        <v>-19760.4949007489</v>
      </c>
      <c r="AV333" s="263">
        <f>IFERROR(AV335+AV338,0)</f>
        <v>-19760.4949007489</v>
      </c>
      <c r="AW333" s="263">
        <f>IFERROR(AW335+AW338,0)</f>
        <v>-28213.8685156765</v>
      </c>
      <c r="AX333" s="263">
        <f>IFERROR(AX335+AX338,0)</f>
        <v>-37013.1280273718</v>
      </c>
      <c r="AY333" s="263">
        <f>IFERROR(AY335+AY338,0)</f>
        <v>-47390.7237640257</v>
      </c>
      <c r="AZ333" s="263">
        <f>IFERROR(AZ335+AZ338,0)</f>
        <v>-59682.0180751338</v>
      </c>
      <c r="BA333" s="263">
        <f>IFERROR(BA335+BA338,0)</f>
        <v>-59682.0180751338</v>
      </c>
      <c r="BB333" s="263">
        <f>IFERROR(BB335+BB338,0)</f>
        <v>-73870.3457414542</v>
      </c>
      <c r="BC333" s="263">
        <f>IFERROR(BC335+BC338,0)</f>
        <v>-89015.5899875334</v>
      </c>
      <c r="BD333" s="263">
        <f>IFERROR(BD335+BD338,0)</f>
        <v>-106641.968643586</v>
      </c>
      <c r="BE333" s="263">
        <f>IFERROR(BE335+BE338,0)</f>
        <v>-127222.106978331</v>
      </c>
      <c r="BF333" s="263">
        <f>IFERROR(BF335+BF338,0)</f>
        <v>-127222.106978331</v>
      </c>
      <c r="BG333" s="63" t="n"/>
      <c r="BH333" s="63" t="n"/>
      <c r="BI333" s="63" t="n"/>
      <c r="BJ333" s="63" t="n"/>
      <c r="BL333" s="63" t="n"/>
      <c r="BM333" s="63" t="n"/>
      <c r="BN333" s="63" t="n"/>
      <c r="BO333" s="63" t="n"/>
      <c r="BQ333" s="63" t="n"/>
      <c r="BR333" s="63" t="n"/>
      <c r="BS333" s="63" t="n"/>
      <c r="BT333" s="63" t="n"/>
      <c r="BV333" s="63" t="n"/>
      <c r="BW333" s="63" t="n"/>
      <c r="BX333" s="63" t="n"/>
      <c r="BY333" s="63" t="n"/>
      <c r="CA333" s="63" t="n"/>
      <c r="CB333" s="63" t="n"/>
      <c r="CC333" s="63" t="n"/>
      <c r="CD333" s="63" t="n"/>
      <c r="CF333" s="63" t="n"/>
      <c r="CG333" s="63" t="n"/>
      <c r="CH333" s="63" t="n"/>
      <c r="CI333" s="63" t="n"/>
      <c r="CK333" s="63" t="n"/>
      <c r="CL333" s="63" t="n"/>
      <c r="CM333" s="63" t="n"/>
      <c r="CN333" s="63" t="n"/>
      <c r="CP333" s="63" t="n"/>
      <c r="CQ333" s="63" t="n"/>
      <c r="CR333" s="63" t="n"/>
      <c r="CS333" s="63" t="n"/>
      <c r="CU333" s="63" t="n"/>
      <c r="CV333" s="63" t="n"/>
      <c r="CW333" s="63" t="n"/>
      <c r="CX333" s="63" t="n"/>
    </row>
    <row r="334" customFormat="1" s="77">
      <c r="A334" s="76" t="n"/>
      <c r="B334" s="76" t="n"/>
      <c r="C334" s="77" t="inlineStr">
        <is>
          <t>INVESTED CAPITAL - EX GOODWILL</t>
        </is>
      </c>
      <c r="D334" s="89">
        <f>IFERROR(D333-D162,"")</f>
        <v>0</v>
      </c>
      <c r="E334" s="89">
        <f>IFERROR(E333-E162,"")</f>
        <v>0</v>
      </c>
      <c r="F334" s="89">
        <f>IFERROR(F333-F162,"")</f>
        <v>0</v>
      </c>
      <c r="G334" s="89">
        <f>IFERROR(G333-G162,"")</f>
        <v>0</v>
      </c>
      <c r="H334" s="263">
        <f>IFERROR(H333-N(H162),0)</f>
        <v>0</v>
      </c>
      <c r="I334" s="263">
        <f>IFERROR(I333-N(I162),0)</f>
        <v>5928</v>
      </c>
      <c r="J334" s="263">
        <f>IFERROR(J333-N(J162),0)</f>
        <v>6441</v>
      </c>
      <c r="K334" s="263">
        <f>IFERROR(K333-N(K162),0)</f>
        <v>6552</v>
      </c>
      <c r="L334" s="263">
        <f>IFERROR(L333-N(L162),0)</f>
        <v>6152</v>
      </c>
      <c r="M334" s="263">
        <f>IFERROR(M333-N(M162),0)</f>
        <v>6152</v>
      </c>
      <c r="N334" s="263">
        <f>IFERROR(N333-N(N162),0)</f>
        <v>7209</v>
      </c>
      <c r="O334" s="263">
        <f>IFERROR(O333-N(O162),0)</f>
        <v>7236</v>
      </c>
      <c r="P334" s="263">
        <f>IFERROR(P333-N(P162),0)</f>
        <v>6102</v>
      </c>
      <c r="Q334" s="263">
        <f>IFERROR(Q333-N(Q162),0)</f>
        <v>5863</v>
      </c>
      <c r="R334" s="263">
        <f>IFERROR(R333-N(R162),0)</f>
        <v>5863</v>
      </c>
      <c r="S334" s="263">
        <f>IFERROR(S333-N(S162),0)</f>
        <v>6821</v>
      </c>
      <c r="T334" s="263">
        <f>IFERROR(T333-N(T162),0)</f>
        <v>7501</v>
      </c>
      <c r="U334" s="263">
        <f>IFERROR(U333-N(U162),0)</f>
        <v>7352</v>
      </c>
      <c r="V334" s="263">
        <f>IFERROR(V333-N(V162),0)</f>
        <v>6207</v>
      </c>
      <c r="W334" s="263">
        <f>IFERROR(W333-N(W162),0)</f>
        <v>6207</v>
      </c>
      <c r="X334" s="263">
        <f>IFERROR(X333-N(X162),0)</f>
        <v>8080</v>
      </c>
      <c r="Y334" s="263">
        <f>IFERROR(Y333-N(Y162),0)</f>
        <v>8503</v>
      </c>
      <c r="Z334" s="263">
        <f>IFERROR(Z333-N(Z162),0)</f>
        <v>7083</v>
      </c>
      <c r="AA334" s="263">
        <f>IFERROR(AA333-N(AA162),0)</f>
        <v>7093</v>
      </c>
      <c r="AB334" s="263">
        <f>IFERROR(AB333-N(AB162),0)</f>
        <v>7093</v>
      </c>
      <c r="AC334" s="263">
        <f>IFERROR(AC333-N(AC162),0)</f>
        <v>8567</v>
      </c>
      <c r="AD334" s="263">
        <f>IFERROR(AD333-N(AD162),0)</f>
        <v>8240</v>
      </c>
      <c r="AE334" s="263">
        <f>IFERROR(AE333-N(AE162),0)</f>
        <v>7006</v>
      </c>
      <c r="AF334" s="263">
        <f>IFERROR(AF333-N(AF162),0)</f>
        <v>6595</v>
      </c>
      <c r="AG334" s="263">
        <f>IFERROR(AG333-N(AG162),0)</f>
        <v>6595</v>
      </c>
      <c r="AH334" s="263">
        <f>IFERROR(AH333-N(AH162),0)</f>
        <v>8269</v>
      </c>
      <c r="AI334" s="263">
        <f>IFERROR(AI333-N(AI162),0)</f>
        <v>9457</v>
      </c>
      <c r="AJ334" s="263">
        <f>IFERROR(AJ333-N(AJ162),0)</f>
        <v>8781.44685490921</v>
      </c>
      <c r="AK334" s="263">
        <f>IFERROR(AK333-N(AK162),0)</f>
        <v>6589.13007747526</v>
      </c>
      <c r="AL334" s="263">
        <f>IFERROR(AL333-N(AL162),0)</f>
        <v>6589.13007747526</v>
      </c>
      <c r="AM334" s="263">
        <f>IFERROR(AM333-N(AM162),0)</f>
        <v>3753.8542383621</v>
      </c>
      <c r="AN334" s="263">
        <f>IFERROR(AN333-N(AN162),0)</f>
        <v>1103.33421326965</v>
      </c>
      <c r="AO334" s="263">
        <f>IFERROR(AO333-N(AO162),0)</f>
        <v>-2176.82695414623</v>
      </c>
      <c r="AP334" s="263">
        <f>IFERROR(AP333-N(AP162),0)</f>
        <v>-6261.27322504955</v>
      </c>
      <c r="AQ334" s="263">
        <f>IFERROR(AQ333-N(AQ162),0)</f>
        <v>-6261.27322504955</v>
      </c>
      <c r="AR334" s="263">
        <f>IFERROR(AR333-N(AR162),0)</f>
        <v>-11270.9069362404</v>
      </c>
      <c r="AS334" s="263">
        <f>IFERROR(AS333-N(AS162),0)</f>
        <v>-16145.2097922732</v>
      </c>
      <c r="AT334" s="263">
        <f>IFERROR(AT333-N(AT162),0)</f>
        <v>-22083.0669707043</v>
      </c>
      <c r="AU334" s="263">
        <f>IFERROR(AU333-N(AU162),0)</f>
        <v>-29258.4949007489</v>
      </c>
      <c r="AV334" s="263">
        <f>IFERROR(AV333-N(AV162),0)</f>
        <v>-29258.4949007489</v>
      </c>
      <c r="AW334" s="263">
        <f>IFERROR(AW333-N(AW162),0)</f>
        <v>-37711.8685156765</v>
      </c>
      <c r="AX334" s="263">
        <f>IFERROR(AX333-N(AX162),0)</f>
        <v>-46511.1280273718</v>
      </c>
      <c r="AY334" s="263">
        <f>IFERROR(AY333-N(AY162),0)</f>
        <v>-56888.7237640257</v>
      </c>
      <c r="AZ334" s="263">
        <f>IFERROR(AZ333-N(AZ162),0)</f>
        <v>-69180.0180751338</v>
      </c>
      <c r="BA334" s="263">
        <f>IFERROR(BA333-N(BA162),0)</f>
        <v>-69180.0180751338</v>
      </c>
      <c r="BB334" s="263">
        <f>IFERROR(BB333-N(BB162),0)</f>
        <v>-83368.3457414542</v>
      </c>
      <c r="BC334" s="263">
        <f>IFERROR(BC333-N(BC162),0)</f>
        <v>-98513.5899875334</v>
      </c>
      <c r="BD334" s="263">
        <f>IFERROR(BD333-N(BD162),0)</f>
        <v>-116139.968643586</v>
      </c>
      <c r="BE334" s="263">
        <f>IFERROR(BE333-N(BE162),0)</f>
        <v>-136720.106978331</v>
      </c>
      <c r="BF334" s="263">
        <f>IFERROR(BF333-N(BF162),0)</f>
        <v>-136720.106978331</v>
      </c>
      <c r="BG334" s="90" t="n"/>
      <c r="BH334" s="90" t="n"/>
      <c r="BI334" s="90" t="n"/>
      <c r="BJ334" s="90" t="n"/>
      <c r="BL334" s="90" t="n"/>
      <c r="BM334" s="90" t="n"/>
      <c r="BN334" s="90" t="n"/>
      <c r="BO334" s="90" t="n"/>
      <c r="BQ334" s="90" t="n"/>
      <c r="BR334" s="90" t="n"/>
      <c r="BS334" s="90" t="n"/>
      <c r="BT334" s="90" t="n"/>
      <c r="BV334" s="90" t="n"/>
      <c r="BW334" s="90" t="n"/>
      <c r="BX334" s="90" t="n"/>
      <c r="BY334" s="90" t="n"/>
      <c r="CA334" s="90" t="n"/>
      <c r="CB334" s="90" t="n"/>
      <c r="CC334" s="90" t="n"/>
      <c r="CD334" s="90" t="n"/>
      <c r="CF334" s="90" t="n"/>
      <c r="CG334" s="90" t="n"/>
      <c r="CH334" s="90" t="n"/>
      <c r="CI334" s="90" t="n"/>
      <c r="CK334" s="90" t="n"/>
      <c r="CL334" s="90" t="n"/>
      <c r="CM334" s="90" t="n"/>
      <c r="CN334" s="90" t="n"/>
      <c r="CP334" s="90" t="n"/>
      <c r="CQ334" s="90" t="n"/>
      <c r="CR334" s="90" t="n"/>
      <c r="CS334" s="90" t="n"/>
      <c r="CU334" s="90" t="n"/>
      <c r="CV334" s="90" t="n"/>
      <c r="CW334" s="90" t="n"/>
      <c r="CX334" s="90" t="n"/>
    </row>
    <row r="335" customFormat="1" s="77">
      <c r="A335" s="76" t="n"/>
      <c r="B335" s="76" t="n"/>
      <c r="C335" s="77" t="inlineStr">
        <is>
          <t>OPERATING WORKING CAPITAL</t>
        </is>
      </c>
      <c r="D335" s="91">
        <f>IFERROR(D336-D337,"")</f>
        <v>0</v>
      </c>
      <c r="E335" s="91">
        <f>IFERROR(E336-E337,"")</f>
        <v>0</v>
      </c>
      <c r="F335" s="91">
        <f>IFERROR(F336-F337,"")</f>
        <v>0</v>
      </c>
      <c r="G335" s="91">
        <f>IFERROR(G336-G337,"")</f>
        <v>0</v>
      </c>
      <c r="H335" s="263">
        <f>IFERROR(H336-H337,0)</f>
        <v>0</v>
      </c>
      <c r="I335" s="263">
        <f>IFERROR(I336-I337,0)</f>
        <v>-1697</v>
      </c>
      <c r="J335" s="263">
        <f>IFERROR(J336-J337,0)</f>
        <v>-1875</v>
      </c>
      <c r="K335" s="263">
        <f>IFERROR(K336-K337,0)</f>
        <v>-1974</v>
      </c>
      <c r="L335" s="263">
        <f>IFERROR(L336-L337,0)</f>
        <v>-2829</v>
      </c>
      <c r="M335" s="263">
        <f>IFERROR(M336-M337,0)</f>
        <v>-2829</v>
      </c>
      <c r="N335" s="263">
        <f>IFERROR(N336-N337,0)</f>
        <v>-1730</v>
      </c>
      <c r="O335" s="263">
        <f>IFERROR(O336-O337,0)</f>
        <v>-1578</v>
      </c>
      <c r="P335" s="263">
        <f>IFERROR(P336-P337,0)</f>
        <v>-2672</v>
      </c>
      <c r="Q335" s="263">
        <f>IFERROR(Q336-Q337,0)</f>
        <v>-3548</v>
      </c>
      <c r="R335" s="263">
        <f>IFERROR(R336-R337,0)</f>
        <v>-3548</v>
      </c>
      <c r="S335" s="263">
        <f>IFERROR(S336-S337,0)</f>
        <v>-2656</v>
      </c>
      <c r="T335" s="263">
        <f>IFERROR(T336-T337,0)</f>
        <v>-2163</v>
      </c>
      <c r="U335" s="263">
        <f>IFERROR(U336-U337,0)</f>
        <v>-2321</v>
      </c>
      <c r="V335" s="263">
        <f>IFERROR(V336-V337,0)</f>
        <v>-3791</v>
      </c>
      <c r="W335" s="263">
        <f>IFERROR(W336-W337,0)</f>
        <v>-3791</v>
      </c>
      <c r="X335" s="263">
        <f>IFERROR(X336-X337,0)</f>
        <v>-2723</v>
      </c>
      <c r="Y335" s="263">
        <f>IFERROR(Y336-Y337,0)</f>
        <v>-2663</v>
      </c>
      <c r="Z335" s="263">
        <f>IFERROR(Z336-Z337,0)</f>
        <v>-4033</v>
      </c>
      <c r="AA335" s="263">
        <f>IFERROR(AA336-AA337,0)</f>
        <v>-5904</v>
      </c>
      <c r="AB335" s="263">
        <f>IFERROR(AB336-AB337,0)</f>
        <v>-5904</v>
      </c>
      <c r="AC335" s="263">
        <f>IFERROR(AC336-AC337,0)</f>
        <v>-4343</v>
      </c>
      <c r="AD335" s="263">
        <f>IFERROR(AD336-AD337,0)</f>
        <v>-4686</v>
      </c>
      <c r="AE335" s="263">
        <f>IFERROR(AE336-AE337,0)</f>
        <v>-6572</v>
      </c>
      <c r="AF335" s="263">
        <f>IFERROR(AF336-AF337,0)</f>
        <v>-7786</v>
      </c>
      <c r="AG335" s="263">
        <f>IFERROR(AG336-AG337,0)</f>
        <v>-7786</v>
      </c>
      <c r="AH335" s="263">
        <f>IFERROR(AH336-AH337,0)</f>
        <v>-5511</v>
      </c>
      <c r="AI335" s="263">
        <f>IFERROR(AI336-AI337,0)</f>
        <v>-6191</v>
      </c>
      <c r="AJ335" s="263">
        <f>IFERROR(AJ336-AJ337,0)</f>
        <v>-6945.06531205921</v>
      </c>
      <c r="AK335" s="263">
        <f>IFERROR(AK336-AK337,0)</f>
        <v>-9217.75620508534</v>
      </c>
      <c r="AL335" s="263">
        <f>IFERROR(AL336-AL337,0)</f>
        <v>-9217.75620508534</v>
      </c>
      <c r="AM335" s="263">
        <f>IFERROR(AM336-AM337,0)</f>
        <v>-12129.6822625432</v>
      </c>
      <c r="AN335" s="263">
        <f>IFERROR(AN336-AN337,0)</f>
        <v>-14864.8753140209</v>
      </c>
      <c r="AO335" s="263">
        <f>IFERROR(AO336-AO337,0)</f>
        <v>-18236.0143579684</v>
      </c>
      <c r="AP335" s="263">
        <f>IFERROR(AP336-AP337,0)</f>
        <v>-22413.596083503</v>
      </c>
      <c r="AQ335" s="263">
        <f>IFERROR(AQ336-AQ337,0)</f>
        <v>-22413.596083503</v>
      </c>
      <c r="AR335" s="263">
        <f>IFERROR(AR336-AR337,0)</f>
        <v>-27511.6668420343</v>
      </c>
      <c r="AS335" s="263">
        <f>IFERROR(AS336-AS337,0)</f>
        <v>-32483.6632546492</v>
      </c>
      <c r="AT335" s="263">
        <f>IFERROR(AT336-AT337,0)</f>
        <v>-38526.4883633422</v>
      </c>
      <c r="AU335" s="263">
        <f>IFERROR(AU336-AU337,0)</f>
        <v>-45809.3735816787</v>
      </c>
      <c r="AV335" s="263">
        <f>IFERROR(AV336-AV337,0)</f>
        <v>-45809.3735816787</v>
      </c>
      <c r="AW335" s="263">
        <f>IFERROR(AW336-AW337,0)</f>
        <v>-54364.3413983649</v>
      </c>
      <c r="AX335" s="263">
        <f>IFERROR(AX336-AX337,0)</f>
        <v>-63275.8287511789</v>
      </c>
      <c r="AY335" s="263">
        <f>IFERROR(AY336-AY337,0)</f>
        <v>-73774.0089420396</v>
      </c>
      <c r="AZ335" s="263">
        <f>IFERROR(AZ336-AZ337,0)</f>
        <v>-86188.7474177311</v>
      </c>
      <c r="BA335" s="263">
        <f>IFERROR(BA336-BA337,0)</f>
        <v>-86188.7474177311</v>
      </c>
      <c r="BB335" s="263">
        <f>IFERROR(BB336-BB337,0)</f>
        <v>-100493.275914855</v>
      </c>
      <c r="BC335" s="263">
        <f>IFERROR(BC336-BC337,0)</f>
        <v>-115766.883474506</v>
      </c>
      <c r="BD335" s="263">
        <f>IFERROR(BD336-BD337,0)</f>
        <v>-133531.183522905</v>
      </c>
      <c r="BE335" s="263">
        <f>IFERROR(BE336-BE337,0)</f>
        <v>-154252.514113057</v>
      </c>
      <c r="BF335" s="263">
        <f>IFERROR(BF336-BF337,0)</f>
        <v>-154252.514113057</v>
      </c>
      <c r="BG335" s="63" t="n"/>
      <c r="BH335" s="63" t="n"/>
      <c r="BI335" s="63" t="n"/>
      <c r="BJ335" s="63" t="n"/>
      <c r="BL335" s="63" t="n"/>
      <c r="BM335" s="63" t="n"/>
      <c r="BN335" s="63" t="n"/>
      <c r="BO335" s="63" t="n"/>
      <c r="BQ335" s="63" t="n"/>
      <c r="BR335" s="63" t="n"/>
      <c r="BS335" s="63" t="n"/>
      <c r="BT335" s="63" t="n"/>
      <c r="BV335" s="63" t="n"/>
      <c r="BW335" s="63" t="n"/>
      <c r="BX335" s="63" t="n"/>
      <c r="BY335" s="63" t="n"/>
      <c r="CA335" s="63" t="n"/>
      <c r="CB335" s="63" t="n"/>
      <c r="CC335" s="63" t="n"/>
      <c r="CD335" s="63" t="n"/>
      <c r="CF335" s="63" t="n"/>
      <c r="CG335" s="63" t="n"/>
      <c r="CH335" s="63" t="n"/>
      <c r="CI335" s="63" t="n"/>
      <c r="CK335" s="63" t="n"/>
      <c r="CL335" s="63" t="n"/>
      <c r="CM335" s="63" t="n"/>
      <c r="CN335" s="63" t="n"/>
      <c r="CP335" s="63" t="n"/>
      <c r="CQ335" s="63" t="n"/>
      <c r="CR335" s="63" t="n"/>
      <c r="CS335" s="63" t="n"/>
      <c r="CU335" s="63" t="n"/>
      <c r="CV335" s="63" t="n"/>
      <c r="CW335" s="63" t="n"/>
      <c r="CX335" s="63" t="n"/>
    </row>
    <row r="336" customFormat="1" s="77">
      <c r="A336" s="76" t="n"/>
      <c r="B336" s="76" t="n"/>
      <c r="C336" s="77" t="inlineStr">
        <is>
          <t>CURRENT ASSETS (OPERATING, EX CASH)</t>
        </is>
      </c>
      <c r="D336" s="89">
        <f>IFERROR(D128+D132+D136+D137+D138,"")</f>
        <v>0</v>
      </c>
      <c r="E336" s="89">
        <f>IFERROR(E128+E132+E136+E137+E138,"")</f>
        <v>0</v>
      </c>
      <c r="F336" s="89">
        <f>IFERROR(F128+F132+F136+F137+F138,"")</f>
        <v>0</v>
      </c>
      <c r="G336" s="89">
        <f>IFERROR(G128+G132+G136+G137+G138,"")</f>
        <v>0</v>
      </c>
      <c r="H336" s="263">
        <f>IFERROR((N(H128)+N(H132)+N(H136)+N(H137)+N(H138)),0)</f>
        <v>0</v>
      </c>
      <c r="I336" s="263">
        <f>IFERROR((N(I128)+N(I132)+N(I136)+N(I137)+N(I138)),0)</f>
        <v>9129</v>
      </c>
      <c r="J336" s="263">
        <f>IFERROR((N(J128)+N(J132)+N(J136)+N(J137)+N(J138)),0)</f>
        <v>8773</v>
      </c>
      <c r="K336" s="263">
        <f>IFERROR((N(K128)+N(K132)+N(K136)+N(K137)+N(K138)),0)</f>
        <v>8937</v>
      </c>
      <c r="L336" s="263">
        <f>IFERROR((N(L128)+N(L132)+N(L136)+N(L137)+N(L138)),0)</f>
        <v>9541</v>
      </c>
      <c r="M336" s="263">
        <f>IFERROR((N(M128)+N(M132)+N(M136)+N(M137)+N(M138)),0)</f>
        <v>9541</v>
      </c>
      <c r="N336" s="263">
        <f>IFERROR((N(N128)+N(N132)+N(N136)+N(N137)+N(N138)),0)</f>
        <v>9420</v>
      </c>
      <c r="O336" s="263">
        <f>IFERROR((N(O128)+N(O132)+N(O136)+N(O137)+N(O138)),0)</f>
        <v>9772</v>
      </c>
      <c r="P336" s="263">
        <f>IFERROR((N(P128)+N(P132)+N(P136)+N(P137)+N(P138)),0)</f>
        <v>9847</v>
      </c>
      <c r="Q336" s="263">
        <f>IFERROR((N(Q128)+N(Q132)+N(Q136)+N(Q137)+N(Q138)),0)</f>
        <v>10349</v>
      </c>
      <c r="R336" s="263">
        <f>IFERROR((N(R128)+N(R132)+N(R136)+N(R137)+N(R138)),0)</f>
        <v>10349</v>
      </c>
      <c r="S336" s="263">
        <f>IFERROR((N(S128)+N(S132)+N(S136)+N(S137)+N(S138)),0)</f>
        <v>10719</v>
      </c>
      <c r="T336" s="263">
        <f>IFERROR((N(T128)+N(T132)+N(T136)+N(T137)+N(T138)),0)</f>
        <v>11137</v>
      </c>
      <c r="U336" s="263">
        <f>IFERROR((N(U128)+N(U132)+N(U136)+N(U137)+N(U138)),0)</f>
        <v>10861</v>
      </c>
      <c r="V336" s="263">
        <f>IFERROR((N(V128)+N(V132)+N(V136)+N(V137)+N(V138)),0)</f>
        <v>11136</v>
      </c>
      <c r="W336" s="263">
        <f>IFERROR((N(W128)+N(W132)+N(W136)+N(W137)+N(W138)),0)</f>
        <v>11136</v>
      </c>
      <c r="X336" s="263">
        <f>IFERROR((N(X128)+N(X132)+N(X136)+N(X137)+N(X138)),0)</f>
        <v>12096</v>
      </c>
      <c r="Y336" s="263">
        <f>IFERROR((N(Y128)+N(Y132)+N(Y136)+N(Y137)+N(Y138)),0)</f>
        <v>11845</v>
      </c>
      <c r="Z336" s="263">
        <f>IFERROR((N(Z128)+N(Z132)+N(Z136)+N(Z137)+N(Z138)),0)</f>
        <v>12511</v>
      </c>
      <c r="AA336" s="263">
        <f>IFERROR((N(AA128)+N(AA132)+N(AA136)+N(AA137)+N(AA138)),0)</f>
        <v>12566</v>
      </c>
      <c r="AB336" s="263">
        <f>IFERROR((N(AB128)+N(AB132)+N(AB136)+N(AB137)+N(AB138)),0)</f>
        <v>12566</v>
      </c>
      <c r="AC336" s="263">
        <f>IFERROR((N(AC128)+N(AC132)+N(AC136)+N(AC137)+N(AC138)),0)</f>
        <v>13485</v>
      </c>
      <c r="AD336" s="263">
        <f>IFERROR((N(AD128)+N(AD132)+N(AD136)+N(AD137)+N(AD138)),0)</f>
        <v>14343</v>
      </c>
      <c r="AE336" s="263">
        <f>IFERROR((N(AE128)+N(AE132)+N(AE136)+N(AE137)+N(AE138)),0)</f>
        <v>14121</v>
      </c>
      <c r="AF336" s="263">
        <f>IFERROR((N(AF128)+N(AF132)+N(AF136)+N(AF137)+N(AF138)),0)</f>
        <v>14227</v>
      </c>
      <c r="AG336" s="263">
        <f>IFERROR((N(AG128)+N(AG132)+N(AG136)+N(AG137)+N(AG138)),0)</f>
        <v>14227</v>
      </c>
      <c r="AH336" s="263">
        <f>IFERROR((N(AH128)+N(AH132)+N(AH136)+N(AH137)+N(AH138)),0)</f>
        <v>15675</v>
      </c>
      <c r="AI336" s="263">
        <f>IFERROR((N(AI128)+N(AI132)+N(AI136)+N(AI137)+N(AI138)),0)</f>
        <v>16354</v>
      </c>
      <c r="AJ336" s="263">
        <f>IFERROR((N(AJ128)+N(AJ132)+N(AJ136)+N(AJ137)+N(AJ138)),0)</f>
        <v>16538.2866994974</v>
      </c>
      <c r="AK336" s="263">
        <f>IFERROR((N(AK128)+N(AK132)+N(AK136)+N(AK137)+N(AK138)),0)</f>
        <v>16662.3488346634</v>
      </c>
      <c r="AL336" s="263">
        <f>IFERROR((N(AL128)+N(AL132)+N(AL136)+N(AL137)+N(AL138)),0)</f>
        <v>16662.3488346634</v>
      </c>
      <c r="AM336" s="263">
        <f>IFERROR((N(AM128)+N(AM132)+N(AM136)+N(AM137)+N(AM138)),0)</f>
        <v>16527.7184435388</v>
      </c>
      <c r="AN336" s="263">
        <f>IFERROR((N(AN128)+N(AN132)+N(AN136)+N(AN137)+N(AN138)),0)</f>
        <v>17010.7840643166</v>
      </c>
      <c r="AO336" s="263">
        <f>IFERROR((N(AO128)+N(AO132)+N(AO136)+N(AO137)+N(AO138)),0)</f>
        <v>17368.8802642425</v>
      </c>
      <c r="AP336" s="263">
        <f>IFERROR((N(AP128)+N(AP132)+N(AP136)+N(AP137)+N(AP138)),0)</f>
        <v>17512.6402705092</v>
      </c>
      <c r="AQ336" s="263">
        <f>IFERROR((N(AQ128)+N(AQ132)+N(AQ136)+N(AQ137)+N(AQ138)),0)</f>
        <v>17512.6402705092</v>
      </c>
      <c r="AR336" s="263">
        <f>IFERROR((N(AR128)+N(AR132)+N(AR136)+N(AR137)+N(AR138)),0)</f>
        <v>17264.3378069691</v>
      </c>
      <c r="AS336" s="263">
        <f>IFERROR((N(AS128)+N(AS132)+N(AS136)+N(AS137)+N(AS138)),0)</f>
        <v>17887.8791182725</v>
      </c>
      <c r="AT336" s="263">
        <f>IFERROR((N(AT128)+N(AT132)+N(AT136)+N(AT137)+N(AT138)),0)</f>
        <v>18301.0412888338</v>
      </c>
      <c r="AU336" s="263">
        <f>IFERROR((N(AU128)+N(AU132)+N(AU136)+N(AU137)+N(AU138)),0)</f>
        <v>18466.9078806638</v>
      </c>
      <c r="AV336" s="263">
        <f>IFERROR((N(AV128)+N(AV132)+N(AV136)+N(AV137)+N(AV138)),0)</f>
        <v>18466.9078806638</v>
      </c>
      <c r="AW336" s="263">
        <f>IFERROR((N(AW128)+N(AW132)+N(AW136)+N(AW137)+N(AW138)),0)</f>
        <v>18226.676608</v>
      </c>
      <c r="AX336" s="263">
        <f>IFERROR((N(AX128)+N(AX132)+N(AX136)+N(AX137)+N(AX138)),0)</f>
        <v>18866.9444010969</v>
      </c>
      <c r="AY336" s="263">
        <f>IFERROR((N(AY128)+N(AY132)+N(AY136)+N(AY137)+N(AY138)),0)</f>
        <v>19341.5744591702</v>
      </c>
      <c r="AZ336" s="263">
        <f>IFERROR((N(AZ128)+N(AZ132)+N(AZ136)+N(AZ137)+N(AZ138)),0)</f>
        <v>19532.1177269766</v>
      </c>
      <c r="BA336" s="263">
        <f>IFERROR((N(BA128)+N(BA132)+N(BA136)+N(BA137)+N(BA138)),0)</f>
        <v>19532.1177269766</v>
      </c>
      <c r="BB336" s="263">
        <f>IFERROR((N(BB128)+N(BB132)+N(BB136)+N(BB137)+N(BB138)),0)</f>
        <v>19221.5478464963</v>
      </c>
      <c r="BC336" s="263">
        <f>IFERROR((N(BC128)+N(BC132)+N(BC136)+N(BC137)+N(BC138)),0)</f>
        <v>19953.869654307</v>
      </c>
      <c r="BD336" s="263">
        <f>IFERROR((N(BD128)+N(BD132)+N(BD136)+N(BD137)+N(BD138)),0)</f>
        <v>20496.7392877902</v>
      </c>
      <c r="BE336" s="263">
        <f>IFERROR((N(BE128)+N(BE132)+N(BE136)+N(BE137)+N(BE138)),0)</f>
        <v>20714.6777689235</v>
      </c>
      <c r="BF336" s="263">
        <f>IFERROR((N(BF128)+N(BF132)+N(BF136)+N(BF137)+N(BF138)),0)</f>
        <v>20714.6777689235</v>
      </c>
      <c r="BG336" s="90" t="n"/>
      <c r="BH336" s="90" t="n"/>
      <c r="BI336" s="90" t="n"/>
      <c r="BJ336" s="90" t="n"/>
      <c r="BL336" s="90" t="n"/>
      <c r="BM336" s="90" t="n"/>
      <c r="BN336" s="90" t="n"/>
      <c r="BO336" s="90" t="n"/>
      <c r="BQ336" s="90" t="n"/>
      <c r="BR336" s="90" t="n"/>
      <c r="BS336" s="90" t="n"/>
      <c r="BT336" s="90" t="n"/>
      <c r="BV336" s="90" t="n"/>
      <c r="BW336" s="90" t="n"/>
      <c r="BX336" s="90" t="n"/>
      <c r="BY336" s="90" t="n"/>
      <c r="CA336" s="90" t="n"/>
      <c r="CB336" s="90" t="n"/>
      <c r="CC336" s="90" t="n"/>
      <c r="CD336" s="90" t="n"/>
      <c r="CF336" s="90" t="n"/>
      <c r="CG336" s="90" t="n"/>
      <c r="CH336" s="90" t="n"/>
      <c r="CI336" s="90" t="n"/>
      <c r="CK336" s="90" t="n"/>
      <c r="CL336" s="90" t="n"/>
      <c r="CM336" s="90" t="n"/>
      <c r="CN336" s="90" t="n"/>
      <c r="CP336" s="90" t="n"/>
      <c r="CQ336" s="90" t="n"/>
      <c r="CR336" s="90" t="n"/>
      <c r="CS336" s="90" t="n"/>
      <c r="CU336" s="90" t="n"/>
      <c r="CV336" s="90" t="n"/>
      <c r="CW336" s="90" t="n"/>
      <c r="CX336" s="90" t="n"/>
    </row>
    <row r="337" customFormat="1" s="77">
      <c r="A337" s="76" t="n"/>
      <c r="B337" s="76" t="n"/>
      <c r="C337" s="77" t="inlineStr">
        <is>
          <t>CURRENT LIABILITIES (OPERATING, EX DEBT)</t>
        </is>
      </c>
      <c r="D337" s="89">
        <f>IFERROR(D181+D185+D187+D188,"")</f>
        <v>0</v>
      </c>
      <c r="E337" s="89">
        <f>IFERROR(E181+E185+E187+E188,"")</f>
        <v>0</v>
      </c>
      <c r="F337" s="89">
        <f>IFERROR(F181+F185+F187+F188,"")</f>
        <v>0</v>
      </c>
      <c r="G337" s="89">
        <f>IFERROR(G181+G185+G187+G188,"")</f>
        <v>0</v>
      </c>
      <c r="H337" s="263">
        <f>IFERROR((N(H181)+N(H185)+N(H187)+N(H188)),0)</f>
        <v>0</v>
      </c>
      <c r="I337" s="263">
        <f>IFERROR((N(I181)+N(I185)+N(I187)+N(I188)),0)</f>
        <v>10826</v>
      </c>
      <c r="J337" s="263">
        <f>IFERROR((N(J181)+N(J185)+N(J187)+N(J188)),0)</f>
        <v>10648</v>
      </c>
      <c r="K337" s="263">
        <f>IFERROR((N(K181)+N(K185)+N(K187)+N(K188)),0)</f>
        <v>10911</v>
      </c>
      <c r="L337" s="263">
        <f>IFERROR((N(L181)+N(L185)+N(L187)+N(L188)),0)</f>
        <v>12370</v>
      </c>
      <c r="M337" s="263">
        <f>IFERROR((N(M181)+N(M185)+N(M187)+N(M188)),0)</f>
        <v>12370</v>
      </c>
      <c r="N337" s="263">
        <f>IFERROR((N(N181)+N(N185)+N(N187)+N(N188)),0)</f>
        <v>11150</v>
      </c>
      <c r="O337" s="263">
        <f>IFERROR((N(O181)+N(O185)+N(O187)+N(O188)),0)</f>
        <v>11350</v>
      </c>
      <c r="P337" s="263">
        <f>IFERROR((N(P181)+N(P185)+N(P187)+N(P188)),0)</f>
        <v>12519</v>
      </c>
      <c r="Q337" s="263">
        <f>IFERROR((N(Q181)+N(Q185)+N(Q187)+N(Q188)),0)</f>
        <v>13897</v>
      </c>
      <c r="R337" s="263">
        <f>IFERROR((N(R181)+N(R185)+N(R187)+N(R188)),0)</f>
        <v>13897</v>
      </c>
      <c r="S337" s="263">
        <f>IFERROR((N(S181)+N(S185)+N(S187)+N(S188)),0)</f>
        <v>13375</v>
      </c>
      <c r="T337" s="263">
        <f>IFERROR((N(T181)+N(T185)+N(T187)+N(T188)),0)</f>
        <v>13300</v>
      </c>
      <c r="U337" s="263">
        <f>IFERROR((N(U181)+N(U185)+N(U187)+N(U188)),0)</f>
        <v>13182</v>
      </c>
      <c r="V337" s="263">
        <f>IFERROR((N(V181)+N(V185)+N(V187)+N(V188)),0)</f>
        <v>14927</v>
      </c>
      <c r="W337" s="263">
        <f>IFERROR((N(W181)+N(W185)+N(W187)+N(W188)),0)</f>
        <v>14927</v>
      </c>
      <c r="X337" s="263">
        <f>IFERROR((N(X181)+N(X185)+N(X187)+N(X188)),0)</f>
        <v>14819</v>
      </c>
      <c r="Y337" s="263">
        <f>IFERROR((N(Y181)+N(Y185)+N(Y187)+N(Y188)),0)</f>
        <v>14508</v>
      </c>
      <c r="Z337" s="263">
        <f>IFERROR((N(Z181)+N(Z185)+N(Z187)+N(Z188)),0)</f>
        <v>16544</v>
      </c>
      <c r="AA337" s="263">
        <f>IFERROR((N(AA181)+N(AA185)+N(AA187)+N(AA188)),0)</f>
        <v>18470</v>
      </c>
      <c r="AB337" s="263">
        <f>IFERROR((N(AB181)+N(AB185)+N(AB187)+N(AB188)),0)</f>
        <v>18470</v>
      </c>
      <c r="AC337" s="263">
        <f>IFERROR((N(AC181)+N(AC185)+N(AC187)+N(AC188)),0)</f>
        <v>17828</v>
      </c>
      <c r="AD337" s="263">
        <f>IFERROR((N(AD181)+N(AD185)+N(AD187)+N(AD188)),0)</f>
        <v>19029</v>
      </c>
      <c r="AE337" s="263">
        <f>IFERROR((N(AE181)+N(AE185)+N(AE187)+N(AE188)),0)</f>
        <v>20693</v>
      </c>
      <c r="AF337" s="263">
        <f>IFERROR((N(AF181)+N(AF185)+N(AF187)+N(AF188)),0)</f>
        <v>22013</v>
      </c>
      <c r="AG337" s="263">
        <f>IFERROR((N(AG181)+N(AG185)+N(AG187)+N(AG188)),0)</f>
        <v>22013</v>
      </c>
      <c r="AH337" s="263">
        <f>IFERROR((N(AH181)+N(AH185)+N(AH187)+N(AH188)),0)</f>
        <v>21186</v>
      </c>
      <c r="AI337" s="263">
        <f>IFERROR((N(AI181)+N(AI185)+N(AI187)+N(AI188)),0)</f>
        <v>22545</v>
      </c>
      <c r="AJ337" s="263">
        <f>IFERROR((N(AJ181)+N(AJ185)+N(AJ187)+N(AJ188)),0)</f>
        <v>23483.3520115566</v>
      </c>
      <c r="AK337" s="263">
        <f>IFERROR((N(AK181)+N(AK185)+N(AK187)+N(AK188)),0)</f>
        <v>25880.1050397487</v>
      </c>
      <c r="AL337" s="263">
        <f>IFERROR((N(AL181)+N(AL185)+N(AL187)+N(AL188)),0)</f>
        <v>25880.1050397487</v>
      </c>
      <c r="AM337" s="263">
        <f>IFERROR((N(AM181)+N(AM185)+N(AM187)+N(AM188)),0)</f>
        <v>28657.400706082</v>
      </c>
      <c r="AN337" s="263">
        <f>IFERROR((N(AN181)+N(AN185)+N(AN187)+N(AN188)),0)</f>
        <v>31875.6593783374</v>
      </c>
      <c r="AO337" s="263">
        <f>IFERROR((N(AO181)+N(AO185)+N(AO187)+N(AO188)),0)</f>
        <v>35604.894622211</v>
      </c>
      <c r="AP337" s="263">
        <f>IFERROR((N(AP181)+N(AP185)+N(AP187)+N(AP188)),0)</f>
        <v>39926.2363540122</v>
      </c>
      <c r="AQ337" s="263">
        <f>IFERROR((N(AQ181)+N(AQ185)+N(AQ187)+N(AQ188)),0)</f>
        <v>39926.2363540122</v>
      </c>
      <c r="AR337" s="263">
        <f>IFERROR((N(AR181)+N(AR185)+N(AR187)+N(AR188)),0)</f>
        <v>44776.0046490034</v>
      </c>
      <c r="AS337" s="263">
        <f>IFERROR((N(AS181)+N(AS185)+N(AS187)+N(AS188)),0)</f>
        <v>50371.5423729218</v>
      </c>
      <c r="AT337" s="263">
        <f>IFERROR((N(AT181)+N(AT185)+N(AT187)+N(AT188)),0)</f>
        <v>56827.529652176</v>
      </c>
      <c r="AU337" s="263">
        <f>IFERROR((N(AU181)+N(AU185)+N(AU187)+N(AU188)),0)</f>
        <v>64276.2814623425</v>
      </c>
      <c r="AV337" s="263">
        <f>IFERROR((N(AV181)+N(AV185)+N(AV187)+N(AV188)),0)</f>
        <v>64276.2814623425</v>
      </c>
      <c r="AW337" s="263">
        <f>IFERROR((N(AW181)+N(AW185)+N(AW187)+N(AW188)),0)</f>
        <v>72591.0180063649</v>
      </c>
      <c r="AX337" s="263">
        <f>IFERROR((N(AX181)+N(AX185)+N(AX187)+N(AX188)),0)</f>
        <v>82142.7731522757</v>
      </c>
      <c r="AY337" s="263">
        <f>IFERROR((N(AY181)+N(AY185)+N(AY187)+N(AY188)),0)</f>
        <v>93115.5834012098</v>
      </c>
      <c r="AZ337" s="263">
        <f>IFERROR((N(AZ181)+N(AZ185)+N(AZ187)+N(AZ188)),0)</f>
        <v>105720.865144708</v>
      </c>
      <c r="BA337" s="263">
        <f>IFERROR((N(BA181)+N(BA185)+N(BA187)+N(BA188)),0)</f>
        <v>105720.865144708</v>
      </c>
      <c r="BB337" s="263">
        <f>IFERROR((N(BB181)+N(BB185)+N(BB187)+N(BB188)),0)</f>
        <v>119714.823761352</v>
      </c>
      <c r="BC337" s="263">
        <f>IFERROR((N(BC181)+N(BC185)+N(BC187)+N(BC188)),0)</f>
        <v>135720.753128813</v>
      </c>
      <c r="BD337" s="263">
        <f>IFERROR((N(BD181)+N(BD185)+N(BD187)+N(BD188)),0)</f>
        <v>154027.922810695</v>
      </c>
      <c r="BE337" s="263">
        <f>IFERROR((N(BE181)+N(BE185)+N(BE187)+N(BE188)),0)</f>
        <v>174967.19188198</v>
      </c>
      <c r="BF337" s="263">
        <f>IFERROR((N(BF181)+N(BF185)+N(BF187)+N(BF188)),0)</f>
        <v>174967.19188198</v>
      </c>
      <c r="BG337" s="90" t="n"/>
      <c r="BH337" s="90" t="n"/>
      <c r="BI337" s="90" t="n"/>
      <c r="BJ337" s="90" t="n"/>
      <c r="BL337" s="90" t="n"/>
      <c r="BM337" s="90" t="n"/>
      <c r="BN337" s="90" t="n"/>
      <c r="BO337" s="90" t="n"/>
      <c r="BQ337" s="90" t="n"/>
      <c r="BR337" s="90" t="n"/>
      <c r="BS337" s="90" t="n"/>
      <c r="BT337" s="90" t="n"/>
      <c r="BV337" s="90" t="n"/>
      <c r="BW337" s="90" t="n"/>
      <c r="BX337" s="90" t="n"/>
      <c r="BY337" s="90" t="n"/>
      <c r="CA337" s="90" t="n"/>
      <c r="CB337" s="90" t="n"/>
      <c r="CC337" s="90" t="n"/>
      <c r="CD337" s="90" t="n"/>
      <c r="CF337" s="90" t="n"/>
      <c r="CG337" s="90" t="n"/>
      <c r="CH337" s="90" t="n"/>
      <c r="CI337" s="90" t="n"/>
      <c r="CK337" s="90" t="n"/>
      <c r="CL337" s="90" t="n"/>
      <c r="CM337" s="90" t="n"/>
      <c r="CN337" s="90" t="n"/>
      <c r="CP337" s="90" t="n"/>
      <c r="CQ337" s="90" t="n"/>
      <c r="CR337" s="90" t="n"/>
      <c r="CS337" s="90" t="n"/>
      <c r="CU337" s="90" t="n"/>
      <c r="CV337" s="90" t="n"/>
      <c r="CW337" s="90" t="n"/>
      <c r="CX337" s="90" t="n"/>
    </row>
    <row r="338" customFormat="1" s="77">
      <c r="A338" s="76" t="n"/>
      <c r="B338" s="76" t="n"/>
      <c r="C338" s="77" t="inlineStr">
        <is>
          <t>FIXED ASSETS</t>
        </is>
      </c>
      <c r="D338" s="89">
        <f>IFERROR(D149+D159+D162+D163+D172-D223,"")</f>
        <v>0</v>
      </c>
      <c r="E338" s="89">
        <f>IFERROR(E149+E159+E162+E163+E172-E223,"")</f>
        <v>0</v>
      </c>
      <c r="F338" s="89">
        <f>IFERROR(F149+F159+F162+F163+F172-F223,"")</f>
        <v>0</v>
      </c>
      <c r="G338" s="89">
        <f>IFERROR(G149+G159+G162+G163+G172-G223,"")</f>
        <v>0</v>
      </c>
      <c r="H338" s="263">
        <f>IFERROR((N(H149)+N(H159)+N(H162)+N(H163)+N(H172))-N(H223),0)</f>
        <v>0</v>
      </c>
      <c r="I338" s="263">
        <f>IFERROR((N(I149)+N(I159)+N(I162)+N(I163)+N(I172))-N(I223),0)</f>
        <v>14676</v>
      </c>
      <c r="J338" s="263">
        <f>IFERROR((N(J149)+N(J159)+N(J162)+N(J163)+N(J172))-N(J223),0)</f>
        <v>15977</v>
      </c>
      <c r="K338" s="263">
        <f>IFERROR((N(K149)+N(K159)+N(K162)+N(K163)+N(K172))-N(K223),0)</f>
        <v>16095</v>
      </c>
      <c r="L338" s="263">
        <f>IFERROR((N(L149)+N(L159)+N(L162)+N(L163)+N(L172))-N(L223),0)</f>
        <v>16643</v>
      </c>
      <c r="M338" s="263">
        <f>IFERROR((N(M149)+N(M159)+N(M162)+N(M163)+N(M172))-N(M223),0)</f>
        <v>16643</v>
      </c>
      <c r="N338" s="263">
        <f>IFERROR((N(N149)+N(N159)+N(N162)+N(N163)+N(N172))-N(N223),0)</f>
        <v>16564</v>
      </c>
      <c r="O338" s="263">
        <f>IFERROR((N(O149)+N(O159)+N(O162)+N(O163)+N(O172))-N(O223),0)</f>
        <v>16333</v>
      </c>
      <c r="P338" s="263">
        <f>IFERROR((N(P149)+N(P159)+N(P162)+N(P163)+N(P172))-N(P223),0)</f>
        <v>15950</v>
      </c>
      <c r="Q338" s="263">
        <f>IFERROR((N(Q149)+N(Q159)+N(Q162)+N(Q163)+N(Q172))-N(Q223),0)</f>
        <v>16933</v>
      </c>
      <c r="R338" s="263">
        <f>IFERROR((N(R149)+N(R159)+N(R162)+N(R163)+N(R172))-N(R223),0)</f>
        <v>16933</v>
      </c>
      <c r="S338" s="263">
        <f>IFERROR((N(S149)+N(S159)+N(S162)+N(S163)+N(S172))-N(S223),0)</f>
        <v>17052</v>
      </c>
      <c r="T338" s="263">
        <f>IFERROR((N(T149)+N(T159)+N(T162)+N(T163)+N(T172))-N(T223),0)</f>
        <v>17243</v>
      </c>
      <c r="U338" s="263">
        <f>IFERROR((N(U149)+N(U159)+N(U162)+N(U163)+N(U172))-N(U223),0)</f>
        <v>17161</v>
      </c>
      <c r="V338" s="263">
        <f>IFERROR((N(V149)+N(V159)+N(V162)+N(V163)+N(V172))-N(V223),0)</f>
        <v>17658</v>
      </c>
      <c r="W338" s="263">
        <f>IFERROR((N(W149)+N(W159)+N(W162)+N(W163)+N(W172))-N(W223),0)</f>
        <v>17658</v>
      </c>
      <c r="X338" s="263">
        <f>IFERROR((N(X149)+N(X159)+N(X162)+N(X163)+N(X172))-N(X223),0)</f>
        <v>18348</v>
      </c>
      <c r="Y338" s="263">
        <f>IFERROR((N(Y149)+N(Y159)+N(Y162)+N(Y163)+N(Y172))-N(Y223),0)</f>
        <v>18729</v>
      </c>
      <c r="Z338" s="263">
        <f>IFERROR((N(Z149)+N(Z159)+N(Z162)+N(Z163)+N(Z172))-N(Z223),0)</f>
        <v>18837</v>
      </c>
      <c r="AA338" s="263">
        <f>IFERROR((N(AA149)+N(AA159)+N(AA162)+N(AA163)+N(AA172))-N(AA223),0)</f>
        <v>22190</v>
      </c>
      <c r="AB338" s="263">
        <f>IFERROR((N(AB149)+N(AB159)+N(AB162)+N(AB163)+N(AB172))-N(AB223),0)</f>
        <v>22190</v>
      </c>
      <c r="AC338" s="263">
        <f>IFERROR((N(AC149)+N(AC159)+N(AC162)+N(AC163)+N(AC172))-N(AC223),0)</f>
        <v>22262</v>
      </c>
      <c r="AD338" s="263">
        <f>IFERROR((N(AD149)+N(AD159)+N(AD162)+N(AD163)+N(AD172))-N(AD223),0)</f>
        <v>22524</v>
      </c>
      <c r="AE338" s="263">
        <f>IFERROR((N(AE149)+N(AE159)+N(AE162)+N(AE163)+N(AE172))-N(AE223),0)</f>
        <v>23152</v>
      </c>
      <c r="AF338" s="263">
        <f>IFERROR((N(AF149)+N(AF159)+N(AF162)+N(AF163)+N(AF172))-N(AF223),0)</f>
        <v>23941</v>
      </c>
      <c r="AG338" s="263">
        <f>IFERROR((N(AG149)+N(AG159)+N(AG162)+N(AG163)+N(AG172))-N(AG223),0)</f>
        <v>23941</v>
      </c>
      <c r="AH338" s="263">
        <f>IFERROR((N(AH149)+N(AH159)+N(AH162)+N(AH163)+N(AH172))-N(AH223),0)</f>
        <v>23305</v>
      </c>
      <c r="AI338" s="263">
        <f>IFERROR((N(AI149)+N(AI159)+N(AI162)+N(AI163)+N(AI172))-N(AI223),0)</f>
        <v>25146</v>
      </c>
      <c r="AJ338" s="263">
        <f>IFERROR((N(AJ149)+N(AJ159)+N(AJ162)+N(AJ163)+N(AJ172))-N(AJ223),0)</f>
        <v>25224.5121669684</v>
      </c>
      <c r="AK338" s="263">
        <f>IFERROR((N(AK149)+N(AK159)+N(AK162)+N(AK163)+N(AK172))-N(AK223),0)</f>
        <v>25304.8862825606</v>
      </c>
      <c r="AL338" s="263">
        <f>IFERROR((N(AL149)+N(AL159)+N(AL162)+N(AL163)+N(AL172))-N(AL223),0)</f>
        <v>25304.8862825606</v>
      </c>
      <c r="AM338" s="263">
        <f>IFERROR((N(AM149)+N(AM159)+N(AM162)+N(AM163)+N(AM172))-N(AM223),0)</f>
        <v>25381.5365009053</v>
      </c>
      <c r="AN338" s="263">
        <f>IFERROR((N(AN149)+N(AN159)+N(AN162)+N(AN163)+N(AN172))-N(AN223),0)</f>
        <v>25466.2095272905</v>
      </c>
      <c r="AO338" s="263">
        <f>IFERROR((N(AO149)+N(AO159)+N(AO162)+N(AO163)+N(AO172))-N(AO223),0)</f>
        <v>25557.1874038222</v>
      </c>
      <c r="AP338" s="263">
        <f>IFERROR((N(AP149)+N(AP159)+N(AP162)+N(AP163)+N(AP172))-N(AP223),0)</f>
        <v>25650.3228584535</v>
      </c>
      <c r="AQ338" s="263">
        <f>IFERROR((N(AQ149)+N(AQ159)+N(AQ162)+N(AQ163)+N(AQ172))-N(AQ223),0)</f>
        <v>25650.3228584535</v>
      </c>
      <c r="AR338" s="263">
        <f>IFERROR((N(AR149)+N(AR159)+N(AR162)+N(AR163)+N(AR172))-N(AR223),0)</f>
        <v>25738.7599057939</v>
      </c>
      <c r="AS338" s="263">
        <f>IFERROR((N(AS149)+N(AS159)+N(AS162)+N(AS163)+N(AS172))-N(AS223),0)</f>
        <v>25836.453462376</v>
      </c>
      <c r="AT338" s="263">
        <f>IFERROR((N(AT149)+N(AT159)+N(AT162)+N(AT163)+N(AT172))-N(AT223),0)</f>
        <v>25941.421392638</v>
      </c>
      <c r="AU338" s="263">
        <f>IFERROR((N(AU149)+N(AU159)+N(AU162)+N(AU163)+N(AU172))-N(AU223),0)</f>
        <v>26048.8786809298</v>
      </c>
      <c r="AV338" s="263">
        <f>IFERROR((N(AV149)+N(AV159)+N(AV162)+N(AV163)+N(AV172))-N(AV223),0)</f>
        <v>26048.8786809298</v>
      </c>
      <c r="AW338" s="263">
        <f>IFERROR((N(AW149)+N(AW159)+N(AW162)+N(AW163)+N(AW172))-N(AW223),0)</f>
        <v>26150.4728826884</v>
      </c>
      <c r="AX338" s="263">
        <f>IFERROR((N(AX149)+N(AX159)+N(AX162)+N(AX163)+N(AX172))-N(AX223),0)</f>
        <v>26262.700723807</v>
      </c>
      <c r="AY338" s="263">
        <f>IFERROR((N(AY149)+N(AY159)+N(AY162)+N(AY163)+N(AY172))-N(AY223),0)</f>
        <v>26383.2851780139</v>
      </c>
      <c r="AZ338" s="263">
        <f>IFERROR((N(AZ149)+N(AZ159)+N(AZ162)+N(AZ163)+N(AZ172))-N(AZ223),0)</f>
        <v>26506.7293425972</v>
      </c>
      <c r="BA338" s="263">
        <f>IFERROR((N(BA149)+N(BA159)+N(BA162)+N(BA163)+N(BA172))-N(BA223),0)</f>
        <v>26506.7293425972</v>
      </c>
      <c r="BB338" s="263">
        <f>IFERROR((N(BB149)+N(BB159)+N(BB162)+N(BB163)+N(BB172))-N(BB223),0)</f>
        <v>26622.9301734013</v>
      </c>
      <c r="BC338" s="263">
        <f>IFERROR((N(BC149)+N(BC159)+N(BC162)+N(BC163)+N(BC172))-N(BC223),0)</f>
        <v>26751.2934869723</v>
      </c>
      <c r="BD338" s="263">
        <f>IFERROR((N(BD149)+N(BD159)+N(BD162)+N(BD163)+N(BD172))-N(BD223),0)</f>
        <v>26889.2148793189</v>
      </c>
      <c r="BE338" s="263">
        <f>IFERROR((N(BE149)+N(BE159)+N(BE162)+N(BE163)+N(BE172))-N(BE223),0)</f>
        <v>27030.4071347252</v>
      </c>
      <c r="BF338" s="263">
        <f>IFERROR((N(BF149)+N(BF159)+N(BF162)+N(BF163)+N(BF172))-N(BF223),0)</f>
        <v>27030.4071347252</v>
      </c>
      <c r="BG338" s="90" t="n"/>
      <c r="BH338" s="90" t="n"/>
      <c r="BI338" s="90" t="n"/>
      <c r="BJ338" s="90" t="n"/>
      <c r="BL338" s="90" t="n"/>
      <c r="BM338" s="90" t="n"/>
      <c r="BN338" s="90" t="n"/>
      <c r="BO338" s="90" t="n"/>
      <c r="BQ338" s="90" t="n"/>
      <c r="BR338" s="90" t="n"/>
      <c r="BS338" s="90" t="n"/>
      <c r="BT338" s="90" t="n"/>
      <c r="BV338" s="90" t="n"/>
      <c r="BW338" s="90" t="n"/>
      <c r="BX338" s="90" t="n"/>
      <c r="BY338" s="90" t="n"/>
      <c r="CA338" s="90" t="n"/>
      <c r="CB338" s="90" t="n"/>
      <c r="CC338" s="90" t="n"/>
      <c r="CD338" s="90" t="n"/>
      <c r="CF338" s="90" t="n"/>
      <c r="CG338" s="90" t="n"/>
      <c r="CH338" s="90" t="n"/>
      <c r="CI338" s="90" t="n"/>
      <c r="CK338" s="90" t="n"/>
      <c r="CL338" s="90" t="n"/>
      <c r="CM338" s="90" t="n"/>
      <c r="CN338" s="90" t="n"/>
      <c r="CP338" s="90" t="n"/>
      <c r="CQ338" s="90" t="n"/>
      <c r="CR338" s="90" t="n"/>
      <c r="CS338" s="90" t="n"/>
      <c r="CU338" s="90" t="n"/>
      <c r="CV338" s="90" t="n"/>
      <c r="CW338" s="90" t="n"/>
      <c r="CX338" s="90" t="n"/>
    </row>
    <row r="339" customFormat="1" s="77">
      <c r="A339" s="76" t="n"/>
      <c r="B339" s="76" t="n"/>
    </row>
    <row r="340" customFormat="1" s="77">
      <c r="A340" s="76" t="n"/>
      <c r="B340" s="76" t="n"/>
    </row>
    <row r="341" customFormat="1" s="77">
      <c r="A341" s="76" t="n"/>
      <c r="B341" s="76" t="n"/>
    </row>
    <row r="342" customFormat="1" s="77">
      <c r="A342" s="76" t="n"/>
      <c r="B342" s="76" t="n"/>
    </row>
    <row r="343" customFormat="1" s="77">
      <c r="A343" s="76" t="n"/>
      <c r="B343" s="76" t="n"/>
    </row>
    <row r="344" customFormat="1" s="77">
      <c r="A344" s="76" t="n"/>
      <c r="B344" s="76" t="n"/>
    </row>
    <row r="345" customFormat="1" s="77">
      <c r="A345" s="76" t="n"/>
      <c r="B345" s="76" t="n"/>
    </row>
    <row r="346" customFormat="1" s="77">
      <c r="A346" s="76" t="n"/>
      <c r="B346" s="76" t="n"/>
      <c r="C346" s="74" t="inlineStr">
        <is>
          <t>DUPONT ANALYSIS</t>
        </is>
      </c>
    </row>
    <row r="347" customFormat="1" s="77">
      <c r="A347" s="76" t="n"/>
      <c r="B347" s="76" t="n"/>
      <c r="C347" s="77" t="inlineStr">
        <is>
          <t>NET PROFIT MARGIN (LTM)</t>
        </is>
      </c>
      <c r="D347" s="84" t="str">
        <f>IFERROR(D120/D15,"")</f>
        <v/>
      </c>
      <c r="E347" s="84" t="str">
        <f>IFERROR(E120/E15,"")</f>
        <v/>
      </c>
      <c r="F347" s="84" t="str">
        <f>IFERROR(F120/F15,"")</f>
        <v/>
      </c>
      <c r="G347" s="84" t="str">
        <f>IFERROR(G120/G15,"")</f>
        <v/>
      </c>
      <c r="H347" s="258" t="str">
        <f>IFERROR(IF(AND(COUNT(H120)=1,(H15)&lt;&gt;0),(H120)/(H15),""),"")</f>
        <v/>
      </c>
      <c r="I347" s="257" t="str">
        <f>""</f>
        <v/>
      </c>
      <c r="J347" s="257" t="str">
        <f>""</f>
        <v/>
      </c>
      <c r="K347" s="257" t="str">
        <f>""</f>
        <v/>
      </c>
      <c r="L347" s="257">
        <f>IFERROR(IF(AND(COUNT(I120,J120,K120,L120)=4,(I15+J15+K15+L15)&lt;&gt;0),(I120+J120+K120+L120)/(I15+J15+K15+L15),""),"")</f>
        <v>0.460019063757679</v>
      </c>
      <c r="M347" s="258">
        <f>IFERROR(IF(AND(COUNT(I120,J120,K120,L120)=4,(I15+J15+K15+L15)&lt;&gt;0),(I120+J120+K120+L120)/(I15+J15+K15+L15),""),"")</f>
        <v>0.460019063757679</v>
      </c>
      <c r="N347" s="257">
        <f>IFERROR(IF(AND(COUNT(J120,K120,L120,N120)=4,(J15+K15+L15+N15)&lt;&gt;0),(J120+K120+L120+N120)/(J15+K15+L15+N15),""),"")</f>
        <v>0.476980297547246</v>
      </c>
      <c r="O347" s="257">
        <f>IFERROR(IF(AND(COUNT(K120,L120,N120,O120)=4,(K15+L15+N15+O15)&lt;&gt;0),(K120+L120+N120+O120)/(K15+L15+N15+O15),""),"")</f>
        <v>0.464845434938893</v>
      </c>
      <c r="P347" s="257">
        <f>IFERROR(IF(AND(COUNT(L120,N120,O120,P120)=4,(L15+N15+O15+P15)&lt;&gt;0),(L120+N120+O120+P120)/(L15+N15+O15+P15),""),"")</f>
        <v>0.452209280828249</v>
      </c>
      <c r="Q347" s="257">
        <f>IFERROR(IF(AND(COUNT(N120,O120,P120,Q120)=4,(N15+O15+P15+Q15)&lt;&gt;0),(N120+O120+P120+Q120)/(N15+O15+P15+Q15),""),"")</f>
        <v>0.446553042226919</v>
      </c>
      <c r="R347" s="258">
        <f>IFERROR(IF(AND(COUNT(N120,O120,P120,Q120)=4,(N15+O15+P15+Q15)&lt;&gt;0),(N120+O120+P120+Q120)/(N15+O15+P15+Q15),""),"")</f>
        <v>0.446553042226919</v>
      </c>
      <c r="S347" s="257">
        <f>IFERROR(IF(AND(COUNT(O120,P120,Q120,S120)=4,(O15+P15+Q15+S15)&lt;&gt;0),(O120+P120+Q120+S120)/(O15+P15+Q15+S15),""),"")</f>
        <v>0.423349986852485</v>
      </c>
      <c r="T347" s="257">
        <f>IFERROR(IF(AND(COUNT(P120,Q120,S120,T120)=4,(P15+Q15+S15+T15)&lt;&gt;0),(P120+Q120+S120+T120)/(P15+Q15+S15+T15),""),"")</f>
        <v>0.433658329800763</v>
      </c>
      <c r="U347" s="257">
        <f>IFERROR(IF(AND(COUNT(Q120,S120,T120,U120)=4,(Q15+S15+T15+U15)&lt;&gt;0),(Q120+S120+T120+U120)/(Q15+S15+T15+U15),""),"")</f>
        <v>0.448516436163664</v>
      </c>
      <c r="V347" s="257">
        <f>IFERROR(IF(AND(COUNT(S120,T120,U120,V120)=4,(S15+T15+U15+V15)&lt;&gt;0),(S120+T120+U120+V120)/(S15+T15+U15+V15),""),"")</f>
        <v>0.446051478205435</v>
      </c>
      <c r="W347" s="258">
        <f>IFERROR(IF(AND(COUNT(S120,T120,U120,V120)=4,(S15+T15+U15+V15)&lt;&gt;0),(S120+T120+U120+V120)/(S15+T15+U15+V15),""),"")</f>
        <v>0.446051478205435</v>
      </c>
      <c r="X347" s="257">
        <f>IFERROR(IF(AND(COUNT(T120,U120,V120,X120)=4,(T15+U15+V15+X15)&lt;&gt;0),(T120+U120+V120+X120)/(T15+U15+V15+X15),""),"")</f>
        <v>0.460930811736322</v>
      </c>
      <c r="Y347" s="257">
        <f>IFERROR(IF(AND(COUNT(U120,V120,X120,Y120)=4,(U15+V15+X15+Y15)&lt;&gt;0),(U120+V120+X120+Y120)/(U15+V15+X15+Y15),""),"")</f>
        <v>0.464494126563092</v>
      </c>
      <c r="Z347" s="257">
        <f>IFERROR(IF(AND(COUNT(V120,X120,Y120,Z120)=4,(V15+X15+Y15+Z15)&lt;&gt;0),(V120+X120+Y120+Z120)/(V15+X15+Y15+Z15),""),"")</f>
        <v>0.452618820245354</v>
      </c>
      <c r="AA347" s="257">
        <f>IFERROR(IF(AND(COUNT(X120,Y120,Z120,AA120)=4,(X15+Y15+Z15+AA15)&lt;&gt;0),(X120+Y120+Z120+AA120)/(X15+Y15+Z15+AA15),""),"")</f>
        <v>0.457059679767103</v>
      </c>
      <c r="AB347" s="258">
        <f>IFERROR(IF(AND(COUNT(X120,Y120,Z120,AA120)=4,(X15+Y15+Z15+AA15)&lt;&gt;0),(X120+Y120+Z120+AA120)/(X15+Y15+Z15+AA15),""),"")</f>
        <v>0.457059679767103</v>
      </c>
      <c r="AC347" s="257">
        <f>IFERROR(IF(AND(COUNT(Y120,Z120,AA120,AC120)=4,(Y15+Z15+AA15+AC15)&lt;&gt;0),(Y120+Z120+AA120+AC120)/(Y15+Z15+AA15+AC15),""),"")</f>
        <v>0.452131136261997</v>
      </c>
      <c r="AD347" s="257">
        <f>IFERROR(IF(AND(COUNT(Z120,AA120,AC120,AD120)=4,(Z15+AA15+AC15+AD15)&lt;&gt;0),(Z120+AA120+AC120+AD120)/(Z15+AA15+AC15+AD15),""),"")</f>
        <v>0.449257630369366</v>
      </c>
      <c r="AE347" s="257">
        <f>IFERROR(IF(AND(COUNT(AA120,AC120,AD120,AE120)=4,(AA15+AC15+AD15+AE15)&lt;&gt;0),(AA120+AC120+AD120+AE120)/(AA15+AC15+AD15+AE15),""),"")</f>
        <v>0.452754654635572</v>
      </c>
      <c r="AF347" s="257">
        <f>IFERROR(IF(AND(COUNT(AB120,AD120,AE120,AF120)=4,(AB15+AD15+AE15+AF15)&lt;&gt;0),(AB120+AD120+AE120+AF120)/(AB15+AD15+AE15+AF15),""),"")</f>
        <v>0.457324793326879</v>
      </c>
      <c r="AG347" s="258">
        <f>IFERROR(IF(AND(COUNT(AC120,AD120,AE120,AF120)=4,(AC15+AD15+AE15+AF15)&lt;&gt;0),(AC120+AD120+AE120+AF120)/(AC15+AD15+AE15+AF15),""),"")</f>
        <v>0.456466713427465</v>
      </c>
      <c r="AH347" s="257">
        <f>IFERROR(IF(AND(COUNT(AD120,AF120,AG120,AH120)=4,(AD15+AF15+AG15+AH15)&lt;&gt;0),(AD120+AF120+AG120+AH120)/(AD15+AF15+AG15+AH15),""),"")</f>
        <v>0.457800027525461</v>
      </c>
      <c r="AI347" s="257">
        <f>IFERROR(IF(AND(COUNT(AE120,AG120,AH120,AI120)=4,(AE15+AG15+AH15+AI15)&lt;&gt;0),(AE120+AG120+AH120+AI120)/(AE15+AG15+AH15+AI15),""),"")</f>
        <v>0.459893681858197</v>
      </c>
      <c r="AJ347" s="257">
        <f>IFERROR(IF(AND(COUNT(AF120,AH120,AI120,AJ120)=4,(AF15+AH15+AI15+AJ15)&lt;&gt;0),(AF120+AH120+AI120+AJ120)/(AF15+AH15+AI15+AJ15),""),"")</f>
        <v>0.469090781110365</v>
      </c>
      <c r="AK347" s="257">
        <f>IFERROR(IF(AND(COUNT(AH120,AI120,AJ120,AK120)=4,(AH15+AI15+AJ15+AK15)&lt;&gt;0),(AH120+AI120+AJ120+AK120)/(AH15+AI15+AJ15+AK15),""),"")</f>
        <v>0.47345013053466</v>
      </c>
      <c r="AL347" s="258">
        <f>IFERROR(IF(AND(COUNT(AH120,AI120,AJ120,AK120)=4,(AH15+AI15+AJ15+AK15)&lt;&gt;0),(AH120+AI120+AJ120+AK120)/(AH15+AI15+AJ15+AK15),""),"")</f>
        <v>0.47345013053466</v>
      </c>
      <c r="AM347" s="257">
        <f>IFERROR(IF(AND(COUNT(AI120,AJ120,AK120,AM120)=4,(AI15+AJ15+AK15+AM15)&lt;&gt;0),(AI120+AJ120+AK120+AM120)/(AI15+AJ15+AK15+AM15),""),"")</f>
        <v>0.477059671705041</v>
      </c>
      <c r="AN347" s="257">
        <f>IFERROR(IF(AND(COUNT(AJ120,AK120,AM120,AN120)=4,(AJ15+AK15+AM15+AN15)&lt;&gt;0),(AJ120+AK120+AM120+AN120)/(AJ15+AK15+AM15+AN15),""),"")</f>
        <v>0.478319818214244</v>
      </c>
      <c r="AO347" s="257">
        <f>IFERROR(IF(AND(COUNT(AK120,AM120,AN120,AO120)=4,(AK15+AM15+AN15+AO15)&lt;&gt;0),(AK120+AM120+AN120+AO120)/(AK15+AM15+AN15+AO15),""),"")</f>
        <v>0.478319818214244</v>
      </c>
      <c r="AP347" s="257">
        <f>IFERROR(IF(AND(COUNT(AM120,AN120,AO120,AP120)=4,(AM15+AN15+AO15+AP15)&lt;&gt;0),(AM120+AN120+AO120+AP120)/(AM15+AN15+AO15+AP15),""),"")</f>
        <v>0.478319818214244</v>
      </c>
      <c r="AQ347" s="258">
        <f>IFERROR(IF(AND(COUNT(AM120,AN120,AO120,AP120)=4,(AM15+AN15+AO15+AP15)&lt;&gt;0),(AM120+AN120+AO120+AP120)/(AM15+AN15+AO15+AP15),""),"")</f>
        <v>0.478319818214244</v>
      </c>
      <c r="AR347" s="257">
        <f>IFERROR(IF(AND(COUNT(AN120,AO120,AP120,AR120)=4,(AN15+AO15+AP15+AR15)&lt;&gt;0),(AN120+AO120+AP120+AR120)/(AN15+AO15+AP15+AR15),""),"")</f>
        <v>0.478319818214244</v>
      </c>
      <c r="AS347" s="257">
        <f>IFERROR(IF(AND(COUNT(AO120,AP120,AR120,AS120)=4,(AO15+AP15+AR15+AS15)&lt;&gt;0),(AO120+AP120+AR120+AS120)/(AO15+AP15+AR15+AS15),""),"")</f>
        <v>0.478319818214244</v>
      </c>
      <c r="AT347" s="257">
        <f>IFERROR(IF(AND(COUNT(AP120,AR120,AS120,AT120)=4,(AP15+AR15+AS15+AT15)&lt;&gt;0),(AP120+AR120+AS120+AT120)/(AP15+AR15+AS15+AT15),""),"")</f>
        <v>0.478319818214244</v>
      </c>
      <c r="AU347" s="257">
        <f>IFERROR(IF(AND(COUNT(AR120,AS120,AT120,AU120)=4,(AR15+AS15+AT15+AU15)&lt;&gt;0),(AR120+AS120+AT120+AU120)/(AR15+AS15+AT15+AU15),""),"")</f>
        <v>0.478319818214244</v>
      </c>
      <c r="AV347" s="258">
        <f>IFERROR(IF(AND(COUNT(AR120,AS120,AT120,AU120)=4,(AR15+AS15+AT15+AU15)&lt;&gt;0),(AR120+AS120+AT120+AU120)/(AR15+AS15+AT15+AU15),""),"")</f>
        <v>0.478319818214244</v>
      </c>
      <c r="AW347" s="257">
        <f>IFERROR(IF(AND(COUNT(AS120,AT120,AU120,AW120)=4,(AS15+AT15+AU15+AW15)&lt;&gt;0),(AS120+AT120+AU120+AW120)/(AS15+AT15+AU15+AW15),""),"")</f>
        <v>0.478319818214244</v>
      </c>
      <c r="AX347" s="257">
        <f>IFERROR(IF(AND(COUNT(AT120,AU120,AW120,AX120)=4,(AT15+AU15+AW15+AX15)&lt;&gt;0),(AT120+AU120+AW120+AX120)/(AT15+AU15+AW15+AX15),""),"")</f>
        <v>0.478319818214244</v>
      </c>
      <c r="AY347" s="257">
        <f>IFERROR(IF(AND(COUNT(AU120,AW120,AX120,AY120)=4,(AU15+AW15+AX15+AY15)&lt;&gt;0),(AU120+AW120+AX120+AY120)/(AU15+AW15+AX15+AY15),""),"")</f>
        <v>0.478319818214244</v>
      </c>
      <c r="AZ347" s="257">
        <f>IFERROR(IF(AND(COUNT(AW120,AX120,AY120,AZ120)=4,(AW15+AX15+AY15+AZ15)&lt;&gt;0),(AW120+AX120+AY120+AZ120)/(AW15+AX15+AY15+AZ15),""),"")</f>
        <v>0.478319818214244</v>
      </c>
      <c r="BA347" s="258">
        <f>IFERROR(IF(AND(COUNT(AW120,AX120,AY120,AZ120)=4,(AW15+AX15+AY15+AZ15)&lt;&gt;0),(AW120+AX120+AY120+AZ120)/(AW15+AX15+AY15+AZ15),""),"")</f>
        <v>0.478319818214244</v>
      </c>
      <c r="BB347" s="257">
        <f>IFERROR(IF(AND(COUNT(AX120,AY120,AZ120,BB120)=4,(AX15+AY15+AZ15+BB15)&lt;&gt;0),(AX120+AY120+AZ120+BB120)/(AX15+AY15+AZ15+BB15),""),"")</f>
        <v>0.478319818214244</v>
      </c>
      <c r="BC347" s="257">
        <f>IFERROR(IF(AND(COUNT(AY120,AZ120,BB120,BC120)=4,(AY15+AZ15+BB15+BC15)&lt;&gt;0),(AY120+AZ120+BB120+BC120)/(AY15+AZ15+BB15+BC15),""),"")</f>
        <v>0.478319818214244</v>
      </c>
      <c r="BD347" s="257">
        <f>IFERROR(IF(AND(COUNT(AZ120,BB120,BC120,BD120)=4,(AZ15+BB15+BC15+BD15)&lt;&gt;0),(AZ120+BB120+BC120+BD120)/(AZ15+BB15+BC15+BD15),""),"")</f>
        <v>0.478319818214244</v>
      </c>
      <c r="BE347" s="257">
        <f>IFERROR(IF(AND(COUNT(BB120,BC120,BD120,BE120)=4,(BB15+BC15+BD15+BE15)&lt;&gt;0),(BB120+BC120+BD120+BE120)/(BB15+BC15+BD15+BE15),""),"")</f>
        <v>0.478319818214244</v>
      </c>
      <c r="BF347" s="258">
        <f>IFERROR(IF(AND(COUNT(BB120,BC120,BD120,BE120)=4,(BB15+BC15+BD15+BE15)&lt;&gt;0),(BB120+BC120+BD120+BE120)/(BB15+BC15+BD15+BE15),""),"")</f>
        <v>0.478319818214244</v>
      </c>
      <c r="BG347" s="81" t="n"/>
      <c r="BH347" s="81" t="n"/>
      <c r="BI347" s="81" t="n"/>
      <c r="BJ347" s="81" t="n"/>
      <c r="BL347" s="81" t="n"/>
      <c r="BM347" s="81" t="n"/>
      <c r="BN347" s="81" t="n"/>
      <c r="BO347" s="81" t="n"/>
      <c r="BQ347" s="81" t="n"/>
      <c r="BR347" s="81" t="n"/>
      <c r="BS347" s="81" t="n"/>
      <c r="BT347" s="81" t="n"/>
      <c r="BV347" s="81" t="n"/>
      <c r="BW347" s="81" t="n"/>
      <c r="BX347" s="81" t="n"/>
      <c r="BY347" s="81" t="n"/>
      <c r="CA347" s="81" t="n"/>
      <c r="CB347" s="81" t="n"/>
      <c r="CC347" s="81" t="n"/>
      <c r="CD347" s="81" t="n"/>
      <c r="CF347" s="81" t="n"/>
      <c r="CG347" s="81" t="n"/>
      <c r="CH347" s="81" t="n"/>
      <c r="CI347" s="81" t="n"/>
      <c r="CK347" s="81" t="n"/>
      <c r="CL347" s="81" t="n"/>
      <c r="CM347" s="81" t="n"/>
      <c r="CN347" s="81" t="n"/>
      <c r="CP347" s="81" t="n"/>
      <c r="CQ347" s="81" t="n"/>
      <c r="CR347" s="81" t="n"/>
      <c r="CS347" s="81" t="n"/>
      <c r="CU347" s="81" t="n"/>
      <c r="CV347" s="81" t="n"/>
      <c r="CW347" s="81" t="n"/>
      <c r="CX347" s="81" t="n"/>
    </row>
    <row r="348" customFormat="1" s="77">
      <c r="A348" s="76" t="n"/>
      <c r="B348" s="76" t="n"/>
      <c r="C348" s="77" t="inlineStr">
        <is>
          <t>ASSET TURNOVER (LTM REVENUE / ASSETS)</t>
        </is>
      </c>
      <c r="D348" s="84" t="str">
        <f>IFERROR(D15/D180,"")</f>
        <v/>
      </c>
      <c r="E348" s="84" t="str">
        <f>IFERROR(E15/E180,"")</f>
        <v/>
      </c>
      <c r="F348" s="84" t="str">
        <f>IFERROR(F15/F180,"")</f>
        <v/>
      </c>
      <c r="G348" s="84" t="str">
        <f>IFERROR(G15/G180,"")</f>
        <v/>
      </c>
      <c r="H348" s="262" t="str">
        <f>IFERROR(IF(AND(COUNT(H15)=1,N(H180)&lt;&gt;0),(H15)/H180,""),"")</f>
        <v/>
      </c>
      <c r="I348" s="264" t="str">
        <f>""</f>
        <v/>
      </c>
      <c r="J348" s="264" t="str">
        <f>""</f>
        <v/>
      </c>
      <c r="K348" s="264" t="str">
        <f>""</f>
        <v/>
      </c>
      <c r="L348" s="264">
        <f>IFERROR(IF(AND(COUNT(I15,J15,K15,L15)=4,N(L180)&lt;&gt;0),(I15+J15+K15+L15)/L180,""),"")</f>
        <v>0.50131407788898</v>
      </c>
      <c r="M348" s="262">
        <f>IFERROR(IF(AND(COUNT(I15,J15,K15,L15)=4,N(M180)&lt;&gt;0),(I15+J15+K15+L15)/M180,""),"")</f>
        <v>0.50131407788898</v>
      </c>
      <c r="N348" s="264">
        <f>IFERROR(IF(AND(COUNT(J15,K15,L15,N15)=4,N(N180)&lt;&gt;0),(J15+K15+L15+N15)/N180,""),"")</f>
        <v>0.535371202540161</v>
      </c>
      <c r="O348" s="264">
        <f>IFERROR(IF(AND(COUNT(K15,L15,N15,O15)=4,N(O180)&lt;&gt;0),(K15+L15+N15+O15)/O180,""),"")</f>
        <v>0.575888051668461</v>
      </c>
      <c r="P348" s="264">
        <f>IFERROR(IF(AND(COUNT(L15,N15,O15,P15)=4,N(P180)&lt;&gt;0),(L15+N15+O15+P15)/P180,""),"")</f>
        <v>0.575241944060406</v>
      </c>
      <c r="Q348" s="264">
        <f>IFERROR(IF(AND(COUNT(N15,O15,P15,Q15)=4,N(Q180)&lt;&gt;0),(N15+O15+P15+Q15)/Q180,""),"")</f>
        <v>0.574243363288917</v>
      </c>
      <c r="R348" s="262">
        <f>IFERROR(IF(AND(COUNT(N15,O15,P15,Q15)=4,N(R180)&lt;&gt;0),(N15+O15+P15+Q15)/R180,""),"")</f>
        <v>0.574243363288917</v>
      </c>
      <c r="S348" s="264">
        <f>IFERROR(IF(AND(COUNT(O15,P15,Q15,S15)=4,N(S180)&lt;&gt;0),(O15+P15+Q15+S15)/S180,""),"")</f>
        <v>0.586038627491268</v>
      </c>
      <c r="T348" s="264">
        <f>IFERROR(IF(AND(COUNT(P15,Q15,S15,T15)=4,N(T180)&lt;&gt;0),(P15+Q15+S15+T15)/T180,""),"")</f>
        <v>0.60480976310122</v>
      </c>
      <c r="U348" s="264">
        <f>IFERROR(IF(AND(COUNT(Q15,S15,T15,U15)=4,N(U180)&lt;&gt;0),(Q15+S15+T15+U15)/U180,""),"")</f>
        <v>0.614180571659021</v>
      </c>
      <c r="V348" s="264">
        <f>IFERROR(IF(AND(COUNT(S15,T15,U15,V15)=4,N(V180)&lt;&gt;0),(S15+T15+U15+V15)/V180,""),"")</f>
        <v>0.591264606106295</v>
      </c>
      <c r="W348" s="262">
        <f>IFERROR(IF(AND(COUNT(S15,T15,U15,V15)=4,N(W180)&lt;&gt;0),(S15+T15+U15+V15)/W180,""),"")</f>
        <v>0.591264606106295</v>
      </c>
      <c r="X348" s="264">
        <f>IFERROR(IF(AND(COUNT(T15,U15,V15,X15)=4,N(X180)&lt;&gt;0),(T15+U15+V15+X15)/X180,""),"")</f>
        <v>0.603211116848974</v>
      </c>
      <c r="Y348" s="264">
        <f>IFERROR(IF(AND(COUNT(U15,V15,X15,Y15)=4,N(Y180)&lt;&gt;0),(U15+V15+X15+Y15)/Y180,""),"")</f>
        <v>0.623390735360121</v>
      </c>
      <c r="Z348" s="264">
        <f>IFERROR(IF(AND(COUNT(V15,X15,Y15,Z15)=4,N(Z180)&lt;&gt;0),(V15+X15+Y15+Z15)/Z180,""),"")</f>
        <v>0.576370218261109</v>
      </c>
      <c r="AA348" s="264">
        <f>IFERROR(IF(AND(COUNT(X15,Y15,Z15,AA15)=4,N(AA180)&lt;&gt;0),(X15+Y15+Z15+AA15)/AA180,""),"")</f>
        <v>0.585823922131403</v>
      </c>
      <c r="AB348" s="262">
        <f>IFERROR(IF(AND(COUNT(X15,Y15,Z15,AA15)=4,N(AB180)&lt;&gt;0),(X15+Y15+Z15+AA15)/AB180,""),"")</f>
        <v>0.585823922131403</v>
      </c>
      <c r="AC348" s="264">
        <f>IFERROR(IF(AND(COUNT(Y15,Z15,AA15,AC15)=4,N(AC180)&lt;&gt;0),(Y15+Z15+AA15+AC15)/AC180,""),"")</f>
        <v>0.599731792861564</v>
      </c>
      <c r="AD348" s="264">
        <f>IFERROR(IF(AND(COUNT(Z15,AA15,AC15,AD15)=4,N(AD180)&lt;&gt;0),(Z15+AA15+AC15+AD15)/AD180,""),"")</f>
        <v>0.587991678170753</v>
      </c>
      <c r="AE348" s="264">
        <f>IFERROR(IF(AND(COUNT(AA15,AC15,AD15,AE15)=4,N(AE180)&lt;&gt;0),(AA15+AC15+AD15+AE15)/AE180,""),"")</f>
        <v>0.590628459907298</v>
      </c>
      <c r="AF348" s="264">
        <f>IFERROR(IF(AND(COUNT(AB15,AD15,AE15,AF15)=4,N(AF180)&lt;&gt;0),(AB15+AD15+AE15+AF15)/AF180,""),"")</f>
        <v>0.991709289657847</v>
      </c>
      <c r="AG348" s="262">
        <f>IFERROR(IF(AND(COUNT(AC15,AD15,AE15,AF15)=4,N(AG180)&lt;&gt;0),(AC15+AD15+AE15+AF15)/AG180,""),"")</f>
        <v>0.605480362649334</v>
      </c>
      <c r="AH348" s="264">
        <f>IFERROR(IF(AND(COUNT(AD15,AF15,AG15,AH15)=4,N(AH180)&lt;&gt;0),(AD15+AF15+AG15+AH15)/AH180,""),"")</f>
        <v>1.10827661156552</v>
      </c>
      <c r="AI348" s="264">
        <f>IFERROR(IF(AND(COUNT(AE15,AG15,AH15,AI15)=4,N(AI180)&lt;&gt;0),(AE15+AG15+AH15+AI15)/AI180,""),"")</f>
        <v>1.02386854102026</v>
      </c>
      <c r="AJ348" s="264">
        <f>IFERROR(IF(AND(COUNT(AF15,AH15,AI15,AJ15)=4,N(AJ180)&lt;&gt;0),(AF15+AH15+AI15+AJ15)/AJ180,""),"")</f>
        <v>0.57492779380114</v>
      </c>
      <c r="AK348" s="264">
        <f>IFERROR(IF(AND(COUNT(AH15,AI15,AJ15,AK15)=4,N(AK180)&lt;&gt;0),(AH15+AI15+AJ15+AK15)/AK180,""),"")</f>
        <v>0.535508718728033</v>
      </c>
      <c r="AL348" s="262">
        <f>IFERROR(IF(AND(COUNT(AH15,AI15,AJ15,AK15)=4,N(AL180)&lt;&gt;0),(AH15+AI15+AJ15+AK15)/AL180,""),"")</f>
        <v>0.535508718728033</v>
      </c>
      <c r="AM348" s="264">
        <f>IFERROR(IF(AND(COUNT(AI15,AJ15,AK15,AM15)=4,N(AM180)&lt;&gt;0),(AI15+AJ15+AK15+AM15)/AM180,""),"")</f>
        <v>0.501625345327477</v>
      </c>
      <c r="AN348" s="264">
        <f>IFERROR(IF(AND(COUNT(AJ15,AK15,AM15,AN15)=4,N(AN180)&lt;&gt;0),(AJ15+AK15+AM15+AN15)/AN180,""),"")</f>
        <v>0.470159839296594</v>
      </c>
      <c r="AO348" s="264">
        <f>IFERROR(IF(AND(COUNT(AK15,AM15,AN15,AO15)=4,N(AO180)&lt;&gt;0),(AK15+AM15+AN15+AO15)/AO180,""),"")</f>
        <v>0.441239908735009</v>
      </c>
      <c r="AP348" s="264">
        <f>IFERROR(IF(AND(COUNT(AM15,AN15,AO15,AP15)=4,N(AP180)&lt;&gt;0),(AM15+AN15+AO15+AP15)/AP180,""),"")</f>
        <v>0.414918164729212</v>
      </c>
      <c r="AQ348" s="262">
        <f>IFERROR(IF(AND(COUNT(AM15,AN15,AO15,AP15)=4,N(AQ180)&lt;&gt;0),(AM15+AN15+AO15+AP15)/AQ180,""),"")</f>
        <v>0.414918164729212</v>
      </c>
      <c r="AR348" s="264">
        <f>IFERROR(IF(AND(COUNT(AN15,AO15,AP15,AR15)=4,N(AR180)&lt;&gt;0),(AN15+AO15+AP15+AR15)/AR180,""),"")</f>
        <v>0.391245172788256</v>
      </c>
      <c r="AS348" s="264">
        <f>IFERROR(IF(AND(COUNT(AO15,AP15,AR15,AS15)=4,N(AS180)&lt;&gt;0),(AO15+AP15+AR15+AS15)/AS180,""),"")</f>
        <v>0.368825837108484</v>
      </c>
      <c r="AT348" s="264">
        <f>IFERROR(IF(AND(COUNT(AP15,AR15,AS15,AT15)=4,N(AT180)&lt;&gt;0),(AP15+AR15+AS15+AT15)/AT180,""),"")</f>
        <v>0.347753166151929</v>
      </c>
      <c r="AU348" s="264">
        <f>IFERROR(IF(AND(COUNT(AR15,AS15,AT15,AU15)=4,N(AU180)&lt;&gt;0),(AR15+AS15+AT15+AU15)/AU180,""),"")</f>
        <v>0.328036467023389</v>
      </c>
      <c r="AV348" s="262">
        <f>IFERROR(IF(AND(COUNT(AR15,AS15,AT15,AU15)=4,N(AV180)&lt;&gt;0),(AR15+AS15+AT15+AU15)/AV180,""),"")</f>
        <v>0.328036467023389</v>
      </c>
      <c r="AW348" s="264">
        <f>IFERROR(IF(AND(COUNT(AS15,AT15,AU15,AW15)=4,N(AW180)&lt;&gt;0),(AS15+AT15+AU15+AW15)/AW180,""),"")</f>
        <v>0.309777454761144</v>
      </c>
      <c r="AX348" s="264">
        <f>IFERROR(IF(AND(COUNT(AT15,AU15,AW15,AX15)=4,N(AX180)&lt;&gt;0),(AT15+AU15+AW15+AX15)/AX180,""),"")</f>
        <v>0.292355345153368</v>
      </c>
      <c r="AY348" s="264">
        <f>IFERROR(IF(AND(COUNT(AU15,AW15,AX15,AY15)=4,N(AY180)&lt;&gt;0),(AU15+AW15+AX15+AY15)/AY180,""),"")</f>
        <v>0.275805803935911</v>
      </c>
      <c r="AZ348" s="264">
        <f>IFERROR(IF(AND(COUNT(AW15,AX15,AY15,AZ15)=4,N(AZ180)&lt;&gt;0),(AW15+AX15+AY15+AZ15)/AZ180,""),"")</f>
        <v>0.260081019463018</v>
      </c>
      <c r="BA348" s="262">
        <f>IFERROR(IF(AND(COUNT(AW15,AX15,AY15,AZ15)=4,N(BA180)&lt;&gt;0),(AW15+AX15+AY15+AZ15)/BA180,""),"")</f>
        <v>0.260081019463018</v>
      </c>
      <c r="BB348" s="264">
        <f>IFERROR(IF(AND(COUNT(AX15,AY15,AZ15,BB15)=4,N(BB180)&lt;&gt;0),(AX15+AY15+AZ15+BB15)/BB180,""),"")</f>
        <v>0.245276724098896</v>
      </c>
      <c r="BC348" s="264">
        <f>IFERROR(IF(AND(COUNT(AY15,AZ15,BB15,BC15)=4,N(BC180)&lt;&gt;0),(AY15+AZ15+BB15+BC15)/BC180,""),"")</f>
        <v>0.231156032970227</v>
      </c>
      <c r="BD348" s="264">
        <f>IFERROR(IF(AND(COUNT(AZ15,BB15,BC15,BD15)=4,N(BD180)&lt;&gt;0),(AZ15+BB15+BC15+BD15)/BD180,""),"")</f>
        <v>0.217710807602326</v>
      </c>
      <c r="BE348" s="264">
        <f>IFERROR(IF(AND(COUNT(BB15,BC15,BD15,BE15)=4,N(BE180)&lt;&gt;0),(BB15+BC15+BD15+BE15)/BE180,""),"")</f>
        <v>0.204855599227271</v>
      </c>
      <c r="BF348" s="262">
        <f>IFERROR(IF(AND(COUNT(BB15,BC15,BD15,BE15)=4,N(BF180)&lt;&gt;0),(BB15+BC15+BD15+BE15)/BF180,""),"")</f>
        <v>0.204855599227271</v>
      </c>
      <c r="BG348" s="81" t="n"/>
      <c r="BH348" s="81" t="n"/>
      <c r="BI348" s="81" t="n"/>
      <c r="BJ348" s="81" t="n"/>
      <c r="BL348" s="81" t="n"/>
      <c r="BM348" s="81" t="n"/>
      <c r="BN348" s="81" t="n"/>
      <c r="BO348" s="81" t="n"/>
      <c r="BQ348" s="81" t="n"/>
      <c r="BR348" s="81" t="n"/>
      <c r="BS348" s="81" t="n"/>
      <c r="BT348" s="81" t="n"/>
      <c r="BV348" s="81" t="n"/>
      <c r="BW348" s="81" t="n"/>
      <c r="BX348" s="81" t="n"/>
      <c r="BY348" s="81" t="n"/>
      <c r="CA348" s="81" t="n"/>
      <c r="CB348" s="81" t="n"/>
      <c r="CC348" s="81" t="n"/>
      <c r="CD348" s="81" t="n"/>
      <c r="CF348" s="81" t="n"/>
      <c r="CG348" s="81" t="n"/>
      <c r="CH348" s="81" t="n"/>
      <c r="CI348" s="81" t="n"/>
      <c r="CK348" s="81" t="n"/>
      <c r="CL348" s="81" t="n"/>
      <c r="CM348" s="81" t="n"/>
      <c r="CN348" s="81" t="n"/>
      <c r="CP348" s="81" t="n"/>
      <c r="CQ348" s="81" t="n"/>
      <c r="CR348" s="81" t="n"/>
      <c r="CS348" s="81" t="n"/>
      <c r="CU348" s="81" t="n"/>
      <c r="CV348" s="81" t="n"/>
      <c r="CW348" s="81" t="n"/>
      <c r="CX348" s="81" t="n"/>
    </row>
    <row r="349" customFormat="1" s="77">
      <c r="A349" s="76" t="n"/>
      <c r="B349" s="76" t="n"/>
      <c r="C349" s="77" t="inlineStr">
        <is>
          <t>EQUITY MULTIPLIER (ASSETS / EQUITY)</t>
        </is>
      </c>
      <c r="D349" s="84" t="str">
        <f>IFERROR(D180/D254,"")</f>
        <v/>
      </c>
      <c r="E349" s="84" t="str">
        <f>IFERROR(E180/E254,"")</f>
        <v/>
      </c>
      <c r="F349" s="84" t="str">
        <f>IFERROR(F180/F254,"")</f>
        <v/>
      </c>
      <c r="G349" s="84" t="str">
        <f>IFERROR(G180/G254,"")</f>
        <v/>
      </c>
      <c r="H349" s="262" t="str">
        <f>IFERROR(IF(N(H254)&lt;&gt;0,H180/H254,""),"")</f>
        <v/>
      </c>
      <c r="I349" s="264">
        <f>IFERROR(IF(N(I254)&lt;&gt;0,I180/I254,""),"")</f>
        <v>5.39284053928405</v>
      </c>
      <c r="J349" s="264">
        <f>IFERROR(IF(N(J254)&lt;&gt;0,J180/J254,""),"")</f>
        <v>5.31450753539352</v>
      </c>
      <c r="K349" s="264">
        <f>IFERROR(IF(N(K254)&lt;&gt;0,K180/K254,""),"")</f>
        <v>5.20582181711261</v>
      </c>
      <c r="L349" s="264">
        <f>IFERROR(IF(N(L254)&lt;&gt;0,L180/L254,""),"")</f>
        <v>5.08216405828386</v>
      </c>
      <c r="M349" s="262">
        <f>IFERROR(IF(N(M254)&lt;&gt;0,M180/M254,""),"")</f>
        <v>5.08216405828386</v>
      </c>
      <c r="N349" s="264">
        <f>IFERROR(IF(N(N254)&lt;&gt;0,N180/N254,""),"")</f>
        <v>5.21220196353436</v>
      </c>
      <c r="O349" s="264">
        <f>IFERROR(IF(N(O254)&lt;&gt;0,O180/O254,""),"")</f>
        <v>5.78585116576174</v>
      </c>
      <c r="P349" s="264">
        <f>IFERROR(IF(N(P254)&lt;&gt;0,P180/P254,""),"")</f>
        <v>5.83765326711159</v>
      </c>
      <c r="Q349" s="264">
        <f>IFERROR(IF(N(Q254)&lt;&gt;0,Q180/Q254,""),"")</f>
        <v>6.07244785949506</v>
      </c>
      <c r="R349" s="262">
        <f>IFERROR(IF(N(R254)&lt;&gt;0,R180/R254,""),"")</f>
        <v>6.07244785949506</v>
      </c>
      <c r="S349" s="264">
        <f>IFERROR(IF(N(S254)&lt;&gt;0,S180/S254,""),"")</f>
        <v>7.20103569447013</v>
      </c>
      <c r="T349" s="264">
        <f>IFERROR(IF(N(T254)&lt;&gt;0,T180/T254,""),"")</f>
        <v>6.99121706398996</v>
      </c>
      <c r="U349" s="264">
        <f>IFERROR(IF(N(U254)&lt;&gt;0,U180/U254,""),"")</f>
        <v>6.21752076477041</v>
      </c>
      <c r="V349" s="264">
        <f>IFERROR(IF(N(V254)&lt;&gt;0,V180/V254,""),"")</f>
        <v>6.06659997141632</v>
      </c>
      <c r="W349" s="262">
        <f>IFERROR(IF(N(W254)&lt;&gt;0,W180/W254,""),"")</f>
        <v>6.06659997141632</v>
      </c>
      <c r="X349" s="264">
        <f>IFERROR(IF(N(X254)&lt;&gt;0,X180/X254,""),"")</f>
        <v>5.82950191570881</v>
      </c>
      <c r="Y349" s="264">
        <f>IFERROR(IF(N(Y254)&lt;&gt;0,Y180/Y254,""),"")</f>
        <v>5.6579791499599</v>
      </c>
      <c r="Z349" s="264">
        <f>IFERROR(IF(N(Z254)&lt;&gt;0,Z180/Z254,""),"")</f>
        <v>6.29994665244065</v>
      </c>
      <c r="AA349" s="264">
        <f>IFERROR(IF(N(AA254)&lt;&gt;0,AA180/AA254,""),"")</f>
        <v>7.3800460475825</v>
      </c>
      <c r="AB349" s="262">
        <f>IFERROR(IF(N(AB254)&lt;&gt;0,AB180/AB254,""),"")</f>
        <v>7.3800460475825</v>
      </c>
      <c r="AC349" s="264">
        <f>IFERROR(IF(N(AC254)&lt;&gt;0,AC180/AC254,""),"")</f>
        <v>7.23864994026284</v>
      </c>
      <c r="AD349" s="264">
        <f>IFERROR(IF(N(AD254)&lt;&gt;0,AD180/AD254,""),"")</f>
        <v>6.53175006350013</v>
      </c>
      <c r="AE349" s="264">
        <f>IFERROR(IF(N(AE254)&lt;&gt;0,AE180/AE254,""),"")</f>
        <v>6.72925874479101</v>
      </c>
      <c r="AF349" s="264">
        <f>IFERROR(IF(N(AF254)&lt;&gt;0,AF180/AF254,""),"")</f>
        <v>6.99160857216628</v>
      </c>
      <c r="AG349" s="262">
        <f>IFERROR(IF(N(AG254)&lt;&gt;0,AG180/AG254,""),"")</f>
        <v>6.99160857216628</v>
      </c>
      <c r="AH349" s="264">
        <f>IFERROR(IF(N(AH254)&lt;&gt;0,AH180/AH254,""),"")</f>
        <v>7.80258851532282</v>
      </c>
      <c r="AI349" s="264">
        <f>IFERROR(IF(N(AI254)&lt;&gt;0,AI180/AI254,""),"")</f>
        <v>10.2909382804138</v>
      </c>
      <c r="AJ349" s="264">
        <f>IFERROR(IF(N(AJ254)&lt;&gt;0,AJ180/AJ254,""),"")</f>
        <v>6.11128320107681</v>
      </c>
      <c r="AK349" s="264">
        <f>IFERROR(IF(N(AK254)&lt;&gt;0,AK180/AK254,""),"")</f>
        <v>4.63299995703199</v>
      </c>
      <c r="AL349" s="262">
        <f>IFERROR(IF(N(AL254)&lt;&gt;0,AL180/AL254,""),"")</f>
        <v>4.63299995703199</v>
      </c>
      <c r="AM349" s="264">
        <f>IFERROR(IF(N(AM254)&lt;&gt;0,AM180/AM254,""),"")</f>
        <v>3.92311842375171</v>
      </c>
      <c r="AN349" s="264">
        <f>IFERROR(IF(N(AN254)&lt;&gt;0,AN180/AN254,""),"")</f>
        <v>3.45159884352303</v>
      </c>
      <c r="AO349" s="264">
        <f>IFERROR(IF(N(AO254)&lt;&gt;0,AO180/AO254,""),"")</f>
        <v>3.13058540569894</v>
      </c>
      <c r="AP349" s="264">
        <f>IFERROR(IF(N(AP254)&lt;&gt;0,AP180/AP254,""),"")</f>
        <v>2.91726924270892</v>
      </c>
      <c r="AQ349" s="262">
        <f>IFERROR(IF(N(AQ254)&lt;&gt;0,AQ180/AQ254,""),"")</f>
        <v>2.91726924270892</v>
      </c>
      <c r="AR349" s="264">
        <f>IFERROR(IF(N(AR254)&lt;&gt;0,AR180/AR254,""),"")</f>
        <v>2.78634138192849</v>
      </c>
      <c r="AS349" s="264">
        <f>IFERROR(IF(N(AS254)&lt;&gt;0,AS180/AS254,""),"")</f>
        <v>2.68111095426531</v>
      </c>
      <c r="AT349" s="264">
        <f>IFERROR(IF(N(AT254)&lt;&gt;0,AT180/AT254,""),"")</f>
        <v>2.6020891316013</v>
      </c>
      <c r="AU349" s="264">
        <f>IFERROR(IF(N(AU254)&lt;&gt;0,AU180/AU254,""),"")</f>
        <v>2.55235419157451</v>
      </c>
      <c r="AV349" s="262">
        <f>IFERROR(IF(N(AV254)&lt;&gt;0,AV180/AV254,""),"")</f>
        <v>2.55235419157451</v>
      </c>
      <c r="AW349" s="264">
        <f>IFERROR(IF(N(AW254)&lt;&gt;0,AW180/AW254,""),"")</f>
        <v>2.53339922780057</v>
      </c>
      <c r="AX349" s="264">
        <f>IFERROR(IF(N(AX254)&lt;&gt;0,AX180/AX254,""),"")</f>
        <v>2.52115851251547</v>
      </c>
      <c r="AY349" s="264">
        <f>IFERROR(IF(N(AY254)&lt;&gt;0,AY180/AY254,""),"")</f>
        <v>2.51910046894268</v>
      </c>
      <c r="AZ349" s="264">
        <f>IFERROR(IF(N(AZ254)&lt;&gt;0,AZ180/AZ254,""),"")</f>
        <v>2.53289899548567</v>
      </c>
      <c r="BA349" s="262">
        <f>IFERROR(IF(N(BA254)&lt;&gt;0,BA180/BA254,""),"")</f>
        <v>2.53289899548567</v>
      </c>
      <c r="BB349" s="264">
        <f>IFERROR(IF(N(BB254)&lt;&gt;0,BB180/BB254,""),"")</f>
        <v>2.56623825171275</v>
      </c>
      <c r="BC349" s="264">
        <f>IFERROR(IF(N(BC254)&lt;&gt;0,BC180/BC254,""),"")</f>
        <v>2.60306985270257</v>
      </c>
      <c r="BD349" s="264">
        <f>IFERROR(IF(N(BD254)&lt;&gt;0,BD180/BD254,""),"")</f>
        <v>2.64685588780237</v>
      </c>
      <c r="BE349" s="264">
        <f>IFERROR(IF(N(BE254)&lt;&gt;0,BE180/BE254,""),"")</f>
        <v>2.70366117288162</v>
      </c>
      <c r="BF349" s="262">
        <f>IFERROR(IF(N(BF254)&lt;&gt;0,BF180/BF254,""),"")</f>
        <v>2.70366117288162</v>
      </c>
      <c r="BG349" s="81" t="n"/>
      <c r="BH349" s="81" t="n"/>
      <c r="BI349" s="81" t="n"/>
      <c r="BJ349" s="81" t="n"/>
      <c r="BL349" s="81" t="n"/>
      <c r="BM349" s="81" t="n"/>
      <c r="BN349" s="81" t="n"/>
      <c r="BO349" s="81" t="n"/>
      <c r="BQ349" s="81" t="n"/>
      <c r="BR349" s="81" t="n"/>
      <c r="BS349" s="81" t="n"/>
      <c r="BT349" s="81" t="n"/>
      <c r="BV349" s="81" t="n"/>
      <c r="BW349" s="81" t="n"/>
      <c r="BX349" s="81" t="n"/>
      <c r="BY349" s="81" t="n"/>
      <c r="CA349" s="81" t="n"/>
      <c r="CB349" s="81" t="n"/>
      <c r="CC349" s="81" t="n"/>
      <c r="CD349" s="81" t="n"/>
      <c r="CF349" s="81" t="n"/>
      <c r="CG349" s="81" t="n"/>
      <c r="CH349" s="81" t="n"/>
      <c r="CI349" s="81" t="n"/>
      <c r="CK349" s="81" t="n"/>
      <c r="CL349" s="81" t="n"/>
      <c r="CM349" s="81" t="n"/>
      <c r="CN349" s="81" t="n"/>
      <c r="CP349" s="81" t="n"/>
      <c r="CQ349" s="81" t="n"/>
      <c r="CR349" s="81" t="n"/>
      <c r="CS349" s="81" t="n"/>
      <c r="CU349" s="81" t="n"/>
      <c r="CV349" s="81" t="n"/>
      <c r="CW349" s="81" t="n"/>
      <c r="CX349" s="81" t="n"/>
    </row>
    <row r="350" customFormat="1" s="77">
      <c r="A350" s="76" t="n"/>
      <c r="B350" s="76" t="n"/>
      <c r="C350" s="77" t="inlineStr">
        <is>
          <t>ROE - DUPONT</t>
        </is>
      </c>
      <c r="D350" s="84">
        <f>IFERROR(PRODUCT(D347:D349),"")</f>
        <v>0</v>
      </c>
      <c r="E350" s="84">
        <f>IFERROR(PRODUCT(E347:E349),"")</f>
        <v>0</v>
      </c>
      <c r="F350" s="84">
        <f>IFERROR(PRODUCT(F347:F349),"")</f>
        <v>0</v>
      </c>
      <c r="G350" s="84">
        <f>IFERROR(PRODUCT(G347:G349),"")</f>
        <v>0</v>
      </c>
      <c r="H350" s="258" t="str">
        <f>IFERROR(IF(COUNT(H347,H348,H349)=3,H347*H348*H349,""),"")</f>
        <v/>
      </c>
      <c r="I350" s="257" t="str">
        <f>IFERROR(IF(COUNT(I347,I348,I349)=3,I347*I348*I349,""),"")</f>
        <v/>
      </c>
      <c r="J350" s="257" t="str">
        <f>IFERROR(IF(COUNT(J347,J348,J349)=3,J347*J348*J349,""),"")</f>
        <v/>
      </c>
      <c r="K350" s="257" t="str">
        <f>IFERROR(IF(COUNT(K347,K348,K349)=3,K347*K348*K349,""),"")</f>
        <v/>
      </c>
      <c r="L350" s="257">
        <f>IFERROR(IF(COUNT(L347,L348,L349)=3,L347*L348*L349,""),"")</f>
        <v>1.17201834862385</v>
      </c>
      <c r="M350" s="258">
        <f>IFERROR(IF(COUNT(M347,M348,M349)=3,M347*M348*M349,""),"")</f>
        <v>1.17201834862385</v>
      </c>
      <c r="N350" s="257">
        <f>IFERROR(IF(COUNT(N347,N348,N349)=3,N347*N348*N349,""),"")</f>
        <v>1.33099579242637</v>
      </c>
      <c r="O350" s="257">
        <f>IFERROR(IF(COUNT(O347,O348,O349)=3,O347*O348*O349,""),"")</f>
        <v>1.54886617694027</v>
      </c>
      <c r="P350" s="257">
        <f>IFERROR(IF(COUNT(P347,P348,P349)=3,P347*P348*P349,""),"")</f>
        <v>1.51854726059289</v>
      </c>
      <c r="Q350" s="257">
        <f>IFERROR(IF(COUNT(Q347,Q348,Q349)=3,Q347*Q348*Q349,""),"")</f>
        <v>1.55715853849773</v>
      </c>
      <c r="R350" s="258">
        <f>IFERROR(IF(COUNT(R347,R348,R349)=3,R347*R348*R349,""),"")</f>
        <v>1.55715853849773</v>
      </c>
      <c r="S350" s="257">
        <f>IFERROR(IF(COUNT(S347,S348,S349)=3,S347*S348*S349,""),"")</f>
        <v>1.78657296097651</v>
      </c>
      <c r="T350" s="257">
        <f>IFERROR(IF(COUNT(T347,T348,T349)=3,T347*T348*T349,""),"")</f>
        <v>1.83366194658541</v>
      </c>
      <c r="U350" s="257">
        <f>IFERROR(IF(COUNT(U347,U348,U349)=3,U347*U348*U349,""),"")</f>
        <v>1.71274094969441</v>
      </c>
      <c r="V350" s="257">
        <f>IFERROR(IF(COUNT(V347,V348,V349)=3,V347*V348*V349,""),"")</f>
        <v>1.59997141632128</v>
      </c>
      <c r="W350" s="258">
        <f>IFERROR(IF(COUNT(W347,W348,W349)=3,W347*W348*W349,""),"")</f>
        <v>1.59997141632128</v>
      </c>
      <c r="X350" s="257">
        <f>IFERROR(IF(COUNT(X347,X348,X349)=3,X347*X348*X349,""),"")</f>
        <v>1.62082649151615</v>
      </c>
      <c r="Y350" s="257">
        <f>IFERROR(IF(COUNT(Y347,Y348,Y349)=3,Y347*Y348*Y349,""),"")</f>
        <v>1.6383319967923</v>
      </c>
      <c r="Z350" s="257">
        <f>IFERROR(IF(COUNT(Z347,Z348,Z349)=3,Z347*Z348*Z349,""),"")</f>
        <v>1.64350493464924</v>
      </c>
      <c r="AA350" s="257">
        <f>IFERROR(IF(COUNT(AA347,AA348,AA349)=3,AA347*AA348*AA349,""),"")</f>
        <v>1.976055257099</v>
      </c>
      <c r="AB350" s="258">
        <f>IFERROR(IF(COUNT(AB347,AB348,AB349)=3,AB347*AB348*AB349,""),"")</f>
        <v>1.976055257099</v>
      </c>
      <c r="AC350" s="257">
        <f>IFERROR(IF(COUNT(AC347,AC348,AC349)=3,AC347*AC348*AC349,""),"")</f>
        <v>1.96281362007168</v>
      </c>
      <c r="AD350" s="257">
        <f>IFERROR(IF(COUNT(AD347,AD348,AD349)=3,AD347*AD348*AD349,""),"")</f>
        <v>1.7254254508509</v>
      </c>
      <c r="AE350" s="257">
        <f>IFERROR(IF(COUNT(AE347,AE348,AE349)=3,AE347*AE348*AE349,""),"")</f>
        <v>1.79946963000379</v>
      </c>
      <c r="AF350" s="257">
        <f>IFERROR(IF(COUNT(AF347,AF348,AF349)=3,AF347*AF348*AF349,""),"")</f>
        <v>3.1709269300284</v>
      </c>
      <c r="AG350" s="258">
        <f>IFERROR(IF(COUNT(AG347,AG348,AG349)=3,AG347*AG348*AG349,""),"")</f>
        <v>1.93235218177124</v>
      </c>
      <c r="AH350" s="257">
        <f>IFERROR(IF(COUNT(AH347,AH348,AH349)=3,AH347*AH348*AH349,""),"")</f>
        <v>3.95879202618268</v>
      </c>
      <c r="AI350" s="257">
        <f>IFERROR(IF(COUNT(AI347,AI348,AI349)=3,AI347*AI348*AI349,""),"")</f>
        <v>4.84570103460578</v>
      </c>
      <c r="AJ350" s="257">
        <f>IFERROR(IF(COUNT(AJ347,AJ348,AJ349)=3,AJ347*AJ348*AJ349,""),"")</f>
        <v>1.64817230409254</v>
      </c>
      <c r="AK350" s="257">
        <f>IFERROR(IF(COUNT(AK347,AK348,AK349)=3,AK347*AK348*AK349,""),"")</f>
        <v>1.1746353941154</v>
      </c>
      <c r="AL350" s="258">
        <f>IFERROR(IF(COUNT(AL347,AL348,AL349)=3,AL347*AL348*AL349,""),"")</f>
        <v>1.1746353941154</v>
      </c>
      <c r="AM350" s="257">
        <f>IFERROR(IF(COUNT(AM347,AM348,AM349)=3,AM347*AM348*AM349,""),"")</f>
        <v>0.938822727528491</v>
      </c>
      <c r="AN350" s="257">
        <f>IFERROR(IF(COUNT(AN347,AN348,AN349)=3,AN347*AN348*AN349,""),"")</f>
        <v>0.776218911334561</v>
      </c>
      <c r="AO350" s="257">
        <f>IFERROR(IF(COUNT(AO347,AO348,AO349)=3,AO347*AO348*AO349,""),"")</f>
        <v>0.660721923979714</v>
      </c>
      <c r="AP350" s="257">
        <f>IFERROR(IF(COUNT(AP347,AP348,AP349)=3,AP347*AP348*AP349,""),"")</f>
        <v>0.578971701019852</v>
      </c>
      <c r="AQ350" s="258">
        <f>IFERROR(IF(COUNT(AQ347,AQ348,AQ349)=3,AQ347*AQ348*AQ349,""),"")</f>
        <v>0.578971701019852</v>
      </c>
      <c r="AR350" s="257">
        <f>IFERROR(IF(COUNT(AR347,AR348,AR349)=3,AR347*AR348*AR349,""),"")</f>
        <v>0.521436817635142</v>
      </c>
      <c r="AS350" s="257">
        <f>IFERROR(IF(COUNT(AS347,AS348,AS349)=3,AS347*AS348*AS349,""),"")</f>
        <v>0.472992766614147</v>
      </c>
      <c r="AT350" s="257">
        <f>IFERROR(IF(COUNT(AT347,AT348,AT349)=3,AT347*AT348*AT349,""),"")</f>
        <v>0.432824301530977</v>
      </c>
      <c r="AU350" s="257">
        <f>IFERROR(IF(COUNT(AU347,AU348,AU349)=3,AU347*AU348*AU349,""),"")</f>
        <v>0.400480562940713</v>
      </c>
      <c r="AV350" s="258">
        <f>IFERROR(IF(COUNT(AV347,AV348,AV349)=3,AV347*AV348*AV349,""),"")</f>
        <v>0.400480562940713</v>
      </c>
      <c r="AW350" s="257">
        <f>IFERROR(IF(COUNT(AW347,AW348,AW349)=3,AW347*AW348*AW349,""),"")</f>
        <v>0.375380593243013</v>
      </c>
      <c r="AX350" s="257">
        <f>IFERROR(IF(COUNT(AX347,AX348,AX349)=3,AX347*AX348*AX349,""),"")</f>
        <v>0.352557181623816</v>
      </c>
      <c r="AY350" s="257">
        <f>IFERROR(IF(COUNT(AY347,AY348,AY349)=3,AY347*AY348*AY349,""),"")</f>
        <v>0.33232825346337</v>
      </c>
      <c r="AZ350" s="257">
        <f>IFERROR(IF(COUNT(AZ347,AZ348,AZ349)=3,AZ347*AZ348*AZ349,""),"")</f>
        <v>0.31509746261859</v>
      </c>
      <c r="BA350" s="258">
        <f>IFERROR(IF(COUNT(BA347,BA348,BA349)=3,BA347*BA348*BA349,""),"")</f>
        <v>0.31509746261859</v>
      </c>
      <c r="BB350" s="257">
        <f>IFERROR(IF(COUNT(BB347,BB348,BB349)=3,BB347*BB348*BB349,""),"")</f>
        <v>0.301072914463436</v>
      </c>
      <c r="BC350" s="257">
        <f>IFERROR(IF(COUNT(BC347,BC348,BC349)=3,BC347*BC348*BC349,""),"")</f>
        <v>0.287812353245218</v>
      </c>
      <c r="BD350" s="257">
        <f>IFERROR(IF(COUNT(BD347,BD348,BD349)=3,BD347*BD348*BD349,""),"")</f>
        <v>0.27563138051418</v>
      </c>
      <c r="BE350" s="257">
        <f>IFERROR(IF(COUNT(BE347,BE348,BE349)=3,BE347*BE348*BE349,""),"")</f>
        <v>0.26492227654378</v>
      </c>
      <c r="BF350" s="258">
        <f>IFERROR(IF(COUNT(BF347,BF348,BF349)=3,BF347*BF348*BF349,""),"")</f>
        <v>0.26492227654378</v>
      </c>
      <c r="BG350" s="81" t="n"/>
      <c r="BH350" s="81" t="n"/>
      <c r="BI350" s="81" t="n"/>
      <c r="BJ350" s="81" t="n"/>
      <c r="BL350" s="81" t="n"/>
      <c r="BM350" s="81" t="n"/>
      <c r="BN350" s="81" t="n"/>
      <c r="BO350" s="81" t="n"/>
      <c r="BQ350" s="81" t="n"/>
      <c r="BR350" s="81" t="n"/>
      <c r="BS350" s="81" t="n"/>
      <c r="BT350" s="81" t="n"/>
      <c r="BV350" s="81" t="n"/>
      <c r="BW350" s="81" t="n"/>
      <c r="BX350" s="81" t="n"/>
      <c r="BY350" s="81" t="n"/>
      <c r="CA350" s="81" t="n"/>
      <c r="CB350" s="81" t="n"/>
      <c r="CC350" s="81" t="n"/>
      <c r="CD350" s="81" t="n"/>
      <c r="CF350" s="81" t="n"/>
      <c r="CG350" s="81" t="n"/>
      <c r="CH350" s="81" t="n"/>
      <c r="CI350" s="81" t="n"/>
      <c r="CK350" s="81" t="n"/>
      <c r="CL350" s="81" t="n"/>
      <c r="CM350" s="81" t="n"/>
      <c r="CN350" s="81" t="n"/>
      <c r="CP350" s="81" t="n"/>
      <c r="CQ350" s="81" t="n"/>
      <c r="CR350" s="81" t="n"/>
      <c r="CS350" s="81" t="n"/>
      <c r="CU350" s="81" t="n"/>
      <c r="CV350" s="81" t="n"/>
      <c r="CW350" s="81" t="n"/>
      <c r="CX350" s="81" t="n"/>
    </row>
    <row r="351" customFormat="1" s="77">
      <c r="A351" s="76" t="n"/>
      <c r="B351" s="76" t="n"/>
      <c r="C351" s="77" t="inlineStr">
        <is>
          <t>ROE (LTM)</t>
        </is>
      </c>
      <c r="D351" s="84" t="str">
        <f>IFERROR(D120/D254,"")</f>
        <v/>
      </c>
      <c r="E351" s="84" t="str">
        <f>IFERROR(E120/E254,"")</f>
        <v/>
      </c>
      <c r="F351" s="84" t="str">
        <f>IFERROR(F120/F254,"")</f>
        <v/>
      </c>
      <c r="G351" s="84" t="str">
        <f>IFERROR(G120/G254,"")</f>
        <v/>
      </c>
      <c r="H351" s="258" t="str">
        <f>IFERROR(IF(AND(COUNT(H120)=1,N(H254)&lt;&gt;0),(H120)/H254,""),"")</f>
        <v/>
      </c>
      <c r="I351" s="257" t="str">
        <f>""</f>
        <v/>
      </c>
      <c r="J351" s="257" t="str">
        <f>""</f>
        <v/>
      </c>
      <c r="K351" s="257" t="str">
        <f>""</f>
        <v/>
      </c>
      <c r="L351" s="257">
        <f>IFERROR(IF(AND(COUNT(I120,J120,K120,L120)=4,N(L254)&lt;&gt;0),(I120+J120+K120+L120)/L254,""),"")</f>
        <v>1.17201834862385</v>
      </c>
      <c r="M351" s="258">
        <f>IFERROR(IF(AND(COUNT(I120,J120,K120,L120)=4,N(M254)&lt;&gt;0),(I120+J120+K120+L120)/M254,""),"")</f>
        <v>1.17201834862385</v>
      </c>
      <c r="N351" s="257">
        <f>IFERROR(IF(AND(COUNT(J120,K120,L120,N120)=4,N(N254)&lt;&gt;0),(J120+K120+L120+N120)/N254,""),"")</f>
        <v>1.33099579242637</v>
      </c>
      <c r="O351" s="257">
        <f>IFERROR(IF(AND(COUNT(K120,L120,N120,O120)=4,N(O254)&lt;&gt;0),(K120+L120+N120+O120)/O254,""),"")</f>
        <v>1.54886617694027</v>
      </c>
      <c r="P351" s="257">
        <f>IFERROR(IF(AND(COUNT(L120,N120,O120,P120)=4,N(P254)&lt;&gt;0),(L120+N120+O120+P120)/P254,""),"")</f>
        <v>1.51854726059289</v>
      </c>
      <c r="Q351" s="257">
        <f>IFERROR(IF(AND(COUNT(N120,O120,P120,Q120)=4,N(Q254)&lt;&gt;0),(N120+O120+P120+Q120)/Q254,""),"")</f>
        <v>1.55715853849773</v>
      </c>
      <c r="R351" s="258">
        <f>IFERROR(IF(AND(COUNT(N120,O120,P120,Q120)=4,N(R254)&lt;&gt;0),(N120+O120+P120+Q120)/R254,""),"")</f>
        <v>1.55715853849773</v>
      </c>
      <c r="S351" s="257">
        <f>IFERROR(IF(AND(COUNT(O120,P120,Q120,S120)=4,N(S254)&lt;&gt;0),(O120+P120+Q120+S120)/S254,""),"")</f>
        <v>1.78657296097651</v>
      </c>
      <c r="T351" s="257">
        <f>IFERROR(IF(AND(COUNT(P120,Q120,S120,T120)=4,N(T254)&lt;&gt;0),(P120+Q120+S120+T120)/T254,""),"")</f>
        <v>1.83366194658541</v>
      </c>
      <c r="U351" s="257">
        <f>IFERROR(IF(AND(COUNT(Q120,S120,T120,U120)=4,N(U254)&lt;&gt;0),(Q120+S120+T120+U120)/U254,""),"")</f>
        <v>1.71274094969441</v>
      </c>
      <c r="V351" s="257">
        <f>IFERROR(IF(AND(COUNT(S120,T120,U120,V120)=4,N(V254)&lt;&gt;0),(S120+T120+U120+V120)/V254,""),"")</f>
        <v>1.59997141632128</v>
      </c>
      <c r="W351" s="258">
        <f>IFERROR(IF(AND(COUNT(S120,T120,U120,V120)=4,N(W254)&lt;&gt;0),(S120+T120+U120+V120)/W254,""),"")</f>
        <v>1.59997141632128</v>
      </c>
      <c r="X351" s="257">
        <f>IFERROR(IF(AND(COUNT(T120,U120,V120,X120)=4,N(X254)&lt;&gt;0),(T120+U120+V120+X120)/X254,""),"")</f>
        <v>1.62082649151615</v>
      </c>
      <c r="Y351" s="257">
        <f>IFERROR(IF(AND(COUNT(U120,V120,X120,Y120)=4,N(Y254)&lt;&gt;0),(U120+V120+X120+Y120)/Y254,""),"")</f>
        <v>1.6383319967923</v>
      </c>
      <c r="Z351" s="257">
        <f>IFERROR(IF(AND(COUNT(V120,X120,Y120,Z120)=4,N(Z254)&lt;&gt;0),(V120+X120+Y120+Z120)/Z254,""),"")</f>
        <v>1.64350493464924</v>
      </c>
      <c r="AA351" s="257">
        <f>IFERROR(IF(AND(COUNT(X120,Y120,Z120,AA120)=4,N(AA254)&lt;&gt;0),(X120+Y120+Z120+AA120)/AA254,""),"")</f>
        <v>1.976055257099</v>
      </c>
      <c r="AB351" s="258">
        <f>IFERROR(IF(AND(COUNT(X120,Y120,Z120,AA120)=4,N(AB254)&lt;&gt;0),(X120+Y120+Z120+AA120)/AB254,""),"")</f>
        <v>1.976055257099</v>
      </c>
      <c r="AC351" s="257">
        <f>IFERROR(IF(AND(COUNT(Y120,Z120,AA120,AC120)=4,N(AC254)&lt;&gt;0),(Y120+Z120+AA120+AC120)/AC254,""),"")</f>
        <v>1.96281362007168</v>
      </c>
      <c r="AD351" s="257">
        <f>IFERROR(IF(AND(COUNT(Z120,AA120,AC120,AD120)=4,N(AD254)&lt;&gt;0),(Z120+AA120+AC120+AD120)/AD254,""),"")</f>
        <v>1.7254254508509</v>
      </c>
      <c r="AE351" s="257">
        <f>IFERROR(IF(AND(COUNT(AA120,AC120,AD120,AE120)=4,N(AE254)&lt;&gt;0),(AA120+AC120+AD120+AE120)/AE254,""),"")</f>
        <v>1.79946963000379</v>
      </c>
      <c r="AF351" s="257">
        <f>IFERROR(IF(AND(COUNT(AB120,AD120,AE120,AF120)=4,N(AF254)&lt;&gt;0),(AB120+AD120+AE120+AF120)/AF254,""),"")</f>
        <v>3.1709269300284</v>
      </c>
      <c r="AG351" s="258">
        <f>IFERROR(IF(AND(COUNT(AC120,AD120,AE120,AF120)=4,N(AG254)&lt;&gt;0),(AC120+AD120+AE120+AF120)/AG254,""),"")</f>
        <v>1.93235218177124</v>
      </c>
      <c r="AH351" s="257">
        <f>IFERROR(IF(AND(COUNT(AD120,AF120,AG120,AH120)=4,N(AH254)&lt;&gt;0),(AD120+AF120+AG120+AH120)/AH254,""),"")</f>
        <v>3.95879202618268</v>
      </c>
      <c r="AI351" s="257">
        <f>IFERROR(IF(AND(COUNT(AE120,AG120,AH120,AI120)=4,N(AI254)&lt;&gt;0),(AE120+AG120+AH120+AI120)/AI254,""),"")</f>
        <v>4.84570103460578</v>
      </c>
      <c r="AJ351" s="257">
        <f>IFERROR(IF(AND(COUNT(AF120,AH120,AI120,AJ120)=4,N(AJ254)&lt;&gt;0),(AF120+AH120+AI120+AJ120)/AJ254,""),"")</f>
        <v>1.64817230409254</v>
      </c>
      <c r="AK351" s="257">
        <f>IFERROR(IF(AND(COUNT(AH120,AI120,AJ120,AK120)=4,N(AK254)&lt;&gt;0),(AH120+AI120+AJ120+AK120)/AK254,""),"")</f>
        <v>1.1746353941154</v>
      </c>
      <c r="AL351" s="258">
        <f>IFERROR(IF(AND(COUNT(AH120,AI120,AJ120,AK120)=4,N(AL254)&lt;&gt;0),(AH120+AI120+AJ120+AK120)/AL254,""),"")</f>
        <v>1.1746353941154</v>
      </c>
      <c r="AM351" s="257">
        <f>IFERROR(IF(AND(COUNT(AI120,AJ120,AK120,AM120)=4,N(AM254)&lt;&gt;0),(AI120+AJ120+AK120+AM120)/AM254,""),"")</f>
        <v>0.938822727528491</v>
      </c>
      <c r="AN351" s="257">
        <f>IFERROR(IF(AND(COUNT(AJ120,AK120,AM120,AN120)=4,N(AN254)&lt;&gt;0),(AJ120+AK120+AM120+AN120)/AN254,""),"")</f>
        <v>0.776218911334561</v>
      </c>
      <c r="AO351" s="257">
        <f>IFERROR(IF(AND(COUNT(AK120,AM120,AN120,AO120)=4,N(AO254)&lt;&gt;0),(AK120+AM120+AN120+AO120)/AO254,""),"")</f>
        <v>0.660721923979714</v>
      </c>
      <c r="AP351" s="257">
        <f>IFERROR(IF(AND(COUNT(AM120,AN120,AO120,AP120)=4,N(AP254)&lt;&gt;0),(AM120+AN120+AO120+AP120)/AP254,""),"")</f>
        <v>0.578971701019852</v>
      </c>
      <c r="AQ351" s="258">
        <f>IFERROR(IF(AND(COUNT(AM120,AN120,AO120,AP120)=4,N(AQ254)&lt;&gt;0),(AM120+AN120+AO120+AP120)/AQ254,""),"")</f>
        <v>0.578971701019852</v>
      </c>
      <c r="AR351" s="257">
        <f>IFERROR(IF(AND(COUNT(AN120,AO120,AP120,AR120)=4,N(AR254)&lt;&gt;0),(AN120+AO120+AP120+AR120)/AR254,""),"")</f>
        <v>0.521436817635142</v>
      </c>
      <c r="AS351" s="257">
        <f>IFERROR(IF(AND(COUNT(AO120,AP120,AR120,AS120)=4,N(AS254)&lt;&gt;0),(AO120+AP120+AR120+AS120)/AS254,""),"")</f>
        <v>0.472992766614147</v>
      </c>
      <c r="AT351" s="257">
        <f>IFERROR(IF(AND(COUNT(AP120,AR120,AS120,AT120)=4,N(AT254)&lt;&gt;0),(AP120+AR120+AS120+AT120)/AT254,""),"")</f>
        <v>0.432824301530977</v>
      </c>
      <c r="AU351" s="257">
        <f>IFERROR(IF(AND(COUNT(AR120,AS120,AT120,AU120)=4,N(AU254)&lt;&gt;0),(AR120+AS120+AT120+AU120)/AU254,""),"")</f>
        <v>0.400480562940713</v>
      </c>
      <c r="AV351" s="258">
        <f>IFERROR(IF(AND(COUNT(AR120,AS120,AT120,AU120)=4,N(AV254)&lt;&gt;0),(AR120+AS120+AT120+AU120)/AV254,""),"")</f>
        <v>0.400480562940713</v>
      </c>
      <c r="AW351" s="257">
        <f>IFERROR(IF(AND(COUNT(AS120,AT120,AU120,AW120)=4,N(AW254)&lt;&gt;0),(AS120+AT120+AU120+AW120)/AW254,""),"")</f>
        <v>0.375380593243013</v>
      </c>
      <c r="AX351" s="257">
        <f>IFERROR(IF(AND(COUNT(AT120,AU120,AW120,AX120)=4,N(AX254)&lt;&gt;0),(AT120+AU120+AW120+AX120)/AX254,""),"")</f>
        <v>0.352557181623816</v>
      </c>
      <c r="AY351" s="257">
        <f>IFERROR(IF(AND(COUNT(AU120,AW120,AX120,AY120)=4,N(AY254)&lt;&gt;0),(AU120+AW120+AX120+AY120)/AY254,""),"")</f>
        <v>0.33232825346337</v>
      </c>
      <c r="AZ351" s="257">
        <f>IFERROR(IF(AND(COUNT(AW120,AX120,AY120,AZ120)=4,N(AZ254)&lt;&gt;0),(AW120+AX120+AY120+AZ120)/AZ254,""),"")</f>
        <v>0.31509746261859</v>
      </c>
      <c r="BA351" s="258">
        <f>IFERROR(IF(AND(COUNT(AW120,AX120,AY120,AZ120)=4,N(BA254)&lt;&gt;0),(AW120+AX120+AY120+AZ120)/BA254,""),"")</f>
        <v>0.31509746261859</v>
      </c>
      <c r="BB351" s="257">
        <f>IFERROR(IF(AND(COUNT(AX120,AY120,AZ120,BB120)=4,N(BB254)&lt;&gt;0),(AX120+AY120+AZ120+BB120)/BB254,""),"")</f>
        <v>0.301072914463436</v>
      </c>
      <c r="BC351" s="257">
        <f>IFERROR(IF(AND(COUNT(AY120,AZ120,BB120,BC120)=4,N(BC254)&lt;&gt;0),(AY120+AZ120+BB120+BC120)/BC254,""),"")</f>
        <v>0.287812353245218</v>
      </c>
      <c r="BD351" s="257">
        <f>IFERROR(IF(AND(COUNT(AZ120,BB120,BC120,BD120)=4,N(BD254)&lt;&gt;0),(AZ120+BB120+BC120+BD120)/BD254,""),"")</f>
        <v>0.27563138051418</v>
      </c>
      <c r="BE351" s="257">
        <f>IFERROR(IF(AND(COUNT(BB120,BC120,BD120,BE120)=4,N(BE254)&lt;&gt;0),(BB120+BC120+BD120+BE120)/BE254,""),"")</f>
        <v>0.26492227654378</v>
      </c>
      <c r="BF351" s="258">
        <f>IFERROR(IF(AND(COUNT(BB120,BC120,BD120,BE120)=4,N(BF254)&lt;&gt;0),(BB120+BC120+BD120+BE120)/BF254,""),"")</f>
        <v>0.26492227654378</v>
      </c>
      <c r="BG351" s="81" t="n"/>
      <c r="BH351" s="81" t="n"/>
      <c r="BI351" s="81" t="n"/>
      <c r="BJ351" s="81" t="n"/>
      <c r="BL351" s="81" t="n"/>
      <c r="BM351" s="81" t="n"/>
      <c r="BN351" s="81" t="n"/>
      <c r="BO351" s="81" t="n"/>
      <c r="BQ351" s="81" t="n"/>
      <c r="BR351" s="81" t="n"/>
      <c r="BS351" s="81" t="n"/>
      <c r="BT351" s="81" t="n"/>
      <c r="BV351" s="81" t="n"/>
      <c r="BW351" s="81" t="n"/>
      <c r="BX351" s="81" t="n"/>
      <c r="BY351" s="81" t="n"/>
      <c r="CA351" s="81" t="n"/>
      <c r="CB351" s="81" t="n"/>
      <c r="CC351" s="81" t="n"/>
      <c r="CD351" s="81" t="n"/>
      <c r="CF351" s="81" t="n"/>
      <c r="CG351" s="81" t="n"/>
      <c r="CH351" s="81" t="n"/>
      <c r="CI351" s="81" t="n"/>
      <c r="CK351" s="81" t="n"/>
      <c r="CL351" s="81" t="n"/>
      <c r="CM351" s="81" t="n"/>
      <c r="CN351" s="81" t="n"/>
      <c r="CP351" s="81" t="n"/>
      <c r="CQ351" s="81" t="n"/>
      <c r="CR351" s="81" t="n"/>
      <c r="CS351" s="81" t="n"/>
      <c r="CU351" s="81" t="n"/>
      <c r="CV351" s="81" t="n"/>
      <c r="CW351" s="81" t="n"/>
      <c r="CX351" s="81" t="n"/>
    </row>
    <row r="352"/>
    <row r="353">
      <c r="C353" s="73" t="inlineStr">
        <is>
          <t>Scenario Analysis</t>
        </is>
      </c>
      <c r="D353" s="73" t="n"/>
      <c r="E353" s="73" t="n"/>
      <c r="F353" s="73" t="n"/>
      <c r="G353" s="73" t="n"/>
      <c r="H353" s="73" t="n"/>
      <c r="I353" s="73" t="n"/>
      <c r="J353" s="73" t="n"/>
      <c r="K353" s="73" t="n"/>
      <c r="L353" s="73" t="n"/>
      <c r="M353" s="73" t="n"/>
      <c r="N353" s="73" t="n"/>
      <c r="O353" s="73" t="n"/>
      <c r="P353" s="73" t="n"/>
      <c r="Q353" s="73" t="n"/>
      <c r="R353" s="73" t="n"/>
      <c r="S353" s="73" t="n"/>
      <c r="T353" s="73" t="n"/>
      <c r="U353" s="73" t="n"/>
      <c r="V353" s="73" t="n"/>
      <c r="W353" s="73" t="n"/>
      <c r="X353" s="73" t="n"/>
      <c r="Y353" s="73" t="n"/>
      <c r="Z353" s="73" t="n"/>
      <c r="AA353" s="73" t="n"/>
      <c r="AB353" s="73" t="n"/>
      <c r="AC353" s="73" t="n"/>
      <c r="AD353" s="73" t="n"/>
      <c r="AE353" s="73" t="n"/>
      <c r="AF353" s="73" t="n"/>
      <c r="AG353" s="73" t="n"/>
      <c r="AH353" s="73" t="n"/>
      <c r="AI353" s="73" t="n"/>
      <c r="AJ353" s="73" t="n"/>
      <c r="AK353" s="73" t="n"/>
      <c r="AL353" s="73" t="n"/>
      <c r="AM353" s="73" t="n"/>
      <c r="AN353" s="73" t="n"/>
      <c r="AO353" s="73" t="n"/>
      <c r="AP353" s="73" t="n"/>
      <c r="AQ353" s="73" t="n"/>
      <c r="AR353" s="73" t="n"/>
      <c r="AS353" s="73" t="n"/>
      <c r="AT353" s="73" t="n"/>
      <c r="AU353" s="73" t="n"/>
      <c r="AV353" s="73" t="n"/>
      <c r="AW353" s="73" t="n"/>
      <c r="AX353" s="73" t="n"/>
      <c r="AY353" s="73" t="n"/>
      <c r="AZ353" s="73" t="n"/>
      <c r="BA353" s="73" t="n"/>
      <c r="BB353" s="73" t="n"/>
      <c r="BC353" s="73" t="n"/>
      <c r="BD353" s="73" t="n"/>
      <c r="BE353" s="73" t="n"/>
      <c r="BF353" s="73" t="n"/>
      <c r="BG353" s="73" t="n"/>
      <c r="BH353" s="73" t="n"/>
      <c r="BI353" s="73" t="n"/>
      <c r="BJ353" s="73" t="n"/>
      <c r="BK353" s="73" t="n"/>
      <c r="BL353" s="73" t="n"/>
      <c r="BM353" s="73" t="n"/>
      <c r="BN353" s="73" t="n"/>
      <c r="BO353" s="73" t="n"/>
      <c r="BP353" s="73" t="n"/>
      <c r="BQ353" s="73" t="n"/>
      <c r="BR353" s="73" t="n"/>
      <c r="BS353" s="73" t="n"/>
      <c r="BT353" s="73" t="n"/>
      <c r="BU353" s="73" t="n"/>
      <c r="BV353" s="73" t="n"/>
      <c r="BW353" s="73" t="n"/>
      <c r="BX353" s="73" t="n"/>
      <c r="BY353" s="73" t="n"/>
      <c r="BZ353" s="73" t="n"/>
      <c r="CA353" s="73" t="n"/>
      <c r="CB353" s="73" t="n"/>
      <c r="CC353" s="73" t="n"/>
      <c r="CD353" s="73" t="n"/>
      <c r="CE353" s="73" t="n"/>
      <c r="CF353" s="73" t="n"/>
      <c r="CG353" s="73" t="n"/>
      <c r="CH353" s="73" t="n"/>
      <c r="CI353" s="73" t="n"/>
      <c r="CJ353" s="73" t="n"/>
      <c r="CK353" s="73" t="n"/>
      <c r="CL353" s="73" t="n"/>
      <c r="CM353" s="73" t="n"/>
      <c r="CN353" s="73" t="n"/>
      <c r="CO353" s="73" t="n"/>
      <c r="CP353" s="73" t="n"/>
      <c r="CQ353" s="73" t="n"/>
      <c r="CR353" s="73" t="n"/>
      <c r="CS353" s="73" t="n"/>
      <c r="CT353" s="73" t="n"/>
      <c r="CU353" s="73" t="n"/>
      <c r="CV353" s="73" t="n"/>
      <c r="CW353" s="73" t="n"/>
      <c r="CX353" s="73" t="n"/>
      <c r="CY353" s="73" t="n"/>
    </row>
    <row r="354"/>
    <row r="355"/>
    <row r="356">
      <c r="C356" s="4" t="inlineStr">
        <is>
          <t>Bull case</t>
        </is>
      </c>
    </row>
    <row r="357">
      <c r="C357" s="4" t="inlineStr">
        <is>
          <t>Base case</t>
        </is>
      </c>
    </row>
    <row r="358">
      <c r="C358" s="4" t="inlineStr">
        <is>
          <t>Bear case</t>
        </is>
      </c>
    </row>
    <row r="359"/>
    <row r="360"/>
    <row r="361">
      <c r="C361" s="4" t="inlineStr">
        <is>
          <t>Bull case</t>
        </is>
      </c>
    </row>
    <row r="362">
      <c r="C362" s="4" t="inlineStr">
        <is>
          <t>Base case</t>
        </is>
      </c>
    </row>
    <row r="363">
      <c r="C363" s="4" t="inlineStr">
        <is>
          <t>Bear case</t>
        </is>
      </c>
    </row>
    <row r="364"/>
    <row r="365"/>
    <row r="366">
      <c r="C366" s="4" t="inlineStr">
        <is>
          <t>% Gross Margin</t>
        </is>
      </c>
    </row>
    <row r="367">
      <c r="C367" s="4" t="inlineStr">
        <is>
          <t>Bull case</t>
        </is>
      </c>
    </row>
    <row r="368">
      <c r="C368" s="4" t="inlineStr">
        <is>
          <t>Base case</t>
        </is>
      </c>
    </row>
    <row r="369">
      <c r="C369" s="4" t="inlineStr">
        <is>
          <t>Bear case</t>
        </is>
      </c>
    </row>
    <row r="370"/>
    <row r="371"/>
    <row r="372">
      <c r="C372" s="4" t="inlineStr">
        <is>
          <t>Capital expenditures</t>
        </is>
      </c>
    </row>
    <row r="373">
      <c r="C373" s="4" t="inlineStr">
        <is>
          <t>Bull case</t>
        </is>
      </c>
    </row>
    <row r="374">
      <c r="C374" s="4" t="inlineStr">
        <is>
          <t>Base case</t>
        </is>
      </c>
    </row>
    <row r="375">
      <c r="C375" s="4" t="inlineStr">
        <is>
          <t>Bear case</t>
        </is>
      </c>
    </row>
  </sheetData>
  <conditionalFormatting sqref="B1:B4 B13:B1048576">
    <cfRule type="expression" priority="25" dxfId="23">
      <formula>B1&lt;&gt;""</formula>
    </cfRule>
  </conditionalFormatting>
  <conditionalFormatting sqref="D1:CY3">
    <cfRule type="cellIs" priority="18" operator="greaterThan" dxfId="22">
      <formula>1</formula>
    </cfRule>
  </conditionalFormatting>
  <conditionalFormatting sqref="E298:G298">
    <cfRule type="cellIs" priority="16" operator="notEqual" dxfId="0">
      <formula>0</formula>
    </cfRule>
  </conditionalFormatting>
  <conditionalFormatting sqref="E5:H5">
    <cfRule type="cellIs" priority="17" operator="greaterThan" dxfId="18">
      <formula>$B$5</formula>
    </cfRule>
  </conditionalFormatting>
  <conditionalFormatting sqref="I298:L298">
    <cfRule type="cellIs" priority="23" operator="notEqual" dxfId="0">
      <formula>0</formula>
    </cfRule>
  </conditionalFormatting>
  <conditionalFormatting sqref="J5:CY5">
    <cfRule type="cellIs" priority="24" operator="greaterThan" dxfId="18">
      <formula>$B$5</formula>
    </cfRule>
  </conditionalFormatting>
  <conditionalFormatting sqref="N298:Q298">
    <cfRule type="cellIs" priority="22" operator="notEqual" dxfId="0">
      <formula>0</formula>
    </cfRule>
  </conditionalFormatting>
  <conditionalFormatting sqref="S298:V298">
    <cfRule type="cellIs" priority="21" operator="notEqual" dxfId="0">
      <formula>0</formula>
    </cfRule>
  </conditionalFormatting>
  <conditionalFormatting sqref="X298:AA298">
    <cfRule type="cellIs" priority="20" operator="notEqual" dxfId="0">
      <formula>0</formula>
    </cfRule>
  </conditionalFormatting>
  <conditionalFormatting sqref="AC298:AF298">
    <cfRule type="cellIs" priority="19" operator="notEqual" dxfId="0">
      <formula>0</formula>
    </cfRule>
  </conditionalFormatting>
  <conditionalFormatting sqref="AH298:AK298">
    <cfRule type="cellIs" priority="15" operator="notEqual" dxfId="0">
      <formula>0</formula>
    </cfRule>
  </conditionalFormatting>
  <conditionalFormatting sqref="AM298:AP298">
    <cfRule type="cellIs" priority="14" operator="notEqual" dxfId="0">
      <formula>0</formula>
    </cfRule>
  </conditionalFormatting>
  <conditionalFormatting sqref="AR298:AU298">
    <cfRule type="cellIs" priority="13" operator="notEqual" dxfId="0">
      <formula>0</formula>
    </cfRule>
  </conditionalFormatting>
  <conditionalFormatting sqref="AW298:AZ298">
    <cfRule type="cellIs" priority="12" operator="notEqual" dxfId="0">
      <formula>0</formula>
    </cfRule>
  </conditionalFormatting>
  <conditionalFormatting sqref="BB298:BE298">
    <cfRule type="cellIs" priority="11" operator="notEqual" dxfId="0">
      <formula>0</formula>
    </cfRule>
  </conditionalFormatting>
  <conditionalFormatting sqref="BG298:BJ298">
    <cfRule type="cellIs" priority="10" operator="notEqual" dxfId="0">
      <formula>0</formula>
    </cfRule>
  </conditionalFormatting>
  <conditionalFormatting sqref="BL298:BO298">
    <cfRule type="cellIs" priority="9" operator="notEqual" dxfId="0">
      <formula>0</formula>
    </cfRule>
  </conditionalFormatting>
  <conditionalFormatting sqref="BQ298:BT298">
    <cfRule type="cellIs" priority="8" operator="notEqual" dxfId="0">
      <formula>0</formula>
    </cfRule>
  </conditionalFormatting>
  <conditionalFormatting sqref="BV298:BY298">
    <cfRule type="cellIs" priority="7" operator="notEqual" dxfId="0">
      <formula>0</formula>
    </cfRule>
  </conditionalFormatting>
  <conditionalFormatting sqref="CA298:CD298">
    <cfRule type="cellIs" priority="6" operator="notEqual" dxfId="0">
      <formula>0</formula>
    </cfRule>
  </conditionalFormatting>
  <conditionalFormatting sqref="CF298:CI298">
    <cfRule type="cellIs" priority="5" operator="notEqual" dxfId="0">
      <formula>0</formula>
    </cfRule>
  </conditionalFormatting>
  <conditionalFormatting sqref="CK298:CN298">
    <cfRule type="cellIs" priority="4" operator="notEqual" dxfId="0">
      <formula>0</formula>
    </cfRule>
  </conditionalFormatting>
  <conditionalFormatting sqref="CP298:CS298">
    <cfRule type="cellIs" priority="3" operator="notEqual" dxfId="0">
      <formula>0</formula>
    </cfRule>
  </conditionalFormatting>
  <conditionalFormatting sqref="CU298:CX298">
    <cfRule type="cellIs" priority="2" operator="notEqual" dxfId="0">
      <formula>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B102"/>
  <sheetViews>
    <sheetView zoomScaleNormal="100" workbookViewId="0">
      <selection activeCell="A1" sqref="A1"/>
    </sheetView>
  </sheetViews>
  <sheetFormatPr baseColWidth="8" defaultColWidth="10.42578125" defaultRowHeight="12.75"/>
  <cols>
    <col width="2.28515625" customWidth="1" style="251" min="1" max="1"/>
    <col width="4.85546875" customWidth="1" style="251" min="2" max="2"/>
    <col width="62" customWidth="1" style="251" min="3" max="3"/>
    <col width="14.5703125" customWidth="1" style="251" min="4" max="4"/>
    <col width="12.85546875" customWidth="1" style="251" min="5" max="6"/>
    <col width="13.42578125" customWidth="1" style="251" min="7" max="7"/>
    <col width="16" customWidth="1" style="251" min="8" max="8"/>
    <col width="15.5703125" customWidth="1" style="251" min="9" max="9"/>
    <col width="12.85546875" customWidth="1" style="251" min="10" max="12"/>
    <col width="13.28515625" customWidth="1" style="251" min="13" max="13"/>
    <col width="13.140625" customWidth="1" style="251" min="14" max="14"/>
    <col width="13.28515625" customWidth="1" style="251" min="15" max="15"/>
    <col width="12.28515625" customWidth="1" style="251" min="16" max="20"/>
    <col width="13.28515625" customWidth="1" style="251" min="21" max="22"/>
    <col width="10.5703125" customWidth="1" style="251" min="23" max="23"/>
    <col width="13" customWidth="1" style="251" min="24" max="25"/>
    <col width="11.28515625" customWidth="1" style="251" min="26" max="26"/>
    <col width="10.42578125" customWidth="1" style="251" min="27" max="27"/>
    <col width="21.5703125" customWidth="1" style="251" min="28" max="28"/>
    <col width="10.42578125" customWidth="1" style="251" min="29" max="31"/>
    <col width="9.140625" customWidth="1" style="251" min="32" max="32"/>
    <col width="10.42578125" customWidth="1" style="251" min="33" max="261"/>
    <col width="2.28515625" customWidth="1" style="251" min="262" max="263"/>
    <col width="35.42578125" customWidth="1" style="251" min="264" max="264"/>
    <col width="14.7109375" customWidth="1" style="251" min="265" max="265"/>
    <col width="12.85546875" customWidth="1" style="251" min="266" max="268"/>
    <col width="15.5703125" customWidth="1" style="251" min="269" max="269"/>
    <col width="12.85546875" customWidth="1" style="251" min="270" max="273"/>
    <col width="10.42578125" customWidth="1" style="251" min="274" max="275"/>
    <col width="12.28515625" customWidth="1" style="251" min="276" max="276"/>
    <col width="10.42578125" customWidth="1" style="251" min="277" max="517"/>
    <col width="2.28515625" customWidth="1" style="251" min="518" max="519"/>
    <col width="35.42578125" customWidth="1" style="251" min="520" max="520"/>
    <col width="14.7109375" customWidth="1" style="251" min="521" max="521"/>
    <col width="12.85546875" customWidth="1" style="251" min="522" max="524"/>
    <col width="15.5703125" customWidth="1" style="251" min="525" max="525"/>
    <col width="12.85546875" customWidth="1" style="251" min="526" max="529"/>
    <col width="10.42578125" customWidth="1" style="251" min="530" max="531"/>
    <col width="12.28515625" customWidth="1" style="251" min="532" max="532"/>
    <col width="10.42578125" customWidth="1" style="251" min="533" max="773"/>
    <col width="2.28515625" customWidth="1" style="251" min="774" max="775"/>
    <col width="35.42578125" customWidth="1" style="251" min="776" max="776"/>
    <col width="14.7109375" customWidth="1" style="251" min="777" max="777"/>
    <col width="12.85546875" customWidth="1" style="251" min="778" max="780"/>
    <col width="15.5703125" customWidth="1" style="251" min="781" max="781"/>
    <col width="12.85546875" customWidth="1" style="251" min="782" max="785"/>
    <col width="10.42578125" customWidth="1" style="251" min="786" max="787"/>
    <col width="12.28515625" customWidth="1" style="251" min="788" max="788"/>
    <col width="10.42578125" customWidth="1" style="251" min="789" max="1029"/>
    <col width="2.28515625" customWidth="1" style="251" min="1030" max="1031"/>
    <col width="35.42578125" customWidth="1" style="251" min="1032" max="1032"/>
    <col width="14.7109375" customWidth="1" style="251" min="1033" max="1033"/>
    <col width="12.85546875" customWidth="1" style="251" min="1034" max="1036"/>
    <col width="15.5703125" customWidth="1" style="251" min="1037" max="1037"/>
    <col width="12.85546875" customWidth="1" style="251" min="1038" max="1041"/>
    <col width="10.42578125" customWidth="1" style="251" min="1042" max="1043"/>
    <col width="12.28515625" customWidth="1" style="251" min="1044" max="1044"/>
    <col width="10.42578125" customWidth="1" style="251" min="1045" max="1285"/>
    <col width="2.28515625" customWidth="1" style="251" min="1286" max="1287"/>
    <col width="35.42578125" customWidth="1" style="251" min="1288" max="1288"/>
    <col width="14.7109375" customWidth="1" style="251" min="1289" max="1289"/>
    <col width="12.85546875" customWidth="1" style="251" min="1290" max="1292"/>
    <col width="15.5703125" customWidth="1" style="251" min="1293" max="1293"/>
    <col width="12.85546875" customWidth="1" style="251" min="1294" max="1297"/>
    <col width="10.42578125" customWidth="1" style="251" min="1298" max="1299"/>
    <col width="12.28515625" customWidth="1" style="251" min="1300" max="1300"/>
    <col width="10.42578125" customWidth="1" style="251" min="1301" max="1541"/>
    <col width="2.28515625" customWidth="1" style="251" min="1542" max="1543"/>
    <col width="35.42578125" customWidth="1" style="251" min="1544" max="1544"/>
    <col width="14.7109375" customWidth="1" style="251" min="1545" max="1545"/>
    <col width="12.85546875" customWidth="1" style="251" min="1546" max="1548"/>
    <col width="15.5703125" customWidth="1" style="251" min="1549" max="1549"/>
    <col width="12.85546875" customWidth="1" style="251" min="1550" max="1553"/>
    <col width="10.42578125" customWidth="1" style="251" min="1554" max="1555"/>
    <col width="12.28515625" customWidth="1" style="251" min="1556" max="1556"/>
    <col width="10.42578125" customWidth="1" style="251" min="1557" max="1797"/>
    <col width="2.28515625" customWidth="1" style="251" min="1798" max="1799"/>
    <col width="35.42578125" customWidth="1" style="251" min="1800" max="1800"/>
    <col width="14.7109375" customWidth="1" style="251" min="1801" max="1801"/>
    <col width="12.85546875" customWidth="1" style="251" min="1802" max="1804"/>
    <col width="15.5703125" customWidth="1" style="251" min="1805" max="1805"/>
    <col width="12.85546875" customWidth="1" style="251" min="1806" max="1809"/>
    <col width="10.42578125" customWidth="1" style="251" min="1810" max="1811"/>
    <col width="12.28515625" customWidth="1" style="251" min="1812" max="1812"/>
    <col width="10.42578125" customWidth="1" style="251" min="1813" max="2053"/>
    <col width="2.28515625" customWidth="1" style="251" min="2054" max="2055"/>
    <col width="35.42578125" customWidth="1" style="251" min="2056" max="2056"/>
    <col width="14.7109375" customWidth="1" style="251" min="2057" max="2057"/>
    <col width="12.85546875" customWidth="1" style="251" min="2058" max="2060"/>
    <col width="15.5703125" customWidth="1" style="251" min="2061" max="2061"/>
    <col width="12.85546875" customWidth="1" style="251" min="2062" max="2065"/>
    <col width="10.42578125" customWidth="1" style="251" min="2066" max="2067"/>
    <col width="12.28515625" customWidth="1" style="251" min="2068" max="2068"/>
    <col width="10.42578125" customWidth="1" style="251" min="2069" max="2309"/>
    <col width="2.28515625" customWidth="1" style="251" min="2310" max="2311"/>
    <col width="35.42578125" customWidth="1" style="251" min="2312" max="2312"/>
    <col width="14.7109375" customWidth="1" style="251" min="2313" max="2313"/>
    <col width="12.85546875" customWidth="1" style="251" min="2314" max="2316"/>
    <col width="15.5703125" customWidth="1" style="251" min="2317" max="2317"/>
    <col width="12.85546875" customWidth="1" style="251" min="2318" max="2321"/>
    <col width="10.42578125" customWidth="1" style="251" min="2322" max="2323"/>
    <col width="12.28515625" customWidth="1" style="251" min="2324" max="2324"/>
    <col width="10.42578125" customWidth="1" style="251" min="2325" max="2565"/>
    <col width="2.28515625" customWidth="1" style="251" min="2566" max="2567"/>
    <col width="35.42578125" customWidth="1" style="251" min="2568" max="2568"/>
    <col width="14.7109375" customWidth="1" style="251" min="2569" max="2569"/>
    <col width="12.85546875" customWidth="1" style="251" min="2570" max="2572"/>
    <col width="15.5703125" customWidth="1" style="251" min="2573" max="2573"/>
    <col width="12.85546875" customWidth="1" style="251" min="2574" max="2577"/>
    <col width="10.42578125" customWidth="1" style="251" min="2578" max="2579"/>
    <col width="12.28515625" customWidth="1" style="251" min="2580" max="2580"/>
    <col width="10.42578125" customWidth="1" style="251" min="2581" max="2821"/>
    <col width="2.28515625" customWidth="1" style="251" min="2822" max="2823"/>
    <col width="35.42578125" customWidth="1" style="251" min="2824" max="2824"/>
    <col width="14.7109375" customWidth="1" style="251" min="2825" max="2825"/>
    <col width="12.85546875" customWidth="1" style="251" min="2826" max="2828"/>
    <col width="15.5703125" customWidth="1" style="251" min="2829" max="2829"/>
    <col width="12.85546875" customWidth="1" style="251" min="2830" max="2833"/>
    <col width="10.42578125" customWidth="1" style="251" min="2834" max="2835"/>
    <col width="12.28515625" customWidth="1" style="251" min="2836" max="2836"/>
    <col width="10.42578125" customWidth="1" style="251" min="2837" max="3077"/>
    <col width="2.28515625" customWidth="1" style="251" min="3078" max="3079"/>
    <col width="35.42578125" customWidth="1" style="251" min="3080" max="3080"/>
    <col width="14.7109375" customWidth="1" style="251" min="3081" max="3081"/>
    <col width="12.85546875" customWidth="1" style="251" min="3082" max="3084"/>
    <col width="15.5703125" customWidth="1" style="251" min="3085" max="3085"/>
    <col width="12.85546875" customWidth="1" style="251" min="3086" max="3089"/>
    <col width="10.42578125" customWidth="1" style="251" min="3090" max="3091"/>
    <col width="12.28515625" customWidth="1" style="251" min="3092" max="3092"/>
    <col width="10.42578125" customWidth="1" style="251" min="3093" max="3333"/>
    <col width="2.28515625" customWidth="1" style="251" min="3334" max="3335"/>
    <col width="35.42578125" customWidth="1" style="251" min="3336" max="3336"/>
    <col width="14.7109375" customWidth="1" style="251" min="3337" max="3337"/>
    <col width="12.85546875" customWidth="1" style="251" min="3338" max="3340"/>
    <col width="15.5703125" customWidth="1" style="251" min="3341" max="3341"/>
    <col width="12.85546875" customWidth="1" style="251" min="3342" max="3345"/>
    <col width="10.42578125" customWidth="1" style="251" min="3346" max="3347"/>
    <col width="12.28515625" customWidth="1" style="251" min="3348" max="3348"/>
    <col width="10.42578125" customWidth="1" style="251" min="3349" max="3589"/>
    <col width="2.28515625" customWidth="1" style="251" min="3590" max="3591"/>
    <col width="35.42578125" customWidth="1" style="251" min="3592" max="3592"/>
    <col width="14.7109375" customWidth="1" style="251" min="3593" max="3593"/>
    <col width="12.85546875" customWidth="1" style="251" min="3594" max="3596"/>
    <col width="15.5703125" customWidth="1" style="251" min="3597" max="3597"/>
    <col width="12.85546875" customWidth="1" style="251" min="3598" max="3601"/>
    <col width="10.42578125" customWidth="1" style="251" min="3602" max="3603"/>
    <col width="12.28515625" customWidth="1" style="251" min="3604" max="3604"/>
    <col width="10.42578125" customWidth="1" style="251" min="3605" max="3845"/>
    <col width="2.28515625" customWidth="1" style="251" min="3846" max="3847"/>
    <col width="35.42578125" customWidth="1" style="251" min="3848" max="3848"/>
    <col width="14.7109375" customWidth="1" style="251" min="3849" max="3849"/>
    <col width="12.85546875" customWidth="1" style="251" min="3850" max="3852"/>
    <col width="15.5703125" customWidth="1" style="251" min="3853" max="3853"/>
    <col width="12.85546875" customWidth="1" style="251" min="3854" max="3857"/>
    <col width="10.42578125" customWidth="1" style="251" min="3858" max="3859"/>
    <col width="12.28515625" customWidth="1" style="251" min="3860" max="3860"/>
    <col width="10.42578125" customWidth="1" style="251" min="3861" max="4101"/>
    <col width="2.28515625" customWidth="1" style="251" min="4102" max="4103"/>
    <col width="35.42578125" customWidth="1" style="251" min="4104" max="4104"/>
    <col width="14.7109375" customWidth="1" style="251" min="4105" max="4105"/>
    <col width="12.85546875" customWidth="1" style="251" min="4106" max="4108"/>
    <col width="15.5703125" customWidth="1" style="251" min="4109" max="4109"/>
    <col width="12.85546875" customWidth="1" style="251" min="4110" max="4113"/>
    <col width="10.42578125" customWidth="1" style="251" min="4114" max="4115"/>
    <col width="12.28515625" customWidth="1" style="251" min="4116" max="4116"/>
    <col width="10.42578125" customWidth="1" style="251" min="4117" max="4357"/>
    <col width="2.28515625" customWidth="1" style="251" min="4358" max="4359"/>
    <col width="35.42578125" customWidth="1" style="251" min="4360" max="4360"/>
    <col width="14.7109375" customWidth="1" style="251" min="4361" max="4361"/>
    <col width="12.85546875" customWidth="1" style="251" min="4362" max="4364"/>
    <col width="15.5703125" customWidth="1" style="251" min="4365" max="4365"/>
    <col width="12.85546875" customWidth="1" style="251" min="4366" max="4369"/>
    <col width="10.42578125" customWidth="1" style="251" min="4370" max="4371"/>
    <col width="12.28515625" customWidth="1" style="251" min="4372" max="4372"/>
    <col width="10.42578125" customWidth="1" style="251" min="4373" max="4613"/>
    <col width="2.28515625" customWidth="1" style="251" min="4614" max="4615"/>
    <col width="35.42578125" customWidth="1" style="251" min="4616" max="4616"/>
    <col width="14.7109375" customWidth="1" style="251" min="4617" max="4617"/>
    <col width="12.85546875" customWidth="1" style="251" min="4618" max="4620"/>
    <col width="15.5703125" customWidth="1" style="251" min="4621" max="4621"/>
    <col width="12.85546875" customWidth="1" style="251" min="4622" max="4625"/>
    <col width="10.42578125" customWidth="1" style="251" min="4626" max="4627"/>
    <col width="12.28515625" customWidth="1" style="251" min="4628" max="4628"/>
    <col width="10.42578125" customWidth="1" style="251" min="4629" max="4869"/>
    <col width="2.28515625" customWidth="1" style="251" min="4870" max="4871"/>
    <col width="35.42578125" customWidth="1" style="251" min="4872" max="4872"/>
    <col width="14.7109375" customWidth="1" style="251" min="4873" max="4873"/>
    <col width="12.85546875" customWidth="1" style="251" min="4874" max="4876"/>
    <col width="15.5703125" customWidth="1" style="251" min="4877" max="4877"/>
    <col width="12.85546875" customWidth="1" style="251" min="4878" max="4881"/>
    <col width="10.42578125" customWidth="1" style="251" min="4882" max="4883"/>
    <col width="12.28515625" customWidth="1" style="251" min="4884" max="4884"/>
    <col width="10.42578125" customWidth="1" style="251" min="4885" max="5125"/>
    <col width="2.28515625" customWidth="1" style="251" min="5126" max="5127"/>
    <col width="35.42578125" customWidth="1" style="251" min="5128" max="5128"/>
    <col width="14.7109375" customWidth="1" style="251" min="5129" max="5129"/>
    <col width="12.85546875" customWidth="1" style="251" min="5130" max="5132"/>
    <col width="15.5703125" customWidth="1" style="251" min="5133" max="5133"/>
    <col width="12.85546875" customWidth="1" style="251" min="5134" max="5137"/>
    <col width="10.42578125" customWidth="1" style="251" min="5138" max="5139"/>
    <col width="12.28515625" customWidth="1" style="251" min="5140" max="5140"/>
    <col width="10.42578125" customWidth="1" style="251" min="5141" max="5381"/>
    <col width="2.28515625" customWidth="1" style="251" min="5382" max="5383"/>
    <col width="35.42578125" customWidth="1" style="251" min="5384" max="5384"/>
    <col width="14.7109375" customWidth="1" style="251" min="5385" max="5385"/>
    <col width="12.85546875" customWidth="1" style="251" min="5386" max="5388"/>
    <col width="15.5703125" customWidth="1" style="251" min="5389" max="5389"/>
    <col width="12.85546875" customWidth="1" style="251" min="5390" max="5393"/>
    <col width="10.42578125" customWidth="1" style="251" min="5394" max="5395"/>
    <col width="12.28515625" customWidth="1" style="251" min="5396" max="5396"/>
    <col width="10.42578125" customWidth="1" style="251" min="5397" max="5637"/>
    <col width="2.28515625" customWidth="1" style="251" min="5638" max="5639"/>
    <col width="35.42578125" customWidth="1" style="251" min="5640" max="5640"/>
    <col width="14.7109375" customWidth="1" style="251" min="5641" max="5641"/>
    <col width="12.85546875" customWidth="1" style="251" min="5642" max="5644"/>
    <col width="15.5703125" customWidth="1" style="251" min="5645" max="5645"/>
    <col width="12.85546875" customWidth="1" style="251" min="5646" max="5649"/>
    <col width="10.42578125" customWidth="1" style="251" min="5650" max="5651"/>
    <col width="12.28515625" customWidth="1" style="251" min="5652" max="5652"/>
    <col width="10.42578125" customWidth="1" style="251" min="5653" max="5893"/>
    <col width="2.28515625" customWidth="1" style="251" min="5894" max="5895"/>
    <col width="35.42578125" customWidth="1" style="251" min="5896" max="5896"/>
    <col width="14.7109375" customWidth="1" style="251" min="5897" max="5897"/>
    <col width="12.85546875" customWidth="1" style="251" min="5898" max="5900"/>
    <col width="15.5703125" customWidth="1" style="251" min="5901" max="5901"/>
    <col width="12.85546875" customWidth="1" style="251" min="5902" max="5905"/>
    <col width="10.42578125" customWidth="1" style="251" min="5906" max="5907"/>
    <col width="12.28515625" customWidth="1" style="251" min="5908" max="5908"/>
    <col width="10.42578125" customWidth="1" style="251" min="5909" max="6149"/>
    <col width="2.28515625" customWidth="1" style="251" min="6150" max="6151"/>
    <col width="35.42578125" customWidth="1" style="251" min="6152" max="6152"/>
    <col width="14.7109375" customWidth="1" style="251" min="6153" max="6153"/>
    <col width="12.85546875" customWidth="1" style="251" min="6154" max="6156"/>
    <col width="15.5703125" customWidth="1" style="251" min="6157" max="6157"/>
    <col width="12.85546875" customWidth="1" style="251" min="6158" max="6161"/>
    <col width="10.42578125" customWidth="1" style="251" min="6162" max="6163"/>
    <col width="12.28515625" customWidth="1" style="251" min="6164" max="6164"/>
    <col width="10.42578125" customWidth="1" style="251" min="6165" max="6405"/>
    <col width="2.28515625" customWidth="1" style="251" min="6406" max="6407"/>
    <col width="35.42578125" customWidth="1" style="251" min="6408" max="6408"/>
    <col width="14.7109375" customWidth="1" style="251" min="6409" max="6409"/>
    <col width="12.85546875" customWidth="1" style="251" min="6410" max="6412"/>
    <col width="15.5703125" customWidth="1" style="251" min="6413" max="6413"/>
    <col width="12.85546875" customWidth="1" style="251" min="6414" max="6417"/>
    <col width="10.42578125" customWidth="1" style="251" min="6418" max="6419"/>
    <col width="12.28515625" customWidth="1" style="251" min="6420" max="6420"/>
    <col width="10.42578125" customWidth="1" style="251" min="6421" max="6661"/>
    <col width="2.28515625" customWidth="1" style="251" min="6662" max="6663"/>
    <col width="35.42578125" customWidth="1" style="251" min="6664" max="6664"/>
    <col width="14.7109375" customWidth="1" style="251" min="6665" max="6665"/>
    <col width="12.85546875" customWidth="1" style="251" min="6666" max="6668"/>
    <col width="15.5703125" customWidth="1" style="251" min="6669" max="6669"/>
    <col width="12.85546875" customWidth="1" style="251" min="6670" max="6673"/>
    <col width="10.42578125" customWidth="1" style="251" min="6674" max="6675"/>
    <col width="12.28515625" customWidth="1" style="251" min="6676" max="6676"/>
    <col width="10.42578125" customWidth="1" style="251" min="6677" max="6917"/>
    <col width="2.28515625" customWidth="1" style="251" min="6918" max="6919"/>
    <col width="35.42578125" customWidth="1" style="251" min="6920" max="6920"/>
    <col width="14.7109375" customWidth="1" style="251" min="6921" max="6921"/>
    <col width="12.85546875" customWidth="1" style="251" min="6922" max="6924"/>
    <col width="15.5703125" customWidth="1" style="251" min="6925" max="6925"/>
    <col width="12.85546875" customWidth="1" style="251" min="6926" max="6929"/>
    <col width="10.42578125" customWidth="1" style="251" min="6930" max="6931"/>
    <col width="12.28515625" customWidth="1" style="251" min="6932" max="6932"/>
    <col width="10.42578125" customWidth="1" style="251" min="6933" max="7173"/>
    <col width="2.28515625" customWidth="1" style="251" min="7174" max="7175"/>
    <col width="35.42578125" customWidth="1" style="251" min="7176" max="7176"/>
    <col width="14.7109375" customWidth="1" style="251" min="7177" max="7177"/>
    <col width="12.85546875" customWidth="1" style="251" min="7178" max="7180"/>
    <col width="15.5703125" customWidth="1" style="251" min="7181" max="7181"/>
    <col width="12.85546875" customWidth="1" style="251" min="7182" max="7185"/>
    <col width="10.42578125" customWidth="1" style="251" min="7186" max="7187"/>
    <col width="12.28515625" customWidth="1" style="251" min="7188" max="7188"/>
    <col width="10.42578125" customWidth="1" style="251" min="7189" max="7429"/>
    <col width="2.28515625" customWidth="1" style="251" min="7430" max="7431"/>
    <col width="35.42578125" customWidth="1" style="251" min="7432" max="7432"/>
    <col width="14.7109375" customWidth="1" style="251" min="7433" max="7433"/>
    <col width="12.85546875" customWidth="1" style="251" min="7434" max="7436"/>
    <col width="15.5703125" customWidth="1" style="251" min="7437" max="7437"/>
    <col width="12.85546875" customWidth="1" style="251" min="7438" max="7441"/>
    <col width="10.42578125" customWidth="1" style="251" min="7442" max="7443"/>
    <col width="12.28515625" customWidth="1" style="251" min="7444" max="7444"/>
    <col width="10.42578125" customWidth="1" style="251" min="7445" max="7685"/>
    <col width="2.28515625" customWidth="1" style="251" min="7686" max="7687"/>
    <col width="35.42578125" customWidth="1" style="251" min="7688" max="7688"/>
    <col width="14.7109375" customWidth="1" style="251" min="7689" max="7689"/>
    <col width="12.85546875" customWidth="1" style="251" min="7690" max="7692"/>
    <col width="15.5703125" customWidth="1" style="251" min="7693" max="7693"/>
    <col width="12.85546875" customWidth="1" style="251" min="7694" max="7697"/>
    <col width="10.42578125" customWidth="1" style="251" min="7698" max="7699"/>
    <col width="12.28515625" customWidth="1" style="251" min="7700" max="7700"/>
    <col width="10.42578125" customWidth="1" style="251" min="7701" max="7941"/>
    <col width="2.28515625" customWidth="1" style="251" min="7942" max="7943"/>
    <col width="35.42578125" customWidth="1" style="251" min="7944" max="7944"/>
    <col width="14.7109375" customWidth="1" style="251" min="7945" max="7945"/>
    <col width="12.85546875" customWidth="1" style="251" min="7946" max="7948"/>
    <col width="15.5703125" customWidth="1" style="251" min="7949" max="7949"/>
    <col width="12.85546875" customWidth="1" style="251" min="7950" max="7953"/>
    <col width="10.42578125" customWidth="1" style="251" min="7954" max="7955"/>
    <col width="12.28515625" customWidth="1" style="251" min="7956" max="7956"/>
    <col width="10.42578125" customWidth="1" style="251" min="7957" max="8197"/>
    <col width="2.28515625" customWidth="1" style="251" min="8198" max="8199"/>
    <col width="35.42578125" customWidth="1" style="251" min="8200" max="8200"/>
    <col width="14.7109375" customWidth="1" style="251" min="8201" max="8201"/>
    <col width="12.85546875" customWidth="1" style="251" min="8202" max="8204"/>
    <col width="15.5703125" customWidth="1" style="251" min="8205" max="8205"/>
    <col width="12.85546875" customWidth="1" style="251" min="8206" max="8209"/>
    <col width="10.42578125" customWidth="1" style="251" min="8210" max="8211"/>
    <col width="12.28515625" customWidth="1" style="251" min="8212" max="8212"/>
    <col width="10.42578125" customWidth="1" style="251" min="8213" max="8453"/>
    <col width="2.28515625" customWidth="1" style="251" min="8454" max="8455"/>
    <col width="35.42578125" customWidth="1" style="251" min="8456" max="8456"/>
    <col width="14.7109375" customWidth="1" style="251" min="8457" max="8457"/>
    <col width="12.85546875" customWidth="1" style="251" min="8458" max="8460"/>
    <col width="15.5703125" customWidth="1" style="251" min="8461" max="8461"/>
    <col width="12.85546875" customWidth="1" style="251" min="8462" max="8465"/>
    <col width="10.42578125" customWidth="1" style="251" min="8466" max="8467"/>
    <col width="12.28515625" customWidth="1" style="251" min="8468" max="8468"/>
    <col width="10.42578125" customWidth="1" style="251" min="8469" max="8709"/>
    <col width="2.28515625" customWidth="1" style="251" min="8710" max="8711"/>
    <col width="35.42578125" customWidth="1" style="251" min="8712" max="8712"/>
    <col width="14.7109375" customWidth="1" style="251" min="8713" max="8713"/>
    <col width="12.85546875" customWidth="1" style="251" min="8714" max="8716"/>
    <col width="15.5703125" customWidth="1" style="251" min="8717" max="8717"/>
    <col width="12.85546875" customWidth="1" style="251" min="8718" max="8721"/>
    <col width="10.42578125" customWidth="1" style="251" min="8722" max="8723"/>
    <col width="12.28515625" customWidth="1" style="251" min="8724" max="8724"/>
    <col width="10.42578125" customWidth="1" style="251" min="8725" max="8965"/>
    <col width="2.28515625" customWidth="1" style="251" min="8966" max="8967"/>
    <col width="35.42578125" customWidth="1" style="251" min="8968" max="8968"/>
    <col width="14.7109375" customWidth="1" style="251" min="8969" max="8969"/>
    <col width="12.85546875" customWidth="1" style="251" min="8970" max="8972"/>
    <col width="15.5703125" customWidth="1" style="251" min="8973" max="8973"/>
    <col width="12.85546875" customWidth="1" style="251" min="8974" max="8977"/>
    <col width="10.42578125" customWidth="1" style="251" min="8978" max="8979"/>
    <col width="12.28515625" customWidth="1" style="251" min="8980" max="8980"/>
    <col width="10.42578125" customWidth="1" style="251" min="8981" max="9221"/>
    <col width="2.28515625" customWidth="1" style="251" min="9222" max="9223"/>
    <col width="35.42578125" customWidth="1" style="251" min="9224" max="9224"/>
    <col width="14.7109375" customWidth="1" style="251" min="9225" max="9225"/>
    <col width="12.85546875" customWidth="1" style="251" min="9226" max="9228"/>
    <col width="15.5703125" customWidth="1" style="251" min="9229" max="9229"/>
    <col width="12.85546875" customWidth="1" style="251" min="9230" max="9233"/>
    <col width="10.42578125" customWidth="1" style="251" min="9234" max="9235"/>
    <col width="12.28515625" customWidth="1" style="251" min="9236" max="9236"/>
    <col width="10.42578125" customWidth="1" style="251" min="9237" max="9477"/>
    <col width="2.28515625" customWidth="1" style="251" min="9478" max="9479"/>
    <col width="35.42578125" customWidth="1" style="251" min="9480" max="9480"/>
    <col width="14.7109375" customWidth="1" style="251" min="9481" max="9481"/>
    <col width="12.85546875" customWidth="1" style="251" min="9482" max="9484"/>
    <col width="15.5703125" customWidth="1" style="251" min="9485" max="9485"/>
    <col width="12.85546875" customWidth="1" style="251" min="9486" max="9489"/>
    <col width="10.42578125" customWidth="1" style="251" min="9490" max="9491"/>
    <col width="12.28515625" customWidth="1" style="251" min="9492" max="9492"/>
    <col width="10.42578125" customWidth="1" style="251" min="9493" max="9733"/>
    <col width="2.28515625" customWidth="1" style="251" min="9734" max="9735"/>
    <col width="35.42578125" customWidth="1" style="251" min="9736" max="9736"/>
    <col width="14.7109375" customWidth="1" style="251" min="9737" max="9737"/>
    <col width="12.85546875" customWidth="1" style="251" min="9738" max="9740"/>
    <col width="15.5703125" customWidth="1" style="251" min="9741" max="9741"/>
    <col width="12.85546875" customWidth="1" style="251" min="9742" max="9745"/>
    <col width="10.42578125" customWidth="1" style="251" min="9746" max="9747"/>
    <col width="12.28515625" customWidth="1" style="251" min="9748" max="9748"/>
    <col width="10.42578125" customWidth="1" style="251" min="9749" max="9989"/>
    <col width="2.28515625" customWidth="1" style="251" min="9990" max="9991"/>
    <col width="35.42578125" customWidth="1" style="251" min="9992" max="9992"/>
    <col width="14.7109375" customWidth="1" style="251" min="9993" max="9993"/>
    <col width="12.85546875" customWidth="1" style="251" min="9994" max="9996"/>
    <col width="15.5703125" customWidth="1" style="251" min="9997" max="9997"/>
    <col width="12.85546875" customWidth="1" style="251" min="9998" max="10001"/>
    <col width="10.42578125" customWidth="1" style="251" min="10002" max="10003"/>
    <col width="12.28515625" customWidth="1" style="251" min="10004" max="10004"/>
    <col width="10.42578125" customWidth="1" style="251" min="10005" max="10245"/>
    <col width="2.28515625" customWidth="1" style="251" min="10246" max="10247"/>
    <col width="35.42578125" customWidth="1" style="251" min="10248" max="10248"/>
    <col width="14.7109375" customWidth="1" style="251" min="10249" max="10249"/>
    <col width="12.85546875" customWidth="1" style="251" min="10250" max="10252"/>
    <col width="15.5703125" customWidth="1" style="251" min="10253" max="10253"/>
    <col width="12.85546875" customWidth="1" style="251" min="10254" max="10257"/>
    <col width="10.42578125" customWidth="1" style="251" min="10258" max="10259"/>
    <col width="12.28515625" customWidth="1" style="251" min="10260" max="10260"/>
    <col width="10.42578125" customWidth="1" style="251" min="10261" max="10501"/>
    <col width="2.28515625" customWidth="1" style="251" min="10502" max="10503"/>
    <col width="35.42578125" customWidth="1" style="251" min="10504" max="10504"/>
    <col width="14.7109375" customWidth="1" style="251" min="10505" max="10505"/>
    <col width="12.85546875" customWidth="1" style="251" min="10506" max="10508"/>
    <col width="15.5703125" customWidth="1" style="251" min="10509" max="10509"/>
    <col width="12.85546875" customWidth="1" style="251" min="10510" max="10513"/>
    <col width="10.42578125" customWidth="1" style="251" min="10514" max="10515"/>
    <col width="12.28515625" customWidth="1" style="251" min="10516" max="10516"/>
    <col width="10.42578125" customWidth="1" style="251" min="10517" max="10757"/>
    <col width="2.28515625" customWidth="1" style="251" min="10758" max="10759"/>
    <col width="35.42578125" customWidth="1" style="251" min="10760" max="10760"/>
    <col width="14.7109375" customWidth="1" style="251" min="10761" max="10761"/>
    <col width="12.85546875" customWidth="1" style="251" min="10762" max="10764"/>
    <col width="15.5703125" customWidth="1" style="251" min="10765" max="10765"/>
    <col width="12.85546875" customWidth="1" style="251" min="10766" max="10769"/>
    <col width="10.42578125" customWidth="1" style="251" min="10770" max="10771"/>
    <col width="12.28515625" customWidth="1" style="251" min="10772" max="10772"/>
    <col width="10.42578125" customWidth="1" style="251" min="10773" max="11013"/>
    <col width="2.28515625" customWidth="1" style="251" min="11014" max="11015"/>
    <col width="35.42578125" customWidth="1" style="251" min="11016" max="11016"/>
    <col width="14.7109375" customWidth="1" style="251" min="11017" max="11017"/>
    <col width="12.85546875" customWidth="1" style="251" min="11018" max="11020"/>
    <col width="15.5703125" customWidth="1" style="251" min="11021" max="11021"/>
    <col width="12.85546875" customWidth="1" style="251" min="11022" max="11025"/>
    <col width="10.42578125" customWidth="1" style="251" min="11026" max="11027"/>
    <col width="12.28515625" customWidth="1" style="251" min="11028" max="11028"/>
    <col width="10.42578125" customWidth="1" style="251" min="11029" max="11269"/>
    <col width="2.28515625" customWidth="1" style="251" min="11270" max="11271"/>
    <col width="35.42578125" customWidth="1" style="251" min="11272" max="11272"/>
    <col width="14.7109375" customWidth="1" style="251" min="11273" max="11273"/>
    <col width="12.85546875" customWidth="1" style="251" min="11274" max="11276"/>
    <col width="15.5703125" customWidth="1" style="251" min="11277" max="11277"/>
    <col width="12.85546875" customWidth="1" style="251" min="11278" max="11281"/>
    <col width="10.42578125" customWidth="1" style="251" min="11282" max="11283"/>
    <col width="12.28515625" customWidth="1" style="251" min="11284" max="11284"/>
    <col width="10.42578125" customWidth="1" style="251" min="11285" max="11525"/>
    <col width="2.28515625" customWidth="1" style="251" min="11526" max="11527"/>
    <col width="35.42578125" customWidth="1" style="251" min="11528" max="11528"/>
    <col width="14.7109375" customWidth="1" style="251" min="11529" max="11529"/>
    <col width="12.85546875" customWidth="1" style="251" min="11530" max="11532"/>
    <col width="15.5703125" customWidth="1" style="251" min="11533" max="11533"/>
    <col width="12.85546875" customWidth="1" style="251" min="11534" max="11537"/>
    <col width="10.42578125" customWidth="1" style="251" min="11538" max="11539"/>
    <col width="12.28515625" customWidth="1" style="251" min="11540" max="11540"/>
    <col width="10.42578125" customWidth="1" style="251" min="11541" max="11781"/>
    <col width="2.28515625" customWidth="1" style="251" min="11782" max="11783"/>
    <col width="35.42578125" customWidth="1" style="251" min="11784" max="11784"/>
    <col width="14.7109375" customWidth="1" style="251" min="11785" max="11785"/>
    <col width="12.85546875" customWidth="1" style="251" min="11786" max="11788"/>
    <col width="15.5703125" customWidth="1" style="251" min="11789" max="11789"/>
    <col width="12.85546875" customWidth="1" style="251" min="11790" max="11793"/>
    <col width="10.42578125" customWidth="1" style="251" min="11794" max="11795"/>
    <col width="12.28515625" customWidth="1" style="251" min="11796" max="11796"/>
    <col width="10.42578125" customWidth="1" style="251" min="11797" max="12037"/>
    <col width="2.28515625" customWidth="1" style="251" min="12038" max="12039"/>
    <col width="35.42578125" customWidth="1" style="251" min="12040" max="12040"/>
    <col width="14.7109375" customWidth="1" style="251" min="12041" max="12041"/>
    <col width="12.85546875" customWidth="1" style="251" min="12042" max="12044"/>
    <col width="15.5703125" customWidth="1" style="251" min="12045" max="12045"/>
    <col width="12.85546875" customWidth="1" style="251" min="12046" max="12049"/>
    <col width="10.42578125" customWidth="1" style="251" min="12050" max="12051"/>
    <col width="12.28515625" customWidth="1" style="251" min="12052" max="12052"/>
    <col width="10.42578125" customWidth="1" style="251" min="12053" max="12293"/>
    <col width="2.28515625" customWidth="1" style="251" min="12294" max="12295"/>
    <col width="35.42578125" customWidth="1" style="251" min="12296" max="12296"/>
    <col width="14.7109375" customWidth="1" style="251" min="12297" max="12297"/>
    <col width="12.85546875" customWidth="1" style="251" min="12298" max="12300"/>
    <col width="15.5703125" customWidth="1" style="251" min="12301" max="12301"/>
    <col width="12.85546875" customWidth="1" style="251" min="12302" max="12305"/>
    <col width="10.42578125" customWidth="1" style="251" min="12306" max="12307"/>
    <col width="12.28515625" customWidth="1" style="251" min="12308" max="12308"/>
    <col width="10.42578125" customWidth="1" style="251" min="12309" max="12549"/>
    <col width="2.28515625" customWidth="1" style="251" min="12550" max="12551"/>
    <col width="35.42578125" customWidth="1" style="251" min="12552" max="12552"/>
    <col width="14.7109375" customWidth="1" style="251" min="12553" max="12553"/>
    <col width="12.85546875" customWidth="1" style="251" min="12554" max="12556"/>
    <col width="15.5703125" customWidth="1" style="251" min="12557" max="12557"/>
    <col width="12.85546875" customWidth="1" style="251" min="12558" max="12561"/>
    <col width="10.42578125" customWidth="1" style="251" min="12562" max="12563"/>
    <col width="12.28515625" customWidth="1" style="251" min="12564" max="12564"/>
    <col width="10.42578125" customWidth="1" style="251" min="12565" max="12805"/>
    <col width="2.28515625" customWidth="1" style="251" min="12806" max="12807"/>
    <col width="35.42578125" customWidth="1" style="251" min="12808" max="12808"/>
    <col width="14.7109375" customWidth="1" style="251" min="12809" max="12809"/>
    <col width="12.85546875" customWidth="1" style="251" min="12810" max="12812"/>
    <col width="15.5703125" customWidth="1" style="251" min="12813" max="12813"/>
    <col width="12.85546875" customWidth="1" style="251" min="12814" max="12817"/>
    <col width="10.42578125" customWidth="1" style="251" min="12818" max="12819"/>
    <col width="12.28515625" customWidth="1" style="251" min="12820" max="12820"/>
    <col width="10.42578125" customWidth="1" style="251" min="12821" max="13061"/>
    <col width="2.28515625" customWidth="1" style="251" min="13062" max="13063"/>
    <col width="35.42578125" customWidth="1" style="251" min="13064" max="13064"/>
    <col width="14.7109375" customWidth="1" style="251" min="13065" max="13065"/>
    <col width="12.85546875" customWidth="1" style="251" min="13066" max="13068"/>
    <col width="15.5703125" customWidth="1" style="251" min="13069" max="13069"/>
    <col width="12.85546875" customWidth="1" style="251" min="13070" max="13073"/>
    <col width="10.42578125" customWidth="1" style="251" min="13074" max="13075"/>
    <col width="12.28515625" customWidth="1" style="251" min="13076" max="13076"/>
    <col width="10.42578125" customWidth="1" style="251" min="13077" max="13317"/>
    <col width="2.28515625" customWidth="1" style="251" min="13318" max="13319"/>
    <col width="35.42578125" customWidth="1" style="251" min="13320" max="13320"/>
    <col width="14.7109375" customWidth="1" style="251" min="13321" max="13321"/>
    <col width="12.85546875" customWidth="1" style="251" min="13322" max="13324"/>
    <col width="15.5703125" customWidth="1" style="251" min="13325" max="13325"/>
    <col width="12.85546875" customWidth="1" style="251" min="13326" max="13329"/>
    <col width="10.42578125" customWidth="1" style="251" min="13330" max="13331"/>
    <col width="12.28515625" customWidth="1" style="251" min="13332" max="13332"/>
    <col width="10.42578125" customWidth="1" style="251" min="13333" max="13573"/>
    <col width="2.28515625" customWidth="1" style="251" min="13574" max="13575"/>
    <col width="35.42578125" customWidth="1" style="251" min="13576" max="13576"/>
    <col width="14.7109375" customWidth="1" style="251" min="13577" max="13577"/>
    <col width="12.85546875" customWidth="1" style="251" min="13578" max="13580"/>
    <col width="15.5703125" customWidth="1" style="251" min="13581" max="13581"/>
    <col width="12.85546875" customWidth="1" style="251" min="13582" max="13585"/>
    <col width="10.42578125" customWidth="1" style="251" min="13586" max="13587"/>
    <col width="12.28515625" customWidth="1" style="251" min="13588" max="13588"/>
    <col width="10.42578125" customWidth="1" style="251" min="13589" max="13829"/>
    <col width="2.28515625" customWidth="1" style="251" min="13830" max="13831"/>
    <col width="35.42578125" customWidth="1" style="251" min="13832" max="13832"/>
    <col width="14.7109375" customWidth="1" style="251" min="13833" max="13833"/>
    <col width="12.85546875" customWidth="1" style="251" min="13834" max="13836"/>
    <col width="15.5703125" customWidth="1" style="251" min="13837" max="13837"/>
    <col width="12.85546875" customWidth="1" style="251" min="13838" max="13841"/>
    <col width="10.42578125" customWidth="1" style="251" min="13842" max="13843"/>
    <col width="12.28515625" customWidth="1" style="251" min="13844" max="13844"/>
    <col width="10.42578125" customWidth="1" style="251" min="13845" max="14085"/>
    <col width="2.28515625" customWidth="1" style="251" min="14086" max="14087"/>
    <col width="35.42578125" customWidth="1" style="251" min="14088" max="14088"/>
    <col width="14.7109375" customWidth="1" style="251" min="14089" max="14089"/>
    <col width="12.85546875" customWidth="1" style="251" min="14090" max="14092"/>
    <col width="15.5703125" customWidth="1" style="251" min="14093" max="14093"/>
    <col width="12.85546875" customWidth="1" style="251" min="14094" max="14097"/>
    <col width="10.42578125" customWidth="1" style="251" min="14098" max="14099"/>
    <col width="12.28515625" customWidth="1" style="251" min="14100" max="14100"/>
    <col width="10.42578125" customWidth="1" style="251" min="14101" max="14341"/>
    <col width="2.28515625" customWidth="1" style="251" min="14342" max="14343"/>
    <col width="35.42578125" customWidth="1" style="251" min="14344" max="14344"/>
    <col width="14.7109375" customWidth="1" style="251" min="14345" max="14345"/>
    <col width="12.85546875" customWidth="1" style="251" min="14346" max="14348"/>
    <col width="15.5703125" customWidth="1" style="251" min="14349" max="14349"/>
    <col width="12.85546875" customWidth="1" style="251" min="14350" max="14353"/>
    <col width="10.42578125" customWidth="1" style="251" min="14354" max="14355"/>
    <col width="12.28515625" customWidth="1" style="251" min="14356" max="14356"/>
    <col width="10.42578125" customWidth="1" style="251" min="14357" max="14597"/>
    <col width="2.28515625" customWidth="1" style="251" min="14598" max="14599"/>
    <col width="35.42578125" customWidth="1" style="251" min="14600" max="14600"/>
    <col width="14.7109375" customWidth="1" style="251" min="14601" max="14601"/>
    <col width="12.85546875" customWidth="1" style="251" min="14602" max="14604"/>
    <col width="15.5703125" customWidth="1" style="251" min="14605" max="14605"/>
    <col width="12.85546875" customWidth="1" style="251" min="14606" max="14609"/>
    <col width="10.42578125" customWidth="1" style="251" min="14610" max="14611"/>
    <col width="12.28515625" customWidth="1" style="251" min="14612" max="14612"/>
    <col width="10.42578125" customWidth="1" style="251" min="14613" max="14853"/>
    <col width="2.28515625" customWidth="1" style="251" min="14854" max="14855"/>
    <col width="35.42578125" customWidth="1" style="251" min="14856" max="14856"/>
    <col width="14.7109375" customWidth="1" style="251" min="14857" max="14857"/>
    <col width="12.85546875" customWidth="1" style="251" min="14858" max="14860"/>
    <col width="15.5703125" customWidth="1" style="251" min="14861" max="14861"/>
    <col width="12.85546875" customWidth="1" style="251" min="14862" max="14865"/>
    <col width="10.42578125" customWidth="1" style="251" min="14866" max="14867"/>
    <col width="12.28515625" customWidth="1" style="251" min="14868" max="14868"/>
    <col width="10.42578125" customWidth="1" style="251" min="14869" max="15109"/>
    <col width="2.28515625" customWidth="1" style="251" min="15110" max="15111"/>
    <col width="35.42578125" customWidth="1" style="251" min="15112" max="15112"/>
    <col width="14.7109375" customWidth="1" style="251" min="15113" max="15113"/>
    <col width="12.85546875" customWidth="1" style="251" min="15114" max="15116"/>
    <col width="15.5703125" customWidth="1" style="251" min="15117" max="15117"/>
    <col width="12.85546875" customWidth="1" style="251" min="15118" max="15121"/>
    <col width="10.42578125" customWidth="1" style="251" min="15122" max="15123"/>
    <col width="12.28515625" customWidth="1" style="251" min="15124" max="15124"/>
    <col width="10.42578125" customWidth="1" style="251" min="15125" max="15365"/>
    <col width="2.28515625" customWidth="1" style="251" min="15366" max="15367"/>
    <col width="35.42578125" customWidth="1" style="251" min="15368" max="15368"/>
    <col width="14.7109375" customWidth="1" style="251" min="15369" max="15369"/>
    <col width="12.85546875" customWidth="1" style="251" min="15370" max="15372"/>
    <col width="15.5703125" customWidth="1" style="251" min="15373" max="15373"/>
    <col width="12.85546875" customWidth="1" style="251" min="15374" max="15377"/>
    <col width="10.42578125" customWidth="1" style="251" min="15378" max="15379"/>
    <col width="12.28515625" customWidth="1" style="251" min="15380" max="15380"/>
    <col width="10.42578125" customWidth="1" style="251" min="15381" max="15621"/>
    <col width="2.28515625" customWidth="1" style="251" min="15622" max="15623"/>
    <col width="35.42578125" customWidth="1" style="251" min="15624" max="15624"/>
    <col width="14.7109375" customWidth="1" style="251" min="15625" max="15625"/>
    <col width="12.85546875" customWidth="1" style="251" min="15626" max="15628"/>
    <col width="15.5703125" customWidth="1" style="251" min="15629" max="15629"/>
    <col width="12.85546875" customWidth="1" style="251" min="15630" max="15633"/>
    <col width="10.42578125" customWidth="1" style="251" min="15634" max="15635"/>
    <col width="12.28515625" customWidth="1" style="251" min="15636" max="15636"/>
    <col width="10.42578125" customWidth="1" style="251" min="15637" max="15877"/>
    <col width="2.28515625" customWidth="1" style="251" min="15878" max="15879"/>
    <col width="35.42578125" customWidth="1" style="251" min="15880" max="15880"/>
    <col width="14.7109375" customWidth="1" style="251" min="15881" max="15881"/>
    <col width="12.85546875" customWidth="1" style="251" min="15882" max="15884"/>
    <col width="15.5703125" customWidth="1" style="251" min="15885" max="15885"/>
    <col width="12.85546875" customWidth="1" style="251" min="15886" max="15889"/>
    <col width="10.42578125" customWidth="1" style="251" min="15890" max="15891"/>
    <col width="12.28515625" customWidth="1" style="251" min="15892" max="15892"/>
    <col width="10.42578125" customWidth="1" style="251" min="15893" max="16133"/>
    <col width="2.28515625" customWidth="1" style="251" min="16134" max="16135"/>
    <col width="35.42578125" customWidth="1" style="251" min="16136" max="16136"/>
    <col width="14.7109375" customWidth="1" style="251" min="16137" max="16137"/>
    <col width="12.85546875" customWidth="1" style="251" min="16138" max="16140"/>
    <col width="15.5703125" customWidth="1" style="251" min="16141" max="16141"/>
    <col width="12.85546875" customWidth="1" style="251" min="16142" max="16145"/>
    <col width="10.42578125" customWidth="1" style="251" min="16146" max="16147"/>
    <col width="12.28515625" customWidth="1" style="251" min="16148" max="16148"/>
    <col width="10.42578125" customWidth="1" style="251" min="16149" max="16384"/>
  </cols>
  <sheetData>
    <row r="1" ht="6.75" customFormat="1" customHeight="1" s="93"/>
    <row r="2" ht="6.75" customFormat="1" customHeight="1" s="93"/>
    <row r="3">
      <c r="C3" s="251" t="inlineStr">
        <is>
          <t>Discounted Cash Flow Model</t>
        </is>
      </c>
    </row>
    <row r="4" ht="13.5" customHeight="1">
      <c r="C4" s="94" t="inlineStr">
        <is>
          <t>All figures in millions, except per share data</t>
        </is>
      </c>
      <c r="D4" s="94" t="n"/>
      <c r="E4" s="94" t="n"/>
      <c r="F4" s="94" t="n"/>
      <c r="G4" s="94" t="n"/>
      <c r="H4" s="94" t="n"/>
      <c r="I4" s="94" t="n"/>
      <c r="J4" s="94" t="n"/>
      <c r="K4" s="94" t="n"/>
      <c r="L4" s="94" t="n"/>
      <c r="M4" s="94" t="n"/>
      <c r="N4" s="94" t="n"/>
      <c r="O4" s="94" t="n"/>
      <c r="P4" s="94" t="n"/>
      <c r="Q4" s="94" t="n"/>
      <c r="R4" s="94" t="n"/>
      <c r="S4" s="94" t="n"/>
      <c r="T4" s="94" t="n"/>
      <c r="U4" s="94" t="n"/>
      <c r="V4" s="94" t="n"/>
    </row>
    <row r="5"/>
    <row r="6"/>
    <row r="7">
      <c r="C7" s="251" t="inlineStr">
        <is>
          <t>Ticker</t>
        </is>
      </c>
      <c r="D7" s="95" t="str">
        <f>IFERROR(IF(Control!B4="","",Control!B4),"")</f>
        <v>MA</v>
      </c>
      <c r="F7" s="251" t="inlineStr">
        <is>
          <t>Last close</t>
        </is>
      </c>
      <c r="G7" s="96" t="str">
        <f>IFERROR(IF(Control!E4="","",Control!E4),"")</f>
        <v/>
      </c>
    </row>
    <row r="8">
      <c r="C8" s="251" t="inlineStr">
        <is>
          <t>Operating scenario:</t>
        </is>
      </c>
      <c r="D8" s="97" t="str">
        <f>IFERROR(IF(Control!B10=1,"Bull Case",IF(Control!B10=2,"Base Case","Bear Case")),"")</f>
        <v>Base Case</v>
      </c>
    </row>
    <row r="9">
      <c r="C9" s="251" t="inlineStr">
        <is>
          <t>Last fiscal year end date:</t>
        </is>
      </c>
      <c r="D9" s="98" t="str">
        <f>IFERROR(IF(Control!B12="","",DATE(YEAR(Control!B12)-1,12,31)),"")</f>
        <v/>
      </c>
    </row>
    <row r="10">
      <c r="C10" s="251" t="inlineStr">
        <is>
          <t>Valuation / deal date:</t>
        </is>
      </c>
      <c r="D10" s="98" t="str">
        <f>IFERROR(IF(Control!B12="","",Control!B12),"")</f>
        <v/>
      </c>
    </row>
    <row r="11">
      <c r="C11" s="251" t="inlineStr">
        <is>
          <t>Stub year fraction:</t>
        </is>
      </c>
      <c r="D11" s="99" t="str">
        <f>IFERROR(IF(Control!B12="","",Control!B13),"")</f>
        <v/>
      </c>
      <c r="E11" s="100" t="n"/>
      <c r="I11" s="101" t="n"/>
      <c r="O11" s="102" t="n"/>
      <c r="Z11" s="103" t="n"/>
    </row>
    <row r="12">
      <c r="C12" s="251" t="inlineStr">
        <is>
          <t>Weighted average cost of capital:</t>
        </is>
      </c>
      <c r="D12" s="99" t="str">
        <f>IFERROR(IF(Control!E12="","",Control!E12),"")</f>
        <v/>
      </c>
      <c r="I12" s="101" t="n"/>
    </row>
    <row r="13">
      <c r="D13" s="99" t="n"/>
      <c r="E13" s="99" t="n"/>
    </row>
    <row r="14" ht="14.85" customHeight="1">
      <c r="C14" s="104" t="inlineStr">
        <is>
          <t>Historicals</t>
        </is>
      </c>
      <c r="D14" s="104" t="n"/>
      <c r="E14" s="104" t="n"/>
      <c r="F14" s="104" t="n"/>
      <c r="G14" s="250" t="inlineStr">
        <is>
          <t>Projected Annual Forecast</t>
        </is>
      </c>
    </row>
    <row r="15">
      <c r="C15" s="105" t="n"/>
      <c r="D15" s="105" t="n"/>
      <c r="E15" s="105" t="n"/>
      <c r="F15" s="105" t="n"/>
      <c r="G15" s="256" t="inlineStr">
        <is>
          <t>Granular</t>
        </is>
      </c>
      <c r="H15" s="253" t="n"/>
      <c r="I15" s="253" t="n"/>
      <c r="J15" s="253" t="n"/>
      <c r="K15" s="253" t="n"/>
      <c r="L15" s="253" t="n"/>
      <c r="M15" s="253" t="n"/>
      <c r="N15" s="253" t="n"/>
      <c r="O15" s="253" t="n"/>
      <c r="P15" s="253" t="n"/>
      <c r="Q15" s="253" t="n"/>
      <c r="R15" s="253" t="n"/>
      <c r="S15" s="253" t="n"/>
      <c r="T15" s="253" t="n"/>
      <c r="U15" s="253" t="n"/>
      <c r="V15" s="253" t="n"/>
      <c r="X15" s="106" t="n"/>
      <c r="Y15" s="107" t="n"/>
      <c r="Z15" s="107" t="n"/>
    </row>
    <row r="16">
      <c r="D16" s="108" t="n">
        <v>2023</v>
      </c>
      <c r="E16" s="108" t="n">
        <v>2024</v>
      </c>
      <c r="F16" s="108" t="n">
        <v>2025</v>
      </c>
      <c r="G16" s="108" t="n">
        <v>2026</v>
      </c>
      <c r="H16" s="108" t="n">
        <v>2027</v>
      </c>
      <c r="I16" s="108" t="n">
        <v>2028</v>
      </c>
      <c r="J16" s="108" t="n">
        <v>2029</v>
      </c>
      <c r="K16" s="108" t="n">
        <v>2030</v>
      </c>
      <c r="L16" s="108" t="n"/>
      <c r="M16" s="108" t="n"/>
      <c r="N16" s="108" t="n"/>
      <c r="O16" s="108" t="n"/>
      <c r="P16" s="108" t="n"/>
      <c r="Q16" s="108" t="n"/>
      <c r="R16" s="108" t="n"/>
      <c r="S16" s="108" t="n"/>
      <c r="T16" s="108" t="n"/>
      <c r="U16" s="108" t="n"/>
      <c r="V16" s="108" t="n"/>
      <c r="W16" s="108" t="n"/>
      <c r="X16" s="107" t="n"/>
      <c r="Y16" s="107" t="n"/>
      <c r="Z16" s="107" t="n"/>
    </row>
    <row r="17">
      <c r="C17" s="109" t="n"/>
      <c r="D17" s="110" t="n">
        <v>45291</v>
      </c>
      <c r="E17" s="110" t="n">
        <v>45657</v>
      </c>
      <c r="F17" s="110" t="n">
        <v>46022</v>
      </c>
      <c r="G17" s="110" t="n">
        <v>46387</v>
      </c>
      <c r="H17" s="110" t="n">
        <v>46752</v>
      </c>
      <c r="I17" s="110" t="n">
        <v>47118</v>
      </c>
      <c r="J17" s="110" t="n">
        <v>47483</v>
      </c>
      <c r="K17" s="110" t="n">
        <v>47848</v>
      </c>
      <c r="L17" s="110" t="n"/>
      <c r="M17" s="110" t="n"/>
      <c r="N17" s="110" t="n"/>
      <c r="O17" s="110" t="n"/>
      <c r="P17" s="110" t="n"/>
      <c r="Q17" s="110" t="n"/>
      <c r="R17" s="110" t="n"/>
      <c r="S17" s="110" t="n"/>
      <c r="T17" s="110" t="n"/>
      <c r="U17" s="110" t="n"/>
      <c r="V17" s="110" t="n"/>
      <c r="W17" s="111" t="n"/>
      <c r="X17" s="107" t="n"/>
      <c r="Y17" s="107" t="n"/>
      <c r="Z17" s="107" t="n"/>
    </row>
    <row r="18">
      <c r="C18" s="112" t="inlineStr">
        <is>
          <t>Net Revenues</t>
        </is>
      </c>
      <c r="D18" s="113">
        <f>IFERROR(Model!W15,"")</f>
        <v>25098</v>
      </c>
      <c r="E18" s="113">
        <f>IFERROR(Model!AB15,"")</f>
        <v>28167</v>
      </c>
      <c r="F18" s="113">
        <f>IFERROR(Model!AG15,"")</f>
        <v>32791</v>
      </c>
      <c r="G18" s="113">
        <f>IFERROR(Model!AL15,"")</f>
        <v>37846.9419526505</v>
      </c>
      <c r="H18" s="113">
        <f>IFERROR(Model!AQ15,"")</f>
        <v>43856.0613599607</v>
      </c>
      <c r="I18" s="113">
        <f>IFERROR(Model!AV15,"")</f>
        <v>50599.9938214748</v>
      </c>
      <c r="J18" s="113">
        <f>IFERROR(Model!BA15,"")</f>
        <v>58127.9693960719</v>
      </c>
      <c r="K18" s="113">
        <f>IFERROR(Model!BF15,"")</f>
        <v>66485.2739610697</v>
      </c>
      <c r="L18" s="113" t="n"/>
      <c r="M18" s="113" t="n"/>
      <c r="N18" s="113" t="n"/>
      <c r="O18" s="113" t="n"/>
      <c r="P18" s="113" t="n"/>
      <c r="Q18" s="113" t="n"/>
      <c r="R18" s="113" t="n"/>
      <c r="S18" s="113" t="n"/>
      <c r="T18" s="113" t="n"/>
      <c r="U18" s="113" t="n"/>
      <c r="V18" s="114" t="n"/>
      <c r="X18" s="115" t="n"/>
      <c r="Y18" s="115" t="n"/>
      <c r="Z18" s="107" t="n"/>
    </row>
    <row r="19">
      <c r="C19" s="116" t="n"/>
      <c r="D19" s="109" t="str">
        <f>IFERROR("","")</f>
        <v/>
      </c>
      <c r="E19" s="117">
        <f>IFERROR(IF(D18=0,"",E18/D18-1),"")</f>
        <v>0.122280659813531</v>
      </c>
      <c r="F19" s="117">
        <f>IFERROR(IF(E18=0,"",F18/E18-1),"")</f>
        <v>0.164163737707246</v>
      </c>
      <c r="G19" s="117">
        <f>IFERROR(IF(F18=0,"",G18/F18-1),"")</f>
        <v>0.154186879102512</v>
      </c>
      <c r="H19" s="117">
        <f>IFERROR(IF(G18=0,"",H18/G18-1),"")</f>
        <v>0.158774239007954</v>
      </c>
      <c r="I19" s="117">
        <f>IFERROR(IF(H18=0,"",I18/H18-1),"")</f>
        <v>0.153774239007954</v>
      </c>
      <c r="J19" s="117">
        <f>IFERROR(IF(I18=0,"",J18/I18-1),"")</f>
        <v>0.148774239007953</v>
      </c>
      <c r="K19" s="117">
        <f>IFERROR(IF(J18=0,"",K18/J18-1),"")</f>
        <v>0.143774239007954</v>
      </c>
      <c r="L19" s="117" t="n"/>
      <c r="M19" s="117" t="n"/>
      <c r="N19" s="117" t="n"/>
      <c r="O19" s="117" t="n"/>
      <c r="P19" s="117" t="n"/>
      <c r="Q19" s="117" t="n"/>
      <c r="R19" s="117" t="n"/>
      <c r="S19" s="117" t="n"/>
      <c r="T19" s="117" t="n"/>
      <c r="U19" s="117" t="n"/>
      <c r="V19" s="118" t="n"/>
      <c r="X19" s="107" t="n"/>
      <c r="Y19" s="107" t="n"/>
      <c r="Z19" s="107" t="n"/>
    </row>
    <row r="20">
      <c r="C20" s="119" t="inlineStr">
        <is>
          <t>EBITDA</t>
        </is>
      </c>
      <c r="D20" s="113">
        <f>IFERROR(Model!W52,"")</f>
        <v>14807</v>
      </c>
      <c r="E20" s="113">
        <f>IFERROR(Model!AB52,"")</f>
        <v>16479</v>
      </c>
      <c r="F20" s="113">
        <f>IFERROR(Model!AG52,"")</f>
        <v>20040</v>
      </c>
      <c r="G20" s="113">
        <f>IFERROR(Model!AL52,"")</f>
        <v>23544.5360405006</v>
      </c>
      <c r="H20" s="113">
        <f>IFERROR(Model!AQ52,"")</f>
        <v>27051.4670995282</v>
      </c>
      <c r="I20" s="113">
        <f>IFERROR(Model!AV52,"")</f>
        <v>31211.2858668068</v>
      </c>
      <c r="J20" s="113">
        <f>IFERROR(Model!BA52,"")</f>
        <v>35854.7211701007</v>
      </c>
      <c r="K20" s="113">
        <f>IFERROR(Model!BF52,"")</f>
        <v>41009.7064211743</v>
      </c>
      <c r="L20" s="113" t="n"/>
      <c r="M20" s="120" t="n"/>
      <c r="N20" s="120" t="n"/>
      <c r="O20" s="120" t="n"/>
      <c r="P20" s="120" t="n"/>
      <c r="Q20" s="120" t="n"/>
      <c r="R20" s="120" t="n"/>
      <c r="S20" s="120" t="n"/>
      <c r="T20" s="120" t="n"/>
      <c r="U20" s="120" t="n"/>
      <c r="V20" s="121" t="n"/>
      <c r="X20" s="107" t="n"/>
      <c r="Y20" s="107" t="n"/>
      <c r="Z20" s="107" t="n"/>
    </row>
    <row r="21">
      <c r="C21" s="116" t="n"/>
      <c r="D21" s="122">
        <f>IFERROR(IF(D18=0,"",D20/D18),"")</f>
        <v>0.58996732807395</v>
      </c>
      <c r="E21" s="122">
        <f>IFERROR(IF(E18=0,"",E20/E18),"")</f>
        <v>0.585046330812653</v>
      </c>
      <c r="F21" s="122">
        <f>IFERROR(IF(F18=0,"",F20/F18),"")</f>
        <v>0.61114330151566</v>
      </c>
      <c r="G21" s="122">
        <f>IFERROR(IF(G18=0,"",G20/G18),"")</f>
        <v>0.622098770092354</v>
      </c>
      <c r="H21" s="122">
        <f>IFERROR(IF(H18=0,"",H20/H18),"")</f>
        <v>0.61682390667725</v>
      </c>
      <c r="I21" s="122">
        <f>IFERROR(IF(I18=0,"",I20/I18),"")</f>
        <v>0.61682390667725</v>
      </c>
      <c r="J21" s="122">
        <f>IFERROR(IF(J18=0,"",J20/J18),"")</f>
        <v>0.61682390667725</v>
      </c>
      <c r="K21" s="122">
        <f>IFERROR(IF(K18=0,"",K20/K18),"")</f>
        <v>0.61682390667725</v>
      </c>
      <c r="L21" s="122" t="n"/>
      <c r="M21" s="109" t="n"/>
      <c r="N21" s="109" t="n"/>
      <c r="O21" s="109" t="n"/>
      <c r="P21" s="109" t="n"/>
      <c r="Q21" s="109" t="n"/>
      <c r="R21" s="109" t="n"/>
      <c r="S21" s="109" t="n"/>
      <c r="T21" s="109" t="n"/>
      <c r="U21" s="109" t="n"/>
      <c r="V21" s="123" t="n"/>
      <c r="X21" s="115" t="n"/>
      <c r="Y21" s="115" t="n"/>
      <c r="Z21" s="107" t="n"/>
    </row>
    <row r="22">
      <c r="C22" s="112" t="inlineStr">
        <is>
          <t>EBIT</t>
        </is>
      </c>
      <c r="D22" s="113">
        <f>IFERROR(Model!W56,"")</f>
        <v>14008</v>
      </c>
      <c r="E22" s="113">
        <f>IFERROR(Model!AB56,"")</f>
        <v>15582</v>
      </c>
      <c r="F22" s="113">
        <f>IFERROR(Model!AG56,"")</f>
        <v>18897</v>
      </c>
      <c r="G22" s="113">
        <f>IFERROR(Model!AL56,"")</f>
        <v>22234.4394243569</v>
      </c>
      <c r="H22" s="113">
        <f>IFERROR(Model!AQ56,"")</f>
        <v>25525.0304108597</v>
      </c>
      <c r="I22" s="113">
        <f>IFERROR(Model!AV56,"")</f>
        <v>29450.1225379445</v>
      </c>
      <c r="J22" s="113">
        <f>IFERROR(Model!BA56,"")</f>
        <v>33831.5421072181</v>
      </c>
      <c r="K22" s="113">
        <f>IFERROR(Model!BF56,"")</f>
        <v>38695.646328149</v>
      </c>
      <c r="L22" s="113" t="n"/>
      <c r="M22" s="113" t="n"/>
      <c r="N22" s="113" t="n"/>
      <c r="O22" s="113" t="n"/>
      <c r="P22" s="113" t="n"/>
      <c r="Q22" s="113" t="n"/>
      <c r="R22" s="113" t="n"/>
      <c r="S22" s="113" t="n"/>
      <c r="T22" s="113" t="n"/>
      <c r="U22" s="113" t="n"/>
      <c r="V22" s="114" t="n"/>
      <c r="X22" s="115" t="n"/>
      <c r="Y22" s="115" t="n"/>
      <c r="Z22" s="107" t="n"/>
    </row>
    <row r="23">
      <c r="C23" s="116" t="n"/>
      <c r="D23" s="122">
        <f>IFERROR(IF(D18=0,"",D22/D18),"")</f>
        <v>0.558132122081441</v>
      </c>
      <c r="E23" s="122">
        <f>IFERROR(IF(E18=0,"",E22/E18),"")</f>
        <v>0.5532005538396</v>
      </c>
      <c r="F23" s="122">
        <f>IFERROR(IF(F18=0,"",F22/F18),"")</f>
        <v>0.576286176084901</v>
      </c>
      <c r="G23" s="122">
        <f>IFERROR(IF(G18=0,"",G22/G18),"")</f>
        <v>0.587483116923263</v>
      </c>
      <c r="H23" s="122">
        <f>IFERROR(IF(H18=0,"",H22/H18),"")</f>
        <v>0.582018303042672</v>
      </c>
      <c r="I23" s="122">
        <f>IFERROR(IF(I18=0,"",I22/I18),"")</f>
        <v>0.582018303042672</v>
      </c>
      <c r="J23" s="122">
        <f>IFERROR(IF(J18=0,"",J22/J18),"")</f>
        <v>0.582018303042672</v>
      </c>
      <c r="K23" s="122">
        <f>IFERROR(IF(K18=0,"",K22/K18),"")</f>
        <v>0.582018303042672</v>
      </c>
      <c r="L23" s="122" t="n"/>
      <c r="M23" s="122" t="n"/>
      <c r="N23" s="122" t="n"/>
      <c r="O23" s="122" t="n"/>
      <c r="P23" s="122" t="n"/>
      <c r="Q23" s="122" t="n"/>
      <c r="R23" s="122" t="n"/>
      <c r="S23" s="122" t="n"/>
      <c r="T23" s="122" t="n"/>
      <c r="U23" s="122" t="n"/>
      <c r="V23" s="124" t="n"/>
      <c r="X23" s="107" t="n"/>
      <c r="Y23" s="107" t="n"/>
      <c r="Z23" s="107" t="n"/>
    </row>
    <row r="24">
      <c r="C24" s="112" t="inlineStr">
        <is>
          <t>Tax rate</t>
        </is>
      </c>
      <c r="D24" s="125">
        <f>IFERROR(Model!W115,"")</f>
        <v>0.179192022875577</v>
      </c>
      <c r="E24" s="125">
        <f>IFERROR(Model!AB115,"")</f>
        <v>0.156024649272322</v>
      </c>
      <c r="F24" s="125">
        <f>IFERROR(Model!AG115,"")</f>
        <v>0.19431585746582</v>
      </c>
      <c r="G24" s="125">
        <f>IFERROR(Model!AL115,"")</f>
        <v>0.195834001737871</v>
      </c>
      <c r="H24" s="125">
        <f>IFERROR(Model!AQ115,"")</f>
        <v>0.194890977662605</v>
      </c>
      <c r="I24" s="125">
        <f>IFERROR(Model!AV115,"")</f>
        <v>0.194890977662605</v>
      </c>
      <c r="J24" s="125">
        <f>IFERROR(Model!BA115,"")</f>
        <v>0.194890977662605</v>
      </c>
      <c r="K24" s="125">
        <f>IFERROR(Model!BF115,"")</f>
        <v>0.194890977662605</v>
      </c>
      <c r="L24" s="125" t="n"/>
      <c r="M24" s="125" t="n"/>
      <c r="N24" s="125" t="n"/>
      <c r="O24" s="125" t="n"/>
      <c r="P24" s="125" t="n"/>
      <c r="Q24" s="125" t="n"/>
      <c r="R24" s="125" t="n"/>
      <c r="S24" s="125" t="n"/>
      <c r="T24" s="125" t="n"/>
      <c r="U24" s="125" t="n"/>
      <c r="V24" s="126" t="n"/>
      <c r="X24" s="107" t="n"/>
      <c r="Y24" s="107" t="n"/>
      <c r="Z24" s="107" t="n"/>
    </row>
    <row r="25">
      <c r="C25" s="116" t="inlineStr">
        <is>
          <t>NOPLAT</t>
        </is>
      </c>
      <c r="D25" s="127">
        <f>IFERROR(D22*(1-D24),"")</f>
        <v>11497.8781435589</v>
      </c>
      <c r="E25" s="127">
        <f>IFERROR(E22*(1-E24),"")</f>
        <v>13150.8239150387</v>
      </c>
      <c r="F25" s="127">
        <f>IFERROR(F22*(1-F24),"")</f>
        <v>15225.0132414684</v>
      </c>
      <c r="G25" s="127">
        <f>IFERROR(G22*(1-G24),"")</f>
        <v>17880.1801754868</v>
      </c>
      <c r="H25" s="127">
        <f>IFERROR(H22*(1-H24),"")</f>
        <v>20550.4322792195</v>
      </c>
      <c r="I25" s="127">
        <f>IFERROR(I22*(1-I24),"")</f>
        <v>23710.559364241</v>
      </c>
      <c r="J25" s="127">
        <f>IFERROR(J22*(1-J24),"")</f>
        <v>27238.0797901088</v>
      </c>
      <c r="K25" s="127">
        <f>IFERROR(K22*(1-K24),"")</f>
        <v>31154.2139839696</v>
      </c>
      <c r="L25" s="127" t="n"/>
      <c r="M25" s="127" t="n"/>
      <c r="N25" s="127" t="n"/>
      <c r="O25" s="127" t="n"/>
      <c r="P25" s="127" t="n"/>
      <c r="Q25" s="127" t="n"/>
      <c r="R25" s="127" t="n"/>
      <c r="S25" s="127" t="n"/>
      <c r="T25" s="127" t="n"/>
      <c r="U25" s="127" t="n"/>
      <c r="V25" s="128" t="n"/>
      <c r="X25" s="115" t="n"/>
      <c r="Y25" s="115" t="n"/>
      <c r="Z25" s="107" t="n"/>
    </row>
    <row r="26">
      <c r="C26" s="129" t="inlineStr">
        <is>
          <t>Depreciation &amp; Amortization</t>
        </is>
      </c>
      <c r="D26" s="130">
        <f>IFERROR(-Model!W53,"")</f>
        <v>799</v>
      </c>
      <c r="E26" s="130">
        <f>IFERROR(-Model!AB53,"")</f>
        <v>897</v>
      </c>
      <c r="F26" s="130">
        <f>IFERROR(-Model!AG53,"")</f>
        <v>1143</v>
      </c>
      <c r="G26" s="130">
        <f>IFERROR(-Model!AL53,"")</f>
        <v>1310.09661614366</v>
      </c>
      <c r="H26" s="130">
        <f>IFERROR(-Model!AQ53,"")</f>
        <v>1526.43668866851</v>
      </c>
      <c r="I26" s="130">
        <f>IFERROR(-Model!AV53,"")</f>
        <v>1761.16332886234</v>
      </c>
      <c r="J26" s="130">
        <f>IFERROR(-Model!BA53,"")</f>
        <v>2023.17906288254</v>
      </c>
      <c r="K26" s="130">
        <f>IFERROR(-Model!BF53,"")</f>
        <v>2314.06009302531</v>
      </c>
      <c r="L26" s="131" t="n"/>
      <c r="X26" s="107" t="n"/>
      <c r="Y26" s="107" t="n"/>
      <c r="Z26" s="107" t="n"/>
    </row>
    <row r="27">
      <c r="C27" s="132" t="inlineStr">
        <is>
          <t>Cash from working capital</t>
        </is>
      </c>
      <c r="D27" s="133">
        <f>IFERROR(Model!W262,"")</f>
        <v>219</v>
      </c>
      <c r="E27" s="133">
        <f>IFERROR(Model!AB262,"")</f>
        <v>2061</v>
      </c>
      <c r="F27" s="133">
        <f>IFERROR(Model!AG262,"")</f>
        <v>1872</v>
      </c>
      <c r="G27" s="133">
        <f>IFERROR(Model!AL262,"")</f>
        <v>1439.75620508534</v>
      </c>
      <c r="H27" s="133">
        <f>IFERROR(Model!AQ262,"")</f>
        <v>13195.8398784177</v>
      </c>
      <c r="I27" s="133">
        <f>IFERROR(Model!AV262,"")</f>
        <v>23395.7774981757</v>
      </c>
      <c r="J27" s="133">
        <f>IFERROR(Model!BA262,"")</f>
        <v>40379.3738360523</v>
      </c>
      <c r="K27" s="133">
        <f>IFERROR(Model!BF262,"")</f>
        <v>68063.7666953256</v>
      </c>
      <c r="L27" s="134" t="n"/>
      <c r="X27" s="107" t="n"/>
      <c r="Y27" s="107" t="n"/>
      <c r="Z27" s="107" t="n"/>
    </row>
    <row r="28">
      <c r="C28" s="135" t="inlineStr">
        <is>
          <t>Accounts receivable</t>
        </is>
      </c>
      <c r="D28" s="136">
        <f>IFERROR(Model!W263,"")</f>
        <v>-635</v>
      </c>
      <c r="E28" s="136">
        <f>IFERROR(Model!AB263,"")</f>
        <v>287</v>
      </c>
      <c r="F28" s="136">
        <f>IFERROR(Model!AG263,"")</f>
        <v>-836</v>
      </c>
      <c r="G28" s="136">
        <f>IFERROR(Model!AL263,"")</f>
        <v>-746.348834663353</v>
      </c>
      <c r="H28" s="136">
        <f>IFERROR(Model!AQ263,"")</f>
        <v>-850.291435845806</v>
      </c>
      <c r="I28" s="136">
        <f>IFERROR(Model!AV263,"")</f>
        <v>-954.267610154657</v>
      </c>
      <c r="J28" s="136">
        <f>IFERROR(Model!BA263,"")</f>
        <v>-1065.20984631281</v>
      </c>
      <c r="K28" s="136">
        <f>IFERROR(Model!BF263,"")</f>
        <v>-1182.56004194689</v>
      </c>
      <c r="L28" s="137" t="n"/>
      <c r="X28" s="107" t="n"/>
      <c r="Y28" s="107" t="n"/>
      <c r="Z28" s="107" t="n"/>
    </row>
    <row r="29">
      <c r="C29" s="135" t="inlineStr">
        <is>
          <t>Inventories</t>
        </is>
      </c>
      <c r="D29" s="136">
        <f>IFERROR(Model!W264,"")</f>
        <v>0</v>
      </c>
      <c r="E29" s="136">
        <f>IFERROR(Model!AB264,"")</f>
        <v>0</v>
      </c>
      <c r="F29" s="136">
        <f>IFERROR(Model!AG264,"")</f>
        <v>0</v>
      </c>
      <c r="G29" s="136">
        <f>IFERROR(Model!AL264,"")</f>
        <v>0</v>
      </c>
      <c r="H29" s="136">
        <f>IFERROR(Model!AQ264,"")</f>
        <v>0</v>
      </c>
      <c r="I29" s="136">
        <f>IFERROR(Model!AV264,"")</f>
        <v>0</v>
      </c>
      <c r="J29" s="136">
        <f>IFERROR(Model!BA264,"")</f>
        <v>0</v>
      </c>
      <c r="K29" s="136">
        <f>IFERROR(Model!BF264,"")</f>
        <v>0</v>
      </c>
      <c r="L29" s="137" t="n"/>
      <c r="X29" s="107" t="n"/>
      <c r="Y29" s="107" t="n"/>
      <c r="Z29" s="107" t="n"/>
    </row>
    <row r="30">
      <c r="C30" s="135" t="inlineStr">
        <is>
          <t>Deferred income taxes (assets)</t>
        </is>
      </c>
      <c r="D30" s="136">
        <f>IFERROR(Model!W265,"")</f>
        <v>-204</v>
      </c>
      <c r="E30" s="136">
        <f>IFERROR(Model!AB265,"")</f>
        <v>-259</v>
      </c>
      <c r="F30" s="136">
        <f>IFERROR(Model!AG265,"")</f>
        <v>47</v>
      </c>
      <c r="G30" s="136">
        <f>IFERROR(Model!AL265,"")</f>
        <v>126</v>
      </c>
      <c r="H30" s="136">
        <f>IFERROR(Model!AQ265,"")</f>
        <v>0</v>
      </c>
      <c r="I30" s="136">
        <f>IFERROR(Model!AV265,"")</f>
        <v>0</v>
      </c>
      <c r="J30" s="136">
        <f>IFERROR(Model!BA265,"")</f>
        <v>0</v>
      </c>
      <c r="K30" s="136">
        <f>IFERROR(Model!BF265,"")</f>
        <v>0</v>
      </c>
      <c r="L30" s="137" t="n"/>
      <c r="X30" s="107" t="n"/>
      <c r="Y30" s="107" t="n"/>
      <c r="Z30" s="107" t="n"/>
    </row>
    <row r="31">
      <c r="C31" s="135" t="inlineStr">
        <is>
          <t>Prepaid expenses</t>
        </is>
      </c>
      <c r="D31" s="136">
        <f>IFERROR(Model!W266,"")</f>
        <v>0</v>
      </c>
      <c r="E31" s="136">
        <f>IFERROR(Model!AB266,"")</f>
        <v>0</v>
      </c>
      <c r="F31" s="136">
        <f>IFERROR(Model!AG266,"")</f>
        <v>0</v>
      </c>
      <c r="G31" s="136">
        <f>IFERROR(Model!AL266,"")</f>
        <v>0</v>
      </c>
      <c r="H31" s="136">
        <f>IFERROR(Model!AQ266,"")</f>
        <v>0</v>
      </c>
      <c r="I31" s="136">
        <f>IFERROR(Model!AV266,"")</f>
        <v>0</v>
      </c>
      <c r="J31" s="136">
        <f>IFERROR(Model!BA266,"")</f>
        <v>0</v>
      </c>
      <c r="K31" s="136">
        <f>IFERROR(Model!BF266,"")</f>
        <v>0</v>
      </c>
      <c r="L31" s="137" t="n"/>
      <c r="X31" s="107" t="n"/>
      <c r="Y31" s="107" t="n"/>
      <c r="Z31" s="107" t="n"/>
    </row>
    <row r="32">
      <c r="C32" s="135" t="inlineStr">
        <is>
          <t>Other current assets</t>
        </is>
      </c>
      <c r="D32" s="136">
        <f>IFERROR(Model!W267,"")</f>
        <v>52</v>
      </c>
      <c r="E32" s="136">
        <f>IFERROR(Model!AB267,"")</f>
        <v>-1458</v>
      </c>
      <c r="F32" s="136">
        <f>IFERROR(Model!AG267,"")</f>
        <v>-872</v>
      </c>
      <c r="G32" s="136">
        <f>IFERROR(Model!AL267,"")</f>
        <v>-1815</v>
      </c>
      <c r="H32" s="136">
        <f>IFERROR(Model!AQ267,"")</f>
        <v>0</v>
      </c>
      <c r="I32" s="136">
        <f>IFERROR(Model!AV267,"")</f>
        <v>0</v>
      </c>
      <c r="J32" s="136">
        <f>IFERROR(Model!BA267,"")</f>
        <v>0</v>
      </c>
      <c r="K32" s="136">
        <f>IFERROR(Model!BF267,"")</f>
        <v>0</v>
      </c>
      <c r="L32" s="137" t="n"/>
      <c r="X32" s="107" t="n"/>
      <c r="Y32" s="107" t="n"/>
      <c r="Z32" s="107" t="n"/>
    </row>
    <row r="33">
      <c r="C33" s="135" t="inlineStr">
        <is>
          <t>Accounts payable</t>
        </is>
      </c>
      <c r="D33" s="136">
        <f>IFERROR(Model!W268,"")</f>
        <v>-92</v>
      </c>
      <c r="E33" s="136">
        <f>IFERROR(Model!AB268,"")</f>
        <v>95</v>
      </c>
      <c r="F33" s="136">
        <f>IFERROR(Model!AG268,"")</f>
        <v>70</v>
      </c>
      <c r="G33" s="136">
        <f>IFERROR(Model!AL268,"")</f>
        <v>-999</v>
      </c>
      <c r="H33" s="136">
        <f>IFERROR(Model!AQ268,"")</f>
        <v>0</v>
      </c>
      <c r="I33" s="136">
        <f>IFERROR(Model!AV268,"")</f>
        <v>0</v>
      </c>
      <c r="J33" s="136">
        <f>IFERROR(Model!BA268,"")</f>
        <v>0</v>
      </c>
      <c r="K33" s="136">
        <f>IFERROR(Model!BF268,"")</f>
        <v>0</v>
      </c>
      <c r="L33" s="137" t="n"/>
      <c r="X33" s="107" t="n"/>
      <c r="Y33" s="107" t="n"/>
      <c r="Z33" s="107" t="n"/>
    </row>
    <row r="34">
      <c r="C34" s="135" t="inlineStr">
        <is>
          <t>Accrued expenses</t>
        </is>
      </c>
      <c r="D34" s="136">
        <f>IFERROR(Model!W269,"")</f>
        <v>716</v>
      </c>
      <c r="E34" s="136">
        <f>IFERROR(Model!AB269,"")</f>
        <v>1876</v>
      </c>
      <c r="F34" s="136">
        <f>IFERROR(Model!AG269,"")</f>
        <v>2879</v>
      </c>
      <c r="G34" s="136">
        <f>IFERROR(Model!AL269,"")</f>
        <v>4220.10503974869</v>
      </c>
      <c r="H34" s="136">
        <f>IFERROR(Model!AQ269,"")</f>
        <v>14046.1313142635</v>
      </c>
      <c r="I34" s="136">
        <f>IFERROR(Model!AV269,"")</f>
        <v>24350.0451083304</v>
      </c>
      <c r="J34" s="136">
        <f>IFERROR(Model!BA269,"")</f>
        <v>41444.5836823651</v>
      </c>
      <c r="K34" s="136">
        <f>IFERROR(Model!BF269,"")</f>
        <v>69246.3267372725</v>
      </c>
      <c r="L34" s="137" t="n"/>
      <c r="X34" s="107" t="n"/>
      <c r="Y34" s="107" t="n"/>
      <c r="Z34" s="107" t="n"/>
    </row>
    <row r="35">
      <c r="C35" s="135" t="inlineStr">
        <is>
          <t>Taxes payable</t>
        </is>
      </c>
      <c r="D35" s="136">
        <f>IFERROR(Model!W270,"")</f>
        <v>0</v>
      </c>
      <c r="E35" s="136">
        <f>IFERROR(Model!AB270,"")</f>
        <v>0</v>
      </c>
      <c r="F35" s="136">
        <f>IFERROR(Model!AG270,"")</f>
        <v>0</v>
      </c>
      <c r="G35" s="136">
        <f>IFERROR(Model!AL270,"")</f>
        <v>0</v>
      </c>
      <c r="H35" s="136">
        <f>IFERROR(Model!AQ270,"")</f>
        <v>0</v>
      </c>
      <c r="I35" s="136">
        <f>IFERROR(Model!AV270,"")</f>
        <v>0</v>
      </c>
      <c r="J35" s="136">
        <f>IFERROR(Model!BA270,"")</f>
        <v>0</v>
      </c>
      <c r="K35" s="136">
        <f>IFERROR(Model!BF270,"")</f>
        <v>0</v>
      </c>
      <c r="L35" s="137" t="n"/>
      <c r="X35" s="107" t="n"/>
      <c r="Y35" s="107" t="n"/>
      <c r="Z35" s="107" t="n"/>
    </row>
    <row r="36">
      <c r="C36" s="135" t="inlineStr">
        <is>
          <t>Other current liabilities</t>
        </is>
      </c>
      <c r="D36" s="136">
        <f>IFERROR(Model!W271,"")</f>
        <v>406</v>
      </c>
      <c r="E36" s="136">
        <f>IFERROR(Model!AB271,"")</f>
        <v>1572</v>
      </c>
      <c r="F36" s="136">
        <f>IFERROR(Model!AG271,"")</f>
        <v>594</v>
      </c>
      <c r="G36" s="136">
        <f>IFERROR(Model!AL271,"")</f>
        <v>646</v>
      </c>
      <c r="H36" s="136">
        <f>IFERROR(Model!AQ271,"")</f>
        <v>0</v>
      </c>
      <c r="I36" s="136">
        <f>IFERROR(Model!AV271,"")</f>
        <v>0</v>
      </c>
      <c r="J36" s="136">
        <f>IFERROR(Model!BA271,"")</f>
        <v>0</v>
      </c>
      <c r="K36" s="136">
        <f>IFERROR(Model!BF271,"")</f>
        <v>0</v>
      </c>
      <c r="L36" s="137" t="n"/>
      <c r="X36" s="107" t="n"/>
      <c r="Y36" s="107" t="n"/>
      <c r="Z36" s="107" t="n"/>
    </row>
    <row r="37">
      <c r="C37" s="135" t="inlineStr">
        <is>
          <t>Deferred tax (liabilities)</t>
        </is>
      </c>
      <c r="D37" s="136">
        <f>IFERROR(Model!W272,"")</f>
        <v>-24</v>
      </c>
      <c r="E37" s="136">
        <f>IFERROR(Model!AB272,"")</f>
        <v>-52</v>
      </c>
      <c r="F37" s="136">
        <f>IFERROR(Model!AG272,"")</f>
        <v>-10</v>
      </c>
      <c r="G37" s="136">
        <f>IFERROR(Model!AL272,"")</f>
        <v>8</v>
      </c>
      <c r="H37" s="136">
        <f>IFERROR(Model!AQ272,"")</f>
        <v>0</v>
      </c>
      <c r="I37" s="136">
        <f>IFERROR(Model!AV272,"")</f>
        <v>0</v>
      </c>
      <c r="J37" s="136">
        <f>IFERROR(Model!BA272,"")</f>
        <v>0</v>
      </c>
      <c r="K37" s="136">
        <f>IFERROR(Model!BF272,"")</f>
        <v>0</v>
      </c>
      <c r="L37" s="137" t="n"/>
      <c r="X37" s="107" t="n"/>
      <c r="Y37" s="107" t="n"/>
      <c r="Z37" s="107" t="n"/>
    </row>
    <row r="38">
      <c r="C38" s="135" t="inlineStr">
        <is>
          <t>Other non-current assets</t>
        </is>
      </c>
      <c r="D38" s="136">
        <f>IFERROR((Model!W172-Model!R172)*-1,"")</f>
        <v>-745</v>
      </c>
      <c r="E38" s="136">
        <f>IFERROR((Model!AB172-Model!W172)*-1,"")</f>
        <v>-1634</v>
      </c>
      <c r="F38" s="136">
        <f>IFERROR((Model!AG172-Model!AB172)*-1,"")</f>
        <v>-1656</v>
      </c>
      <c r="G38" s="136">
        <f>IFERROR((Model!AL172-Model!AG172)*-1,"")</f>
        <v>-608</v>
      </c>
      <c r="H38" s="136">
        <f>IFERROR((Model!AQ172-Model!AL172)*-1,"")</f>
        <v>0</v>
      </c>
      <c r="I38" s="136">
        <f>IFERROR((Model!AV172-Model!AQ172)*-1,"")</f>
        <v>0</v>
      </c>
      <c r="J38" s="136">
        <f>IFERROR((Model!BA172-Model!AV172)*-1,"")</f>
        <v>0</v>
      </c>
      <c r="K38" s="136">
        <f>IFERROR((Model!BF172-Model!BA172)*-1,"")</f>
        <v>0</v>
      </c>
      <c r="L38" s="137" t="n"/>
      <c r="X38" s="107" t="n"/>
      <c r="Y38" s="107" t="n"/>
      <c r="Z38" s="107" t="n"/>
    </row>
    <row r="39">
      <c r="C39" s="135" t="inlineStr">
        <is>
          <t>Other non-current liabilities</t>
        </is>
      </c>
      <c r="D39" s="136">
        <f>IFERROR(Model!W223-Model!R223,"")</f>
        <v>440</v>
      </c>
      <c r="E39" s="136">
        <f>IFERROR(Model!AB223-Model!W223,"")</f>
        <v>79</v>
      </c>
      <c r="F39" s="136">
        <f>IFERROR(Model!AG223-Model!AB223,"")</f>
        <v>538</v>
      </c>
      <c r="G39" s="136">
        <f>IFERROR(Model!AL223-Model!AG223,"")</f>
        <v>-509</v>
      </c>
      <c r="H39" s="136">
        <f>IFERROR(Model!AQ223-Model!AL223,"")</f>
        <v>0</v>
      </c>
      <c r="I39" s="136">
        <f>IFERROR(Model!AV223-Model!AQ223,"")</f>
        <v>0</v>
      </c>
      <c r="J39" s="136">
        <f>IFERROR(Model!BA223-Model!AV223,"")</f>
        <v>0</v>
      </c>
      <c r="K39" s="136">
        <f>IFERROR(Model!BF223-Model!BA223,"")</f>
        <v>0</v>
      </c>
      <c r="L39" s="137" t="n"/>
      <c r="X39" s="107" t="n"/>
      <c r="Y39" s="107" t="n"/>
      <c r="Z39" s="107" t="n"/>
    </row>
    <row r="40">
      <c r="C40" s="135" t="inlineStr">
        <is>
          <t>Capital expenditures</t>
        </is>
      </c>
      <c r="D40" s="136">
        <f>IFERROR(Model!W278,"")</f>
        <v>-854</v>
      </c>
      <c r="E40" s="136">
        <f>IFERROR(Model!AB278,"")</f>
        <v>-974</v>
      </c>
      <c r="F40" s="136">
        <f>IFERROR(Model!AG278,"")</f>
        <v>-1308</v>
      </c>
      <c r="G40" s="136">
        <f>IFERROR(Model!AL278,"")</f>
        <v>-1706.98289870426</v>
      </c>
      <c r="H40" s="136">
        <f>IFERROR(Model!AQ278,"")</f>
        <v>-1871.8732645614</v>
      </c>
      <c r="I40" s="136">
        <f>IFERROR(Model!AV278,"")</f>
        <v>-2159.71915133866</v>
      </c>
      <c r="J40" s="136">
        <f>IFERROR(Model!BA278,"")</f>
        <v>-2481.02972454997</v>
      </c>
      <c r="K40" s="136">
        <f>IFERROR(Model!BF278,"")</f>
        <v>-2837.73788515326</v>
      </c>
      <c r="L40" s="137" t="n"/>
      <c r="X40" s="107" t="n"/>
      <c r="Y40" s="107" t="n"/>
      <c r="Z40" s="107" t="n"/>
    </row>
    <row r="41">
      <c r="C41" s="135" t="inlineStr">
        <is>
          <t>Capital expenditures [IFRS16 - implied lease payments]</t>
        </is>
      </c>
      <c r="D41" s="251">
        <f>IFERROR(0,"")</f>
        <v>0</v>
      </c>
      <c r="E41" s="251">
        <f>IFERROR(0,"")</f>
        <v>0</v>
      </c>
      <c r="F41" s="136">
        <f>IFERROR(0,"")</f>
        <v>0</v>
      </c>
      <c r="G41" s="136">
        <f>IFERROR(0,"")</f>
        <v>0</v>
      </c>
      <c r="H41" s="136">
        <f>IFERROR(0,"")</f>
        <v>0</v>
      </c>
      <c r="I41" s="136">
        <f>IFERROR(0,"")</f>
        <v>0</v>
      </c>
      <c r="J41" s="136">
        <f>IFERROR(0,"")</f>
        <v>0</v>
      </c>
      <c r="K41" s="136">
        <f>IFERROR(0,"")</f>
        <v>0</v>
      </c>
      <c r="L41" s="137" t="n"/>
      <c r="X41" s="107" t="n"/>
      <c r="Y41" s="107" t="n"/>
      <c r="Z41" s="107" t="n"/>
    </row>
    <row r="42">
      <c r="C42" s="138" t="inlineStr">
        <is>
          <t>Purchase of intangible assets</t>
        </is>
      </c>
      <c r="D42" s="139">
        <f>IFERROR(0,"")</f>
        <v>0</v>
      </c>
      <c r="E42" s="139">
        <f>IFERROR(0,"")</f>
        <v>0</v>
      </c>
      <c r="F42" s="139">
        <f>IFERROR(0,"")</f>
        <v>0</v>
      </c>
      <c r="G42" s="139">
        <f>IFERROR(0,"")</f>
        <v>0</v>
      </c>
      <c r="H42" s="139">
        <f>IFERROR(0,"")</f>
        <v>0</v>
      </c>
      <c r="I42" s="139">
        <f>IFERROR(0,"")</f>
        <v>0</v>
      </c>
      <c r="J42" s="139">
        <f>IFERROR(0,"")</f>
        <v>0</v>
      </c>
      <c r="K42" s="139">
        <f>IFERROR(0,"")</f>
        <v>0</v>
      </c>
      <c r="L42" s="140" t="n"/>
      <c r="M42" s="141" t="n"/>
      <c r="X42" s="107" t="n"/>
      <c r="Y42" s="107" t="n"/>
      <c r="Z42" s="107" t="n"/>
      <c r="AB42" s="102" t="n"/>
    </row>
    <row r="43">
      <c r="X43" s="107" t="n"/>
      <c r="Y43" s="107" t="n"/>
      <c r="Z43" s="107" t="n"/>
    </row>
    <row r="44">
      <c r="C44" s="112" t="inlineStr">
        <is>
          <t>Net Investments</t>
        </is>
      </c>
      <c r="D44" s="133">
        <f>IFERROR(SUM(D27,D40:D42,D26),"")</f>
        <v>164</v>
      </c>
      <c r="E44" s="133">
        <f>IFERROR(SUM(E27,E40:E42,E26),"")</f>
        <v>1984</v>
      </c>
      <c r="F44" s="133">
        <f>IFERROR(SUM(F27,F40:F42,F26),"")</f>
        <v>1707</v>
      </c>
      <c r="G44" s="133">
        <f>IFERROR(SUM(G27,G40:G42,G26),"")</f>
        <v>1042.86992252475</v>
      </c>
      <c r="H44" s="133">
        <f>IFERROR(SUM(H27,H40:H42,H26),"")</f>
        <v>12850.4033025248</v>
      </c>
      <c r="I44" s="133">
        <f>IFERROR(SUM(I27,I40:I42,I26),"")</f>
        <v>22997.2216756994</v>
      </c>
      <c r="J44" s="133">
        <f>IFERROR(SUM(J27,J40:J42,J26),"")</f>
        <v>39921.5231743849</v>
      </c>
      <c r="K44" s="133">
        <f>IFERROR(SUM(K27,K40:K42,K26),"")</f>
        <v>67540.0889031976</v>
      </c>
      <c r="L44" s="133" t="n"/>
      <c r="M44" s="142" t="n"/>
      <c r="N44" s="133" t="n"/>
      <c r="O44" s="133" t="n"/>
      <c r="P44" s="133" t="n"/>
      <c r="Q44" s="133" t="n"/>
      <c r="R44" s="133" t="n"/>
      <c r="S44" s="133" t="n"/>
      <c r="T44" s="133" t="n"/>
      <c r="U44" s="133" t="n"/>
      <c r="V44" s="134" t="n"/>
      <c r="X44" s="107" t="n"/>
      <c r="Y44" s="141" t="n"/>
      <c r="Z44" s="107" t="n"/>
    </row>
    <row r="45">
      <c r="C45" s="143" t="n"/>
      <c r="D45" s="141" t="n"/>
      <c r="E45" s="141" t="n"/>
      <c r="F45" s="141" t="n"/>
      <c r="G45" s="141" t="n"/>
      <c r="H45" s="141" t="n"/>
      <c r="I45" s="141" t="n"/>
      <c r="J45" s="141" t="n"/>
      <c r="K45" s="141" t="n"/>
      <c r="L45" s="141" t="n"/>
      <c r="V45" s="144" t="n"/>
      <c r="X45" s="107" t="n"/>
      <c r="Y45" s="107" t="n"/>
      <c r="Z45" s="107" t="n"/>
    </row>
    <row r="46">
      <c r="C46" s="143" t="inlineStr">
        <is>
          <t>Invested Capital</t>
        </is>
      </c>
      <c r="D46" s="136">
        <f>IFERROR(Model!W333,"")</f>
        <v>13867</v>
      </c>
      <c r="E46" s="136">
        <f>IFERROR(Model!AB333,"")</f>
        <v>16286</v>
      </c>
      <c r="F46" s="136">
        <f>IFERROR(Model!AG333,"")</f>
        <v>16155</v>
      </c>
      <c r="G46" s="136">
        <f>IFERROR(Model!AL333,"")</f>
        <v>16087.1300774753</v>
      </c>
      <c r="H46" s="136">
        <f>IFERROR(Model!AQ333,"")</f>
        <v>3236.72677495045</v>
      </c>
      <c r="I46" s="136">
        <f>IFERROR(Model!AV333,"")</f>
        <v>-19760.4949007489</v>
      </c>
      <c r="J46" s="136">
        <f>IFERROR(Model!BA333,"")</f>
        <v>-59682.0180751338</v>
      </c>
      <c r="K46" s="136">
        <f>IFERROR(Model!BF333,"")</f>
        <v>-127222.106978331</v>
      </c>
      <c r="L46" s="136" t="n"/>
      <c r="M46" s="145" t="n"/>
      <c r="N46" s="145" t="n"/>
      <c r="O46" s="145" t="n"/>
      <c r="P46" s="145" t="n"/>
      <c r="Q46" s="145" t="n"/>
      <c r="R46" s="145" t="n"/>
      <c r="S46" s="145" t="n"/>
      <c r="T46" s="145" t="n"/>
      <c r="U46" s="145" t="n"/>
      <c r="V46" s="146" t="n"/>
      <c r="X46" s="141" t="n"/>
      <c r="Y46" s="141" t="n"/>
      <c r="Z46" s="107" t="n"/>
    </row>
    <row r="47">
      <c r="C47" s="143" t="inlineStr">
        <is>
          <t>Invested Capital (ex Goodwill)</t>
        </is>
      </c>
      <c r="D47" s="136">
        <f>IFERROR(Model!W334,"")</f>
        <v>6207</v>
      </c>
      <c r="E47" s="136">
        <f>IFERROR(Model!AB334,"")</f>
        <v>7093</v>
      </c>
      <c r="F47" s="136">
        <f>IFERROR(Model!AG334,"")</f>
        <v>6595</v>
      </c>
      <c r="G47" s="136">
        <f>IFERROR(Model!AL334,"")</f>
        <v>6589.13007747526</v>
      </c>
      <c r="H47" s="136">
        <f>IFERROR(Model!AQ334,"")</f>
        <v>-6261.27322504955</v>
      </c>
      <c r="I47" s="136">
        <f>IFERROR(Model!AV334,"")</f>
        <v>-29258.4949007489</v>
      </c>
      <c r="J47" s="136">
        <f>IFERROR(Model!BA334,"")</f>
        <v>-69180.0180751338</v>
      </c>
      <c r="K47" s="136">
        <f>IFERROR(Model!BF334,"")</f>
        <v>-136720.106978331</v>
      </c>
      <c r="L47" s="136" t="n"/>
      <c r="V47" s="144" t="n"/>
      <c r="X47" s="107" t="n"/>
      <c r="Y47" s="107" t="n"/>
      <c r="Z47" s="107" t="n"/>
    </row>
    <row r="48">
      <c r="C48" s="116" t="inlineStr">
        <is>
          <t>Invested Capital / Net Revenues</t>
        </is>
      </c>
      <c r="D48" s="122">
        <f>IFERROR(IF(D18=0,"",D46/D18),"")</f>
        <v>0.552514144553351</v>
      </c>
      <c r="E48" s="122">
        <f>IFERROR(IF(E18=0,"",E46/E18),"")</f>
        <v>0.578194340895374</v>
      </c>
      <c r="F48" s="122">
        <f>IFERROR(IF(F18=0,"",F46/F18),"")</f>
        <v>0.492665670458357</v>
      </c>
      <c r="G48" s="122">
        <f>IFERROR(IF(G18=0,"",G46/G18),"")</f>
        <v>0.42505759375755</v>
      </c>
      <c r="H48" s="122">
        <f>IFERROR(IF(H18=0,"",H46/H18),"")</f>
        <v>0.073803407660896</v>
      </c>
      <c r="I48" s="122">
        <f>IFERROR(IF(I18=0,"",I46/I18),"")</f>
        <v>-0.390523662324293</v>
      </c>
      <c r="J48" s="122">
        <f>IFERROR(IF(J18=0,"",J46/J18),"")</f>
        <v>-1.026734955568</v>
      </c>
      <c r="K48" s="122">
        <f>IFERROR(IF(K18=0,"",K46/K18),"")</f>
        <v>-1.9135381325619</v>
      </c>
      <c r="L48" s="122" t="n"/>
      <c r="M48" s="147" t="n"/>
      <c r="N48" s="147" t="n"/>
      <c r="O48" s="147" t="n"/>
      <c r="P48" s="147" t="n"/>
      <c r="Q48" s="147" t="n"/>
      <c r="R48" s="147" t="n"/>
      <c r="S48" s="147" t="n"/>
      <c r="T48" s="147" t="n"/>
      <c r="U48" s="147" t="n"/>
      <c r="V48" s="148" t="n"/>
      <c r="X48" s="106" t="n"/>
      <c r="Y48" s="107" t="n"/>
      <c r="Z48" s="107" t="n"/>
    </row>
    <row r="49">
      <c r="X49" s="107" t="n"/>
      <c r="Y49" s="107" t="n"/>
      <c r="Z49" s="107" t="n"/>
    </row>
    <row r="50">
      <c r="C50" s="149" t="inlineStr">
        <is>
          <t>ROIC</t>
        </is>
      </c>
      <c r="D50" s="150">
        <f>IFERROR(IF(D46=0,"",D25/D46),"")</f>
        <v>0.829153972997686</v>
      </c>
      <c r="E50" s="150">
        <f>IFERROR(IF(E46=0,"",E25/E46),"")</f>
        <v>0.807492565088952</v>
      </c>
      <c r="F50" s="150">
        <f>IFERROR(IF(F46=0,"",F25/F46),"")</f>
        <v>0.942433503031161</v>
      </c>
      <c r="G50" s="150">
        <f>IFERROR(IF(G46=0,"",G25/G46),"")</f>
        <v>1.1114586684745</v>
      </c>
      <c r="H50" s="150">
        <f>IFERROR(IF(H46=0,"",H25/H46),"")</f>
        <v>6.34914026054427</v>
      </c>
      <c r="I50" s="150">
        <f>IFERROR(IF(I46=0,"",I25/I46),"")</f>
        <v>-1.19989704120934</v>
      </c>
      <c r="J50" s="150">
        <f>IFERROR(IF(J46=0,"",J25/J46),"")</f>
        <v>-0.456386708569719</v>
      </c>
      <c r="K50" s="150">
        <f>IFERROR(IF(K46=0,"",K25/K46),"")</f>
        <v>-0.24488050641447</v>
      </c>
      <c r="L50" s="150" t="n"/>
      <c r="M50" s="151" t="n"/>
      <c r="N50" s="151" t="n"/>
      <c r="O50" s="151" t="n"/>
      <c r="P50" s="151" t="n"/>
      <c r="Q50" s="151" t="n"/>
      <c r="R50" s="151" t="n"/>
      <c r="S50" s="151" t="n"/>
      <c r="T50" s="151" t="n"/>
      <c r="U50" s="151" t="n"/>
      <c r="V50" s="152" t="n"/>
      <c r="X50" s="115" t="n"/>
      <c r="Y50" s="115" t="n"/>
      <c r="Z50" s="153" t="n"/>
    </row>
    <row r="51">
      <c r="C51" s="102" t="inlineStr">
        <is>
          <t>Capital Turnover</t>
        </is>
      </c>
      <c r="D51" s="154">
        <f>IFERROR(IF(D46=0,"",D18/D46),"")</f>
        <v>1.80990841566309</v>
      </c>
      <c r="E51" s="154">
        <f>IFERROR(IF(E46=0,"",E18/E46),"")</f>
        <v>1.72952228908265</v>
      </c>
      <c r="F51" s="154">
        <f>IFERROR(IF(F46=0,"",F18/F46),"")</f>
        <v>2.02977406375735</v>
      </c>
      <c r="G51" s="154">
        <f>IFERROR(IF(G46=0,"",G18/G46),"")</f>
        <v>2.35262236150143</v>
      </c>
      <c r="H51" s="154">
        <f>IFERROR(IF(H46=0,"",H18/H46),"")</f>
        <v>13.5495098626705</v>
      </c>
      <c r="I51" s="154">
        <f>IFERROR(IF(I46=0,"",I18/I46),"")</f>
        <v>-2.5606642989269</v>
      </c>
      <c r="J51" s="154">
        <f>IFERROR(IF(J46=0,"",J18/J46),"")</f>
        <v>-0.973961190837991</v>
      </c>
      <c r="K51" s="154">
        <f>IFERROR(IF(K46=0,"",K18/K46),"")</f>
        <v>-0.522592146445063</v>
      </c>
      <c r="L51" s="154" t="n"/>
      <c r="M51" s="154" t="n"/>
      <c r="N51" s="154" t="n"/>
      <c r="O51" s="154" t="n"/>
      <c r="P51" s="154" t="n"/>
      <c r="Q51" s="154" t="n"/>
      <c r="R51" s="154" t="n"/>
      <c r="S51" s="154" t="n"/>
      <c r="T51" s="154" t="n"/>
      <c r="U51" s="154" t="n"/>
      <c r="V51" s="154" t="n"/>
    </row>
    <row r="52"/>
    <row r="53" customFormat="1" s="102">
      <c r="A53" s="251" t="n"/>
      <c r="B53" s="251" t="n"/>
      <c r="C53" s="102" t="inlineStr">
        <is>
          <t>Unlevered free cash flows = FCFF</t>
        </is>
      </c>
      <c r="D53" s="155">
        <f>IFERROR(D25+D44,"")</f>
        <v>11661.8781435589</v>
      </c>
      <c r="E53" s="155">
        <f>IFERROR(E25+E44,"")</f>
        <v>15134.8239150387</v>
      </c>
      <c r="F53" s="155">
        <f>IFERROR(F25+F44,"")</f>
        <v>16932.0132414684</v>
      </c>
      <c r="G53" s="156">
        <f>IFERROR(G25+G44,"")</f>
        <v>18923.0500980115</v>
      </c>
      <c r="H53" s="155">
        <f>IFERROR(H25+H44,"")</f>
        <v>33400.8355817443</v>
      </c>
      <c r="I53" s="155">
        <f>IFERROR(I25+I44,"")</f>
        <v>46707.7810399403</v>
      </c>
      <c r="J53" s="155">
        <f>IFERROR(J25+J44,"")</f>
        <v>67159.6029644937</v>
      </c>
      <c r="K53" s="155">
        <f>IFERROR(K25+K44,"")</f>
        <v>98694.3028871673</v>
      </c>
      <c r="L53" s="155" t="n"/>
      <c r="M53" s="155" t="n"/>
      <c r="N53" s="155" t="n"/>
      <c r="O53" s="155" t="n"/>
      <c r="P53" s="155" t="n"/>
      <c r="Q53" s="155" t="n"/>
      <c r="R53" s="155" t="n"/>
      <c r="S53" s="155" t="n"/>
      <c r="T53" s="155" t="n"/>
      <c r="U53" s="155" t="n"/>
      <c r="V53" s="155" t="n"/>
    </row>
    <row r="54">
      <c r="C54" s="157" t="inlineStr">
        <is>
          <t>Discount factor</t>
        </is>
      </c>
      <c r="G54" s="158" t="str">
        <f>IFERROR(IF(Control!E12="","",1/(1+Control!E12)^Control!B13),"")</f>
        <v/>
      </c>
      <c r="H54" s="158" t="str">
        <f>IFERROR(IF(G54="","",G54/(1+Control!E12)),"")</f>
        <v/>
      </c>
      <c r="I54" s="158" t="str">
        <f>IFERROR(IF(H54="","",H54/(1+Control!E12)),"")</f>
        <v/>
      </c>
      <c r="J54" s="158" t="str">
        <f>IFERROR(IF(I54="","",I54/(1+Control!E12)),"")</f>
        <v/>
      </c>
      <c r="K54" s="158" t="str">
        <f>IFERROR(IF(J54="","",J54/(1+Control!E12)),"")</f>
        <v/>
      </c>
      <c r="L54" s="158" t="n"/>
      <c r="M54" s="158" t="n"/>
      <c r="N54" s="158" t="n"/>
      <c r="O54" s="158" t="n"/>
      <c r="P54" s="158" t="n"/>
      <c r="Q54" s="158" t="n"/>
      <c r="R54" s="158" t="n"/>
      <c r="S54" s="158" t="n"/>
      <c r="T54" s="158" t="n"/>
      <c r="U54" s="158" t="n"/>
      <c r="V54" s="158" t="n"/>
    </row>
    <row r="55">
      <c r="C55" s="157" t="inlineStr">
        <is>
          <t>Midyear adjustment factor</t>
        </is>
      </c>
      <c r="G55" s="159" t="str">
        <f>IFERROR(IF(Control!E12="","",(1+Control!E12)^0.5),"")</f>
        <v/>
      </c>
      <c r="H55" s="158" t="str">
        <f>IFERROR(G55,"")</f>
        <v/>
      </c>
      <c r="I55" s="158" t="str">
        <f>IFERROR(H55,"")</f>
        <v/>
      </c>
      <c r="J55" s="158" t="str">
        <f>IFERROR(I55,"")</f>
        <v/>
      </c>
      <c r="K55" s="158" t="str">
        <f>IFERROR(J55,"")</f>
        <v/>
      </c>
      <c r="L55" s="158" t="n"/>
      <c r="M55" s="158" t="n"/>
      <c r="N55" s="158" t="n"/>
      <c r="O55" s="158" t="n"/>
      <c r="P55" s="158" t="n"/>
      <c r="Q55" s="158" t="n"/>
      <c r="R55" s="158" t="n"/>
      <c r="S55" s="158" t="n"/>
      <c r="T55" s="158" t="n"/>
      <c r="U55" s="158" t="n"/>
      <c r="V55" s="158" t="n"/>
    </row>
    <row r="56">
      <c r="C56" s="157" t="inlineStr">
        <is>
          <t>Present value of free cash flows</t>
        </is>
      </c>
      <c r="G56" s="141" t="str">
        <f>IFERROR(IF(G54="","",G53*G54*G55),"")</f>
        <v/>
      </c>
      <c r="H56" s="141" t="str">
        <f>IFERROR(IF(H54="","",H53*H54*H55),"")</f>
        <v/>
      </c>
      <c r="I56" s="141" t="str">
        <f>IFERROR(IF(I54="","",I53*I54*I55),"")</f>
        <v/>
      </c>
      <c r="J56" s="141" t="str">
        <f>IFERROR(IF(J54="","",J53*J54*J55),"")</f>
        <v/>
      </c>
      <c r="K56" s="141" t="str">
        <f>IFERROR(IF(K54="","",K53*K54*K55),"")</f>
        <v/>
      </c>
      <c r="L56" s="141" t="n"/>
      <c r="M56" s="141" t="n"/>
      <c r="N56" s="141" t="n"/>
      <c r="O56" s="141" t="n"/>
      <c r="P56" s="141" t="n"/>
      <c r="Q56" s="141" t="n"/>
      <c r="R56" s="141" t="n"/>
      <c r="S56" s="141" t="n"/>
      <c r="T56" s="141" t="n"/>
      <c r="U56" s="141" t="n"/>
      <c r="V56" s="141" t="n"/>
    </row>
    <row r="57">
      <c r="C57" s="102" t="inlineStr">
        <is>
          <t>Sum of present values of FCFs</t>
        </is>
      </c>
      <c r="G57" s="155" t="str">
        <f>IFERROR(IF(COUNT(G56:K56)=0,"",SUM(G56:K56)),"")</f>
        <v/>
      </c>
      <c r="H57" s="141" t="n"/>
      <c r="N57" s="160" t="n"/>
    </row>
    <row r="58"/>
    <row r="59">
      <c r="C59" s="102" t="n"/>
      <c r="D59" s="95">
        <f>IFERROR(IF(Control!B9="","",Control!B9),"")</f>
        <v>47848.0</v>
      </c>
      <c r="E59" s="161" t="n"/>
      <c r="F59" s="162" t="n"/>
      <c r="G59" s="162" t="n"/>
      <c r="H59" s="95">
        <f>IFERROR(IF(Control!B7="","",Control!B7),"")</f>
        <v>46203.0</v>
      </c>
      <c r="I59" s="162" t="n"/>
      <c r="J59" s="162" t="n"/>
      <c r="K59" s="162" t="n"/>
      <c r="L59" s="162" t="n"/>
    </row>
    <row r="60" ht="13.5" customHeight="1">
      <c r="C60" s="163" t="inlineStr">
        <is>
          <t>Terminal value</t>
        </is>
      </c>
      <c r="D60" s="164" t="n"/>
      <c r="E60" s="165" t="inlineStr">
        <is>
          <t>Equity value calculations</t>
        </is>
      </c>
      <c r="F60" s="166" t="n"/>
      <c r="G60" s="166" t="n"/>
      <c r="H60" s="166" t="n"/>
      <c r="I60" s="167" t="inlineStr">
        <is>
          <t xml:space="preserve"> Shares Outstanding Worksheet</t>
        </is>
      </c>
      <c r="J60" s="168" t="n"/>
      <c r="K60" s="169" t="n"/>
      <c r="L60" s="170" t="n"/>
    </row>
    <row r="61">
      <c r="C61" s="143" t="n"/>
      <c r="D61" s="144" t="n"/>
      <c r="I61" s="143" t="n"/>
      <c r="L61" s="144" t="n"/>
    </row>
    <row r="62">
      <c r="C62" s="171" t="inlineStr">
        <is>
          <t>Key value driver method</t>
        </is>
      </c>
      <c r="D62" s="172" t="n"/>
      <c r="E62" s="173" t="inlineStr">
        <is>
          <t>Enterprise value</t>
        </is>
      </c>
      <c r="H62" s="155" t="str">
        <f>IFERROR(D80,"")</f>
        <v/>
      </c>
      <c r="I62" s="174" t="inlineStr">
        <is>
          <t>Basic Shares Outanding :</t>
        </is>
      </c>
      <c r="J62" s="97" t="n"/>
      <c r="L62" s="175" t="n"/>
    </row>
    <row r="63" ht="13.5" customHeight="1">
      <c r="C63" s="171" t="inlineStr">
        <is>
          <t>g</t>
        </is>
      </c>
      <c r="D63" s="176" t="str">
        <f>IFERROR(IF(Control!E13="","",Control!E13),"")</f>
        <v/>
      </c>
      <c r="E63" s="157" t="inlineStr">
        <is>
          <t>Calculation of net debt:</t>
        </is>
      </c>
      <c r="H63" s="141" t="n"/>
      <c r="I63" s="174" t="inlineStr">
        <is>
          <t>Current Share Price:</t>
        </is>
      </c>
      <c r="L63" s="177" t="n"/>
    </row>
    <row r="64" ht="13.5" customHeight="1">
      <c r="C64" s="171" t="inlineStr">
        <is>
          <t>RONIC</t>
        </is>
      </c>
      <c r="D64" s="178">
        <f>IFERROR(K50,"")</f>
        <v>-0.24488050641447</v>
      </c>
      <c r="E64" s="157" t="inlineStr">
        <is>
          <t>Current portion of long-term debt</t>
        </is>
      </c>
      <c r="H64" s="137">
        <f>IFERROR(INDEX(Model!$I$195:$BF$195,1,MATCH(Control!$B$7,Model!$I$5:$BF$5,0)),"")</f>
        <v>2459</v>
      </c>
      <c r="I64" s="179" t="inlineStr">
        <is>
          <t>Options / Warrants Data</t>
        </is>
      </c>
      <c r="J64" s="109" t="n"/>
      <c r="K64" s="109" t="n"/>
      <c r="L64" s="180" t="n"/>
    </row>
    <row r="65">
      <c r="C65" s="171" t="inlineStr">
        <is>
          <t>NOPLAT (t+1)</t>
        </is>
      </c>
      <c r="D65" s="181" t="str">
        <f>IFERROR(K25*(1+D63),"")</f>
        <v/>
      </c>
      <c r="E65" s="157" t="inlineStr">
        <is>
          <t>Short term debt</t>
        </is>
      </c>
      <c r="H65" s="137">
        <f>IFERROR(INDEX(Model!$I$196:$BF$196,1,MATCH(Control!$B$7,Model!$I$5:$BF$5,0)),"")</f>
        <v>0</v>
      </c>
      <c r="I65" s="179" t="n"/>
      <c r="J65" s="182" t="inlineStr">
        <is>
          <t># of options</t>
        </is>
      </c>
      <c r="K65" s="182" t="inlineStr">
        <is>
          <t xml:space="preserve">$ strike </t>
        </is>
      </c>
      <c r="L65" s="180" t="n"/>
    </row>
    <row r="66">
      <c r="C66" s="171" t="inlineStr">
        <is>
          <t>Terminal value</t>
        </is>
      </c>
      <c r="D66" s="181" t="str">
        <f>IFERROR(IF(OR(Control!E12="",D64="",D64&lt;=D63,Control!E12&lt;=D63),"",(D65*(1-D63/D64))/(Control!E12-D63)),"")</f>
        <v/>
      </c>
      <c r="E66" s="157" t="inlineStr">
        <is>
          <t>Long term debt</t>
        </is>
      </c>
      <c r="H66" s="137">
        <f>IFERROR(INDEX(Model!$I$200:$BF$200,1,MATCH(Control!$B$7,Model!$I$5:$BF$5,0)),"")</f>
        <v>22184</v>
      </c>
      <c r="I66" s="157" t="inlineStr">
        <is>
          <t>Batch 1</t>
        </is>
      </c>
      <c r="J66" s="183" t="n"/>
      <c r="K66" s="184" t="n"/>
      <c r="L66" s="185" t="n"/>
    </row>
    <row r="67">
      <c r="C67" s="171" t="inlineStr">
        <is>
          <t>Midyear adjusted terminal value</t>
        </is>
      </c>
      <c r="D67" s="181" t="str">
        <f>IFERROR(IF(D66="","",D66*K55),"")</f>
        <v/>
      </c>
      <c r="E67" s="157" t="inlineStr">
        <is>
          <t>Convertible debt</t>
        </is>
      </c>
      <c r="H67" s="137">
        <f>IFERROR(INDEX(Model!$I$221:$BF$221,1,MATCH(Control!$B$7,Model!$I$5:$BF$5,0)),"")</f>
        <v>0</v>
      </c>
      <c r="I67" s="157" t="inlineStr">
        <is>
          <t>Batch 2</t>
        </is>
      </c>
      <c r="J67" s="186" t="n"/>
      <c r="K67" s="187" t="n"/>
      <c r="L67" s="185" t="n"/>
    </row>
    <row r="68">
      <c r="C68" s="171" t="inlineStr">
        <is>
          <t>Present value of terminal value</t>
        </is>
      </c>
      <c r="D68" s="181" t="str">
        <f>IFERROR(IF(D67="","",D67*K54),"")</f>
        <v/>
      </c>
      <c r="E68" s="157" t="inlineStr">
        <is>
          <t>Minority interest</t>
        </is>
      </c>
      <c r="H68" s="137">
        <f>IFERROR(INDEX(Model!$I$231:$BF$231,1,MATCH(Control!$B$7,Model!$I$5:$BF$5,0)),"")</f>
        <v>-5</v>
      </c>
      <c r="I68" s="157" t="inlineStr">
        <is>
          <t>Batch 3</t>
        </is>
      </c>
      <c r="J68" s="186" t="n"/>
      <c r="K68" s="187" t="n"/>
      <c r="L68" s="185" t="n"/>
    </row>
    <row r="69">
      <c r="C69" s="174" t="inlineStr">
        <is>
          <t>Enterprise value</t>
        </is>
      </c>
      <c r="D69" s="188" t="str">
        <f>IFERROR(IF(OR(D68="",G57=""),"",D68+G57),"")</f>
        <v/>
      </c>
      <c r="E69" s="157" t="inlineStr">
        <is>
          <t>Convertible preferred stock</t>
        </is>
      </c>
      <c r="H69" s="137">
        <f>IFERROR(INDEX(Model!$I$236:$BF$236,1,MATCH(Control!$B$7,Model!$I$5:$BF$5,0)),"")</f>
        <v>0</v>
      </c>
      <c r="I69" s="157" t="inlineStr">
        <is>
          <t>Batch 4</t>
        </is>
      </c>
      <c r="J69" s="186" t="n"/>
      <c r="K69" s="187" t="n"/>
      <c r="L69" s="185" t="n"/>
    </row>
    <row r="70">
      <c r="C70" s="143" t="n"/>
      <c r="D70" s="144" t="n"/>
      <c r="E70" s="157" t="inlineStr">
        <is>
          <t>Short term operating leases</t>
        </is>
      </c>
      <c r="H70" s="137">
        <f>IFERROR(INDEX(Model!$I$197:$BF$197,1,MATCH(Control!$B$7,Model!$I$5:$BF$5,0)),"")</f>
        <v>0</v>
      </c>
      <c r="I70" s="157" t="inlineStr">
        <is>
          <t>Batch 5</t>
        </is>
      </c>
      <c r="J70" s="186" t="n"/>
      <c r="K70" s="187" t="n"/>
      <c r="L70" s="185" t="n"/>
    </row>
    <row r="71">
      <c r="C71" s="171" t="inlineStr">
        <is>
          <t>Exit multiple method</t>
        </is>
      </c>
      <c r="D71" s="172" t="n"/>
      <c r="E71" s="157" t="inlineStr">
        <is>
          <t>Long term operating leases</t>
        </is>
      </c>
      <c r="H71" s="137">
        <f>IFERROR(INDEX(Model!$I$218:$BF$218,1,MATCH(Control!$B$7,Model!$I$5:$BF$5,0)),"")</f>
        <v>0</v>
      </c>
      <c r="I71" s="179" t="inlineStr">
        <is>
          <t>Batch 6</t>
        </is>
      </c>
      <c r="J71" s="189" t="n"/>
      <c r="K71" s="190" t="n"/>
      <c r="L71" s="191" t="n"/>
    </row>
    <row r="72">
      <c r="C72" s="174" t="inlineStr">
        <is>
          <t>Exit EV / EBITDA multiple</t>
        </is>
      </c>
      <c r="D72" s="192" t="str">
        <f>IFERROR(IF(Control!E14="","",Control!E14),"")</f>
        <v/>
      </c>
      <c r="E72" s="157" t="inlineStr">
        <is>
          <t>Less: Excess cash</t>
        </is>
      </c>
      <c r="H72" s="137">
        <f>IFERROR(-INDEX(Model!$I$127:$BF$127,1,MATCH(Control!$B$7,Model!$I$5:$BF$5,0)),"")</f>
        <v>-11609</v>
      </c>
      <c r="J72" s="162" t="n"/>
      <c r="K72" s="193" t="inlineStr">
        <is>
          <t>Total in-the-$ options:</t>
        </is>
      </c>
      <c r="L72" s="185" t="n"/>
    </row>
    <row r="73">
      <c r="C73" s="174" t="inlineStr">
        <is>
          <t>LTM EBITDA at end of projection</t>
        </is>
      </c>
      <c r="D73" s="188">
        <f>IFERROR(K20,"")</f>
        <v>41009.7064211743</v>
      </c>
      <c r="E73" s="157" t="inlineStr">
        <is>
          <t>Less: Equity investments</t>
        </is>
      </c>
      <c r="H73" s="137">
        <f>IFERROR(-INDEX(Model!$I$144:$BF$144,1,MATCH(Control!$B$7,Model!$I$5:$BF$5,0)),"")</f>
        <v>0</v>
      </c>
      <c r="J73" s="162" t="n"/>
      <c r="K73" s="193" t="inlineStr">
        <is>
          <t>Total $ proceeds:</t>
        </is>
      </c>
      <c r="L73" s="194" t="n"/>
    </row>
    <row r="74">
      <c r="C74" s="174" t="inlineStr">
        <is>
          <t>Terminal value</t>
        </is>
      </c>
      <c r="D74" s="188" t="str">
        <f>IFERROR(IF(OR(D72="",D73=""),"",D73*D72),"")</f>
        <v/>
      </c>
      <c r="E74" s="157" t="inlineStr">
        <is>
          <t>Net debt</t>
        </is>
      </c>
      <c r="H74" s="188">
        <f>IFERROR(SUM(H64:H73),"")</f>
        <v>13029</v>
      </c>
      <c r="J74" s="162" t="n"/>
      <c r="K74" s="193" t="inlineStr">
        <is>
          <t>Total shares repurchased:</t>
        </is>
      </c>
      <c r="L74" s="185" t="n"/>
    </row>
    <row r="75">
      <c r="C75" s="174" t="inlineStr">
        <is>
          <t>Present value of terminal value</t>
        </is>
      </c>
      <c r="D75" s="188" t="str">
        <f>IFERROR(IF(OR(D74="",K54="",K55=""),"",D74*K54*K55),"")</f>
        <v/>
      </c>
      <c r="E75" s="173" t="inlineStr">
        <is>
          <t>Equity value</t>
        </is>
      </c>
      <c r="H75" s="181" t="str">
        <f>IFERROR(IF(H62="","",H62-H74),"")</f>
        <v/>
      </c>
      <c r="J75" s="162" t="n"/>
      <c r="K75" s="195" t="inlineStr">
        <is>
          <t>Basic shares outstanding</t>
        </is>
      </c>
      <c r="L75" s="172" t="n"/>
    </row>
    <row r="76" ht="13.5" customHeight="1">
      <c r="C76" s="174" t="inlineStr">
        <is>
          <t>Enterprise value</t>
        </is>
      </c>
      <c r="D76" s="188" t="str">
        <f>IFERROR(IF(OR(D75="",G57=""),"",G57+D75),"")</f>
        <v/>
      </c>
      <c r="E76" s="157" t="inlineStr">
        <is>
          <t>Shares outstanding</t>
        </is>
      </c>
      <c r="H76" s="188" t="str">
        <f>IFERROR(IF(Control!E5="","",Control!E5),"")</f>
        <v/>
      </c>
      <c r="J76" s="196" t="n"/>
      <c r="K76" s="195" t="inlineStr">
        <is>
          <t>New shares from options:</t>
        </is>
      </c>
      <c r="L76" s="172" t="n"/>
    </row>
    <row r="77" ht="13.5" customHeight="1">
      <c r="C77" s="143" t="n"/>
      <c r="D77" s="197" t="n"/>
      <c r="E77" s="173" t="inlineStr">
        <is>
          <t>Equity value / share</t>
        </is>
      </c>
      <c r="H77" s="198" t="str">
        <f>IFERROR(IF(OR(H75="",H76="",H76=0),"",H75/H76),"")</f>
        <v/>
      </c>
      <c r="K77" s="195" t="inlineStr">
        <is>
          <t>New shares from convert. pref. stock:</t>
        </is>
      </c>
      <c r="L77" s="199" t="n"/>
    </row>
    <row r="78">
      <c r="C78" s="171" t="inlineStr">
        <is>
          <t>Select a terminal value method</t>
        </is>
      </c>
      <c r="D78" s="200" t="n"/>
      <c r="F78" s="160" t="n"/>
      <c r="H78" s="201" t="n"/>
      <c r="K78" s="195" t="inlineStr">
        <is>
          <t>New shares from convertible debt:</t>
        </is>
      </c>
      <c r="L78" s="202" t="n"/>
    </row>
    <row r="79">
      <c r="C79" s="174" t="inlineStr">
        <is>
          <t>Perpetual growth = 1 / Exit multiple = 2</t>
        </is>
      </c>
      <c r="D79" s="203">
        <f>IFERROR(Control!B11,"")</f>
        <v>1</v>
      </c>
      <c r="H79" s="201" t="n"/>
      <c r="K79" s="204" t="inlineStr">
        <is>
          <t>Total Shares Outstanding:</t>
        </is>
      </c>
      <c r="L79" s="205" t="n"/>
    </row>
    <row r="80">
      <c r="C80" s="174" t="inlineStr">
        <is>
          <t>Enterprise value</t>
        </is>
      </c>
      <c r="D80" s="172" t="str">
        <f>IFERROR(IF(D79=1,D69,D76),"")</f>
        <v/>
      </c>
      <c r="H80" s="144" t="n"/>
      <c r="K80" s="204" t="n"/>
      <c r="L80" s="205" t="n"/>
    </row>
    <row r="81">
      <c r="C81" s="206" t="inlineStr">
        <is>
          <t>Terminal value as percent of total value</t>
        </is>
      </c>
      <c r="D81" s="207" t="str">
        <f>IFERROR(IF(D79=1,D68/D69,D75/D76),"")</f>
        <v/>
      </c>
      <c r="E81" s="109" t="n"/>
      <c r="F81" s="109" t="n"/>
      <c r="G81" s="109" t="n"/>
      <c r="H81" s="123" t="n"/>
      <c r="I81" s="109" t="n"/>
      <c r="J81" s="109" t="n"/>
      <c r="K81" s="109" t="n"/>
      <c r="L81" s="123" t="n"/>
    </row>
    <row r="82"/>
    <row r="83" ht="13.5" customHeight="1">
      <c r="C83" s="208" t="inlineStr">
        <is>
          <t>Analysis of WACC</t>
        </is>
      </c>
      <c r="D83" s="209" t="n"/>
      <c r="E83" s="210" t="n"/>
      <c r="F83" s="210" t="n"/>
      <c r="G83" s="208" t="n"/>
      <c r="H83" s="209" t="n"/>
      <c r="I83" s="210" t="n"/>
      <c r="J83" s="210" t="n"/>
      <c r="K83" s="210" t="n"/>
      <c r="L83" s="210" t="n"/>
    </row>
    <row r="84"/>
    <row r="85">
      <c r="C85" s="211" t="inlineStr">
        <is>
          <t>Cost of debt</t>
        </is>
      </c>
      <c r="D85" s="109" t="n"/>
      <c r="F85" s="211" t="inlineStr">
        <is>
          <t>Capital structure</t>
        </is>
      </c>
      <c r="G85" s="211" t="n"/>
      <c r="H85" s="211" t="n"/>
      <c r="I85" s="211" t="n"/>
      <c r="J85" s="211" t="n"/>
    </row>
    <row r="86">
      <c r="C86" s="157" t="inlineStr">
        <is>
          <t>Cost of debt</t>
        </is>
      </c>
      <c r="D86" s="212" t="str">
        <f>IFERROR(IF(Control!E9="","",Control!E9),"")</f>
        <v/>
      </c>
      <c r="G86" s="252" t="inlineStr">
        <is>
          <t>Current capital structure</t>
        </is>
      </c>
      <c r="H86" s="253" t="n"/>
      <c r="I86" s="254" t="inlineStr">
        <is>
          <t>Target capital structure</t>
        </is>
      </c>
      <c r="J86" s="255" t="n"/>
    </row>
    <row r="87">
      <c r="C87" s="157" t="inlineStr">
        <is>
          <t>Marginal tax rate</t>
        </is>
      </c>
      <c r="D87" s="212" t="str">
        <f>IFERROR(IF(Control!E10="","",Control!E10),"")</f>
        <v/>
      </c>
      <c r="F87" s="109" t="n"/>
      <c r="G87" s="182" t="inlineStr">
        <is>
          <t>Market value</t>
        </is>
      </c>
      <c r="H87" s="182" t="inlineStr">
        <is>
          <t>% Weight</t>
        </is>
      </c>
      <c r="I87" s="182" t="inlineStr">
        <is>
          <t>override</t>
        </is>
      </c>
      <c r="J87" s="213" t="inlineStr">
        <is>
          <t>% Weight</t>
        </is>
      </c>
      <c r="K87" s="214" t="n"/>
      <c r="L87" s="215" t="n"/>
    </row>
    <row r="88">
      <c r="C88" s="251" t="inlineStr">
        <is>
          <t>Cost of debt after tax shield</t>
        </is>
      </c>
      <c r="D88" s="216" t="str">
        <f>IFERROR(IF(D86="","",D86*(1-D87)),"")</f>
        <v/>
      </c>
      <c r="F88" s="251" t="inlineStr">
        <is>
          <t>Net debt</t>
        </is>
      </c>
      <c r="G88" s="217">
        <f>IFERROR(H74,"")</f>
        <v>13029</v>
      </c>
      <c r="H88" s="97">
        <f>IFERROR(debt/totalcap,"")</f>
        <v>1</v>
      </c>
      <c r="I88" s="212" t="n"/>
      <c r="J88" s="97">
        <f>IFERROR(IF(I88,I88,H88),"")</f>
        <v>1</v>
      </c>
      <c r="L88" s="218" t="n"/>
    </row>
    <row r="89">
      <c r="F89" s="251" t="inlineStr">
        <is>
          <t>Equity</t>
        </is>
      </c>
      <c r="G89" s="217">
        <f>IFERROR(L63*L79,"")</f>
        <v>0</v>
      </c>
      <c r="H89" s="97">
        <f>IFERROR(1-H88,"")</f>
        <v>0</v>
      </c>
      <c r="J89" s="97">
        <f>IFERROR(1-debt_weight,"")</f>
        <v>0</v>
      </c>
    </row>
    <row r="90">
      <c r="C90" s="211" t="inlineStr">
        <is>
          <t>Cost of equity</t>
        </is>
      </c>
      <c r="D90" s="109" t="n"/>
      <c r="F90" s="251" t="inlineStr">
        <is>
          <t>Total</t>
        </is>
      </c>
      <c r="G90" s="214">
        <f>IFERROR(SUM(G88:G89),"")</f>
        <v>13029</v>
      </c>
    </row>
    <row r="91">
      <c r="C91" s="157" t="inlineStr">
        <is>
          <t>Risk-Free Rate (rf)</t>
        </is>
      </c>
      <c r="D91" s="212" t="str">
        <f>IFERROR(IF(Control!E6="","",Control!E6),"")</f>
        <v/>
      </c>
      <c r="E91" s="195" t="n"/>
    </row>
    <row r="92">
      <c r="C92" s="157" t="inlineStr">
        <is>
          <t>Market Risk Premium (rm-rf)</t>
        </is>
      </c>
      <c r="D92" s="212" t="str">
        <f>IFERROR(IF(Control!E7="","",Control!E7),"")</f>
        <v/>
      </c>
      <c r="F92" s="211" t="inlineStr">
        <is>
          <t>Weighted average cost of capital</t>
        </is>
      </c>
      <c r="G92" s="109" t="n"/>
      <c r="H92" s="109" t="n"/>
      <c r="I92" s="109" t="n"/>
      <c r="J92" s="109" t="n"/>
    </row>
    <row r="93">
      <c r="C93" s="157" t="inlineStr">
        <is>
          <t>Raw (observed) beta</t>
        </is>
      </c>
      <c r="D93" s="219" t="str">
        <f>IFERROR(IF(Control!E8="","",Control!E8),"")</f>
        <v/>
      </c>
      <c r="F93" s="251" t="inlineStr">
        <is>
          <t>Weighted average cost of capital:</t>
        </is>
      </c>
      <c r="J93" s="97" t="str">
        <f>IFERROR(IF(Control!E12="","",Control!E12),"")</f>
        <v/>
      </c>
    </row>
    <row r="94">
      <c r="C94" s="157" t="inlineStr">
        <is>
          <t>Cost of equity using relevered industry beta</t>
        </is>
      </c>
      <c r="D94" s="216" t="str">
        <f>IFERROR(IF(COUNT(D91:D93)&lt;3,"",D91+D93*D92),"")</f>
        <v/>
      </c>
      <c r="E94" s="102" t="n"/>
    </row>
    <row r="95">
      <c r="C95" s="157" t="n"/>
      <c r="D95" s="216" t="n"/>
      <c r="E95" s="102" t="n"/>
      <c r="G95" s="214" t="n"/>
    </row>
    <row r="96">
      <c r="C96" s="211" t="inlineStr">
        <is>
          <t>Industry beta calculation</t>
        </is>
      </c>
      <c r="D96" s="109" t="n"/>
      <c r="E96" s="109" t="n"/>
      <c r="F96" s="109" t="n"/>
      <c r="G96" s="109" t="n"/>
      <c r="H96" s="109" t="n"/>
      <c r="I96" s="109" t="n"/>
      <c r="J96" s="109" t="n"/>
      <c r="K96" s="109" t="n"/>
      <c r="L96" s="109" t="n"/>
      <c r="M96" s="109" t="n"/>
    </row>
    <row r="97" ht="25.5" customHeight="1">
      <c r="C97" s="220" t="inlineStr">
        <is>
          <t xml:space="preserve">Comps </t>
        </is>
      </c>
      <c r="D97" s="221" t="inlineStr">
        <is>
          <t>Raw beta</t>
        </is>
      </c>
      <c r="E97" s="221" t="inlineStr">
        <is>
          <t>Share price</t>
        </is>
      </c>
      <c r="F97" s="221" t="inlineStr">
        <is>
          <t>Shares</t>
        </is>
      </c>
      <c r="G97" s="221" t="inlineStr">
        <is>
          <t>Market cap.</t>
        </is>
      </c>
      <c r="H97" s="221" t="inlineStr">
        <is>
          <t>Debt</t>
        </is>
      </c>
      <c r="I97" s="221" t="inlineStr">
        <is>
          <t>D / E</t>
        </is>
      </c>
      <c r="J97" s="221" t="inlineStr">
        <is>
          <t>Tax rate</t>
        </is>
      </c>
      <c r="K97" s="221" t="inlineStr">
        <is>
          <t>Unl. Beta</t>
        </is>
      </c>
      <c r="L97" s="221" t="n"/>
      <c r="M97" s="221" t="n"/>
    </row>
    <row r="98">
      <c r="C98" s="251" t="str">
        <f>IFERROR(ticker,"")</f>
        <v>MA</v>
      </c>
      <c r="D98" s="222" t="n"/>
      <c r="E98" s="223" t="n"/>
      <c r="F98" s="141" t="n"/>
      <c r="G98" s="141" t="n"/>
      <c r="H98" s="141" t="n"/>
      <c r="I98" s="224" t="n"/>
      <c r="J98" s="224" t="n"/>
      <c r="K98" s="222" t="n"/>
      <c r="L98" s="225" t="n"/>
    </row>
    <row r="99">
      <c r="C99" s="226" t="inlineStr">
        <is>
          <t>TICKER 2</t>
        </is>
      </c>
      <c r="D99" s="219" t="n"/>
      <c r="E99" s="227" t="n"/>
      <c r="F99" s="228" t="n"/>
      <c r="G99" s="141" t="n"/>
      <c r="H99" s="228" t="n"/>
      <c r="I99" s="224" t="n"/>
      <c r="J99" s="229" t="n"/>
      <c r="K99" s="222" t="n"/>
      <c r="L99" s="225" t="n"/>
    </row>
    <row r="100">
      <c r="C100" s="226" t="inlineStr">
        <is>
          <t>TICKER 3</t>
        </is>
      </c>
      <c r="D100" s="219" t="n"/>
      <c r="E100" s="227" t="n"/>
      <c r="F100" s="228" t="n"/>
      <c r="G100" s="141" t="n"/>
      <c r="H100" s="228" t="n"/>
      <c r="I100" s="224" t="n"/>
      <c r="J100" s="229" t="n"/>
      <c r="K100" s="222" t="n"/>
      <c r="L100" s="225" t="n"/>
    </row>
    <row r="101">
      <c r="C101" s="230" t="inlineStr">
        <is>
          <t>TICKER 4</t>
        </is>
      </c>
      <c r="D101" s="231" t="n"/>
      <c r="E101" s="232" t="n"/>
      <c r="F101" s="233" t="n"/>
      <c r="G101" s="127" t="n"/>
      <c r="H101" s="233" t="n"/>
      <c r="I101" s="234" t="n"/>
      <c r="J101" s="235" t="n"/>
      <c r="K101" s="236" t="n"/>
      <c r="L101" s="225" t="n"/>
      <c r="M101" s="237" t="n"/>
    </row>
    <row r="102">
      <c r="D102" s="222" t="n"/>
      <c r="E102" s="204" t="n"/>
      <c r="F102" s="161" t="n"/>
      <c r="G102" s="141" t="n"/>
      <c r="I102" s="222" t="n"/>
      <c r="J102" s="237" t="n"/>
      <c r="K102" s="238" t="n"/>
      <c r="L102" s="238" t="n"/>
      <c r="M102" s="238" t="n"/>
    </row>
  </sheetData>
  <mergeCells count="4">
    <mergeCell ref="G14:V14"/>
    <mergeCell ref="G86:H86"/>
    <mergeCell ref="I86:J86"/>
    <mergeCell ref="G15:V15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FF70AD47"/>
    <outlinePr summaryBelow="1" summaryRight="1"/>
    <pageSetUpPr/>
  </sheetPr>
  <dimension ref="A1:F33"/>
  <sheetViews>
    <sheetView showGridLines="0" zoomScaleNormal="100" workbookViewId="0">
      <pane ySplit="1" topLeftCell="A2" activePane="bottomLeft" state="frozen"/>
      <selection pane="bottomLeft" activeCell="B3" sqref="B3:B12"/>
    </sheetView>
  </sheetViews>
  <sheetFormatPr baseColWidth="8" defaultColWidth="9.7109375" defaultRowHeight="12.75"/>
  <cols>
    <col width="43.140625" customWidth="1" min="1" max="1"/>
    <col width="27.28515625" customWidth="1" min="2" max="2"/>
    <col width="18.140625" customWidth="1" min="3" max="3"/>
    <col width="34" customWidth="1" min="4" max="4"/>
    <col width="18.140625" customWidth="1" min="5" max="6"/>
  </cols>
  <sheetData>
    <row r="1" ht="18" customHeight="1">
      <c r="A1" s="239" t="inlineStr">
        <is>
          <t>CONTROL &amp; ASSUMPTIONS – BASE MODEL</t>
        </is>
      </c>
      <c r="B1" s="239" t="n"/>
      <c r="C1" s="239" t="n"/>
      <c r="D1" s="239" t="n"/>
      <c r="E1" s="239" t="n"/>
      <c r="F1" s="239" t="n"/>
    </row>
    <row r="3" ht="14.25" customHeight="1">
      <c r="A3" t="inlineStr">
        <is>
          <t>Company</t>
        </is>
      </c>
      <c r="B3" s="240" t="inlineStr">
        <is>
          <t>Mastercard Incorporated</t>
        </is>
      </c>
      <c r="D3" s="241" t="inlineStr">
        <is>
          <t>Valuation assumptions</t>
        </is>
      </c>
      <c r="E3" s="241" t="n"/>
      <c r="F3" s="241" t="n"/>
    </row>
    <row r="4" ht="14.25" customHeight="1">
      <c r="A4" t="inlineStr">
        <is>
          <t>Ticker</t>
        </is>
      </c>
      <c r="B4" s="240" t="inlineStr">
        <is>
          <t>MA</t>
        </is>
      </c>
      <c r="D4" t="inlineStr">
        <is>
          <t>Last close (US$/share)</t>
        </is>
      </c>
      <c r="E4" s="242" t="n"/>
    </row>
    <row r="5" ht="14.25" customHeight="1">
      <c r="A5" t="inlineStr">
        <is>
          <t>Currency</t>
        </is>
      </c>
      <c r="B5" s="240" t="inlineStr">
        <is>
          <t>USD</t>
        </is>
      </c>
      <c r="D5" t="inlineStr">
        <is>
          <t>Shares outstanding (mm)</t>
        </is>
      </c>
      <c r="E5" s="243" t="n"/>
    </row>
    <row r="6" ht="14.25" customHeight="1">
      <c r="A6" t="inlineStr">
        <is>
          <t>Model unit</t>
        </is>
      </c>
      <c r="B6" s="240" t="inlineStr">
        <is>
          <t>US$ milhões</t>
        </is>
      </c>
      <c r="D6" t="inlineStr">
        <is>
          <t>Risk-free rate</t>
        </is>
      </c>
      <c r="E6" s="244" t="n"/>
    </row>
    <row r="7" ht="14.25" customHeight="1">
      <c r="A7" t="inlineStr">
        <is>
          <t>Last actual period</t>
        </is>
      </c>
      <c r="B7" s="274" t="n">
        <v>46203</v>
      </c>
      <c r="D7" t="inlineStr">
        <is>
          <t>Market risk premium</t>
        </is>
      </c>
      <c r="E7" s="244" t="n"/>
    </row>
    <row r="8" ht="14.25" customHeight="1">
      <c r="A8" t="inlineStr">
        <is>
          <t>Quarterly forecast through</t>
        </is>
      </c>
      <c r="B8" s="245" t="n">
        <v>47118</v>
      </c>
      <c r="D8" t="inlineStr">
        <is>
          <t>Beta</t>
        </is>
      </c>
      <c r="E8" s="246" t="n"/>
    </row>
    <row r="9" ht="15" customHeight="1">
      <c r="A9" t="inlineStr">
        <is>
          <t>Forecast end</t>
        </is>
      </c>
      <c r="B9" s="245" t="n">
        <v>47848</v>
      </c>
      <c r="D9" t="inlineStr">
        <is>
          <t>Pre-tax cost of debt</t>
        </is>
      </c>
      <c r="E9" s="247" t="str">
        <f>IFERROR(-Model!AG57/AVERAGE(Model!AB75,Model!AG75),"")</f>
        <v/>
      </c>
    </row>
    <row r="10" ht="14.25" customHeight="1">
      <c r="A10" t="inlineStr">
        <is>
          <t>Scenario (1 Bull / 2 Base / 3 Bear)</t>
        </is>
      </c>
      <c r="B10" s="240" t="n">
        <v>2</v>
      </c>
      <c r="D10" t="inlineStr">
        <is>
          <t>Marginal tax rate</t>
        </is>
      </c>
      <c r="E10" s="244" t="n"/>
    </row>
    <row r="11" ht="14.25" customHeight="1">
      <c r="A11" t="inlineStr">
        <is>
          <t>Terminal method (1 Perpetuity / 2 Exit)</t>
        </is>
      </c>
      <c r="B11" s="240" t="n">
        <v>1</v>
      </c>
      <c r="D11" t="inlineStr">
        <is>
          <t>Target debt weight</t>
        </is>
      </c>
      <c r="E11" s="244" t="n"/>
    </row>
    <row r="12" ht="15" customHeight="1">
      <c r="A12" t="inlineStr">
        <is>
          <t>Valuation date</t>
        </is>
      </c>
      <c r="B12" s="245" t="n"/>
      <c r="D12" t="inlineStr">
        <is>
          <t>WACC</t>
        </is>
      </c>
      <c r="E12" s="247" t="str">
        <f>IF(COUNT(E6:E11)&lt;6,"",E11*E9*(1-E10)+(1-E11)*(E6+E8*E7))</f>
        <v/>
      </c>
    </row>
    <row r="13" ht="15" customHeight="1">
      <c r="A13" t="inlineStr">
        <is>
          <t>Stub year fraction</t>
        </is>
      </c>
      <c r="B13" s="247">
        <f>IFERROR((DATE(YEAR(B12),12,31)-B12)/365,"")</f>
        <v>0.00273972602739726</v>
      </c>
      <c r="D13" t="inlineStr">
        <is>
          <t>Terminal growth</t>
        </is>
      </c>
      <c r="E13" s="244" t="n"/>
    </row>
    <row r="14" ht="14.25" customHeight="1">
      <c r="D14" t="inlineStr">
        <is>
          <t>Exit EV/EBITDA</t>
        </is>
      </c>
      <c r="E14" s="248" t="n"/>
    </row>
    <row r="15" ht="14.25" customHeight="1">
      <c r="D15" t="inlineStr">
        <is>
          <t>Dividend payout</t>
        </is>
      </c>
      <c r="E15" s="244" t="n"/>
    </row>
    <row r="17" ht="14.25" customHeight="1">
      <c r="A17" s="241" t="inlineStr">
        <is>
          <t>Forecast drivers</t>
        </is>
      </c>
      <c r="B17" s="241" t="inlineStr">
        <is>
          <t>2026E</t>
        </is>
      </c>
      <c r="C17" s="241" t="inlineStr">
        <is>
          <t>2027E</t>
        </is>
      </c>
      <c r="D17" s="241" t="inlineStr">
        <is>
          <t>2028E</t>
        </is>
      </c>
      <c r="E17" s="241" t="inlineStr">
        <is>
          <t>2029E</t>
        </is>
      </c>
      <c r="F17" s="241" t="inlineStr">
        <is>
          <t>2030E</t>
        </is>
      </c>
    </row>
    <row r="18" ht="15" customHeight="1">
      <c r="A18" t="inlineStr">
        <is>
          <t>Revenue growth</t>
        </is>
      </c>
      <c r="B18" s="247">
        <f>IFERROR(AVERAGE(Model!AC16:AF16,Model!AH16:AI16),"")</f>
        <v>0.158774239007954</v>
      </c>
      <c r="C18" s="247">
        <f>IF(B18="","",B18)</f>
        <v>0.158774239007954</v>
      </c>
      <c r="D18" s="247">
        <f>IF(C18="","",MAX(0,C18-0.5%))</f>
        <v>0.153774239007954</v>
      </c>
      <c r="E18" s="247">
        <f>IF(D18="","",MAX(0,D18-0.5%))</f>
        <v>0.148774239007954</v>
      </c>
      <c r="F18" s="247">
        <f>IF(E18="","",MAX(0,E18-0.5%))</f>
        <v>0.143774239007954</v>
      </c>
    </row>
    <row r="19" ht="15" customHeight="1">
      <c r="A19" t="inlineStr">
        <is>
          <t>Gross margin</t>
        </is>
      </c>
      <c r="B19" s="247">
        <f>IFERROR(AVERAGE(Model!AC38:AF38,Model!AH38:AI38),"")</f>
        <v>1</v>
      </c>
      <c r="C19" s="247">
        <f>IF(B19="","",B19)</f>
        <v>1</v>
      </c>
      <c r="D19" s="247">
        <f>IF(C19="","",C19)</f>
        <v>1</v>
      </c>
      <c r="E19" s="247">
        <f>IF(D19="","",D19)</f>
        <v>1</v>
      </c>
      <c r="F19" s="247">
        <f>IF(E19="","",E19)</f>
        <v>1</v>
      </c>
    </row>
    <row r="20" ht="15" customHeight="1">
      <c r="A20" t="inlineStr">
        <is>
          <t>SG&amp;A / Revenue</t>
        </is>
      </c>
      <c r="B20" s="247">
        <f>IFERROR(AVERAGE(Model!AC42:AF42,Model!AH42:AI42),"")</f>
        <v>0.38317609332275</v>
      </c>
      <c r="C20" s="247">
        <f>IF(B20="","",B20)</f>
        <v>0.38317609332275</v>
      </c>
      <c r="D20" s="247">
        <f>IF(C20="","",C20)</f>
        <v>0.38317609332275</v>
      </c>
      <c r="E20" s="247">
        <f>IF(D20="","",D20)</f>
        <v>0.38317609332275</v>
      </c>
      <c r="F20" s="247">
        <f>IF(E20="","",E20)</f>
        <v>0.38317609332275</v>
      </c>
    </row>
    <row r="21" ht="15" customHeight="1">
      <c r="A21" t="inlineStr">
        <is>
          <t>D&amp;A / Revenue</t>
        </is>
      </c>
      <c r="B21" s="247">
        <f>IFERROR(AVERAGE(Model!AC54:AF54,Model!AH54:AI54),"")</f>
        <v>0.0348056036345778</v>
      </c>
      <c r="C21" s="247">
        <f>IF(B21="","",B21)</f>
        <v>0.0348056036345778</v>
      </c>
      <c r="D21" s="247">
        <f>IF(C21="","",C21)</f>
        <v>0.0348056036345778</v>
      </c>
      <c r="E21" s="247">
        <f>IF(D21="","",D21)</f>
        <v>0.0348056036345778</v>
      </c>
      <c r="F21" s="247">
        <f>IF(E21="","",E21)</f>
        <v>0.0348056036345778</v>
      </c>
    </row>
    <row r="22" ht="15" customHeight="1">
      <c r="A22" t="inlineStr">
        <is>
          <t>Effective tax rate</t>
        </is>
      </c>
      <c r="B22" s="247">
        <f>IFERROR(AVERAGE(Model!AC115:AF115,Model!AH115:AI115),"")</f>
        <v>0.194890977662605</v>
      </c>
      <c r="C22" s="247">
        <f>IF(B22="","",B22)</f>
        <v>0.194890977662605</v>
      </c>
      <c r="D22" s="247">
        <f>IF(C22="","",C22)</f>
        <v>0.194890977662605</v>
      </c>
      <c r="E22" s="247">
        <f>IF(D22="","",D22)</f>
        <v>0.194890977662605</v>
      </c>
      <c r="F22" s="247">
        <f>IF(E22="","",E22)</f>
        <v>0.194890977662605</v>
      </c>
    </row>
    <row r="23" ht="15" customHeight="1">
      <c r="A23" t="inlineStr">
        <is>
          <t>Financial income / Revenue</t>
        </is>
      </c>
      <c r="B23" s="247">
        <f>IFERROR(AVERAGE(Model!AC106:AF106,Model!AH106:AI106)/AVERAGE(Model!AC15:AF15,Model!AH15:AI15),"")</f>
        <v>0.0120873459358776</v>
      </c>
      <c r="C23" s="247">
        <f>IF(B23="","",B23)</f>
        <v>0.0120873459358776</v>
      </c>
      <c r="D23" s="247">
        <f>IF(C23="","",C23)</f>
        <v>0.0120873459358776</v>
      </c>
      <c r="E23" s="247">
        <f>IF(D23="","",D23)</f>
        <v>0.0120873459358776</v>
      </c>
      <c r="F23" s="247">
        <f>IF(E23="","",E23)</f>
        <v>0.0120873459358776</v>
      </c>
    </row>
    <row r="24" ht="15" customHeight="1">
      <c r="A24" t="inlineStr">
        <is>
          <t>Capex / Revenue</t>
        </is>
      </c>
      <c r="B24" s="247">
        <f>IFERROR(-AVERAGE(Model!AC278:AF278,Model!AH278:AI278)/AVERAGE(Model!AC15:AF15,Model!AH15:AI15),"")</f>
        <v>0.0426822018784925</v>
      </c>
      <c r="C24" s="247">
        <f>IF(B24="","",B24)</f>
        <v>0.0426822018784925</v>
      </c>
      <c r="D24" s="247">
        <f>IF(C24="","",C24)</f>
        <v>0.0426822018784925</v>
      </c>
      <c r="E24" s="247">
        <f>IF(D24="","",D24)</f>
        <v>0.0426822018784925</v>
      </c>
      <c r="F24" s="247">
        <f>IF(E24="","",E24)</f>
        <v>0.0426822018784925</v>
      </c>
    </row>
    <row r="25" ht="15" customHeight="1">
      <c r="A25" t="inlineStr">
        <is>
          <t>DSO</t>
        </is>
      </c>
      <c r="B25" s="249">
        <f>IFERROR(AVERAGE(Model!AC129:AF129,Model!AH129:AI129),0)</f>
        <v>48.2834261286785</v>
      </c>
      <c r="C25" s="249">
        <f>IF(B25="","",B25)</f>
        <v>48.2834261286785</v>
      </c>
      <c r="D25" s="249">
        <f>IF(C25="","",C25)</f>
        <v>48.2834261286785</v>
      </c>
      <c r="E25" s="249">
        <f>IF(D25="","",D25)</f>
        <v>48.2834261286785</v>
      </c>
      <c r="F25" s="249">
        <f>IF(E25="","",E25)</f>
        <v>48.2834261286785</v>
      </c>
    </row>
    <row r="26" ht="15" customHeight="1">
      <c r="A26" t="inlineStr">
        <is>
          <t>DIO</t>
        </is>
      </c>
      <c r="B26" s="249">
        <f>IFERROR(AVERAGE(Model!AC133:AF133,Model!AH133:AI133),0)</f>
        <v>0</v>
      </c>
      <c r="C26" s="249">
        <f>IF(B26="","",B26)</f>
        <v>0</v>
      </c>
      <c r="D26" s="249">
        <f>IF(C26="","",C26)</f>
        <v>0</v>
      </c>
      <c r="E26" s="249">
        <f>IF(D26="","",D26)</f>
        <v>0</v>
      </c>
      <c r="F26" s="249">
        <f>IF(E26="","",E26)</f>
        <v>0</v>
      </c>
    </row>
    <row r="27" ht="15" customHeight="1">
      <c r="A27" t="inlineStr">
        <is>
          <t>DPO</t>
        </is>
      </c>
      <c r="B27" s="249">
        <f>IFERROR(AVERAGE(Model!AC182:AF182,Model!AH182:AI182),0)</f>
        <v>0</v>
      </c>
      <c r="C27" s="249">
        <f>IF(B27="","",B27)</f>
        <v>0</v>
      </c>
      <c r="D27" s="249">
        <f>IF(C27="","",C27)</f>
        <v>0</v>
      </c>
      <c r="E27" s="249">
        <f>IF(D27="","",D27)</f>
        <v>0</v>
      </c>
      <c r="F27" s="249">
        <f>IF(E27="","",E27)</f>
        <v>0</v>
      </c>
    </row>
    <row r="29">
      <c r="A29" t="inlineStr">
        <is>
          <t>Model status</t>
        </is>
      </c>
    </row>
    <row r="30">
      <c r="A30" t="inlineStr">
        <is>
          <t>Source</t>
        </is>
      </c>
      <c r="B30" t="inlineStr">
        <is>
          <t xml:space="preserve">Mastercard Incorporated (MA, CIK 1141391) - fonte: SEC EDGAR XBRL (instâncias dos 10-Q/10-K). Moeda: USD. Brutos em USD unidades (fator 0,000001 -&gt; milhões). Colunas = trimestres-CALENDÁRIO (cada fechamento vai para o fim de trimestre mais próximo); </t>
        </is>
      </c>
    </row>
    <row r="31">
      <c r="A31" t="inlineStr">
        <is>
          <t>Unit flow</t>
        </is>
      </c>
      <c r="B31" t="inlineStr">
        <is>
          <t>US$ mil na Inputs → US$ milhões via Inputs (2)</t>
        </is>
      </c>
    </row>
    <row r="32">
      <c r="A32" t="inlineStr">
        <is>
          <t>Historical coverage</t>
        </is>
      </c>
      <c r="B32" t="str">
        <f>IF(B7="","","1Q21–"&amp;ROUNDUP(MONTH(B7)/3,0)&amp;"Q"&amp;RIGHT(YEAR(B7),2))</f>
        <v>1Q21–2Q26</v>
      </c>
    </row>
    <row r="33">
      <c r="A33" t="inlineStr">
        <is>
          <t>Valuation readiness</t>
        </is>
      </c>
      <c r="B33" t="str">
        <f>IF(OR(B3="",B4=""),"PENDING COMPANY SETUP",IF(OR(E4="",E5="",E12=""),"PENDING MARKET INPUTS","READY"))</f>
        <v>PENDING MARKET INPUTS</v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2026-09-23T00:39:42Z</dcterms:created>
  <dcterms:modified xmlns:dcterms="http://purl.org/dc/terms/" xmlns:xsi="http://www.w3.org/2001/XMLSchema-instance" xsi:type="dcterms:W3CDTF">2026-10-16T15:38:59Z</dcterms:modified>
  <cp:lastModifiedBy>Lucas Nascimento</cp:lastModifiedBy>
  <cp:revision>0</cp:revision>
</cp:coreProperties>
</file>