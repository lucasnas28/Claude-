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1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Control" sheetId="5" state="visible" r:id="rId5"/>
  </sheets>
  <definedNames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BalType" hidden="1">TRUE()</definedName>
    <definedName name="beta_observed">Valuation!$D$93</definedName>
    <definedName name="GrpAcct1" hidden="1">"5611"</definedName>
    <definedName name="GrpAcct2" hidden="1">"5612"</definedName>
    <definedName name="GrpLevel" hidden="1">2</definedName>
    <definedName name="last_close">Valuation!$G$7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owLevel" hidden="1">1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ColumnsCount" hidden="1">2</definedName>
    <definedName name="XRefCopyRangeCount" hidden="1">5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</definedNames>
  <calcPr calcId="191029" fullCalcOnLoad="1"/>
</workbook>
</file>

<file path=xl/styles.xml><?xml version="1.0" encoding="utf-8"?>
<styleSheet xmlns="http://schemas.openxmlformats.org/spreadsheetml/2006/main">
  <numFmts count="38">
    <numFmt numFmtId="164" formatCode="#,##0_ ;[Red]\-#,##0\ "/>
    <numFmt numFmtId="165" formatCode="#,##0_);[Red]\(#,##0\)"/>
    <numFmt numFmtId="166" formatCode="#,##0.0_);[Red]\(#,##0.0\)"/>
    <numFmt numFmtId="167" formatCode="#,##0.0_ ;[Red]\-#,##0.0\ "/>
    <numFmt numFmtId="168" formatCode="[$-409]d\-mmm;@"/>
    <numFmt numFmtId="169" formatCode="[$-409]d\-mmm"/>
    <numFmt numFmtId="170" formatCode="[$-416]d\-mmm"/>
    <numFmt numFmtId="171" formatCode="0.0%"/>
    <numFmt numFmtId="172" formatCode="#,##0.0;[Red]#,##0.0"/>
    <numFmt numFmtId="173" formatCode="#,##0.00_);[Red]\(#,##0.00\)"/>
    <numFmt numFmtId="174" formatCode="0.0\x"/>
    <numFmt numFmtId="175" formatCode="0.0"/>
    <numFmt numFmtId="176" formatCode="[$-409]d\-mmm\-yy;@"/>
    <numFmt numFmtId="177" formatCode="[$BRL]\ #,##0.00_);[Red]\([$BRL]\ #,##0.00\)"/>
    <numFmt numFmtId="178" formatCode="#,##0.0_);\(#,##0.0\)"/>
    <numFmt numFmtId="179" formatCode="#,##0.000_);\(#,##0.000\)"/>
    <numFmt numFmtId="180" formatCode="&quot;R$ &quot;#,##0.00"/>
    <numFmt numFmtId="181" formatCode="#,##0.0\x"/>
    <numFmt numFmtId="182" formatCode="\$#,##0.00_);&quot;($&quot;#,##0.00\)"/>
    <numFmt numFmtId="183" formatCode="#,##0.000_);[Red]\(#,##0.000\)"/>
    <numFmt numFmtId="184" formatCode="\$#,##0.00_);[Red]&quot;($&quot;#,##0.00\)"/>
    <numFmt numFmtId="185" formatCode="\$#,##0.0_);&quot;($&quot;#,##0.0\)"/>
    <numFmt numFmtId="186" formatCode="#,##0_);\(#,##0\)"/>
    <numFmt numFmtId="187" formatCode="0.0%;\(0.0%\)"/>
    <numFmt numFmtId="188" formatCode="0.000"/>
    <numFmt numFmtId="189" formatCode="#,##0.00_);\(#,##0.00\)"/>
    <numFmt numFmtId="190" formatCode="#,##0.0"/>
    <numFmt numFmtId="191" formatCode="0.00\x"/>
    <numFmt numFmtId="192" formatCode="0.0&quot;x&quot;"/>
    <numFmt numFmtId="193" formatCode="#,##0.0;\(#,##0.0\)"/>
    <numFmt numFmtId="194" formatCode="_(* #,##0.00_);_(* \(#,##0.00\);_(* \-??_);_(@_)"/>
    <numFmt numFmtId="195" formatCode="_(* #,##0_);_(* \(#,##0\);_(* \-_);_(@_)"/>
    <numFmt numFmtId="196" formatCode="_(\$* #,##0.00_);_(\$* \(#,##0.00\);_(\$* \-??_);_(@_)"/>
    <numFmt numFmtId="197" formatCode="_(\$* #,##0_);_(\$* \(#,##0\);_(\$* \-_);_(@_)"/>
    <numFmt numFmtId="198" formatCode="m/d/yyyy"/>
    <numFmt numFmtId="199" formatCode="0_);\(0\)"/>
    <numFmt numFmtId="200" formatCode="#,##0.0;(#,##0.0)"/>
    <numFmt numFmtId="201" formatCode="dd/mm/yyyy"/>
  </numFmts>
  <fonts count="26">
    <font>
      <name val="Arial"/>
      <family val="2"/>
      <sz val="10"/>
    </font>
    <font>
      <name val="Arial"/>
      <charset val="1"/>
      <sz val="10"/>
    </font>
    <font>
      <name val="Arial"/>
      <charset val="1"/>
      <b val="1"/>
      <sz val="8"/>
    </font>
    <font>
      <name val="Aptos Narrow"/>
      <charset val="1"/>
      <color theme="1"/>
      <sz val="11"/>
    </font>
    <font>
      <name val="Verdana"/>
      <charset val="1"/>
      <color theme="1"/>
      <sz val="10"/>
    </font>
    <font>
      <name val="Arial"/>
      <charset val="1"/>
      <sz val="8"/>
    </font>
    <font>
      <name val="Arial"/>
      <charset val="1"/>
      <b val="1"/>
      <color rgb="FF333333"/>
      <sz val="10"/>
    </font>
    <font>
      <name val="Calibri"/>
      <charset val="1"/>
      <color rgb="FF000000"/>
      <sz val="11"/>
    </font>
    <font>
      <name val="Cambria"/>
      <charset val="1"/>
      <b val="1"/>
      <color rgb="FFFFFFFF"/>
      <sz val="11"/>
    </font>
    <font>
      <name val="Cambria"/>
      <charset val="1"/>
      <b val="1"/>
      <color rgb="FF17365D"/>
      <sz val="11"/>
    </font>
    <font>
      <name val="Verdana"/>
      <charset val="1"/>
      <color rgb="FF0000FF"/>
      <sz val="10"/>
    </font>
    <font>
      <name val="Verdana"/>
      <charset val="1"/>
      <b val="1"/>
      <color theme="1"/>
      <sz val="10"/>
    </font>
    <font>
      <name val="Verdana"/>
      <charset val="1"/>
      <b val="1"/>
      <color rgb="FFFFFFFF"/>
      <sz val="10"/>
    </font>
    <font>
      <name val="Verdana"/>
      <charset val="1"/>
      <i val="1"/>
      <color theme="1"/>
      <sz val="10"/>
    </font>
    <font>
      <name val="Verdana"/>
      <charset val="1"/>
      <sz val="10"/>
    </font>
    <font>
      <name val="Verdana"/>
      <charset val="1"/>
      <b val="1"/>
      <color theme="0"/>
      <sz val="10"/>
    </font>
    <font>
      <name val="Verdana"/>
      <charset val="1"/>
      <b val="1"/>
      <sz val="10"/>
    </font>
    <font>
      <name val="Verdana"/>
      <charset val="1"/>
      <b val="1"/>
      <color theme="0" tint="-0.0499893185216834"/>
      <sz val="10"/>
    </font>
    <font>
      <name val="Verdana"/>
      <charset val="1"/>
      <b val="1"/>
      <color rgb="FF333333"/>
      <sz val="10"/>
    </font>
    <font>
      <name val="Verdana"/>
      <charset val="1"/>
      <b val="1"/>
      <color rgb="FF0000FF"/>
      <sz val="10"/>
    </font>
    <font>
      <name val="Verdana"/>
      <charset val="1"/>
      <color rgb="FF008000"/>
      <sz val="10"/>
    </font>
    <font>
      <name val="Cambria"/>
      <charset val="1"/>
      <b val="1"/>
      <color rgb="FFFFFFFF"/>
      <sz val="14"/>
    </font>
    <font>
      <name val="Cambria"/>
      <charset val="1"/>
      <color rgb="FF0000FF"/>
      <sz val="11"/>
    </font>
    <font>
      <name val="Verdana"/>
      <charset val="1"/>
      <family val="2"/>
      <b val="1"/>
      <color rgb="FFFFFFFF"/>
      <sz val="10"/>
    </font>
    <font>
      <name val="Verdana"/>
      <charset val="1"/>
      <family val="2"/>
      <b val="1"/>
      <color theme="1"/>
      <sz val="10"/>
    </font>
    <font>
      <name val="Verdana"/>
      <b val="1"/>
      <sz val="10"/>
    </font>
  </fonts>
  <fills count="15">
    <fill>
      <patternFill/>
    </fill>
    <fill>
      <patternFill patternType="gray125"/>
    </fill>
    <fill>
      <patternFill patternType="solid">
        <fgColor rgb="FFC0C0C0"/>
        <bgColor rgb="FFD8D8D8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FFFFCC"/>
        <bgColor rgb="FFFFF2CC"/>
      </patternFill>
    </fill>
    <fill>
      <patternFill patternType="solid">
        <fgColor rgb="FFD9D9D9"/>
        <bgColor rgb="FFD8D8D8"/>
      </patternFill>
    </fill>
    <fill>
      <patternFill patternType="solid">
        <fgColor rgb="FFD8D8D8"/>
        <bgColor rgb="FFD9D9D9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F2F2F2"/>
      </patternFill>
    </fill>
    <fill>
      <patternFill patternType="solid">
        <fgColor theme="4" tint="0.3998840296639912"/>
        <bgColor rgb="FF00CCFF"/>
      </patternFill>
    </fill>
    <fill>
      <patternFill patternType="solid">
        <fgColor theme="0" tint="-0.0499893185216834"/>
        <bgColor rgb="FFE2F0D9"/>
      </patternFill>
    </fill>
    <fill>
      <patternFill patternType="solid">
        <fgColor rgb="FFFFF2CC"/>
        <bgColor rgb="FFFFFFCC"/>
      </patternFill>
    </fill>
    <fill>
      <patternFill patternType="solid">
        <fgColor rgb="FF4472C4"/>
        <bgColor rgb="FF666699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medium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rgb="FFFFFF00"/>
      </right>
      <top/>
      <bottom style="thin">
        <color rgb="FFFFFF00"/>
      </bottom>
      <diagonal/>
    </border>
    <border>
      <left style="thin">
        <color rgb="FFFFFF00"/>
      </left>
      <right/>
      <top/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/>
      <bottom style="thin">
        <color auto="1"/>
      </bottom>
      <diagonal/>
    </border>
    <border>
      <left style="thin">
        <color rgb="FFFFFF00"/>
      </left>
      <right/>
      <top/>
      <bottom style="thin">
        <color auto="1"/>
      </bottom>
      <diagonal/>
    </border>
    <border>
      <left style="medium">
        <color rgb="FF00B050"/>
      </left>
      <right style="thin">
        <color auto="1"/>
      </right>
      <top style="medium">
        <color rgb="FF00B050"/>
      </top>
      <bottom style="medium">
        <color rgb="FF00B050"/>
      </bottom>
      <diagonal/>
    </border>
    <border>
      <left/>
      <right style="thin">
        <color auto="1"/>
      </right>
      <top style="thin">
        <color rgb="FFFFFF00"/>
      </top>
      <bottom style="thin">
        <color rgb="FFFFFF00"/>
      </bottom>
      <diagonal/>
    </border>
    <border>
      <left/>
      <right style="thin">
        <color auto="1"/>
      </right>
      <top style="thin">
        <color rgb="FFFFFF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5">
    <xf numFmtId="0" fontId="0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5" fontId="1" fillId="0" borderId="0"/>
    <xf numFmtId="195" fontId="1" fillId="0" borderId="0"/>
    <xf numFmtId="196" fontId="1" fillId="0" borderId="0"/>
    <xf numFmtId="196" fontId="1" fillId="0" borderId="0"/>
    <xf numFmtId="196" fontId="1" fillId="0" borderId="0"/>
    <xf numFmtId="196" fontId="1" fillId="0" borderId="0"/>
    <xf numFmtId="196" fontId="1" fillId="0" borderId="0"/>
    <xf numFmtId="197" fontId="1" fillId="0" borderId="0"/>
    <xf numFmtId="197" fontId="1" fillId="0" borderId="0"/>
    <xf numFmtId="197" fontId="1" fillId="0" borderId="0"/>
    <xf numFmtId="197" fontId="1" fillId="0" borderId="0"/>
    <xf numFmtId="198" fontId="2" fillId="0" borderId="1"/>
    <xf numFmtId="0" fontId="1" fillId="0" borderId="0"/>
    <xf numFmtId="0" fontId="1" fillId="0" borderId="0"/>
    <xf numFmtId="0" fontId="3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1" fillId="0" borderId="0"/>
    <xf numFmtId="199" fontId="5" fillId="0" borderId="0"/>
    <xf numFmtId="0" fontId="6" fillId="2" borderId="2"/>
    <xf numFmtId="9" fontId="1" fillId="0" borderId="0"/>
    <xf numFmtId="9" fontId="3" fillId="0" borderId="0"/>
    <xf numFmtId="9" fontId="1" fillId="0" borderId="0"/>
    <xf numFmtId="9" fontId="1" fillId="0" borderId="0"/>
    <xf numFmtId="9" fontId="4" fillId="0" borderId="0"/>
    <xf numFmtId="194" fontId="7" fillId="0" borderId="0"/>
  </cellStyleXfs>
  <cellXfs count="275">
    <xf numFmtId="0" fontId="0" fillId="0" borderId="0" pivotButton="0" quotePrefix="0" xfId="0"/>
    <xf numFmtId="0" fontId="8" fillId="3" borderId="0" pivotButton="0" quotePrefix="0" xfId="24"/>
    <xf numFmtId="0" fontId="9" fillId="4" borderId="0" pivotButton="0" quotePrefix="0" xfId="24"/>
    <xf numFmtId="0" fontId="4" fillId="0" borderId="0" applyAlignment="1" pivotButton="0" quotePrefix="0" xfId="24">
      <alignment horizontal="center"/>
    </xf>
    <xf numFmtId="0" fontId="4" fillId="0" borderId="0" pivotButton="0" quotePrefix="0" xfId="24"/>
    <xf numFmtId="0" fontId="8" fillId="3" borderId="0" applyAlignment="1" pivotButton="0" quotePrefix="0" xfId="24">
      <alignment horizontal="center"/>
    </xf>
    <xf numFmtId="0" fontId="8" fillId="3" borderId="0" applyAlignment="1" pivotButton="0" quotePrefix="0" xfId="21">
      <alignment horizontal="center"/>
    </xf>
    <xf numFmtId="164" fontId="8" fillId="3" borderId="0" applyAlignment="1" pivotButton="0" quotePrefix="0" xfId="21">
      <alignment horizontal="center"/>
    </xf>
    <xf numFmtId="0" fontId="3" fillId="5" borderId="0" pivotButton="0" quotePrefix="0" xfId="24"/>
    <xf numFmtId="165" fontId="10" fillId="6" borderId="0" applyAlignment="1" pivotButton="0" quotePrefix="0" xfId="24">
      <alignment horizontal="center"/>
    </xf>
    <xf numFmtId="0" fontId="4" fillId="7" borderId="0" pivotButton="0" quotePrefix="0" xfId="20"/>
    <xf numFmtId="166" fontId="10" fillId="6" borderId="0" applyAlignment="1" pivotButton="0" quotePrefix="0" xfId="24">
      <alignment horizontal="center"/>
    </xf>
    <xf numFmtId="166" fontId="4" fillId="0" borderId="0" applyAlignment="1" pivotButton="0" quotePrefix="0" xfId="24">
      <alignment horizontal="center"/>
    </xf>
    <xf numFmtId="167" fontId="4" fillId="7" borderId="0" applyAlignment="1" pivotButton="0" quotePrefix="0" xfId="20">
      <alignment horizontal="left"/>
    </xf>
    <xf numFmtId="0" fontId="4" fillId="7" borderId="0" applyAlignment="1" pivotButton="0" quotePrefix="0" xfId="20">
      <alignment horizontal="left"/>
    </xf>
    <xf numFmtId="0" fontId="4" fillId="7" borderId="1" applyAlignment="1" pivotButton="0" quotePrefix="0" xfId="20">
      <alignment horizontal="left"/>
    </xf>
    <xf numFmtId="166" fontId="4" fillId="0" borderId="0" pivotButton="0" quotePrefix="0" xfId="24"/>
    <xf numFmtId="0" fontId="11" fillId="0" borderId="0" pivotButton="0" quotePrefix="0" xfId="20"/>
    <xf numFmtId="0" fontId="4" fillId="0" borderId="0" pivotButton="0" quotePrefix="0" xfId="20"/>
    <xf numFmtId="168" fontId="10" fillId="6" borderId="0" applyAlignment="1" pivotButton="0" quotePrefix="0" xfId="24">
      <alignment horizontal="center"/>
    </xf>
    <xf numFmtId="169" fontId="10" fillId="6" borderId="0" applyAlignment="1" pivotButton="0" quotePrefix="0" xfId="21">
      <alignment horizontal="center"/>
    </xf>
    <xf numFmtId="170" fontId="4" fillId="7" borderId="0" applyAlignment="1" pivotButton="0" quotePrefix="0" xfId="21">
      <alignment horizontal="center"/>
    </xf>
    <xf numFmtId="170" fontId="11" fillId="7" borderId="0" applyAlignment="1" pivotButton="0" quotePrefix="0" xfId="21">
      <alignment horizontal="center"/>
    </xf>
    <xf numFmtId="168" fontId="10" fillId="0" borderId="0" applyAlignment="1" pivotButton="0" quotePrefix="0" xfId="24">
      <alignment horizontal="center"/>
    </xf>
    <xf numFmtId="164" fontId="4" fillId="0" borderId="0" applyAlignment="1" pivotButton="0" quotePrefix="0" xfId="21">
      <alignment horizontal="center"/>
    </xf>
    <xf numFmtId="0" fontId="4" fillId="0" borderId="0" applyAlignment="1" pivotButton="0" quotePrefix="0" xfId="21">
      <alignment horizontal="center"/>
    </xf>
    <xf numFmtId="0" fontId="11" fillId="8" borderId="0" applyAlignment="1" pivotButton="0" quotePrefix="0" xfId="21">
      <alignment horizontal="center"/>
    </xf>
    <xf numFmtId="10" fontId="11" fillId="0" borderId="0" applyAlignment="1" pivotButton="0" quotePrefix="0" xfId="30">
      <alignment horizontal="center"/>
    </xf>
    <xf numFmtId="0" fontId="11" fillId="0" borderId="0" applyAlignment="1" pivotButton="0" quotePrefix="0" xfId="21">
      <alignment horizontal="center"/>
    </xf>
    <xf numFmtId="10" fontId="11" fillId="0" borderId="0" applyAlignment="1" pivotButton="0" quotePrefix="0" xfId="21">
      <alignment horizontal="center"/>
    </xf>
    <xf numFmtId="0" fontId="11" fillId="0" borderId="0" applyAlignment="1" pivotButton="0" quotePrefix="0" xfId="24">
      <alignment horizontal="center"/>
    </xf>
    <xf numFmtId="0" fontId="12" fillId="9" borderId="0" applyAlignment="1" pivotButton="0" quotePrefix="0" xfId="20">
      <alignment horizontal="left"/>
    </xf>
    <xf numFmtId="0" fontId="11" fillId="0" borderId="0" pivotButton="0" quotePrefix="0" xfId="24"/>
    <xf numFmtId="0" fontId="11" fillId="7" borderId="0" pivotButton="0" quotePrefix="0" xfId="20"/>
    <xf numFmtId="166" fontId="11" fillId="7" borderId="0" applyAlignment="1" pivotButton="0" quotePrefix="0" xfId="24">
      <alignment horizontal="center"/>
    </xf>
    <xf numFmtId="166" fontId="11" fillId="0" borderId="0" applyAlignment="1" pivotButton="0" quotePrefix="0" xfId="24">
      <alignment horizontal="center"/>
    </xf>
    <xf numFmtId="0" fontId="11" fillId="10" borderId="0" applyAlignment="1" pivotButton="0" quotePrefix="0" xfId="24">
      <alignment horizontal="center"/>
    </xf>
    <xf numFmtId="0" fontId="4" fillId="10" borderId="0" applyAlignment="1" pivotButton="0" quotePrefix="0" xfId="24">
      <alignment horizontal="center"/>
    </xf>
    <xf numFmtId="171" fontId="4" fillId="10" borderId="0" pivotButton="0" quotePrefix="0" xfId="20"/>
    <xf numFmtId="166" fontId="11" fillId="10" borderId="0" applyAlignment="1" pivotButton="0" quotePrefix="0" xfId="24">
      <alignment horizontal="center"/>
    </xf>
    <xf numFmtId="9" fontId="4" fillId="10" borderId="0" applyAlignment="1" pivotButton="0" quotePrefix="0" xfId="30">
      <alignment horizontal="center"/>
    </xf>
    <xf numFmtId="10" fontId="10" fillId="6" borderId="0" applyAlignment="1" pivotButton="0" quotePrefix="0" xfId="24">
      <alignment horizontal="center"/>
    </xf>
    <xf numFmtId="166" fontId="4" fillId="10" borderId="0" applyAlignment="1" pivotButton="0" quotePrefix="0" xfId="24">
      <alignment horizontal="center"/>
    </xf>
    <xf numFmtId="0" fontId="11" fillId="10" borderId="0" pivotButton="0" quotePrefix="0" xfId="24"/>
    <xf numFmtId="171" fontId="13" fillId="10" borderId="0" pivotButton="0" quotePrefix="0" xfId="20"/>
    <xf numFmtId="0" fontId="11" fillId="10" borderId="0" pivotButton="0" quotePrefix="0" xfId="20"/>
    <xf numFmtId="166" fontId="4" fillId="7" borderId="0" applyAlignment="1" pivotButton="0" quotePrefix="0" xfId="24">
      <alignment horizontal="center"/>
    </xf>
    <xf numFmtId="171" fontId="4" fillId="10" borderId="0" applyAlignment="1" pivotButton="0" quotePrefix="0" xfId="20">
      <alignment horizontal="left"/>
    </xf>
    <xf numFmtId="171" fontId="4" fillId="10" borderId="0" applyAlignment="1" pivotButton="0" quotePrefix="0" xfId="30">
      <alignment horizontal="center"/>
    </xf>
    <xf numFmtId="171" fontId="10" fillId="6" borderId="0" applyAlignment="1" pivotButton="0" quotePrefix="0" xfId="30">
      <alignment horizontal="center"/>
    </xf>
    <xf numFmtId="167" fontId="4" fillId="0" borderId="0" applyAlignment="1" pivotButton="0" quotePrefix="0" xfId="20">
      <alignment horizontal="left"/>
    </xf>
    <xf numFmtId="171" fontId="4" fillId="0" borderId="0" applyAlignment="1" pivotButton="0" quotePrefix="0" xfId="30">
      <alignment horizontal="center"/>
    </xf>
    <xf numFmtId="171" fontId="10" fillId="6" borderId="0" applyAlignment="1" pivotButton="0" quotePrefix="0" xfId="24">
      <alignment horizontal="center"/>
    </xf>
    <xf numFmtId="9" fontId="4" fillId="0" borderId="0" applyAlignment="1" pivotButton="0" quotePrefix="0" xfId="30">
      <alignment horizontal="center"/>
    </xf>
    <xf numFmtId="9" fontId="4" fillId="0" borderId="0" applyAlignment="1" pivotButton="0" quotePrefix="0" xfId="30">
      <alignment horizontal="left"/>
    </xf>
    <xf numFmtId="9" fontId="10" fillId="6" borderId="0" applyAlignment="1" pivotButton="0" quotePrefix="0" xfId="30">
      <alignment horizontal="center"/>
    </xf>
    <xf numFmtId="9" fontId="4" fillId="0" borderId="0" pivotButton="0" quotePrefix="0" xfId="30"/>
    <xf numFmtId="0" fontId="4" fillId="0" borderId="0" applyAlignment="1" pivotButton="0" quotePrefix="0" xfId="20">
      <alignment horizontal="left"/>
    </xf>
    <xf numFmtId="171" fontId="4" fillId="0" borderId="0" applyAlignment="1" pivotButton="0" quotePrefix="0" xfId="24">
      <alignment horizontal="center"/>
    </xf>
    <xf numFmtId="0" fontId="4" fillId="10" borderId="0" applyAlignment="1" pivotButton="0" quotePrefix="0" xfId="20">
      <alignment horizontal="left"/>
    </xf>
    <xf numFmtId="0" fontId="14" fillId="10" borderId="0" applyAlignment="1" pivotButton="0" quotePrefix="0" xfId="20">
      <alignment horizontal="left"/>
    </xf>
    <xf numFmtId="166" fontId="14" fillId="10" borderId="0" applyAlignment="1" pivotButton="0" quotePrefix="0" xfId="24">
      <alignment horizontal="center"/>
    </xf>
    <xf numFmtId="164" fontId="10" fillId="6" borderId="0" applyAlignment="1" pivotButton="0" quotePrefix="0" xfId="24">
      <alignment horizontal="center"/>
    </xf>
    <xf numFmtId="166" fontId="4" fillId="0" borderId="0" applyAlignment="1" pivotButton="0" quotePrefix="0" xfId="24">
      <alignment horizontal="center" vertical="center"/>
    </xf>
    <xf numFmtId="172" fontId="4" fillId="0" borderId="0" applyAlignment="1" pivotButton="0" quotePrefix="0" xfId="24">
      <alignment horizontal="center"/>
    </xf>
    <xf numFmtId="0" fontId="11" fillId="7" borderId="0" applyAlignment="1" pivotButton="0" quotePrefix="0" xfId="20">
      <alignment horizontal="left"/>
    </xf>
    <xf numFmtId="0" fontId="4" fillId="10" borderId="0" pivotButton="0" quotePrefix="0" xfId="24"/>
    <xf numFmtId="167" fontId="4" fillId="10" borderId="0" applyAlignment="1" pivotButton="0" quotePrefix="0" xfId="20">
      <alignment horizontal="left"/>
    </xf>
    <xf numFmtId="173" fontId="4" fillId="0" borderId="0" applyAlignment="1" pivotButton="0" quotePrefix="0" xfId="24">
      <alignment horizontal="center"/>
    </xf>
    <xf numFmtId="165" fontId="4" fillId="0" borderId="0" applyAlignment="1" pivotButton="0" quotePrefix="0" xfId="24">
      <alignment horizontal="center"/>
    </xf>
    <xf numFmtId="0" fontId="12" fillId="9" borderId="0" applyAlignment="1" pivotButton="0" quotePrefix="0" xfId="20">
      <alignment horizontal="center"/>
    </xf>
    <xf numFmtId="0" fontId="4" fillId="7" borderId="1" pivotButton="0" quotePrefix="0" xfId="20"/>
    <xf numFmtId="172" fontId="4" fillId="0" borderId="0" pivotButton="0" quotePrefix="0" xfId="24"/>
    <xf numFmtId="0" fontId="15" fillId="11" borderId="0" pivotButton="0" quotePrefix="0" xfId="24"/>
    <xf numFmtId="0" fontId="11" fillId="0" borderId="0" applyAlignment="1" pivotButton="0" quotePrefix="0" xfId="24">
      <alignment vertical="center"/>
    </xf>
    <xf numFmtId="0" fontId="11" fillId="0" borderId="0" applyAlignment="1" pivotButton="0" quotePrefix="0" xfId="24">
      <alignment horizontal="center" vertical="center"/>
    </xf>
    <xf numFmtId="0" fontId="4" fillId="0" borderId="0" applyAlignment="1" pivotButton="0" quotePrefix="0" xfId="24">
      <alignment horizontal="center" vertical="center"/>
    </xf>
    <xf numFmtId="0" fontId="4" fillId="0" borderId="0" applyAlignment="1" pivotButton="0" quotePrefix="0" xfId="24">
      <alignment vertical="center"/>
    </xf>
    <xf numFmtId="9" fontId="4" fillId="0" borderId="0" applyAlignment="1" pivotButton="0" quotePrefix="0" xfId="30">
      <alignment vertical="center"/>
    </xf>
    <xf numFmtId="9" fontId="4" fillId="0" borderId="0" applyAlignment="1" pivotButton="0" quotePrefix="0" xfId="30">
      <alignment horizontal="center" vertical="center"/>
    </xf>
    <xf numFmtId="171" fontId="4" fillId="0" borderId="0" applyAlignment="1" pivotButton="0" quotePrefix="0" xfId="24">
      <alignment horizontal="center" vertical="center"/>
    </xf>
    <xf numFmtId="171" fontId="4" fillId="0" borderId="0" applyAlignment="1" pivotButton="0" quotePrefix="0" xfId="30">
      <alignment horizontal="center" vertical="center"/>
    </xf>
    <xf numFmtId="174" fontId="4" fillId="0" borderId="0" applyAlignment="1" pivotButton="0" quotePrefix="0" xfId="24">
      <alignment horizontal="center" vertical="center"/>
    </xf>
    <xf numFmtId="174" fontId="4" fillId="0" borderId="0" applyAlignment="1" pivotButton="0" quotePrefix="0" xfId="24">
      <alignment vertical="center"/>
    </xf>
    <xf numFmtId="171" fontId="4" fillId="0" borderId="0" applyAlignment="1" pivotButton="0" quotePrefix="0" xfId="30">
      <alignment vertical="center"/>
    </xf>
    <xf numFmtId="175" fontId="4" fillId="0" borderId="0" applyAlignment="1" pivotButton="0" quotePrefix="0" xfId="24">
      <alignment horizontal="center" vertical="center"/>
    </xf>
    <xf numFmtId="166" fontId="4" fillId="0" borderId="0" applyAlignment="1" pivotButton="0" quotePrefix="0" xfId="24">
      <alignment vertical="center"/>
    </xf>
    <xf numFmtId="9" fontId="4" fillId="0" borderId="0" applyAlignment="1" pivotButton="0" quotePrefix="0" xfId="24">
      <alignment vertical="center"/>
    </xf>
    <xf numFmtId="9" fontId="4" fillId="0" borderId="0" applyAlignment="1" pivotButton="0" quotePrefix="0" xfId="24">
      <alignment horizontal="center" vertical="center"/>
    </xf>
    <xf numFmtId="172" fontId="4" fillId="0" borderId="0" applyAlignment="1" pivotButton="0" quotePrefix="0" xfId="24">
      <alignment vertical="center"/>
    </xf>
    <xf numFmtId="172" fontId="4" fillId="0" borderId="0" applyAlignment="1" pivotButton="0" quotePrefix="0" xfId="24">
      <alignment horizontal="center" vertical="center"/>
    </xf>
    <xf numFmtId="166" fontId="4" fillId="0" borderId="0" applyAlignment="1" pivotButton="0" quotePrefix="0" xfId="24">
      <alignment horizontal="right" vertical="center"/>
    </xf>
    <xf numFmtId="0" fontId="14" fillId="0" borderId="0" pivotButton="0" quotePrefix="0" xfId="22"/>
    <xf numFmtId="0" fontId="12" fillId="0" borderId="0" pivotButton="0" quotePrefix="0" xfId="22"/>
    <xf numFmtId="0" fontId="14" fillId="0" borderId="3" pivotButton="0" quotePrefix="0" xfId="22"/>
    <xf numFmtId="176" fontId="10" fillId="6" borderId="4" applyAlignment="1" pivotButton="0" quotePrefix="0" xfId="18">
      <alignment horizontal="center"/>
    </xf>
    <xf numFmtId="177" fontId="10" fillId="6" borderId="0" applyAlignment="1" pivotButton="0" quotePrefix="0" xfId="22">
      <alignment horizontal="center"/>
    </xf>
    <xf numFmtId="171" fontId="14" fillId="0" borderId="0" applyAlignment="1" pivotButton="0" quotePrefix="0" xfId="22">
      <alignment horizontal="right"/>
    </xf>
    <xf numFmtId="176" fontId="10" fillId="6" borderId="4" applyAlignment="1" pivotButton="0" quotePrefix="0" xfId="18">
      <alignment horizontal="right"/>
    </xf>
    <xf numFmtId="171" fontId="14" fillId="0" borderId="0" applyAlignment="1" pivotButton="0" quotePrefix="0" xfId="22">
      <alignment horizontal="center"/>
    </xf>
    <xf numFmtId="178" fontId="10" fillId="0" borderId="0" applyAlignment="1" pivotButton="0" quotePrefix="0" xfId="22">
      <alignment horizontal="center"/>
    </xf>
    <xf numFmtId="179" fontId="14" fillId="0" borderId="0" applyAlignment="1" pivotButton="0" quotePrefix="0" xfId="22">
      <alignment horizontal="center"/>
    </xf>
    <xf numFmtId="0" fontId="16" fillId="0" borderId="0" pivotButton="0" quotePrefix="0" xfId="22"/>
    <xf numFmtId="180" fontId="14" fillId="0" borderId="0" pivotButton="0" quotePrefix="0" xfId="22"/>
    <xf numFmtId="0" fontId="11" fillId="7" borderId="0" pivotButton="0" quotePrefix="0" xfId="22"/>
    <xf numFmtId="0" fontId="11" fillId="7" borderId="1" pivotButton="0" quotePrefix="0" xfId="22"/>
    <xf numFmtId="0" fontId="16" fillId="0" borderId="0" applyAlignment="1" pivotButton="0" quotePrefix="0" xfId="22">
      <alignment horizontal="center"/>
    </xf>
    <xf numFmtId="0" fontId="14" fillId="0" borderId="0" applyAlignment="1" pivotButton="0" quotePrefix="0" xfId="22">
      <alignment horizontal="center"/>
    </xf>
    <xf numFmtId="1" fontId="16" fillId="0" borderId="0" applyAlignment="1" pivotButton="0" quotePrefix="0" xfId="22">
      <alignment horizontal="center"/>
    </xf>
    <xf numFmtId="0" fontId="14" fillId="0" borderId="1" pivotButton="0" quotePrefix="0" xfId="22"/>
    <xf numFmtId="168" fontId="14" fillId="0" borderId="1" applyAlignment="1" pivotButton="0" quotePrefix="0" xfId="22">
      <alignment horizontal="center"/>
    </xf>
    <xf numFmtId="168" fontId="14" fillId="0" borderId="0" applyAlignment="1" pivotButton="0" quotePrefix="0" xfId="22">
      <alignment horizontal="center"/>
    </xf>
    <xf numFmtId="0" fontId="14" fillId="0" borderId="5" pivotButton="0" quotePrefix="0" xfId="22"/>
    <xf numFmtId="178" fontId="14" fillId="12" borderId="6" applyAlignment="1" pivotButton="0" quotePrefix="0" xfId="22">
      <alignment horizontal="center"/>
    </xf>
    <xf numFmtId="178" fontId="14" fillId="12" borderId="7" applyAlignment="1" pivotButton="0" quotePrefix="0" xfId="22">
      <alignment horizontal="center"/>
    </xf>
    <xf numFmtId="171" fontId="16" fillId="0" borderId="0" applyAlignment="1" pivotButton="0" quotePrefix="0" xfId="33">
      <alignment horizontal="center"/>
    </xf>
    <xf numFmtId="0" fontId="14" fillId="0" borderId="8" pivotButton="0" quotePrefix="0" xfId="22"/>
    <xf numFmtId="171" fontId="16" fillId="0" borderId="1" applyAlignment="1" pivotButton="0" quotePrefix="0" xfId="33">
      <alignment horizontal="center"/>
    </xf>
    <xf numFmtId="171" fontId="16" fillId="0" borderId="9" applyAlignment="1" pivotButton="0" quotePrefix="0" xfId="33">
      <alignment horizontal="center"/>
    </xf>
    <xf numFmtId="178" fontId="14" fillId="0" borderId="5" pivotButton="0" quotePrefix="0" xfId="22"/>
    <xf numFmtId="0" fontId="14" fillId="0" borderId="6" pivotButton="0" quotePrefix="0" xfId="22"/>
    <xf numFmtId="0" fontId="14" fillId="0" borderId="7" pivotButton="0" quotePrefix="0" xfId="22"/>
    <xf numFmtId="171" fontId="14" fillId="0" borderId="1" applyAlignment="1" pivotButton="0" quotePrefix="0" xfId="33">
      <alignment horizontal="center"/>
    </xf>
    <xf numFmtId="0" fontId="14" fillId="0" borderId="9" pivotButton="0" quotePrefix="0" xfId="22"/>
    <xf numFmtId="171" fontId="14" fillId="0" borderId="9" applyAlignment="1" pivotButton="0" quotePrefix="0" xfId="33">
      <alignment horizontal="center"/>
    </xf>
    <xf numFmtId="171" fontId="14" fillId="12" borderId="6" applyAlignment="1" pivotButton="0" quotePrefix="0" xfId="22">
      <alignment horizontal="center"/>
    </xf>
    <xf numFmtId="171" fontId="14" fillId="12" borderId="7" applyAlignment="1" pivotButton="0" quotePrefix="0" xfId="22">
      <alignment horizontal="center"/>
    </xf>
    <xf numFmtId="178" fontId="14" fillId="0" borderId="1" applyAlignment="1" pivotButton="0" quotePrefix="0" xfId="22">
      <alignment horizontal="center"/>
    </xf>
    <xf numFmtId="178" fontId="14" fillId="0" borderId="9" applyAlignment="1" pivotButton="0" quotePrefix="0" xfId="22">
      <alignment horizontal="center"/>
    </xf>
    <xf numFmtId="178" fontId="14" fillId="0" borderId="10" applyAlignment="1" pivotButton="0" quotePrefix="0" xfId="22">
      <alignment horizontal="left"/>
    </xf>
    <xf numFmtId="178" fontId="14" fillId="12" borderId="11" applyAlignment="1" pivotButton="0" quotePrefix="0" xfId="22">
      <alignment horizontal="center"/>
    </xf>
    <xf numFmtId="178" fontId="14" fillId="12" borderId="12" applyAlignment="1" pivotButton="0" quotePrefix="0" xfId="22">
      <alignment horizontal="center"/>
    </xf>
    <xf numFmtId="178" fontId="14" fillId="0" borderId="5" applyAlignment="1" pivotButton="0" quotePrefix="0" xfId="22">
      <alignment horizontal="left"/>
    </xf>
    <xf numFmtId="178" fontId="14" fillId="0" borderId="6" applyAlignment="1" pivotButton="0" quotePrefix="0" xfId="22">
      <alignment horizontal="center"/>
    </xf>
    <xf numFmtId="178" fontId="14" fillId="0" borderId="7" applyAlignment="1" pivotButton="0" quotePrefix="0" xfId="22">
      <alignment horizontal="center"/>
    </xf>
    <xf numFmtId="178" fontId="14" fillId="0" borderId="13" applyAlignment="1" pivotButton="0" quotePrefix="0" xfId="22">
      <alignment horizontal="left"/>
    </xf>
    <xf numFmtId="178" fontId="14" fillId="12" borderId="0" applyAlignment="1" pivotButton="0" quotePrefix="0" xfId="22">
      <alignment horizontal="center"/>
    </xf>
    <xf numFmtId="178" fontId="14" fillId="12" borderId="14" applyAlignment="1" pivotButton="0" quotePrefix="0" xfId="22">
      <alignment horizontal="center"/>
    </xf>
    <xf numFmtId="178" fontId="14" fillId="0" borderId="8" applyAlignment="1" pivotButton="0" quotePrefix="0" xfId="22">
      <alignment horizontal="left"/>
    </xf>
    <xf numFmtId="178" fontId="14" fillId="12" borderId="1" applyAlignment="1" pivotButton="0" quotePrefix="0" xfId="22">
      <alignment horizontal="center"/>
    </xf>
    <xf numFmtId="178" fontId="14" fillId="12" borderId="9" applyAlignment="1" pivotButton="0" quotePrefix="0" xfId="22">
      <alignment horizontal="center"/>
    </xf>
    <xf numFmtId="178" fontId="14" fillId="0" borderId="0" applyAlignment="1" pivotButton="0" quotePrefix="0" xfId="22">
      <alignment horizontal="center"/>
    </xf>
    <xf numFmtId="178" fontId="14" fillId="0" borderId="15" applyAlignment="1" pivotButton="0" quotePrefix="0" xfId="22">
      <alignment horizontal="center"/>
    </xf>
    <xf numFmtId="0" fontId="14" fillId="0" borderId="13" pivotButton="0" quotePrefix="0" xfId="22"/>
    <xf numFmtId="0" fontId="14" fillId="0" borderId="14" pivotButton="0" quotePrefix="0" xfId="22"/>
    <xf numFmtId="178" fontId="4" fillId="0" borderId="0" applyAlignment="1" pivotButton="0" quotePrefix="0" xfId="22">
      <alignment horizontal="center"/>
    </xf>
    <xf numFmtId="178" fontId="4" fillId="0" borderId="14" applyAlignment="1" pivotButton="0" quotePrefix="0" xfId="22">
      <alignment horizontal="center"/>
    </xf>
    <xf numFmtId="171" fontId="10" fillId="6" borderId="1" applyAlignment="1" pivotButton="0" quotePrefix="0" xfId="33">
      <alignment horizontal="center"/>
    </xf>
    <xf numFmtId="171" fontId="10" fillId="6" borderId="9" applyAlignment="1" pivotButton="0" quotePrefix="0" xfId="33">
      <alignment horizontal="center"/>
    </xf>
    <xf numFmtId="0" fontId="16" fillId="0" borderId="10" pivotButton="0" quotePrefix="0" xfId="22"/>
    <xf numFmtId="171" fontId="16" fillId="12" borderId="11" applyAlignment="1" pivotButton="0" quotePrefix="0" xfId="22">
      <alignment horizontal="center"/>
    </xf>
    <xf numFmtId="171" fontId="16" fillId="0" borderId="11" applyAlignment="1" pivotButton="0" quotePrefix="0" xfId="33">
      <alignment horizontal="center"/>
    </xf>
    <xf numFmtId="171" fontId="16" fillId="0" borderId="12" applyAlignment="1" pivotButton="0" quotePrefix="0" xfId="33">
      <alignment horizontal="center"/>
    </xf>
    <xf numFmtId="171" fontId="16" fillId="0" borderId="0" applyAlignment="1" pivotButton="0" quotePrefix="0" xfId="22">
      <alignment horizontal="center"/>
    </xf>
    <xf numFmtId="181" fontId="14" fillId="0" borderId="0" applyAlignment="1" pivotButton="0" quotePrefix="0" xfId="23">
      <alignment horizontal="center" vertical="center"/>
    </xf>
    <xf numFmtId="178" fontId="16" fillId="0" borderId="0" applyAlignment="1" pivotButton="0" quotePrefix="0" xfId="22">
      <alignment horizontal="center"/>
    </xf>
    <xf numFmtId="178" fontId="18" fillId="2" borderId="2" applyAlignment="1" pivotButton="0" quotePrefix="0" xfId="28">
      <alignment horizontal="center"/>
    </xf>
    <xf numFmtId="0" fontId="14" fillId="0" borderId="0" applyAlignment="1" pivotButton="0" quotePrefix="0" xfId="22">
      <alignment horizontal="left"/>
    </xf>
    <xf numFmtId="173" fontId="14" fillId="0" borderId="0" applyAlignment="1" pivotButton="0" quotePrefix="0" xfId="22">
      <alignment horizontal="center"/>
    </xf>
    <xf numFmtId="173" fontId="18" fillId="2" borderId="2" applyAlignment="1" pivotButton="0" quotePrefix="0" xfId="28">
      <alignment horizontal="center"/>
    </xf>
    <xf numFmtId="10" fontId="14" fillId="0" borderId="0" pivotButton="0" quotePrefix="0" xfId="22"/>
    <xf numFmtId="178" fontId="16" fillId="0" borderId="0" pivotButton="0" quotePrefix="0" xfId="22"/>
    <xf numFmtId="179" fontId="14" fillId="0" borderId="0" pivotButton="0" quotePrefix="0" xfId="22"/>
    <xf numFmtId="0" fontId="11" fillId="7" borderId="5" pivotButton="0" quotePrefix="0" xfId="22"/>
    <xf numFmtId="171" fontId="4" fillId="7" borderId="7" applyAlignment="1" pivotButton="0" quotePrefix="0" xfId="22">
      <alignment horizontal="center"/>
    </xf>
    <xf numFmtId="0" fontId="11" fillId="7" borderId="6" pivotButton="0" quotePrefix="0" xfId="22"/>
    <xf numFmtId="0" fontId="4" fillId="7" borderId="6" pivotButton="0" quotePrefix="0" xfId="22"/>
    <xf numFmtId="0" fontId="11" fillId="7" borderId="16" pivotButton="0" quotePrefix="0" xfId="22"/>
    <xf numFmtId="171" fontId="4" fillId="7" borderId="17" applyAlignment="1" pivotButton="0" quotePrefix="0" xfId="22">
      <alignment horizontal="center"/>
    </xf>
    <xf numFmtId="0" fontId="4" fillId="7" borderId="17" pivotButton="0" quotePrefix="0" xfId="22"/>
    <xf numFmtId="0" fontId="4" fillId="7" borderId="18" pivotButton="0" quotePrefix="0" xfId="22"/>
    <xf numFmtId="0" fontId="16" fillId="0" borderId="13" applyAlignment="1" pivotButton="0" quotePrefix="0" xfId="22">
      <alignment horizontal="left"/>
    </xf>
    <xf numFmtId="178" fontId="14" fillId="0" borderId="14" applyAlignment="1" pivotButton="0" quotePrefix="0" xfId="22">
      <alignment horizontal="right"/>
    </xf>
    <xf numFmtId="0" fontId="16" fillId="0" borderId="0" applyAlignment="1" pivotButton="0" quotePrefix="0" xfId="22">
      <alignment horizontal="left"/>
    </xf>
    <xf numFmtId="0" fontId="14" fillId="0" borderId="13" applyAlignment="1" pivotButton="0" quotePrefix="0" xfId="22">
      <alignment horizontal="left"/>
    </xf>
    <xf numFmtId="178" fontId="4" fillId="12" borderId="14" applyAlignment="1" pivotButton="0" quotePrefix="0" xfId="22">
      <alignment horizontal="center"/>
    </xf>
    <xf numFmtId="171" fontId="19" fillId="6" borderId="14" applyAlignment="1" pivotButton="0" quotePrefix="0" xfId="22">
      <alignment horizontal="center"/>
    </xf>
    <xf numFmtId="182" fontId="4" fillId="12" borderId="14" applyAlignment="1" pivotButton="0" quotePrefix="0" xfId="18">
      <alignment horizontal="center"/>
    </xf>
    <xf numFmtId="171" fontId="11" fillId="0" borderId="19" applyAlignment="1" pivotButton="0" quotePrefix="0" xfId="24">
      <alignment horizontal="center"/>
    </xf>
    <xf numFmtId="0" fontId="14" fillId="0" borderId="1" applyAlignment="1" pivotButton="0" quotePrefix="0" xfId="22">
      <alignment horizontal="left"/>
    </xf>
    <xf numFmtId="0" fontId="14" fillId="0" borderId="9" applyAlignment="1" pivotButton="0" quotePrefix="0" xfId="22">
      <alignment horizontal="right"/>
    </xf>
    <xf numFmtId="178" fontId="16" fillId="0" borderId="14" applyAlignment="1" pivotButton="0" quotePrefix="0" xfId="22">
      <alignment horizontal="center"/>
    </xf>
    <xf numFmtId="0" fontId="14" fillId="0" borderId="1" applyAlignment="1" pivotButton="0" quotePrefix="0" xfId="22">
      <alignment horizontal="right"/>
    </xf>
    <xf numFmtId="183" fontId="10" fillId="6" borderId="20" pivotButton="0" quotePrefix="0" xfId="22"/>
    <xf numFmtId="182" fontId="10" fillId="6" borderId="21" pivotButton="0" quotePrefix="0" xfId="10"/>
    <xf numFmtId="179" fontId="14" fillId="0" borderId="14" applyAlignment="1" pivotButton="0" quotePrefix="0" xfId="22">
      <alignment horizontal="right"/>
    </xf>
    <xf numFmtId="183" fontId="10" fillId="6" borderId="22" pivotButton="0" quotePrefix="0" xfId="22"/>
    <xf numFmtId="182" fontId="10" fillId="6" borderId="23" pivotButton="0" quotePrefix="0" xfId="10"/>
    <xf numFmtId="178" fontId="14" fillId="0" borderId="14" applyAlignment="1" pivotButton="0" quotePrefix="0" xfId="22">
      <alignment horizontal="center"/>
    </xf>
    <xf numFmtId="183" fontId="10" fillId="6" borderId="24" pivotButton="0" quotePrefix="0" xfId="22"/>
    <xf numFmtId="182" fontId="10" fillId="6" borderId="25" pivotButton="0" quotePrefix="0" xfId="10"/>
    <xf numFmtId="179" fontId="14" fillId="0" borderId="9" applyAlignment="1" pivotButton="0" quotePrefix="0" xfId="22">
      <alignment horizontal="right"/>
    </xf>
    <xf numFmtId="174" fontId="10" fillId="6" borderId="14" applyAlignment="1" pivotButton="0" quotePrefix="0" xfId="22">
      <alignment horizontal="center"/>
    </xf>
    <xf numFmtId="184" fontId="14" fillId="0" borderId="0" applyAlignment="1" pivotButton="0" quotePrefix="0" xfId="22">
      <alignment horizontal="right"/>
    </xf>
    <xf numFmtId="185" fontId="14" fillId="0" borderId="14" applyAlignment="1" pivotButton="0" quotePrefix="0" xfId="22">
      <alignment horizontal="right"/>
    </xf>
    <xf numFmtId="0" fontId="14" fillId="0" borderId="0" applyAlignment="1" pivotButton="0" quotePrefix="0" xfId="22">
      <alignment horizontal="right"/>
    </xf>
    <xf numFmtId="178" fontId="20" fillId="0" borderId="0" pivotButton="0" quotePrefix="0" xfId="22"/>
    <xf numFmtId="178" fontId="14" fillId="0" borderId="14" pivotButton="0" quotePrefix="0" xfId="22"/>
    <xf numFmtId="182" fontId="16" fillId="0" borderId="26" applyAlignment="1" pivotButton="0" quotePrefix="0" xfId="22">
      <alignment horizontal="center"/>
    </xf>
    <xf numFmtId="183" fontId="10" fillId="6" borderId="27" applyAlignment="1" pivotButton="0" quotePrefix="0" xfId="22">
      <alignment horizontal="right"/>
    </xf>
    <xf numFmtId="0" fontId="14" fillId="0" borderId="14" applyAlignment="1" pivotButton="0" quotePrefix="0" xfId="22">
      <alignment horizontal="right"/>
    </xf>
    <xf numFmtId="182" fontId="16" fillId="0" borderId="14" applyAlignment="1" pivotButton="0" quotePrefix="0" xfId="22">
      <alignment horizontal="center"/>
    </xf>
    <xf numFmtId="183" fontId="10" fillId="6" borderId="28" applyAlignment="1" pivotButton="0" quotePrefix="0" xfId="22">
      <alignment horizontal="right"/>
    </xf>
    <xf numFmtId="186" fontId="10" fillId="6" borderId="14" applyAlignment="1" pivotButton="0" quotePrefix="0" xfId="22">
      <alignment horizontal="right"/>
    </xf>
    <xf numFmtId="0" fontId="16" fillId="0" borderId="0" applyAlignment="1" pivotButton="0" quotePrefix="0" xfId="22">
      <alignment horizontal="right"/>
    </xf>
    <xf numFmtId="178" fontId="16" fillId="0" borderId="14" applyAlignment="1" pivotButton="0" quotePrefix="0" xfId="27">
      <alignment horizontal="right"/>
    </xf>
    <xf numFmtId="0" fontId="14" fillId="0" borderId="8" applyAlignment="1" pivotButton="0" quotePrefix="0" xfId="22">
      <alignment horizontal="left"/>
    </xf>
    <xf numFmtId="171" fontId="14" fillId="0" borderId="9" applyAlignment="1" pivotButton="0" quotePrefix="0" xfId="22">
      <alignment horizontal="right"/>
    </xf>
    <xf numFmtId="0" fontId="11" fillId="7" borderId="3" pivotButton="0" quotePrefix="0" xfId="22"/>
    <xf numFmtId="171" fontId="4" fillId="7" borderId="3" applyAlignment="1" pivotButton="0" quotePrefix="0" xfId="22">
      <alignment horizontal="center"/>
    </xf>
    <xf numFmtId="0" fontId="4" fillId="7" borderId="3" pivotButton="0" quotePrefix="0" xfId="22"/>
    <xf numFmtId="0" fontId="16" fillId="0" borderId="1" pivotButton="0" quotePrefix="0" xfId="22"/>
    <xf numFmtId="171" fontId="10" fillId="6" borderId="0" applyAlignment="1" pivotButton="0" quotePrefix="0" xfId="22">
      <alignment horizontal="center"/>
    </xf>
    <xf numFmtId="0" fontId="14" fillId="0" borderId="11" applyAlignment="1" pivotButton="0" quotePrefix="0" xfId="22">
      <alignment horizontal="right"/>
    </xf>
    <xf numFmtId="178" fontId="14" fillId="0" borderId="0" pivotButton="0" quotePrefix="0" xfId="22"/>
    <xf numFmtId="9" fontId="14" fillId="0" borderId="0" pivotButton="0" quotePrefix="0" xfId="22"/>
    <xf numFmtId="187" fontId="14" fillId="0" borderId="0" applyAlignment="1" pivotButton="0" quotePrefix="0" xfId="22">
      <alignment horizontal="center"/>
    </xf>
    <xf numFmtId="178" fontId="14" fillId="0" borderId="0" applyAlignment="1" pivotButton="0" quotePrefix="0" xfId="22">
      <alignment horizontal="right"/>
    </xf>
    <xf numFmtId="188" fontId="14" fillId="0" borderId="0" pivotButton="0" quotePrefix="0" xfId="22"/>
    <xf numFmtId="189" fontId="10" fillId="6" borderId="0" applyAlignment="1" pivotButton="0" quotePrefix="0" xfId="22">
      <alignment horizontal="center"/>
    </xf>
    <xf numFmtId="0" fontId="16" fillId="0" borderId="1" applyAlignment="1" pivotButton="0" quotePrefix="0" xfId="22">
      <alignment horizontal="left" wrapText="1"/>
    </xf>
    <xf numFmtId="0" fontId="16" fillId="0" borderId="1" applyAlignment="1" pivotButton="0" quotePrefix="0" xfId="22">
      <alignment horizontal="center" wrapText="1"/>
    </xf>
    <xf numFmtId="189" fontId="14" fillId="0" borderId="0" applyAlignment="1" pivotButton="0" quotePrefix="0" xfId="22">
      <alignment horizontal="center"/>
    </xf>
    <xf numFmtId="182" fontId="14" fillId="0" borderId="0" applyAlignment="1" pivotButton="0" quotePrefix="0" xfId="22">
      <alignment horizontal="center"/>
    </xf>
    <xf numFmtId="10" fontId="14" fillId="0" borderId="0" applyAlignment="1" pivotButton="0" quotePrefix="0" xfId="22">
      <alignment horizontal="center"/>
    </xf>
    <xf numFmtId="2" fontId="14" fillId="0" borderId="0" applyAlignment="1" pivotButton="0" quotePrefix="0" xfId="22">
      <alignment horizontal="center"/>
    </xf>
    <xf numFmtId="189" fontId="10" fillId="6" borderId="0" applyAlignment="1" pivotButton="0" quotePrefix="0" xfId="22">
      <alignment horizontal="left"/>
    </xf>
    <xf numFmtId="182" fontId="10" fillId="6" borderId="0" applyAlignment="1" pivotButton="0" quotePrefix="0" xfId="22">
      <alignment horizontal="center"/>
    </xf>
    <xf numFmtId="178" fontId="10" fillId="6" borderId="0" applyAlignment="1" pivotButton="0" quotePrefix="0" xfId="22">
      <alignment horizontal="center"/>
    </xf>
    <xf numFmtId="10" fontId="10" fillId="6" borderId="0" applyAlignment="1" pivotButton="0" quotePrefix="0" xfId="22">
      <alignment horizontal="center"/>
    </xf>
    <xf numFmtId="189" fontId="10" fillId="6" borderId="1" applyAlignment="1" pivotButton="0" quotePrefix="0" xfId="22">
      <alignment horizontal="left"/>
    </xf>
    <xf numFmtId="189" fontId="10" fillId="6" borderId="1" applyAlignment="1" pivotButton="0" quotePrefix="0" xfId="22">
      <alignment horizontal="center"/>
    </xf>
    <xf numFmtId="182" fontId="10" fillId="6" borderId="1" applyAlignment="1" pivotButton="0" quotePrefix="0" xfId="22">
      <alignment horizontal="center"/>
    </xf>
    <xf numFmtId="178" fontId="10" fillId="6" borderId="1" applyAlignment="1" pivotButton="0" quotePrefix="0" xfId="22">
      <alignment horizontal="center"/>
    </xf>
    <xf numFmtId="10" fontId="14" fillId="0" borderId="1" applyAlignment="1" pivotButton="0" quotePrefix="0" xfId="22">
      <alignment horizontal="center"/>
    </xf>
    <xf numFmtId="10" fontId="10" fillId="6" borderId="1" applyAlignment="1" pivotButton="0" quotePrefix="0" xfId="22">
      <alignment horizontal="center"/>
    </xf>
    <xf numFmtId="189" fontId="14" fillId="0" borderId="1" applyAlignment="1" pivotButton="0" quotePrefix="0" xfId="22">
      <alignment horizontal="center"/>
    </xf>
    <xf numFmtId="189" fontId="16" fillId="0" borderId="0" applyAlignment="1" pivotButton="0" quotePrefix="0" xfId="22">
      <alignment horizontal="right"/>
    </xf>
    <xf numFmtId="189" fontId="16" fillId="0" borderId="29" applyAlignment="1" pivotButton="0" quotePrefix="0" xfId="22">
      <alignment horizontal="center"/>
    </xf>
    <xf numFmtId="0" fontId="21" fillId="3" borderId="0" pivotButton="0" quotePrefix="0" xfId="24"/>
    <xf numFmtId="0" fontId="22" fillId="13" borderId="0" pivotButton="0" quotePrefix="0" xfId="24"/>
    <xf numFmtId="0" fontId="8" fillId="14" borderId="0" pivotButton="0" quotePrefix="0" xfId="24"/>
    <xf numFmtId="180" fontId="22" fillId="13" borderId="0" pivotButton="0" quotePrefix="0" xfId="24"/>
    <xf numFmtId="190" fontId="22" fillId="13" borderId="0" pivotButton="0" quotePrefix="0" xfId="24"/>
    <xf numFmtId="171" fontId="22" fillId="13" borderId="0" pivotButton="0" quotePrefix="0" xfId="24"/>
    <xf numFmtId="14" fontId="22" fillId="13" borderId="0" pivotButton="0" quotePrefix="0" xfId="24"/>
    <xf numFmtId="191" fontId="22" fillId="13" borderId="0" pivotButton="0" quotePrefix="0" xfId="24"/>
    <xf numFmtId="171" fontId="3" fillId="0" borderId="0" pivotButton="0" quotePrefix="0" xfId="24"/>
    <xf numFmtId="174" fontId="22" fillId="13" borderId="0" pivotButton="0" quotePrefix="0" xfId="24"/>
    <xf numFmtId="175" fontId="3" fillId="0" borderId="0" pivotButton="0" quotePrefix="0" xfId="24"/>
    <xf numFmtId="0" fontId="17" fillId="9" borderId="0" applyAlignment="1" pivotButton="0" quotePrefix="0" xfId="22">
      <alignment horizontal="center" wrapText="1"/>
    </xf>
    <xf numFmtId="0" fontId="14" fillId="0" borderId="0" pivotButton="0" quotePrefix="0" xfId="22"/>
    <xf numFmtId="0" fontId="16" fillId="0" borderId="1" applyAlignment="1" pivotButton="0" quotePrefix="0" xfId="22">
      <alignment horizontal="center"/>
    </xf>
    <xf numFmtId="0" fontId="0" fillId="0" borderId="1" pivotButton="0" quotePrefix="0" xfId="0"/>
    <xf numFmtId="0" fontId="16" fillId="0" borderId="10" applyAlignment="1" pivotButton="0" quotePrefix="0" xfId="22">
      <alignment horizontal="center"/>
    </xf>
    <xf numFmtId="0" fontId="0" fillId="0" borderId="11" pivotButton="0" quotePrefix="0" xfId="0"/>
    <xf numFmtId="0" fontId="15" fillId="9" borderId="1" applyAlignment="1" pivotButton="0" quotePrefix="0" xfId="22">
      <alignment horizontal="center"/>
    </xf>
    <xf numFmtId="171" fontId="4" fillId="0" borderId="0" applyAlignment="1" pivotButton="0" quotePrefix="0" xfId="30">
      <alignment horizontal="right" vertical="center"/>
    </xf>
    <xf numFmtId="171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24">
      <alignment horizontal="right" vertical="center"/>
    </xf>
    <xf numFmtId="193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30">
      <alignment horizontal="right" vertical="center"/>
    </xf>
    <xf numFmtId="192" fontId="4" fillId="0" borderId="0" applyAlignment="1" pivotButton="0" quotePrefix="0" xfId="24">
      <alignment horizontal="right" vertical="center"/>
    </xf>
    <xf numFmtId="193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30">
      <alignment horizontal="right" vertical="center"/>
    </xf>
    <xf numFmtId="200" fontId="0" fillId="0" borderId="0" pivotButton="0" quotePrefix="0" xfId="0"/>
    <xf numFmtId="169" fontId="11" fillId="7" borderId="0" applyAlignment="1" pivotButton="0" quotePrefix="0" xfId="21">
      <alignment horizontal="center"/>
    </xf>
    <xf numFmtId="0" fontId="23" fillId="9" borderId="0" applyAlignment="1" pivotButton="0" quotePrefix="0" xfId="0">
      <alignment horizontal="left" vertical="bottom"/>
    </xf>
    <xf numFmtId="0" fontId="24" fillId="7" borderId="0" applyAlignment="1" pivotButton="0" quotePrefix="0" xfId="0">
      <alignment horizontal="general" vertical="bottom"/>
    </xf>
    <xf numFmtId="3" fontId="24" fillId="7" borderId="0" applyAlignment="1" pivotButton="0" quotePrefix="0" xfId="0">
      <alignment horizontal="center" vertical="bottom"/>
    </xf>
    <xf numFmtId="3" fontId="24" fillId="0" borderId="0" applyAlignment="1" pivotButton="0" quotePrefix="0" xfId="0">
      <alignment horizontal="center" vertical="bottom"/>
    </xf>
    <xf numFmtId="0" fontId="25" fillId="7" borderId="0" applyAlignment="1" pivotButton="0" quotePrefix="0" xfId="0">
      <alignment horizontal="general" vertical="bottom"/>
    </xf>
    <xf numFmtId="171" fontId="24" fillId="7" borderId="0" applyAlignment="1" pivotButton="0" quotePrefix="0" xfId="0">
      <alignment horizontal="center" vertical="bottom"/>
    </xf>
    <xf numFmtId="171" fontId="24" fillId="0" borderId="0" applyAlignment="1" pivotButton="0" quotePrefix="0" xfId="0">
      <alignment horizontal="center" vertical="bottom"/>
    </xf>
    <xf numFmtId="201" fontId="22" fillId="13" borderId="0" pivotButton="0" quotePrefix="0" xfId="24"/>
  </cellXfs>
  <cellStyles count="35">
    <cellStyle name="Normal" xfId="0" builtinId="0"/>
    <cellStyle name="Comma" xfId="1"/>
    <cellStyle name="Comma 1" xfId="2"/>
    <cellStyle name="Comma 2" xfId="3"/>
    <cellStyle name="Comma 3" xfId="4"/>
    <cellStyle name="Comma [0]" xfId="5"/>
    <cellStyle name="Comma [0] 2" xfId="6"/>
    <cellStyle name="Comma [0] 3" xfId="7"/>
    <cellStyle name="Comma [0] 4" xfId="8"/>
    <cellStyle name="Currency" xfId="9"/>
    <cellStyle name="Currency 2" xfId="10"/>
    <cellStyle name="Currency 3" xfId="11"/>
    <cellStyle name="Currency 4" xfId="12"/>
    <cellStyle name="Currency 5" xfId="13"/>
    <cellStyle name="Currency [0]" xfId="14"/>
    <cellStyle name="Currency [0] 4" xfId="15"/>
    <cellStyle name="Currency [0] 5" xfId="16"/>
    <cellStyle name="Currency [0] 6" xfId="17"/>
    <cellStyle name="m/d/yy" xfId="18"/>
    <cellStyle name="Normal 3" xfId="19"/>
    <cellStyle name="Normal 2" xfId="20"/>
    <cellStyle name="Normal 2 2" xfId="21"/>
    <cellStyle name="Normal 2 3" xfId="22"/>
    <cellStyle name="Normal 4" xfId="23"/>
    <cellStyle name="Normal 5" xfId="24"/>
    <cellStyle name="Normal 6" xfId="25"/>
    <cellStyle name="Normal 7" xfId="26"/>
    <cellStyle name="Normal [3] 2" xfId="27"/>
    <cellStyle name="Output_dcfmodel" xfId="28"/>
    <cellStyle name="Percent" xfId="29"/>
    <cellStyle name="Percent 6" xfId="30"/>
    <cellStyle name="Percent 7" xfId="31"/>
    <cellStyle name="Percent 8" xfId="32"/>
    <cellStyle name="Porcentagem 3" xfId="33"/>
    <cellStyle name="Separador de milhares 2 17" xfId="34"/>
  </cellStyles>
  <dxfs count="24"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2CC"/>
      <rgbColor rgb="FF99CCFF"/>
      <rgbColor rgb="FFFF99CC"/>
      <rgbColor rgb="FFCC99FF"/>
      <rgbColor rgb="FFD9D9D9"/>
      <rgbColor rgb="FF4472C4"/>
      <rgbColor rgb="FF46B1E1"/>
      <rgbColor rgb="FF99CC00"/>
      <rgbColor rgb="FFFFCC00"/>
      <rgbColor rgb="FFFF9900"/>
      <rgbColor rgb="FFFF6600"/>
      <rgbColor rgb="FF666699"/>
      <rgbColor rgb="FF70AD47"/>
      <rgbColor rgb="FF17365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6"/>
  <sheetViews>
    <sheetView showGridLines="0" tabSelected="1" zoomScaleNormal="100" workbookViewId="0">
      <pane xSplit="3" ySplit="2" topLeftCell="D3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baseColWidth="8" defaultColWidth="9.7109375" defaultRowHeight="12.75"/>
  <cols>
    <col width="90" customWidth="1" min="1" max="1"/>
    <col width="10.140625" customWidth="1" min="2" max="2"/>
    <col width="45" customWidth="1" min="3" max="3"/>
    <col width="12.42578125" customWidth="1" min="4" max="33"/>
  </cols>
  <sheetData>
    <row r="1" ht="14.25" customHeight="1">
      <c r="A1" s="1" t="inlineStr">
        <is>
          <t>Base histórica normalizada (US$ mil) — convertida da máscara anterior; linhas de origem auditáveis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</row>
    <row r="2" ht="14.25" customHeight="1">
      <c r="A2" s="2" t="inlineStr">
        <is>
          <t>Fonte / conta original</t>
        </is>
      </c>
      <c r="B2" s="2" t="inlineStr">
        <is>
          <t>Código</t>
        </is>
      </c>
      <c r="C2" s="2" t="inlineStr">
        <is>
          <t>Conta padronizada</t>
        </is>
      </c>
      <c r="D2" s="2" t="inlineStr">
        <is>
          <t>1Q21</t>
        </is>
      </c>
      <c r="E2" s="2" t="inlineStr">
        <is>
          <t>2Q21</t>
        </is>
      </c>
      <c r="F2" s="2" t="inlineStr">
        <is>
          <t>3Q21</t>
        </is>
      </c>
      <c r="G2" s="2" t="inlineStr">
        <is>
          <t>4Q21</t>
        </is>
      </c>
      <c r="H2" s="2" t="inlineStr">
        <is>
          <t>2021</t>
        </is>
      </c>
      <c r="I2" s="2" t="inlineStr">
        <is>
          <t>1Q22</t>
        </is>
      </c>
      <c r="J2" s="2" t="inlineStr">
        <is>
          <t>2Q22</t>
        </is>
      </c>
      <c r="K2" s="2" t="inlineStr">
        <is>
          <t>3Q22</t>
        </is>
      </c>
      <c r="L2" s="2" t="inlineStr">
        <is>
          <t>4Q22</t>
        </is>
      </c>
      <c r="M2" s="2" t="inlineStr">
        <is>
          <t>2022</t>
        </is>
      </c>
      <c r="N2" s="2" t="inlineStr">
        <is>
          <t>1Q23</t>
        </is>
      </c>
      <c r="O2" s="2" t="inlineStr">
        <is>
          <t>2Q23</t>
        </is>
      </c>
      <c r="P2" s="2" t="inlineStr">
        <is>
          <t>3Q23</t>
        </is>
      </c>
      <c r="Q2" s="2" t="inlineStr">
        <is>
          <t>4Q23</t>
        </is>
      </c>
      <c r="R2" s="2" t="inlineStr">
        <is>
          <t>2023</t>
        </is>
      </c>
      <c r="S2" s="2" t="inlineStr">
        <is>
          <t>1Q24</t>
        </is>
      </c>
      <c r="T2" s="2" t="inlineStr">
        <is>
          <t>2Q24</t>
        </is>
      </c>
      <c r="U2" s="2" t="inlineStr">
        <is>
          <t>3Q24</t>
        </is>
      </c>
      <c r="V2" s="2" t="inlineStr">
        <is>
          <t>4Q24</t>
        </is>
      </c>
      <c r="W2" s="2" t="inlineStr">
        <is>
          <t>2024</t>
        </is>
      </c>
      <c r="X2" s="2" t="inlineStr">
        <is>
          <t>1Q25</t>
        </is>
      </c>
      <c r="Y2" s="2" t="inlineStr">
        <is>
          <t>2Q25</t>
        </is>
      </c>
      <c r="Z2" s="2" t="inlineStr">
        <is>
          <t>3Q25</t>
        </is>
      </c>
      <c r="AA2" s="2" t="inlineStr">
        <is>
          <t>4Q25</t>
        </is>
      </c>
      <c r="AB2" s="2" t="inlineStr">
        <is>
          <t>2025</t>
        </is>
      </c>
      <c r="AC2" s="2" t="inlineStr">
        <is>
          <t>1Q26</t>
        </is>
      </c>
      <c r="AD2" s="2" t="inlineStr">
        <is>
          <t>2Q26</t>
        </is>
      </c>
      <c r="AE2" s="2" t="inlineStr">
        <is>
          <t>3Q26</t>
        </is>
      </c>
      <c r="AF2" s="2" t="inlineStr">
        <is>
          <t>4Q26</t>
        </is>
      </c>
      <c r="AG2" s="2" t="inlineStr">
        <is>
          <t>2026</t>
        </is>
      </c>
    </row>
    <row r="3">
      <c r="A3" t="inlineStr">
        <is>
          <t>Fonte: ver coluna A de cada linha</t>
        </is>
      </c>
      <c r="C3" t="inlineStr">
        <is>
          <t>Unidade: US$ mil (monetário); demais unidades × 1.000</t>
        </is>
      </c>
    </row>
    <row r="4">
      <c r="A4" t="inlineStr">
        <is>
          <t>DRE - trimestre isolado (USD). Brutos SEC XBRL; linhas "derivada" são fórmulas nesta aba</t>
        </is>
      </c>
      <c r="C4" t="inlineStr">
        <is>
          <t>[linha bruta, sem código; lançada nas linhas abaixo]</t>
        </is>
      </c>
      <c r="D4" s="265" t="n"/>
      <c r="E4" s="265" t="n"/>
      <c r="F4" s="265" t="n"/>
      <c r="G4" s="265" t="n"/>
      <c r="I4" s="265" t="n"/>
      <c r="J4" s="265" t="n"/>
      <c r="K4" s="265" t="n"/>
      <c r="L4" s="265" t="n"/>
      <c r="N4" s="265" t="n"/>
      <c r="O4" s="265" t="n"/>
      <c r="P4" s="265" t="n"/>
      <c r="Q4" s="265" t="n"/>
      <c r="S4" s="265" t="n"/>
      <c r="T4" s="265" t="n"/>
      <c r="U4" s="265" t="n"/>
      <c r="V4" s="265" t="n"/>
      <c r="X4" s="265" t="n"/>
      <c r="Y4" s="265" t="n"/>
      <c r="Z4" s="265" t="n"/>
      <c r="AA4" s="265" t="n"/>
      <c r="AC4" s="265" t="n"/>
      <c r="AD4" s="265" t="n"/>
    </row>
    <row r="5">
      <c r="A5" t="inlineStr">
        <is>
          <t>Receita [us-gaap:Revenues/RevenueFromContractWithCustomerExcludingAssessedTax] · fonte · unid. moeda</t>
        </is>
      </c>
      <c r="B5" t="n">
        <v>1</v>
      </c>
      <c r="C5" t="inlineStr">
        <is>
          <t>Net Revenues</t>
        </is>
      </c>
      <c r="D5" s="265" t="n">
        <v>5559000</v>
      </c>
      <c r="E5" s="265" t="n">
        <v>4153000</v>
      </c>
      <c r="F5" s="265" t="n">
        <v>4406000</v>
      </c>
      <c r="G5" s="265" t="n">
        <v>5532000</v>
      </c>
      <c r="I5" s="265" t="n">
        <v>5591000</v>
      </c>
      <c r="J5" s="265" t="n">
        <v>5465000</v>
      </c>
      <c r="K5" s="265" t="n">
        <v>6051000</v>
      </c>
      <c r="L5" s="265" t="n">
        <v>7333000</v>
      </c>
      <c r="N5" s="265" t="n">
        <v>7565000</v>
      </c>
      <c r="O5" s="265" t="n">
        <v>5446000</v>
      </c>
      <c r="P5" s="265" t="n">
        <v>6111000</v>
      </c>
      <c r="Q5" s="265" t="n">
        <v>5796000</v>
      </c>
      <c r="S5" s="265" t="n">
        <v>6161000</v>
      </c>
      <c r="T5" s="265" t="n">
        <v>5475000</v>
      </c>
      <c r="U5" s="265" t="n">
        <v>6550000</v>
      </c>
      <c r="V5" s="265" t="n">
        <v>5382000</v>
      </c>
      <c r="X5" s="265" t="n">
        <v>6788000</v>
      </c>
      <c r="Y5" s="265" t="n">
        <v>6101000</v>
      </c>
      <c r="Z5" s="265" t="n">
        <v>6570000</v>
      </c>
      <c r="AA5" s="265" t="n">
        <v>6074000</v>
      </c>
      <c r="AC5" s="265" t="n">
        <v>11122000</v>
      </c>
      <c r="AD5" s="265" t="n">
        <v>7504000</v>
      </c>
    </row>
    <row r="6">
      <c r="A6" t="inlineStr">
        <is>
          <t>Custo da receita (divulgado positivo) [us-gaap:CostOfRevenue/CostOfGoodsAndServicesSold] · fonte · unid. moeda</t>
        </is>
      </c>
      <c r="C6" t="inlineStr">
        <is>
          <t>[linha bruta, sem código; lançada nas linhas abaixo]</t>
        </is>
      </c>
      <c r="D6" s="265" t="n">
        <v>0</v>
      </c>
      <c r="E6" s="265" t="n">
        <v>0</v>
      </c>
      <c r="F6" s="265" t="n">
        <v>0</v>
      </c>
      <c r="G6" s="265" t="n">
        <v>0</v>
      </c>
      <c r="I6" s="265" t="n">
        <v>0</v>
      </c>
      <c r="J6" s="265" t="n">
        <v>0</v>
      </c>
      <c r="K6" s="265" t="n">
        <v>0</v>
      </c>
      <c r="L6" s="265" t="n">
        <v>0</v>
      </c>
      <c r="N6" s="265" t="n">
        <v>0</v>
      </c>
      <c r="O6" s="265" t="n">
        <v>0</v>
      </c>
      <c r="P6" s="265" t="n">
        <v>0</v>
      </c>
      <c r="Q6" s="265" t="n">
        <v>0</v>
      </c>
      <c r="S6" s="265" t="n">
        <v>0</v>
      </c>
      <c r="T6" s="265" t="n">
        <v>0</v>
      </c>
      <c r="U6" s="265" t="n">
        <v>0</v>
      </c>
      <c r="V6" s="265" t="n">
        <v>0</v>
      </c>
      <c r="X6" s="265" t="n">
        <v>0</v>
      </c>
      <c r="Y6" s="265" t="n">
        <v>0</v>
      </c>
      <c r="Z6" s="265" t="n">
        <v>0</v>
      </c>
      <c r="AA6" s="265" t="n">
        <v>0</v>
      </c>
      <c r="AC6" s="265" t="n">
        <v>0</v>
      </c>
      <c r="AD6" s="265" t="n">
        <v>0</v>
      </c>
    </row>
    <row r="7">
      <c r="A7" t="inlineStr">
        <is>
          <t>(lançamento) código 2, sinal -1 sobre a linha bruta 6: Custo da receita (divulgado positivo) [us-gaap:CostOfRevenue/CostOfGoodsAndServicesSold]</t>
        </is>
      </c>
      <c r="B7" t="n">
        <v>2</v>
      </c>
      <c r="C7" t="inlineStr">
        <is>
          <t>COGS (cash)</t>
        </is>
      </c>
      <c r="D7" s="265">
        <f>IF(D6="","",-1*D6)</f>
        <v>0</v>
      </c>
      <c r="E7" s="265">
        <f>IF(E6="","",-1*E6)</f>
        <v>0</v>
      </c>
      <c r="F7" s="265">
        <f>IF(F6="","",-1*F6)</f>
        <v>0</v>
      </c>
      <c r="G7" s="265">
        <f>IF(G6="","",-1*G6)</f>
        <v>0</v>
      </c>
      <c r="I7" s="265">
        <f>IF(I6="","",-1*I6)</f>
        <v>0</v>
      </c>
      <c r="J7" s="265">
        <f>IF(J6="","",-1*J6)</f>
        <v>0</v>
      </c>
      <c r="K7" s="265">
        <f>IF(K6="","",-1*K6)</f>
        <v>0</v>
      </c>
      <c r="L7" s="265">
        <f>IF(L6="","",-1*L6)</f>
        <v>0</v>
      </c>
      <c r="N7" s="265">
        <f>IF(N6="","",-1*N6)</f>
        <v>0</v>
      </c>
      <c r="O7" s="265">
        <f>IF(O6="","",-1*O6)</f>
        <v>0</v>
      </c>
      <c r="P7" s="265">
        <f>IF(P6="","",-1*P6)</f>
        <v>0</v>
      </c>
      <c r="Q7" s="265">
        <f>IF(Q6="","",-1*Q6)</f>
        <v>0</v>
      </c>
      <c r="S7" s="265">
        <f>IF(S6="","",-1*S6)</f>
        <v>0</v>
      </c>
      <c r="T7" s="265">
        <f>IF(T6="","",-1*T6)</f>
        <v>0</v>
      </c>
      <c r="U7" s="265">
        <f>IF(U6="","",-1*U6)</f>
        <v>0</v>
      </c>
      <c r="V7" s="265">
        <f>IF(V6="","",-1*V6)</f>
        <v>0</v>
      </c>
      <c r="X7" s="265">
        <f>IF(X6="","",-1*X6)</f>
        <v>0</v>
      </c>
      <c r="Y7" s="265">
        <f>IF(Y6="","",-1*Y6)</f>
        <v>0</v>
      </c>
      <c r="Z7" s="265">
        <f>IF(Z6="","",-1*Z6)</f>
        <v>0</v>
      </c>
      <c r="AA7" s="265">
        <f>IF(AA6="","",-1*AA6)</f>
        <v>0</v>
      </c>
      <c r="AC7" s="265">
        <f>IF(AC6="","",-1*AC6)</f>
        <v>0</v>
      </c>
      <c r="AD7" s="265">
        <f>IF(AD6="","",-1*AD6)</f>
        <v>0</v>
      </c>
    </row>
    <row r="8">
      <c r="A8" t="inlineStr">
        <is>
          <t>Lucro operacional [us-gaap:OperatingIncomeLoss] · memoria · unid. moeda</t>
        </is>
      </c>
      <c r="C8" t="inlineStr">
        <is>
          <t>[linha bruta, sem código; lançada nas linhas abaixo]</t>
        </is>
      </c>
      <c r="D8" s="265" t="n">
        <v>-1042000</v>
      </c>
      <c r="E8" s="265" t="n">
        <v>-308000</v>
      </c>
      <c r="F8" s="265" t="n">
        <v>1006000</v>
      </c>
      <c r="G8" s="265" t="n">
        <v>-2000</v>
      </c>
      <c r="I8" s="265" t="n">
        <v>435000</v>
      </c>
      <c r="J8" s="265" t="n">
        <v>272000</v>
      </c>
      <c r="K8" s="265" t="n">
        <v>-41000</v>
      </c>
      <c r="L8" s="265" t="n">
        <v>-172000</v>
      </c>
      <c r="N8" s="265" t="n">
        <v>31000</v>
      </c>
      <c r="O8" s="265" t="n">
        <v>669000</v>
      </c>
      <c r="P8" s="265" t="n">
        <v>977000</v>
      </c>
      <c r="Q8" s="265" t="n">
        <v>-67000</v>
      </c>
      <c r="S8" s="265" t="n">
        <v>813000</v>
      </c>
      <c r="T8" s="265" t="n">
        <v>1100000</v>
      </c>
      <c r="U8" s="265" t="n">
        <v>1467000</v>
      </c>
      <c r="V8" s="265" t="n">
        <v>972000</v>
      </c>
      <c r="X8" s="265" t="n">
        <v>451000</v>
      </c>
      <c r="Y8" s="265" t="n">
        <v>951000</v>
      </c>
      <c r="Z8" s="265" t="n">
        <v>1086000</v>
      </c>
      <c r="AA8" s="265" t="n">
        <v>598000</v>
      </c>
      <c r="AC8" s="265" t="n">
        <v>2332000</v>
      </c>
      <c r="AD8" s="265" t="n">
        <v>580000</v>
      </c>
    </row>
    <row r="9">
      <c r="A9" t="inlineStr">
        <is>
          <t>Despesas operacionais = receita - custo - lucro operacional (P&amp;D + SG&amp;A + outras operacionais) · derivada · unid. moeda</t>
        </is>
      </c>
      <c r="C9" t="inlineStr">
        <is>
          <t>[linha bruta, sem código; lançada nas linhas abaixo]</t>
        </is>
      </c>
      <c r="D9" s="265">
        <f>N(D5)-N(D6)-N(D8)</f>
        <v>6601000</v>
      </c>
      <c r="E9" s="265">
        <f>N(E5)-N(E6)-N(E8)</f>
        <v>4461000</v>
      </c>
      <c r="F9" s="265">
        <f>N(F5)-N(F6)-N(F8)</f>
        <v>3400000</v>
      </c>
      <c r="G9" s="265">
        <f>N(G5)-N(G6)-N(G8)</f>
        <v>5534000</v>
      </c>
      <c r="I9" s="265">
        <f>N(I5)-N(I6)-N(I8)</f>
        <v>5156000</v>
      </c>
      <c r="J9" s="265">
        <f>N(J5)-N(J6)-N(J8)</f>
        <v>5193000</v>
      </c>
      <c r="K9" s="265">
        <f>N(K5)-N(K6)-N(K8)</f>
        <v>6092000</v>
      </c>
      <c r="L9" s="265">
        <f>N(L5)-N(L6)-N(L8)</f>
        <v>7505000</v>
      </c>
      <c r="N9" s="265">
        <f>N(N5)-N(N6)-N(N8)</f>
        <v>7534000</v>
      </c>
      <c r="O9" s="265">
        <f>N(O5)-N(O6)-N(O8)</f>
        <v>4777000</v>
      </c>
      <c r="P9" s="265">
        <f>N(P5)-N(P6)-N(P8)</f>
        <v>5134000</v>
      </c>
      <c r="Q9" s="265">
        <f>N(Q5)-N(Q6)-N(Q8)</f>
        <v>5863000</v>
      </c>
      <c r="S9" s="265">
        <f>N(S5)-N(S6)-N(S8)</f>
        <v>5348000</v>
      </c>
      <c r="T9" s="265">
        <f>N(T5)-N(T6)-N(T8)</f>
        <v>4375000</v>
      </c>
      <c r="U9" s="265">
        <f>N(U5)-N(U6)-N(U8)</f>
        <v>5083000</v>
      </c>
      <c r="V9" s="265">
        <f>N(V5)-N(V6)-N(V8)</f>
        <v>4410000</v>
      </c>
      <c r="X9" s="265">
        <f>N(X5)-N(X6)-N(X8)</f>
        <v>6337000</v>
      </c>
      <c r="Y9" s="265">
        <f>N(Y5)-N(Y6)-N(Y8)</f>
        <v>5150000</v>
      </c>
      <c r="Z9" s="265">
        <f>N(Z5)-N(Z6)-N(Z8)</f>
        <v>5484000</v>
      </c>
      <c r="AA9" s="265">
        <f>N(AA5)-N(AA6)-N(AA8)</f>
        <v>5476000</v>
      </c>
      <c r="AC9" s="265">
        <f>N(AC5)-N(AC6)-N(AC8)</f>
        <v>8790000</v>
      </c>
      <c r="AD9" s="265">
        <f>N(AD5)-N(AD6)-N(AD8)</f>
        <v>6924000</v>
      </c>
    </row>
    <row r="10">
      <c r="A10" t="inlineStr">
        <is>
          <t>(lançamento) código 3, sinal -1 sobre a linha bruta 9: Despesas operacionais = receita - custo - lucro operacional (P&amp;D + SG&amp;A + outras operacion</t>
        </is>
      </c>
      <c r="B10" t="n">
        <v>3</v>
      </c>
      <c r="C10" t="inlineStr">
        <is>
          <t>SG&amp;A and Other (cash)</t>
        </is>
      </c>
      <c r="D10" s="265">
        <f>IF(D9="","",-1*D9)</f>
        <v>-6601000</v>
      </c>
      <c r="E10" s="265">
        <f>IF(E9="","",-1*E9)</f>
        <v>-4461000</v>
      </c>
      <c r="F10" s="265">
        <f>IF(F9="","",-1*F9)</f>
        <v>-3400000</v>
      </c>
      <c r="G10" s="265">
        <f>IF(G9="","",-1*G9)</f>
        <v>-5534000</v>
      </c>
      <c r="I10" s="265">
        <f>IF(I9="","",-1*I9)</f>
        <v>-5156000</v>
      </c>
      <c r="J10" s="265">
        <f>IF(J9="","",-1*J9)</f>
        <v>-5193000</v>
      </c>
      <c r="K10" s="265">
        <f>IF(K9="","",-1*K9)</f>
        <v>-6092000</v>
      </c>
      <c r="L10" s="265">
        <f>IF(L9="","",-1*L9)</f>
        <v>-7505000</v>
      </c>
      <c r="N10" s="265">
        <f>IF(N9="","",-1*N9)</f>
        <v>-7534000</v>
      </c>
      <c r="O10" s="265">
        <f>IF(O9="","",-1*O9)</f>
        <v>-4777000</v>
      </c>
      <c r="P10" s="265">
        <f>IF(P9="","",-1*P9)</f>
        <v>-5134000</v>
      </c>
      <c r="Q10" s="265">
        <f>IF(Q9="","",-1*Q9)</f>
        <v>-5863000</v>
      </c>
      <c r="S10" s="265">
        <f>IF(S9="","",-1*S9)</f>
        <v>-5348000</v>
      </c>
      <c r="T10" s="265">
        <f>IF(T9="","",-1*T9)</f>
        <v>-4375000</v>
      </c>
      <c r="U10" s="265">
        <f>IF(U9="","",-1*U9)</f>
        <v>-5083000</v>
      </c>
      <c r="V10" s="265">
        <f>IF(V9="","",-1*V9)</f>
        <v>-4410000</v>
      </c>
      <c r="X10" s="265">
        <f>IF(X9="","",-1*X9)</f>
        <v>-6337000</v>
      </c>
      <c r="Y10" s="265">
        <f>IF(Y9="","",-1*Y9)</f>
        <v>-5150000</v>
      </c>
      <c r="Z10" s="265">
        <f>IF(Z9="","",-1*Z9)</f>
        <v>-5484000</v>
      </c>
      <c r="AA10" s="265">
        <f>IF(AA9="","",-1*AA9)</f>
        <v>-5476000</v>
      </c>
      <c r="AC10" s="265">
        <f>IF(AC9="","",-1*AC9)</f>
        <v>-8790000</v>
      </c>
      <c r="AD10" s="265">
        <f>IF(AD9="","",-1*AD9)</f>
        <v>-6924000</v>
      </c>
    </row>
    <row r="11">
      <c r="A11" t="inlineStr">
        <is>
          <t>Lucro antes do IR [us-gaap:IncomeLossFromContinuingOperationsBeforeIncomeTaxesExtraordi] · memoria · unid. moeda</t>
        </is>
      </c>
      <c r="C11" t="inlineStr">
        <is>
          <t>[linha bruta, sem código; lançada nas linhas abaixo]</t>
        </is>
      </c>
      <c r="D11" s="265" t="n">
        <v>-947000</v>
      </c>
      <c r="E11" s="265" t="n">
        <v>124000</v>
      </c>
      <c r="F11" s="265" t="n">
        <v>814000</v>
      </c>
      <c r="G11" s="265" t="n">
        <v>160000</v>
      </c>
      <c r="I11" s="265" t="n">
        <v>61000</v>
      </c>
      <c r="J11" s="265" t="n">
        <v>-438000</v>
      </c>
      <c r="K11" s="265" t="n">
        <v>-312000</v>
      </c>
      <c r="L11" s="265" t="n">
        <v>147000</v>
      </c>
      <c r="N11" s="265" t="n">
        <v>238000</v>
      </c>
      <c r="O11" s="265" t="n">
        <v>1171000</v>
      </c>
      <c r="P11" s="265" t="n">
        <v>895000</v>
      </c>
      <c r="Q11" s="265" t="n">
        <v>143000</v>
      </c>
      <c r="S11" s="265" t="n">
        <v>1048000</v>
      </c>
      <c r="T11" s="265" t="n">
        <v>964000</v>
      </c>
      <c r="U11" s="265" t="n">
        <v>1645000</v>
      </c>
      <c r="V11" s="265" t="n">
        <v>859000</v>
      </c>
      <c r="X11" s="265" t="n">
        <v>151000</v>
      </c>
      <c r="Y11" s="265" t="n">
        <v>1273000</v>
      </c>
      <c r="Z11" s="265" t="n">
        <v>1395000</v>
      </c>
      <c r="AA11" s="265" t="n">
        <v>692000</v>
      </c>
      <c r="AC11" s="265" t="n">
        <v>2125000</v>
      </c>
      <c r="AD11" s="265" t="n">
        <v>900000</v>
      </c>
    </row>
    <row r="12">
      <c r="A12" t="inlineStr">
        <is>
          <t>Resultado não operacional total = lucro antes do IR - lucro operacional · derivada · unid. moeda</t>
        </is>
      </c>
      <c r="B12" t="n">
        <v>6</v>
      </c>
      <c r="C12" t="inlineStr">
        <is>
          <t>Nonoperating Income / (Loss)</t>
        </is>
      </c>
      <c r="D12" s="265">
        <f>N(D11)-N(D8)</f>
        <v>95000</v>
      </c>
      <c r="E12" s="265">
        <f>N(E11)-N(E8)</f>
        <v>432000</v>
      </c>
      <c r="F12" s="265">
        <f>N(F11)-N(F8)</f>
        <v>-192000</v>
      </c>
      <c r="G12" s="265">
        <f>N(G11)-N(G8)</f>
        <v>162000</v>
      </c>
      <c r="I12" s="265">
        <f>N(I11)-N(I8)</f>
        <v>-374000</v>
      </c>
      <c r="J12" s="265">
        <f>N(J11)-N(J8)</f>
        <v>-710000</v>
      </c>
      <c r="K12" s="265">
        <f>N(K11)-N(K8)</f>
        <v>-271000</v>
      </c>
      <c r="L12" s="265">
        <f>N(L11)-N(L8)</f>
        <v>319000</v>
      </c>
      <c r="N12" s="265">
        <f>N(N11)-N(N8)</f>
        <v>207000</v>
      </c>
      <c r="O12" s="265">
        <f>N(O11)-N(O8)</f>
        <v>502000</v>
      </c>
      <c r="P12" s="265">
        <f>N(P11)-N(P8)</f>
        <v>-82000</v>
      </c>
      <c r="Q12" s="265">
        <f>N(Q11)-N(Q8)</f>
        <v>210000</v>
      </c>
      <c r="S12" s="265">
        <f>N(S11)-N(S8)</f>
        <v>235000</v>
      </c>
      <c r="T12" s="265">
        <f>N(T11)-N(T8)</f>
        <v>-136000</v>
      </c>
      <c r="U12" s="265">
        <f>N(U11)-N(U8)</f>
        <v>178000</v>
      </c>
      <c r="V12" s="265">
        <f>N(V11)-N(V8)</f>
        <v>-113000</v>
      </c>
      <c r="X12" s="265">
        <f>N(X11)-N(X8)</f>
        <v>-300000</v>
      </c>
      <c r="Y12" s="265">
        <f>N(Y11)-N(Y8)</f>
        <v>322000</v>
      </c>
      <c r="Z12" s="265">
        <f>N(Z11)-N(Z8)</f>
        <v>309000</v>
      </c>
      <c r="AA12" s="265">
        <f>N(AA11)-N(AA8)</f>
        <v>94000</v>
      </c>
      <c r="AC12" s="265">
        <f>N(AC11)-N(AC8)</f>
        <v>-207000</v>
      </c>
      <c r="AD12" s="265">
        <f>N(AD11)-N(AD8)</f>
        <v>320000</v>
      </c>
    </row>
    <row r="13">
      <c r="A13" t="inlineStr">
        <is>
          <t>Despesa de juros (divulgado positivo): COD1=5 lança; COD2=6 devolve ao não operacional, que já a contém [us-gaap:InterestExpense/InterestExpenseNonoperating] · fonte · unid. moeda</t>
        </is>
      </c>
      <c r="C13" t="inlineStr">
        <is>
          <t>[linha bruta, sem código; lançada nas linhas abaixo]</t>
        </is>
      </c>
      <c r="D13" s="265" t="n">
        <v>68000</v>
      </c>
      <c r="E13" s="265" t="n">
        <v>72000</v>
      </c>
      <c r="F13" s="265" t="n">
        <v>73000</v>
      </c>
      <c r="G13" s="265" t="n">
        <v>68000</v>
      </c>
      <c r="I13" s="265" t="n">
        <v>55000</v>
      </c>
      <c r="J13" s="265" t="n">
        <v>56000</v>
      </c>
      <c r="K13" s="265" t="n">
        <v>75000</v>
      </c>
      <c r="L13" s="265" t="n">
        <v>64000</v>
      </c>
      <c r="N13" s="265" t="n">
        <v>107000</v>
      </c>
      <c r="O13" s="265" t="n">
        <v>103000</v>
      </c>
      <c r="P13" s="265" t="n">
        <v>82000</v>
      </c>
      <c r="Q13" s="265" t="n">
        <v>139000</v>
      </c>
      <c r="S13" s="265" t="n">
        <v>127000</v>
      </c>
      <c r="T13" s="265" t="n">
        <v>142000</v>
      </c>
      <c r="U13" s="265" t="n">
        <v>147000</v>
      </c>
      <c r="V13" s="265" t="n">
        <v>90000</v>
      </c>
      <c r="X13" s="265" t="n">
        <v>146000</v>
      </c>
      <c r="Y13" s="265" t="n">
        <v>118000</v>
      </c>
      <c r="Z13" s="265" t="n">
        <v>134000</v>
      </c>
      <c r="AA13" s="265" t="n">
        <v>113000</v>
      </c>
      <c r="AC13" s="265" t="n">
        <v>253000</v>
      </c>
      <c r="AD13" s="265" t="n">
        <v>283000</v>
      </c>
    </row>
    <row r="14">
      <c r="A14" t="inlineStr">
        <is>
          <t>(lançamento) código 5, sinal -1 sobre a linha bruta 13: Despesa de juros (divulgado positivo): COD1=5 lança; COD2=6 devolve ao não operacional, qu</t>
        </is>
      </c>
      <c r="B14" t="n">
        <v>5</v>
      </c>
      <c r="C14" t="inlineStr">
        <is>
          <t>Interest Expense</t>
        </is>
      </c>
      <c r="D14" s="265">
        <f>IF(D13="","",-1*D13)</f>
        <v>-68000</v>
      </c>
      <c r="E14" s="265">
        <f>IF(E13="","",-1*E13)</f>
        <v>-72000</v>
      </c>
      <c r="F14" s="265">
        <f>IF(F13="","",-1*F13)</f>
        <v>-73000</v>
      </c>
      <c r="G14" s="265">
        <f>IF(G13="","",-1*G13)</f>
        <v>-68000</v>
      </c>
      <c r="I14" s="265">
        <f>IF(I13="","",-1*I13)</f>
        <v>-55000</v>
      </c>
      <c r="J14" s="265">
        <f>IF(J13="","",-1*J13)</f>
        <v>-56000</v>
      </c>
      <c r="K14" s="265">
        <f>IF(K13="","",-1*K13)</f>
        <v>-75000</v>
      </c>
      <c r="L14" s="265">
        <f>IF(L13="","",-1*L13)</f>
        <v>-64000</v>
      </c>
      <c r="N14" s="265">
        <f>IF(N13="","",-1*N13)</f>
        <v>-107000</v>
      </c>
      <c r="O14" s="265">
        <f>IF(O13="","",-1*O13)</f>
        <v>-103000</v>
      </c>
      <c r="P14" s="265">
        <f>IF(P13="","",-1*P13)</f>
        <v>-82000</v>
      </c>
      <c r="Q14" s="265">
        <f>IF(Q13="","",-1*Q13)</f>
        <v>-139000</v>
      </c>
      <c r="S14" s="265">
        <f>IF(S13="","",-1*S13)</f>
        <v>-127000</v>
      </c>
      <c r="T14" s="265">
        <f>IF(T13="","",-1*T13)</f>
        <v>-142000</v>
      </c>
      <c r="U14" s="265">
        <f>IF(U13="","",-1*U13)</f>
        <v>-147000</v>
      </c>
      <c r="V14" s="265">
        <f>IF(V13="","",-1*V13)</f>
        <v>-90000</v>
      </c>
      <c r="X14" s="265">
        <f>IF(X13="","",-1*X13)</f>
        <v>-146000</v>
      </c>
      <c r="Y14" s="265">
        <f>IF(Y13="","",-1*Y13)</f>
        <v>-118000</v>
      </c>
      <c r="Z14" s="265">
        <f>IF(Z13="","",-1*Z13)</f>
        <v>-134000</v>
      </c>
      <c r="AA14" s="265">
        <f>IF(AA13="","",-1*AA13)</f>
        <v>-113000</v>
      </c>
      <c r="AC14" s="265">
        <f>IF(AC13="","",-1*AC13)</f>
        <v>-253000</v>
      </c>
      <c r="AD14" s="265">
        <f>IF(AD13="","",-1*AD13)</f>
        <v>-283000</v>
      </c>
    </row>
    <row r="15">
      <c r="A15" t="inlineStr">
        <is>
          <t>(lançamento) código 6, sinal +1 sobre a linha bruta 13: Despesa de juros (divulgado positivo): COD1=5 lança; COD2=6 devolve ao não operacional, qu</t>
        </is>
      </c>
      <c r="B15" t="n">
        <v>6</v>
      </c>
      <c r="C15" t="inlineStr">
        <is>
          <t>Nonoperating Income / (Loss)</t>
        </is>
      </c>
      <c r="D15" s="265">
        <f>IF(D13="","",D13)</f>
        <v>68000</v>
      </c>
      <c r="E15" s="265">
        <f>IF(E13="","",E13)</f>
        <v>72000</v>
      </c>
      <c r="F15" s="265">
        <f>IF(F13="","",F13)</f>
        <v>73000</v>
      </c>
      <c r="G15" s="265">
        <f>IF(G13="","",G13)</f>
        <v>68000</v>
      </c>
      <c r="I15" s="265">
        <f>IF(I13="","",I13)</f>
        <v>55000</v>
      </c>
      <c r="J15" s="265">
        <f>IF(J13="","",J13)</f>
        <v>56000</v>
      </c>
      <c r="K15" s="265">
        <f>IF(K13="","",K13)</f>
        <v>75000</v>
      </c>
      <c r="L15" s="265">
        <f>IF(L13="","",L13)</f>
        <v>64000</v>
      </c>
      <c r="N15" s="265">
        <f>IF(N13="","",N13)</f>
        <v>107000</v>
      </c>
      <c r="O15" s="265">
        <f>IF(O13="","",O13)</f>
        <v>103000</v>
      </c>
      <c r="P15" s="265">
        <f>IF(P13="","",P13)</f>
        <v>82000</v>
      </c>
      <c r="Q15" s="265">
        <f>IF(Q13="","",Q13)</f>
        <v>139000</v>
      </c>
      <c r="S15" s="265">
        <f>IF(S13="","",S13)</f>
        <v>127000</v>
      </c>
      <c r="T15" s="265">
        <f>IF(T13="","",T13)</f>
        <v>142000</v>
      </c>
      <c r="U15" s="265">
        <f>IF(U13="","",U13)</f>
        <v>147000</v>
      </c>
      <c r="V15" s="265">
        <f>IF(V13="","",V13)</f>
        <v>90000</v>
      </c>
      <c r="X15" s="265">
        <f>IF(X13="","",X13)</f>
        <v>146000</v>
      </c>
      <c r="Y15" s="265">
        <f>IF(Y13="","",Y13)</f>
        <v>118000</v>
      </c>
      <c r="Z15" s="265">
        <f>IF(Z13="","",Z13)</f>
        <v>134000</v>
      </c>
      <c r="AA15" s="265">
        <f>IF(AA13="","",AA13)</f>
        <v>113000</v>
      </c>
      <c r="AC15" s="265">
        <f>IF(AC13="","",AC13)</f>
        <v>253000</v>
      </c>
      <c r="AD15" s="265">
        <f>IF(AD13="","",AD13)</f>
        <v>283000</v>
      </c>
    </row>
    <row r="16">
      <c r="A16" t="inlineStr">
        <is>
          <t>Imposto de renda (divulgado positivo) [us-gaap:IncomeTaxExpenseBenefit] · fonte · unid. moeda</t>
        </is>
      </c>
      <c r="C16" t="inlineStr">
        <is>
          <t>[linha bruta, sem código; lançada nas linhas abaixo]</t>
        </is>
      </c>
      <c r="D16" s="265" t="n">
        <v>-179000</v>
      </c>
      <c r="E16" s="265" t="n">
        <v>110000</v>
      </c>
      <c r="F16" s="265" t="n">
        <v>177000</v>
      </c>
      <c r="G16" s="265" t="n">
        <v>117000</v>
      </c>
      <c r="I16" s="265" t="n">
        <v>-53000</v>
      </c>
      <c r="J16" s="265" t="n">
        <v>-328000</v>
      </c>
      <c r="K16" s="265" t="n">
        <v>-123000</v>
      </c>
      <c r="L16" s="265" t="n">
        <v>116000</v>
      </c>
      <c r="N16" s="265" t="n">
        <v>131000</v>
      </c>
      <c r="O16" s="265" t="n">
        <v>342000</v>
      </c>
      <c r="P16" s="265" t="n">
        <v>205000</v>
      </c>
      <c r="Q16" s="265" t="n">
        <v>182000</v>
      </c>
      <c r="S16" s="265" t="n">
        <v>165000</v>
      </c>
      <c r="T16" s="265" t="n">
        <v>154000</v>
      </c>
      <c r="U16" s="265" t="n">
        <v>449000</v>
      </c>
      <c r="V16" s="265" t="n">
        <v>6000</v>
      </c>
      <c r="X16" s="265" t="n">
        <v>22000</v>
      </c>
      <c r="Y16" s="265" t="n">
        <v>440000</v>
      </c>
      <c r="Z16" s="265" t="n">
        <v>466000</v>
      </c>
      <c r="AA16" s="265" t="n">
        <v>259000</v>
      </c>
      <c r="AC16" s="265" t="n">
        <v>530000</v>
      </c>
      <c r="AD16" s="265" t="n">
        <v>398000</v>
      </c>
    </row>
    <row r="17">
      <c r="A17" t="inlineStr">
        <is>
          <t>(lançamento) código 7, sinal -1 sobre a linha bruta 16: Imposto de renda (divulgado positivo) [us-gaap:IncomeTaxExpenseBenefit]</t>
        </is>
      </c>
      <c r="B17" t="n">
        <v>7</v>
      </c>
      <c r="C17" t="inlineStr">
        <is>
          <t>Taxes</t>
        </is>
      </c>
      <c r="D17" s="265">
        <f>IF(D16="","",-1*D16)</f>
        <v>179000</v>
      </c>
      <c r="E17" s="265">
        <f>IF(E16="","",-1*E16)</f>
        <v>-110000</v>
      </c>
      <c r="F17" s="265">
        <f>IF(F16="","",-1*F16)</f>
        <v>-177000</v>
      </c>
      <c r="G17" s="265">
        <f>IF(G16="","",-1*G16)</f>
        <v>-117000</v>
      </c>
      <c r="I17" s="265">
        <f>IF(I16="","",-1*I16)</f>
        <v>53000</v>
      </c>
      <c r="J17" s="265">
        <f>IF(J16="","",-1*J16)</f>
        <v>328000</v>
      </c>
      <c r="K17" s="265">
        <f>IF(K16="","",-1*K16)</f>
        <v>123000</v>
      </c>
      <c r="L17" s="265">
        <f>IF(L16="","",-1*L16)</f>
        <v>-116000</v>
      </c>
      <c r="N17" s="265">
        <f>IF(N16="","",-1*N16)</f>
        <v>-131000</v>
      </c>
      <c r="O17" s="265">
        <f>IF(O16="","",-1*O16)</f>
        <v>-342000</v>
      </c>
      <c r="P17" s="265">
        <f>IF(P16="","",-1*P16)</f>
        <v>-205000</v>
      </c>
      <c r="Q17" s="265">
        <f>IF(Q16="","",-1*Q16)</f>
        <v>-182000</v>
      </c>
      <c r="S17" s="265">
        <f>IF(S16="","",-1*S16)</f>
        <v>-165000</v>
      </c>
      <c r="T17" s="265">
        <f>IF(T16="","",-1*T16)</f>
        <v>-154000</v>
      </c>
      <c r="U17" s="265">
        <f>IF(U16="","",-1*U16)</f>
        <v>-449000</v>
      </c>
      <c r="V17" s="265">
        <f>IF(V16="","",-1*V16)</f>
        <v>-6000</v>
      </c>
      <c r="X17" s="265">
        <f>IF(X16="","",-1*X16)</f>
        <v>-22000</v>
      </c>
      <c r="Y17" s="265">
        <f>IF(Y16="","",-1*Y16)</f>
        <v>-440000</v>
      </c>
      <c r="Z17" s="265">
        <f>IF(Z16="","",-1*Z16)</f>
        <v>-466000</v>
      </c>
      <c r="AA17" s="265">
        <f>IF(AA16="","",-1*AA16)</f>
        <v>-259000</v>
      </c>
      <c r="AC17" s="265">
        <f>IF(AC16="","",-1*AC16)</f>
        <v>-530000</v>
      </c>
      <c r="AD17" s="265">
        <f>IF(AD16="","",-1*AD16)</f>
        <v>-398000</v>
      </c>
    </row>
    <row r="18">
      <c r="A18" t="inlineStr">
        <is>
          <t>Lucro atribuído a não controladores (divulgado positivo) [us-gaap:NetIncomeLossAttributableToNoncontrollingInterest] · fonte · unid. moeda</t>
        </is>
      </c>
      <c r="C18" t="inlineStr">
        <is>
          <t>[linha bruta, sem código; lançada nas linhas abaixo]</t>
        </is>
      </c>
      <c r="D18" s="265" t="n">
        <v>24000</v>
      </c>
      <c r="E18" s="265" t="n">
        <v>74000</v>
      </c>
      <c r="F18" s="265" t="n">
        <v>26000</v>
      </c>
      <c r="G18" s="265" t="n">
        <v>-3000</v>
      </c>
      <c r="I18" s="265" t="n">
        <v>5000</v>
      </c>
      <c r="J18" s="265" t="n">
        <v>-2000</v>
      </c>
      <c r="K18" s="265" t="n">
        <v>-5000</v>
      </c>
      <c r="L18" s="265" t="n">
        <v>-6000</v>
      </c>
      <c r="N18" s="265" t="n">
        <v>6000</v>
      </c>
      <c r="O18" s="265" t="n">
        <v>-9000</v>
      </c>
      <c r="P18" s="265" t="n">
        <v>-41000</v>
      </c>
      <c r="Q18" s="265" t="n">
        <v>-2000</v>
      </c>
      <c r="S18" s="265" t="n">
        <v>0</v>
      </c>
      <c r="T18" s="265" t="n">
        <v>-5000</v>
      </c>
      <c r="U18" s="265" t="n">
        <v>-4000</v>
      </c>
      <c r="V18" s="265" t="n">
        <v>-2000</v>
      </c>
      <c r="X18" s="265" t="n">
        <v>11000</v>
      </c>
      <c r="Y18" s="265" t="n">
        <v>-6000</v>
      </c>
      <c r="Z18" s="265" t="n">
        <v>-1000</v>
      </c>
      <c r="AA18" s="265" t="n">
        <v>0</v>
      </c>
      <c r="AC18" s="265" t="n">
        <v>13000</v>
      </c>
      <c r="AD18" s="265" t="n">
        <v>-5000</v>
      </c>
    </row>
    <row r="19">
      <c r="A19" t="inlineStr">
        <is>
          <t>(lançamento) código 9, sinal -1 sobre a linha bruta 18: Lucro atribuído a não controladores (divulgado positivo) [us-gaap:NetIncomeLossAttributabl</t>
        </is>
      </c>
      <c r="B19" t="n">
        <v>9</v>
      </c>
      <c r="C19" t="inlineStr">
        <is>
          <t>Minority Interest Expense, after tax (enter as - )</t>
        </is>
      </c>
      <c r="D19" s="265">
        <f>IF(D18="","",-1*D18)</f>
        <v>-24000</v>
      </c>
      <c r="E19" s="265">
        <f>IF(E18="","",-1*E18)</f>
        <v>-74000</v>
      </c>
      <c r="F19" s="265">
        <f>IF(F18="","",-1*F18)</f>
        <v>-26000</v>
      </c>
      <c r="G19" s="265">
        <f>IF(G18="","",-1*G18)</f>
        <v>3000</v>
      </c>
      <c r="I19" s="265">
        <f>IF(I18="","",-1*I18)</f>
        <v>-5000</v>
      </c>
      <c r="J19" s="265">
        <f>IF(J18="","",-1*J18)</f>
        <v>2000</v>
      </c>
      <c r="K19" s="265">
        <f>IF(K18="","",-1*K18)</f>
        <v>5000</v>
      </c>
      <c r="L19" s="265">
        <f>IF(L18="","",-1*L18)</f>
        <v>6000</v>
      </c>
      <c r="N19" s="265">
        <f>IF(N18="","",-1*N18)</f>
        <v>-6000</v>
      </c>
      <c r="O19" s="265">
        <f>IF(O18="","",-1*O18)</f>
        <v>9000</v>
      </c>
      <c r="P19" s="265">
        <f>IF(P18="","",-1*P18)</f>
        <v>41000</v>
      </c>
      <c r="Q19" s="265">
        <f>IF(Q18="","",-1*Q18)</f>
        <v>2000</v>
      </c>
      <c r="S19" s="265">
        <f>IF(S18="","",-1*S18)</f>
        <v>0</v>
      </c>
      <c r="T19" s="265">
        <f>IF(T18="","",-1*T18)</f>
        <v>5000</v>
      </c>
      <c r="U19" s="265">
        <f>IF(U18="","",-1*U18)</f>
        <v>4000</v>
      </c>
      <c r="V19" s="265">
        <f>IF(V18="","",-1*V18)</f>
        <v>2000</v>
      </c>
      <c r="X19" s="265">
        <f>IF(X18="","",-1*X18)</f>
        <v>-11000</v>
      </c>
      <c r="Y19" s="265">
        <f>IF(Y18="","",-1*Y18)</f>
        <v>6000</v>
      </c>
      <c r="Z19" s="265">
        <f>IF(Z18="","",-1*Z18)</f>
        <v>1000</v>
      </c>
      <c r="AA19" s="265">
        <f>IF(AA18="","",-1*AA18)</f>
        <v>0</v>
      </c>
      <c r="AC19" s="265">
        <f>IF(AC18="","",-1*AC18)</f>
        <v>-13000</v>
      </c>
      <c r="AD19" s="265">
        <f>IF(AD18="","",-1*AD18)</f>
        <v>5000</v>
      </c>
    </row>
    <row r="20">
      <c r="A20" t="inlineStr">
        <is>
          <t>Lucro líquido atribuído à companhia [us-gaap:NetIncomeLoss] · memoria · unid. moeda</t>
        </is>
      </c>
      <c r="C20" t="inlineStr">
        <is>
          <t>[linha bruta, sem código; lançada nas linhas abaixo]</t>
        </is>
      </c>
      <c r="D20" s="265" t="n">
        <v>-793000</v>
      </c>
      <c r="E20" s="265" t="n">
        <v>-61000</v>
      </c>
      <c r="F20" s="265" t="n">
        <v>607000</v>
      </c>
      <c r="G20" s="265" t="n">
        <v>42000</v>
      </c>
      <c r="I20" s="265" t="n">
        <v>106000</v>
      </c>
      <c r="J20" s="265" t="n">
        <v>-111000</v>
      </c>
      <c r="K20" s="265" t="n">
        <v>-188000</v>
      </c>
      <c r="L20" s="265" t="n">
        <v>34000</v>
      </c>
      <c r="N20" s="265" t="n">
        <v>96000</v>
      </c>
      <c r="O20" s="265" t="n">
        <v>833000</v>
      </c>
      <c r="P20" s="265" t="n">
        <v>731000</v>
      </c>
      <c r="Q20" s="265" t="n">
        <v>-37000</v>
      </c>
      <c r="S20" s="265" t="n">
        <v>883000</v>
      </c>
      <c r="T20" s="265" t="n">
        <v>814000</v>
      </c>
      <c r="U20" s="265" t="n">
        <v>1200000</v>
      </c>
      <c r="V20" s="265" t="n">
        <v>852000</v>
      </c>
      <c r="X20" s="265" t="n">
        <v>118000</v>
      </c>
      <c r="Y20" s="265" t="n">
        <v>839000</v>
      </c>
      <c r="Z20" s="265" t="n">
        <v>930000</v>
      </c>
      <c r="AA20" s="265" t="n">
        <v>432000</v>
      </c>
      <c r="AC20" s="265" t="n">
        <v>1590000</v>
      </c>
      <c r="AD20" s="265" t="n">
        <v>513000</v>
      </c>
    </row>
    <row r="21">
      <c r="A21" t="inlineStr">
        <is>
          <t>Resultado após IR não classificado acima (equivalência patrimonial, operações descontinuadas): lucro - (LAIR - IR - minoritários); zero quando não há · derivada · unid. moeda</t>
        </is>
      </c>
      <c r="B21" t="n">
        <v>8</v>
      </c>
      <c r="C21" t="inlineStr">
        <is>
          <t>Equity in Income of Affiliates, after tax (enter as +)</t>
        </is>
      </c>
      <c r="D21" s="265">
        <f>N(D20)-(N(D11)-N(D16)-N(D18))</f>
        <v>-1000</v>
      </c>
      <c r="E21" s="265">
        <f>N(E20)-(N(E11)-N(E16)-N(E18))</f>
        <v>-1000</v>
      </c>
      <c r="F21" s="265">
        <f>N(F20)-(N(F11)-N(F16)-N(F18))</f>
        <v>-4000</v>
      </c>
      <c r="G21" s="265">
        <f>N(G20)-(N(G11)-N(G16)-N(G18))</f>
        <v>-4000</v>
      </c>
      <c r="I21" s="265">
        <f>N(I20)-(N(I11)-N(I16)-N(I18))</f>
        <v>-3000</v>
      </c>
      <c r="J21" s="265">
        <f>N(J20)-(N(J11)-N(J16)-N(J18))</f>
        <v>-3000</v>
      </c>
      <c r="K21" s="265">
        <f>N(K20)-(N(K11)-N(K16)-N(K18))</f>
        <v>-4000</v>
      </c>
      <c r="L21" s="265">
        <f>N(L20)-(N(L11)-N(L16)-N(L18))</f>
        <v>-3000</v>
      </c>
      <c r="N21" s="265">
        <f>N(N20)-(N(N11)-N(N16)-N(N18))</f>
        <v>-5000</v>
      </c>
      <c r="O21" s="265">
        <f>N(O20)-(N(O11)-N(O16)-N(O18))</f>
        <v>-5000</v>
      </c>
      <c r="P21" s="265">
        <f>N(P20)-(N(P11)-N(P16)-N(P18))</f>
        <v>0</v>
      </c>
      <c r="Q21" s="265">
        <f>N(Q20)-(N(Q11)-N(Q16)-N(Q18))</f>
        <v>0</v>
      </c>
      <c r="S21" s="265">
        <f>N(S20)-(N(S11)-N(S16)-N(S18))</f>
        <v>0</v>
      </c>
      <c r="T21" s="265">
        <f>N(T20)-(N(T11)-N(T16)-N(T18))</f>
        <v>-1000</v>
      </c>
      <c r="U21" s="265">
        <f>N(U20)-(N(U11)-N(U16)-N(U18))</f>
        <v>0</v>
      </c>
      <c r="V21" s="265">
        <f>N(V20)-(N(V11)-N(V16)-N(V18))</f>
        <v>-3000</v>
      </c>
      <c r="X21" s="265">
        <f>N(X20)-(N(X11)-N(X16)-N(X18))</f>
        <v>0</v>
      </c>
      <c r="Y21" s="265">
        <f>N(Y20)-(N(Y11)-N(Y16)-N(Y18))</f>
        <v>0</v>
      </c>
      <c r="Z21" s="265">
        <f>N(Z20)-(N(Z11)-N(Z16)-N(Z18))</f>
        <v>0</v>
      </c>
      <c r="AA21" s="265">
        <f>N(AA20)-(N(AA11)-N(AA16)-N(AA18))</f>
        <v>-1000</v>
      </c>
      <c r="AC21" s="265">
        <f>N(AC20)-(N(AC11)-N(AC16)-N(AC18))</f>
        <v>8000</v>
      </c>
      <c r="AD21" s="265">
        <f>N(AD20)-(N(AD11)-N(AD16)-N(AD18))</f>
        <v>6000</v>
      </c>
    </row>
    <row r="22">
      <c r="A22" t="inlineStr">
        <is>
          <t>Lucro líquido (check IS, código 44) · derivada · unid. moeda</t>
        </is>
      </c>
      <c r="B22" t="n">
        <v>44</v>
      </c>
      <c r="C22" t="inlineStr">
        <is>
          <t>Lucro líquido (check IS, código 44)</t>
        </is>
      </c>
      <c r="D22" s="265">
        <f>N(D20)</f>
        <v>-793000</v>
      </c>
      <c r="E22" s="265">
        <f>N(E20)</f>
        <v>-61000</v>
      </c>
      <c r="F22" s="265">
        <f>N(F20)</f>
        <v>607000</v>
      </c>
      <c r="G22" s="265">
        <f>N(G20)</f>
        <v>42000</v>
      </c>
      <c r="I22" s="265">
        <f>N(I20)</f>
        <v>106000</v>
      </c>
      <c r="J22" s="265">
        <f>N(J20)</f>
        <v>-111000</v>
      </c>
      <c r="K22" s="265">
        <f>N(K20)</f>
        <v>-188000</v>
      </c>
      <c r="L22" s="265">
        <f>N(L20)</f>
        <v>34000</v>
      </c>
      <c r="N22" s="265">
        <f>N(N20)</f>
        <v>96000</v>
      </c>
      <c r="O22" s="265">
        <f>N(O20)</f>
        <v>833000</v>
      </c>
      <c r="P22" s="265">
        <f>N(P20)</f>
        <v>731000</v>
      </c>
      <c r="Q22" s="265">
        <f>N(Q20)</f>
        <v>-37000</v>
      </c>
      <c r="S22" s="265">
        <f>N(S20)</f>
        <v>883000</v>
      </c>
      <c r="T22" s="265">
        <f>N(T20)</f>
        <v>814000</v>
      </c>
      <c r="U22" s="265">
        <f>N(U20)</f>
        <v>1200000</v>
      </c>
      <c r="V22" s="265">
        <f>N(V20)</f>
        <v>852000</v>
      </c>
      <c r="X22" s="265">
        <f>N(X20)</f>
        <v>118000</v>
      </c>
      <c r="Y22" s="265">
        <f>N(Y20)</f>
        <v>839000</v>
      </c>
      <c r="Z22" s="265">
        <f>N(Z20)</f>
        <v>930000</v>
      </c>
      <c r="AA22" s="265">
        <f>N(AA20)</f>
        <v>432000</v>
      </c>
      <c r="AC22" s="265">
        <f>N(AC20)</f>
        <v>1590000</v>
      </c>
      <c r="AD22" s="265">
        <f>N(AD20)</f>
        <v>513000</v>
      </c>
    </row>
    <row r="23">
      <c r="A23" t="inlineStr">
        <is>
          <t>DFC - trimestre isolado (desacumulado na extração)</t>
        </is>
      </c>
      <c r="C23" t="inlineStr">
        <is>
          <t>[linha bruta, sem código; lançada nas linhas abaixo]</t>
        </is>
      </c>
      <c r="D23" s="265" t="n"/>
      <c r="E23" s="265" t="n"/>
      <c r="F23" s="265" t="n"/>
      <c r="G23" s="265" t="n"/>
      <c r="I23" s="265" t="n"/>
      <c r="J23" s="265" t="n"/>
      <c r="K23" s="265" t="n"/>
      <c r="L23" s="265" t="n"/>
      <c r="N23" s="265" t="n"/>
      <c r="O23" s="265" t="n"/>
      <c r="P23" s="265" t="n"/>
      <c r="Q23" s="265" t="n"/>
      <c r="S23" s="265" t="n"/>
      <c r="T23" s="265" t="n"/>
      <c r="U23" s="265" t="n"/>
      <c r="V23" s="265" t="n"/>
      <c r="X23" s="265" t="n"/>
      <c r="Y23" s="265" t="n"/>
      <c r="Z23" s="265" t="n"/>
      <c r="AA23" s="265" t="n"/>
      <c r="AC23" s="265" t="n"/>
      <c r="AD23" s="265" t="n"/>
    </row>
    <row r="24">
      <c r="A24" t="inlineStr">
        <is>
          <t>D&amp;A (fluxo de caixa). COD1=4 lança (positivo -&gt; -1); COD2=3 devolve às despesas operacionais (a companhia não abre D&amp;A entre custo e despesa) [us-gaap:DepreciationDepletionAndAmortization/DepreciationAmortizationAndImpairment] · fonte · unid. moeda</t>
        </is>
      </c>
      <c r="C24" t="inlineStr">
        <is>
          <t>[linha bruta, sem código; lançada nas linhas abaixo]</t>
        </is>
      </c>
      <c r="D24" s="265" t="n">
        <v>1346000</v>
      </c>
      <c r="E24" s="265" t="n">
        <v>1340000</v>
      </c>
      <c r="F24" s="265" t="n">
        <v>1265000</v>
      </c>
      <c r="G24" s="265" t="n">
        <v>589000</v>
      </c>
      <c r="I24" s="265" t="n">
        <v>602000</v>
      </c>
      <c r="J24" s="265" t="n">
        <v>605000</v>
      </c>
      <c r="K24" s="265" t="n">
        <v>603000</v>
      </c>
      <c r="L24" s="265" t="n">
        <v>617000</v>
      </c>
      <c r="N24" s="265" t="n">
        <v>605000</v>
      </c>
      <c r="O24" s="265" t="n">
        <v>614000</v>
      </c>
      <c r="P24" s="265" t="n">
        <v>621000</v>
      </c>
      <c r="Q24" s="265" t="n">
        <v>674000</v>
      </c>
      <c r="S24" s="265" t="n">
        <v>694000</v>
      </c>
      <c r="T24" s="265" t="n">
        <v>694000</v>
      </c>
      <c r="U24" s="265" t="n">
        <v>661000</v>
      </c>
      <c r="V24" s="265" t="n">
        <v>651000</v>
      </c>
      <c r="X24" s="265" t="n">
        <v>640000</v>
      </c>
      <c r="Y24" s="265" t="n">
        <v>660000</v>
      </c>
      <c r="Z24" s="265" t="n">
        <v>645000</v>
      </c>
      <c r="AA24" s="265" t="n">
        <v>656000</v>
      </c>
      <c r="AC24" s="265" t="n">
        <v>1202000</v>
      </c>
      <c r="AD24" s="265" t="n">
        <v>1166000</v>
      </c>
    </row>
    <row r="25">
      <c r="A25" t="inlineStr">
        <is>
          <t>(lançamento) código 4, sinal -1 sobre a linha bruta 24: D&amp;A (fluxo de caixa). COD1=4 lança (positivo -&gt; -1); COD2=3 devolve às despesas operaciona</t>
        </is>
      </c>
      <c r="B25" t="n">
        <v>4</v>
      </c>
      <c r="C25" t="inlineStr">
        <is>
          <t>D&amp;A</t>
        </is>
      </c>
      <c r="D25" s="265">
        <f>IF(D24="","",-1*D24)</f>
        <v>-1346000</v>
      </c>
      <c r="E25" s="265">
        <f>IF(E24="","",-1*E24)</f>
        <v>-1340000</v>
      </c>
      <c r="F25" s="265">
        <f>IF(F24="","",-1*F24)</f>
        <v>-1265000</v>
      </c>
      <c r="G25" s="265">
        <f>IF(G24="","",-1*G24)</f>
        <v>-589000</v>
      </c>
      <c r="I25" s="265">
        <f>IF(I24="","",-1*I24)</f>
        <v>-602000</v>
      </c>
      <c r="J25" s="265">
        <f>IF(J24="","",-1*J24)</f>
        <v>-605000</v>
      </c>
      <c r="K25" s="265">
        <f>IF(K24="","",-1*K24)</f>
        <v>-603000</v>
      </c>
      <c r="L25" s="265">
        <f>IF(L24="","",-1*L24)</f>
        <v>-617000</v>
      </c>
      <c r="N25" s="265">
        <f>IF(N24="","",-1*N24)</f>
        <v>-605000</v>
      </c>
      <c r="O25" s="265">
        <f>IF(O24="","",-1*O24)</f>
        <v>-614000</v>
      </c>
      <c r="P25" s="265">
        <f>IF(P24="","",-1*P24)</f>
        <v>-621000</v>
      </c>
      <c r="Q25" s="265">
        <f>IF(Q24="","",-1*Q24)</f>
        <v>-674000</v>
      </c>
      <c r="S25" s="265">
        <f>IF(S24="","",-1*S24)</f>
        <v>-694000</v>
      </c>
      <c r="T25" s="265">
        <f>IF(T24="","",-1*T24)</f>
        <v>-694000</v>
      </c>
      <c r="U25" s="265">
        <f>IF(U24="","",-1*U24)</f>
        <v>-661000</v>
      </c>
      <c r="V25" s="265">
        <f>IF(V24="","",-1*V24)</f>
        <v>-651000</v>
      </c>
      <c r="X25" s="265">
        <f>IF(X24="","",-1*X24)</f>
        <v>-640000</v>
      </c>
      <c r="Y25" s="265">
        <f>IF(Y24="","",-1*Y24)</f>
        <v>-660000</v>
      </c>
      <c r="Z25" s="265">
        <f>IF(Z24="","",-1*Z24)</f>
        <v>-645000</v>
      </c>
      <c r="AA25" s="265">
        <f>IF(AA24="","",-1*AA24)</f>
        <v>-656000</v>
      </c>
      <c r="AC25" s="265">
        <f>IF(AC24="","",-1*AC24)</f>
        <v>-1202000</v>
      </c>
      <c r="AD25" s="265">
        <f>IF(AD24="","",-1*AD24)</f>
        <v>-1166000</v>
      </c>
    </row>
    <row r="26">
      <c r="A26" t="inlineStr">
        <is>
          <t>(lançamento) código 3, sinal +1 sobre a linha bruta 24: D&amp;A (fluxo de caixa). COD1=4 lança (positivo -&gt; -1); COD2=3 devolve às despesas operaciona</t>
        </is>
      </c>
      <c r="B26" t="n">
        <v>3</v>
      </c>
      <c r="C26" t="inlineStr">
        <is>
          <t>SG&amp;A and Other (cash)</t>
        </is>
      </c>
      <c r="D26" s="265">
        <f>IF(D24="","",D24)</f>
        <v>1346000</v>
      </c>
      <c r="E26" s="265">
        <f>IF(E24="","",E24)</f>
        <v>1340000</v>
      </c>
      <c r="F26" s="265">
        <f>IF(F24="","",F24)</f>
        <v>1265000</v>
      </c>
      <c r="G26" s="265">
        <f>IF(G24="","",G24)</f>
        <v>589000</v>
      </c>
      <c r="I26" s="265">
        <f>IF(I24="","",I24)</f>
        <v>602000</v>
      </c>
      <c r="J26" s="265">
        <f>IF(J24="","",J24)</f>
        <v>605000</v>
      </c>
      <c r="K26" s="265">
        <f>IF(K24="","",K24)</f>
        <v>603000</v>
      </c>
      <c r="L26" s="265">
        <f>IF(L24="","",L24)</f>
        <v>617000</v>
      </c>
      <c r="N26" s="265">
        <f>IF(N24="","",N24)</f>
        <v>605000</v>
      </c>
      <c r="O26" s="265">
        <f>IF(O24="","",O24)</f>
        <v>614000</v>
      </c>
      <c r="P26" s="265">
        <f>IF(P24="","",P24)</f>
        <v>621000</v>
      </c>
      <c r="Q26" s="265">
        <f>IF(Q24="","",Q24)</f>
        <v>674000</v>
      </c>
      <c r="S26" s="265">
        <f>IF(S24="","",S24)</f>
        <v>694000</v>
      </c>
      <c r="T26" s="265">
        <f>IF(T24="","",T24)</f>
        <v>694000</v>
      </c>
      <c r="U26" s="265">
        <f>IF(U24="","",U24)</f>
        <v>661000</v>
      </c>
      <c r="V26" s="265">
        <f>IF(V24="","",V24)</f>
        <v>651000</v>
      </c>
      <c r="X26" s="265">
        <f>IF(X24="","",X24)</f>
        <v>640000</v>
      </c>
      <c r="Y26" s="265">
        <f>IF(Y24="","",Y24)</f>
        <v>660000</v>
      </c>
      <c r="Z26" s="265">
        <f>IF(Z24="","",Z24)</f>
        <v>645000</v>
      </c>
      <c r="AA26" s="265">
        <f>IF(AA24="","",AA24)</f>
        <v>656000</v>
      </c>
      <c r="AC26" s="265">
        <f>IF(AC24="","",AC24)</f>
        <v>1202000</v>
      </c>
      <c r="AD26" s="265">
        <f>IF(AD24="","",AD24)</f>
        <v>1166000</v>
      </c>
    </row>
    <row r="27">
      <c r="A27" t="inlineStr">
        <is>
          <t>Dividendos pagos [us-gaap:PaymentsOfDividends] · fonte · unid. moeda</t>
        </is>
      </c>
      <c r="C27" t="inlineStr">
        <is>
          <t>[linha bruta, sem código; lançada nas linhas abaixo]</t>
        </is>
      </c>
      <c r="D27" s="265" t="n">
        <v>0</v>
      </c>
      <c r="E27" s="265" t="n">
        <v>0</v>
      </c>
      <c r="F27" s="265" t="n">
        <v>0</v>
      </c>
      <c r="G27" s="265" t="n">
        <v>0</v>
      </c>
      <c r="I27" s="265" t="n">
        <v>46000</v>
      </c>
      <c r="J27" s="265" t="n">
        <v>47000</v>
      </c>
      <c r="K27" s="265" t="n">
        <v>46000</v>
      </c>
      <c r="L27" s="265" t="n">
        <v>46000</v>
      </c>
      <c r="N27" s="265" t="n">
        <v>93000</v>
      </c>
      <c r="O27" s="265" t="n">
        <v>92000</v>
      </c>
      <c r="P27" s="265" t="n">
        <v>92000</v>
      </c>
      <c r="Q27" s="265" t="n">
        <v>89000</v>
      </c>
      <c r="S27" s="265" t="n">
        <v>112000</v>
      </c>
      <c r="T27" s="265" t="n">
        <v>110000</v>
      </c>
      <c r="U27" s="265" t="n">
        <v>111000</v>
      </c>
      <c r="V27" s="265" t="n">
        <v>111000</v>
      </c>
      <c r="X27" s="265" t="n">
        <v>122000</v>
      </c>
      <c r="Y27" s="265" t="n">
        <v>122000</v>
      </c>
      <c r="Z27" s="265" t="n">
        <v>121000</v>
      </c>
      <c r="AA27" s="265" t="n">
        <v>121000</v>
      </c>
      <c r="AC27" s="265" t="n">
        <v>155000</v>
      </c>
      <c r="AD27" s="265" t="n">
        <v>154000</v>
      </c>
    </row>
    <row r="28">
      <c r="A28" t="inlineStr">
        <is>
          <t>(lançamento) código 10, sinal -1 sobre a linha bruta 27: Dividendos pagos [us-gaap:PaymentsOfDividends]</t>
        </is>
      </c>
      <c r="B28" t="n">
        <v>10</v>
      </c>
      <c r="C28" t="inlineStr">
        <is>
          <t>Common Dividends</t>
        </is>
      </c>
      <c r="D28" s="265">
        <f>IF(D27="","",-1*D27)</f>
        <v>0</v>
      </c>
      <c r="E28" s="265">
        <f>IF(E27="","",-1*E27)</f>
        <v>0</v>
      </c>
      <c r="F28" s="265">
        <f>IF(F27="","",-1*F27)</f>
        <v>0</v>
      </c>
      <c r="G28" s="265">
        <f>IF(G27="","",-1*G27)</f>
        <v>0</v>
      </c>
      <c r="I28" s="265">
        <f>IF(I27="","",-1*I27)</f>
        <v>-46000</v>
      </c>
      <c r="J28" s="265">
        <f>IF(J27="","",-1*J27)</f>
        <v>-47000</v>
      </c>
      <c r="K28" s="265">
        <f>IF(K27="","",-1*K27)</f>
        <v>-46000</v>
      </c>
      <c r="L28" s="265">
        <f>IF(L27="","",-1*L27)</f>
        <v>-46000</v>
      </c>
      <c r="N28" s="265">
        <f>IF(N27="","",-1*N27)</f>
        <v>-93000</v>
      </c>
      <c r="O28" s="265">
        <f>IF(O27="","",-1*O27)</f>
        <v>-92000</v>
      </c>
      <c r="P28" s="265">
        <f>IF(P27="","",-1*P27)</f>
        <v>-92000</v>
      </c>
      <c r="Q28" s="265">
        <f>IF(Q27="","",-1*Q27)</f>
        <v>-89000</v>
      </c>
      <c r="S28" s="265">
        <f>IF(S27="","",-1*S27)</f>
        <v>-112000</v>
      </c>
      <c r="T28" s="265">
        <f>IF(T27="","",-1*T27)</f>
        <v>-110000</v>
      </c>
      <c r="U28" s="265">
        <f>IF(U27="","",-1*U27)</f>
        <v>-111000</v>
      </c>
      <c r="V28" s="265">
        <f>IF(V27="","",-1*V27)</f>
        <v>-111000</v>
      </c>
      <c r="X28" s="265">
        <f>IF(X27="","",-1*X27)</f>
        <v>-122000</v>
      </c>
      <c r="Y28" s="265">
        <f>IF(Y27="","",-1*Y27)</f>
        <v>-122000</v>
      </c>
      <c r="Z28" s="265">
        <f>IF(Z27="","",-1*Z27)</f>
        <v>-121000</v>
      </c>
      <c r="AA28" s="265">
        <f>IF(AA27="","",-1*AA27)</f>
        <v>-121000</v>
      </c>
      <c r="AC28" s="265">
        <f>IF(AC27="","",-1*AC27)</f>
        <v>-155000</v>
      </c>
      <c r="AD28" s="265">
        <f>IF(AD27="","",-1*AD27)</f>
        <v>-154000</v>
      </c>
    </row>
    <row r="29">
      <c r="A29" t="inlineStr">
        <is>
          <t>BALANÇO DE FACE (USD, saldo no fim do trimestre; cada trimestre lido da instância do próprio 10-Q/10-K)</t>
        </is>
      </c>
      <c r="C29" t="inlineStr">
        <is>
          <t>[linha bruta, sem código; lançada nas linhas abaixo]</t>
        </is>
      </c>
      <c r="D29" s="265" t="n"/>
      <c r="E29" s="265" t="n"/>
      <c r="F29" s="265" t="n"/>
      <c r="G29" s="265" t="n"/>
      <c r="I29" s="265" t="n"/>
      <c r="J29" s="265" t="n"/>
      <c r="K29" s="265" t="n"/>
      <c r="L29" s="265" t="n"/>
      <c r="N29" s="265" t="n"/>
      <c r="O29" s="265" t="n"/>
      <c r="P29" s="265" t="n"/>
      <c r="Q29" s="265" t="n"/>
      <c r="S29" s="265" t="n"/>
      <c r="T29" s="265" t="n"/>
      <c r="U29" s="265" t="n"/>
      <c r="V29" s="265" t="n"/>
      <c r="X29" s="265" t="n"/>
      <c r="Y29" s="265" t="n"/>
      <c r="Z29" s="265" t="n"/>
      <c r="AA29" s="265" t="n"/>
      <c r="AC29" s="265" t="n"/>
      <c r="AD29" s="265" t="n"/>
    </row>
    <row r="30">
      <c r="A30" t="inlineStr">
        <is>
          <t>CashCashEquivalentsRestrictedCashAndRestrictedCashEquivalents · fonte · unid. moeda</t>
        </is>
      </c>
      <c r="B30" t="n">
        <v>11</v>
      </c>
      <c r="C30" t="inlineStr">
        <is>
          <t>Cash and equivalents (inc. investment securities)</t>
        </is>
      </c>
      <c r="D30" s="265" t="n">
        <v>0</v>
      </c>
      <c r="E30" s="265" t="n">
        <v>0</v>
      </c>
      <c r="F30" s="265" t="n">
        <v>0</v>
      </c>
      <c r="G30" s="265" t="n">
        <v>576000</v>
      </c>
      <c r="I30" s="265" t="n">
        <v>1696000</v>
      </c>
      <c r="J30" s="265" t="n">
        <v>926000</v>
      </c>
      <c r="K30" s="265" t="n">
        <v>1303000</v>
      </c>
      <c r="L30" s="265" t="n">
        <v>528000</v>
      </c>
      <c r="N30" s="265" t="n">
        <v>336000</v>
      </c>
      <c r="O30" s="265" t="n">
        <v>325000</v>
      </c>
      <c r="P30" s="265" t="n">
        <v>1977000</v>
      </c>
      <c r="Q30" s="265" t="n">
        <v>454000</v>
      </c>
      <c r="S30" s="265" t="n">
        <v>645000</v>
      </c>
      <c r="T30" s="265" t="n">
        <v>383000</v>
      </c>
      <c r="U30" s="265" t="n">
        <v>1882000</v>
      </c>
      <c r="V30" s="265" t="n">
        <v>3129000</v>
      </c>
      <c r="X30" s="265" t="n">
        <v>1942000</v>
      </c>
      <c r="Y30" s="265" t="n">
        <v>2062000</v>
      </c>
      <c r="Z30" s="265" t="n">
        <v>4091000</v>
      </c>
      <c r="AA30" s="265" t="n">
        <v>3748000</v>
      </c>
      <c r="AC30" s="265" t="n">
        <v>1171000</v>
      </c>
      <c r="AD30" s="265" t="n">
        <v>1077000</v>
      </c>
    </row>
    <row r="31">
      <c r="A31" t="inlineStr">
        <is>
          <t>CashAndCashEquivalentsAtCarryingValue · fonte · unid. moeda</t>
        </is>
      </c>
      <c r="B31" t="n">
        <v>11</v>
      </c>
      <c r="C31" t="inlineStr">
        <is>
          <t>Cash and equivalents (inc. investment securities)</t>
        </is>
      </c>
      <c r="D31" s="265" t="n">
        <v>0</v>
      </c>
      <c r="E31" s="265" t="n">
        <v>0</v>
      </c>
      <c r="F31" s="265" t="n">
        <v>0</v>
      </c>
      <c r="G31" s="265" t="n">
        <v>504000</v>
      </c>
      <c r="I31" s="265" t="n">
        <v>1605000</v>
      </c>
      <c r="J31" s="265" t="n">
        <v>806000</v>
      </c>
      <c r="K31" s="265" t="n">
        <v>1192000</v>
      </c>
      <c r="L31" s="265" t="n">
        <v>422000</v>
      </c>
      <c r="N31" s="265" t="n">
        <v>237000</v>
      </c>
      <c r="O31" s="265" t="n">
        <v>269000</v>
      </c>
      <c r="P31" s="265" t="n">
        <v>1889000</v>
      </c>
      <c r="Q31" s="265" t="n">
        <v>368000</v>
      </c>
      <c r="S31" s="265" t="n">
        <v>562000</v>
      </c>
      <c r="T31" s="265" t="n">
        <v>311000</v>
      </c>
      <c r="U31" s="265" t="n">
        <v>1793000</v>
      </c>
      <c r="V31" s="265" t="n">
        <v>3022000</v>
      </c>
      <c r="X31" s="265" t="n">
        <v>1846000</v>
      </c>
      <c r="Y31" s="265" t="n">
        <v>1974000</v>
      </c>
      <c r="Z31" s="265" t="n">
        <v>3959000</v>
      </c>
      <c r="AA31" s="265" t="n">
        <v>3641000</v>
      </c>
      <c r="AC31" s="265" t="n">
        <v>800000</v>
      </c>
      <c r="AD31" s="265" t="n">
        <v>697000</v>
      </c>
    </row>
    <row r="32">
      <c r="A32" t="inlineStr">
        <is>
          <t>AccountsReceivableNetCurrent · fonte · unid. moeda</t>
        </is>
      </c>
      <c r="B32" t="n">
        <v>12</v>
      </c>
      <c r="C32" t="inlineStr">
        <is>
          <t>Accounts receivable</t>
        </is>
      </c>
      <c r="D32" s="265" t="n">
        <v>0</v>
      </c>
      <c r="E32" s="265" t="n">
        <v>0</v>
      </c>
      <c r="F32" s="265" t="n">
        <v>0</v>
      </c>
      <c r="G32" s="265" t="n">
        <v>1669000</v>
      </c>
      <c r="I32" s="265" t="n">
        <v>1936000</v>
      </c>
      <c r="J32" s="265" t="n">
        <v>1734000</v>
      </c>
      <c r="K32" s="265" t="n">
        <v>1819000</v>
      </c>
      <c r="L32" s="265" t="n">
        <v>2585000</v>
      </c>
      <c r="N32" s="265" t="n">
        <v>2147000</v>
      </c>
      <c r="O32" s="265" t="n">
        <v>1306000</v>
      </c>
      <c r="P32" s="265" t="n">
        <v>1541000</v>
      </c>
      <c r="Q32" s="265" t="n">
        <v>1934000</v>
      </c>
      <c r="S32" s="265" t="n">
        <v>1855000</v>
      </c>
      <c r="T32" s="265" t="n">
        <v>1578000</v>
      </c>
      <c r="U32" s="265" t="n">
        <v>1208000</v>
      </c>
      <c r="V32" s="265" t="n">
        <v>3116000</v>
      </c>
      <c r="X32" s="265" t="n">
        <v>3193000</v>
      </c>
      <c r="Y32" s="265" t="n">
        <v>2947000</v>
      </c>
      <c r="Z32" s="265" t="n">
        <v>3168000</v>
      </c>
      <c r="AA32" s="265" t="n">
        <v>4266000</v>
      </c>
      <c r="AC32" s="265" t="n">
        <v>4414000</v>
      </c>
      <c r="AD32" s="265" t="n">
        <v>4661000</v>
      </c>
    </row>
    <row r="33">
      <c r="A33" t="inlineStr">
        <is>
          <t>InventoryNet · fonte · unid. moeda</t>
        </is>
      </c>
      <c r="B33" t="n">
        <v>13</v>
      </c>
      <c r="C33" t="inlineStr">
        <is>
          <t>Inventories</t>
        </is>
      </c>
      <c r="D33" s="265" t="n">
        <v>0</v>
      </c>
      <c r="E33" s="265" t="n">
        <v>0</v>
      </c>
      <c r="F33" s="265" t="n">
        <v>0</v>
      </c>
      <c r="G33" s="265" t="n">
        <v>0</v>
      </c>
      <c r="I33" s="265" t="n">
        <v>0</v>
      </c>
      <c r="J33" s="265" t="n">
        <v>0</v>
      </c>
      <c r="K33" s="265" t="n">
        <v>0</v>
      </c>
      <c r="L33" s="265" t="n">
        <v>0</v>
      </c>
      <c r="N33" s="265" t="n">
        <v>0</v>
      </c>
      <c r="O33" s="265" t="n">
        <v>0</v>
      </c>
      <c r="P33" s="265" t="n">
        <v>0</v>
      </c>
      <c r="Q33" s="265" t="n">
        <v>0</v>
      </c>
      <c r="S33" s="265" t="n">
        <v>0</v>
      </c>
      <c r="T33" s="265" t="n">
        <v>0</v>
      </c>
      <c r="U33" s="265" t="n">
        <v>0</v>
      </c>
      <c r="V33" s="265" t="n">
        <v>0</v>
      </c>
      <c r="X33" s="265" t="n">
        <v>0</v>
      </c>
      <c r="Y33" s="265" t="n">
        <v>0</v>
      </c>
      <c r="Z33" s="265" t="n">
        <v>0</v>
      </c>
      <c r="AA33" s="265" t="n">
        <v>1736000</v>
      </c>
      <c r="AC33" s="265" t="n">
        <v>2582000</v>
      </c>
      <c r="AD33" s="265" t="n">
        <v>3368000</v>
      </c>
    </row>
    <row r="34">
      <c r="A34" t="inlineStr">
        <is>
          <t>DeferredIncomeTaxAssetsNet · fonte · unid. moeda</t>
        </is>
      </c>
      <c r="B34" t="n">
        <v>14</v>
      </c>
      <c r="C34" t="inlineStr">
        <is>
          <t>Deferred income taxes</t>
        </is>
      </c>
      <c r="D34" s="265" t="n">
        <v>0</v>
      </c>
      <c r="E34" s="265" t="n">
        <v>0</v>
      </c>
      <c r="F34" s="265" t="n">
        <v>0</v>
      </c>
      <c r="G34" s="265" t="n">
        <v>32000</v>
      </c>
      <c r="I34" s="265" t="n">
        <v>36000</v>
      </c>
      <c r="J34" s="265" t="n">
        <v>34000</v>
      </c>
      <c r="K34" s="265" t="n">
        <v>23000</v>
      </c>
      <c r="L34" s="265" t="n">
        <v>44000</v>
      </c>
      <c r="N34" s="265" t="n">
        <v>45000</v>
      </c>
      <c r="O34" s="265" t="n">
        <v>43000</v>
      </c>
      <c r="P34" s="265" t="n">
        <v>43000</v>
      </c>
      <c r="Q34" s="265" t="n">
        <v>52000</v>
      </c>
      <c r="S34" s="265" t="n">
        <v>38000</v>
      </c>
      <c r="T34" s="265" t="n">
        <v>25000</v>
      </c>
      <c r="U34" s="265" t="n">
        <v>35000</v>
      </c>
      <c r="V34" s="265" t="n">
        <v>0</v>
      </c>
      <c r="X34" s="265" t="n">
        <v>0</v>
      </c>
      <c r="Y34" s="265" t="n">
        <v>0</v>
      </c>
      <c r="Z34" s="265" t="n">
        <v>0</v>
      </c>
      <c r="AA34" s="265" t="n">
        <v>0</v>
      </c>
      <c r="AC34" s="265" t="n">
        <v>0</v>
      </c>
      <c r="AD34" s="265" t="n">
        <v>0</v>
      </c>
    </row>
    <row r="35">
      <c r="A35" t="inlineStr">
        <is>
          <t>RestrictedCashAndCashEquivalentsAtCarryingValue · fonte · unid. moeda</t>
        </is>
      </c>
      <c r="B35" t="n">
        <v>16</v>
      </c>
      <c r="C35" t="inlineStr">
        <is>
          <t>Other current assets</t>
        </is>
      </c>
      <c r="D35" s="265" t="n">
        <v>0</v>
      </c>
      <c r="E35" s="265" t="n">
        <v>0</v>
      </c>
      <c r="F35" s="265" t="n">
        <v>0</v>
      </c>
      <c r="G35" s="265" t="n">
        <v>72000</v>
      </c>
      <c r="I35" s="265" t="n">
        <v>91000</v>
      </c>
      <c r="J35" s="265" t="n">
        <v>120000</v>
      </c>
      <c r="K35" s="265" t="n">
        <v>111000</v>
      </c>
      <c r="L35" s="265" t="n">
        <v>106000</v>
      </c>
      <c r="N35" s="265" t="n">
        <v>99000</v>
      </c>
      <c r="O35" s="265" t="n">
        <v>56000</v>
      </c>
      <c r="P35" s="265" t="n">
        <v>88000</v>
      </c>
      <c r="Q35" s="265" t="n">
        <v>86000</v>
      </c>
      <c r="S35" s="265" t="n">
        <v>83000</v>
      </c>
      <c r="T35" s="265" t="n">
        <v>72000</v>
      </c>
      <c r="U35" s="265" t="n">
        <v>89000</v>
      </c>
      <c r="V35" s="265" t="n">
        <v>107000</v>
      </c>
      <c r="X35" s="265" t="n">
        <v>96000</v>
      </c>
      <c r="Y35" s="265" t="n">
        <v>88000</v>
      </c>
      <c r="Z35" s="265" t="n">
        <v>132000</v>
      </c>
      <c r="AA35" s="265" t="n">
        <v>107000</v>
      </c>
      <c r="AC35" s="265" t="n">
        <v>371000</v>
      </c>
      <c r="AD35" s="265" t="n">
        <v>380000</v>
      </c>
    </row>
    <row r="36">
      <c r="A36" t="inlineStr">
        <is>
          <t>OtherReceivablesNetCurrent · fonte · unid. moeda</t>
        </is>
      </c>
      <c r="B36" t="n">
        <v>16</v>
      </c>
      <c r="C36" t="inlineStr">
        <is>
          <t>Other current assets</t>
        </is>
      </c>
      <c r="D36" s="265" t="n">
        <v>0</v>
      </c>
      <c r="E36" s="265" t="n">
        <v>0</v>
      </c>
      <c r="F36" s="265" t="n">
        <v>0</v>
      </c>
      <c r="G36" s="265" t="n">
        <v>592000</v>
      </c>
      <c r="I36" s="265" t="n">
        <v>334000</v>
      </c>
      <c r="J36" s="265" t="n">
        <v>385000</v>
      </c>
      <c r="K36" s="265" t="n">
        <v>579000</v>
      </c>
      <c r="L36" s="265" t="n">
        <v>731000</v>
      </c>
      <c r="N36" s="265" t="n">
        <v>542000</v>
      </c>
      <c r="O36" s="265" t="n">
        <v>646000</v>
      </c>
      <c r="P36" s="265" t="n">
        <v>723000</v>
      </c>
      <c r="Q36" s="265" t="n">
        <v>917000</v>
      </c>
      <c r="S36" s="265" t="n">
        <v>472000</v>
      </c>
      <c r="T36" s="265" t="n">
        <v>633000</v>
      </c>
      <c r="U36" s="265" t="n">
        <v>557000</v>
      </c>
      <c r="V36" s="265" t="n">
        <v>602000</v>
      </c>
      <c r="X36" s="265" t="n">
        <v>444000</v>
      </c>
      <c r="Y36" s="265" t="n">
        <v>571000</v>
      </c>
      <c r="Z36" s="265" t="n">
        <v>612000</v>
      </c>
      <c r="AA36" s="265" t="n">
        <v>0</v>
      </c>
      <c r="AC36" s="265" t="n">
        <v>0</v>
      </c>
      <c r="AD36" s="265" t="n">
        <v>0</v>
      </c>
    </row>
    <row r="37">
      <c r="A37" t="inlineStr">
        <is>
          <t>DerivativeAssetsCurrent · fonte · unid. moeda</t>
        </is>
      </c>
      <c r="B37" t="n">
        <v>16</v>
      </c>
      <c r="C37" t="inlineStr">
        <is>
          <t>Other current assets</t>
        </is>
      </c>
      <c r="D37" s="265" t="n">
        <v>0</v>
      </c>
      <c r="E37" s="265" t="n">
        <v>0</v>
      </c>
      <c r="F37" s="265" t="n">
        <v>0</v>
      </c>
      <c r="G37" s="265" t="n">
        <v>2169000</v>
      </c>
      <c r="I37" s="265" t="n">
        <v>1775000</v>
      </c>
      <c r="J37" s="265" t="n">
        <v>1990000</v>
      </c>
      <c r="K37" s="265" t="n">
        <v>2557000</v>
      </c>
      <c r="L37" s="265" t="n">
        <v>2368000</v>
      </c>
      <c r="N37" s="265" t="n">
        <v>1952000</v>
      </c>
      <c r="O37" s="265" t="n">
        <v>1733000</v>
      </c>
      <c r="P37" s="265" t="n">
        <v>1467000</v>
      </c>
      <c r="Q37" s="265" t="n">
        <v>1179000</v>
      </c>
      <c r="S37" s="265" t="n">
        <v>1232000</v>
      </c>
      <c r="T37" s="265" t="n">
        <v>935000</v>
      </c>
      <c r="U37" s="265" t="n">
        <v>632000</v>
      </c>
      <c r="V37" s="265" t="n">
        <v>843000</v>
      </c>
      <c r="X37" s="265" t="n">
        <v>858000</v>
      </c>
      <c r="Y37" s="265" t="n">
        <v>726000</v>
      </c>
      <c r="Z37" s="265" t="n">
        <v>632000</v>
      </c>
      <c r="AA37" s="265" t="n">
        <v>945000</v>
      </c>
      <c r="AC37" s="265" t="n">
        <v>1795000</v>
      </c>
      <c r="AD37" s="265" t="n">
        <v>2167000</v>
      </c>
    </row>
    <row r="38">
      <c r="A38" t="inlineStr">
        <is>
          <t>AccountsReceivableRelatedPartiesCurrent · fonte · unid. moeda</t>
        </is>
      </c>
      <c r="B38" t="n">
        <v>16</v>
      </c>
      <c r="C38" t="inlineStr">
        <is>
          <t>Other current assets</t>
        </is>
      </c>
      <c r="D38" s="265" t="n">
        <v>0</v>
      </c>
      <c r="E38" s="265" t="n">
        <v>0</v>
      </c>
      <c r="F38" s="265" t="n">
        <v>0</v>
      </c>
      <c r="G38" s="265" t="n">
        <v>160000</v>
      </c>
      <c r="I38" s="265" t="n">
        <v>0</v>
      </c>
      <c r="J38" s="265" t="n">
        <v>0</v>
      </c>
      <c r="K38" s="265" t="n">
        <v>0</v>
      </c>
      <c r="L38" s="265" t="n">
        <v>0</v>
      </c>
      <c r="N38" s="265" t="n">
        <v>0</v>
      </c>
      <c r="O38" s="265" t="n">
        <v>0</v>
      </c>
      <c r="P38" s="265" t="n">
        <v>0</v>
      </c>
      <c r="Q38" s="265" t="n">
        <v>0</v>
      </c>
      <c r="S38" s="265" t="n">
        <v>0</v>
      </c>
      <c r="T38" s="265" t="n">
        <v>0</v>
      </c>
      <c r="U38" s="265" t="n">
        <v>0</v>
      </c>
      <c r="V38" s="265" t="n">
        <v>0</v>
      </c>
      <c r="X38" s="265" t="n">
        <v>0</v>
      </c>
      <c r="Y38" s="265" t="n">
        <v>0</v>
      </c>
      <c r="Z38" s="265" t="n">
        <v>0</v>
      </c>
      <c r="AA38" s="265" t="n">
        <v>0</v>
      </c>
      <c r="AC38" s="265" t="n">
        <v>0</v>
      </c>
      <c r="AD38" s="265" t="n">
        <v>0</v>
      </c>
    </row>
    <row r="39">
      <c r="A39" t="inlineStr">
        <is>
          <t>EnergyRelatedInventoryNaturalGasInStorage · fonte · unid. moeda</t>
        </is>
      </c>
      <c r="B39" t="n">
        <v>16</v>
      </c>
      <c r="C39" t="inlineStr">
        <is>
          <t>Other current assets</t>
        </is>
      </c>
      <c r="D39" s="265" t="n">
        <v>0</v>
      </c>
      <c r="E39" s="265" t="n">
        <v>0</v>
      </c>
      <c r="F39" s="265" t="n">
        <v>0</v>
      </c>
      <c r="G39" s="265" t="n">
        <v>284000</v>
      </c>
      <c r="I39" s="265" t="n">
        <v>212000</v>
      </c>
      <c r="J39" s="265" t="n">
        <v>357000</v>
      </c>
      <c r="K39" s="265" t="n">
        <v>422000</v>
      </c>
      <c r="L39" s="265" t="n">
        <v>429000</v>
      </c>
      <c r="N39" s="265" t="n">
        <v>259000</v>
      </c>
      <c r="O39" s="265" t="n">
        <v>278000</v>
      </c>
      <c r="P39" s="265" t="n">
        <v>289000</v>
      </c>
      <c r="Q39" s="265" t="n">
        <v>284000</v>
      </c>
      <c r="S39" s="265" t="n">
        <v>179000</v>
      </c>
      <c r="T39" s="265" t="n">
        <v>201000</v>
      </c>
      <c r="U39" s="265" t="n">
        <v>209000</v>
      </c>
      <c r="V39" s="265" t="n">
        <v>243000</v>
      </c>
      <c r="X39" s="265" t="n">
        <v>148000</v>
      </c>
      <c r="Y39" s="265" t="n">
        <v>200000</v>
      </c>
      <c r="Z39" s="265" t="n">
        <v>242000</v>
      </c>
      <c r="AA39" s="265" t="n">
        <v>0</v>
      </c>
      <c r="AC39" s="265" t="n">
        <v>0</v>
      </c>
      <c r="AD39" s="265" t="n">
        <v>0</v>
      </c>
    </row>
    <row r="40">
      <c r="A40" t="inlineStr">
        <is>
          <t>InventoryRawMaterialsAndSuppliesNetOfReserves · fonte · unid. moeda</t>
        </is>
      </c>
      <c r="B40" t="n">
        <v>16</v>
      </c>
      <c r="C40" t="inlineStr">
        <is>
          <t>Other current assets</t>
        </is>
      </c>
      <c r="D40" s="265" t="n">
        <v>0</v>
      </c>
      <c r="E40" s="265" t="n">
        <v>0</v>
      </c>
      <c r="F40" s="265" t="n">
        <v>0</v>
      </c>
      <c r="G40" s="265" t="n">
        <v>1004000</v>
      </c>
      <c r="I40" s="265" t="n">
        <v>999000</v>
      </c>
      <c r="J40" s="265" t="n">
        <v>1026000</v>
      </c>
      <c r="K40" s="265" t="n">
        <v>1042000</v>
      </c>
      <c r="L40" s="265" t="n">
        <v>1076000</v>
      </c>
      <c r="N40" s="265" t="n">
        <v>1085000</v>
      </c>
      <c r="O40" s="265" t="n">
        <v>1109000</v>
      </c>
      <c r="P40" s="265" t="n">
        <v>1133000</v>
      </c>
      <c r="Q40" s="265" t="n">
        <v>1216000</v>
      </c>
      <c r="S40" s="265" t="n">
        <v>1206000</v>
      </c>
      <c r="T40" s="265" t="n">
        <v>1241000</v>
      </c>
      <c r="U40" s="265" t="n">
        <v>1263000</v>
      </c>
      <c r="V40" s="265" t="n">
        <v>1357000</v>
      </c>
      <c r="X40" s="265" t="n">
        <v>1354000</v>
      </c>
      <c r="Y40" s="265" t="n">
        <v>1385000</v>
      </c>
      <c r="Z40" s="265" t="n">
        <v>1422000</v>
      </c>
      <c r="AA40" s="265" t="n">
        <v>0</v>
      </c>
      <c r="AC40" s="265" t="n">
        <v>0</v>
      </c>
      <c r="AD40" s="265" t="n">
        <v>0</v>
      </c>
    </row>
    <row r="41">
      <c r="A41" t="inlineStr">
        <is>
          <t>RenewableEnergyCreditsCurrent · fonte · unid. moeda</t>
        </is>
      </c>
      <c r="B41" t="n">
        <v>16</v>
      </c>
      <c r="C41" t="inlineStr">
        <is>
          <t>Other current assets</t>
        </is>
      </c>
      <c r="D41" s="265" t="n">
        <v>0</v>
      </c>
      <c r="E41" s="265" t="n">
        <v>0</v>
      </c>
      <c r="F41" s="265" t="n">
        <v>0</v>
      </c>
      <c r="G41" s="265" t="n">
        <v>520000</v>
      </c>
      <c r="I41" s="265" t="n">
        <v>577000</v>
      </c>
      <c r="J41" s="265" t="n">
        <v>355000</v>
      </c>
      <c r="K41" s="265" t="n">
        <v>524000</v>
      </c>
      <c r="L41" s="265" t="n">
        <v>617000</v>
      </c>
      <c r="N41" s="265" t="n">
        <v>720000</v>
      </c>
      <c r="O41" s="265" t="n">
        <v>436000</v>
      </c>
      <c r="P41" s="265" t="n">
        <v>593000</v>
      </c>
      <c r="Q41" s="265" t="n">
        <v>660000</v>
      </c>
      <c r="S41" s="265" t="n">
        <v>805000</v>
      </c>
      <c r="T41" s="265" t="n">
        <v>487000</v>
      </c>
      <c r="U41" s="265" t="n">
        <v>700000</v>
      </c>
      <c r="V41" s="265" t="n">
        <v>797000</v>
      </c>
      <c r="X41" s="265" t="n">
        <v>914000</v>
      </c>
      <c r="Y41" s="265" t="n">
        <v>628000</v>
      </c>
      <c r="Z41" s="265" t="n">
        <v>786000</v>
      </c>
      <c r="AA41" s="265" t="n">
        <v>789000</v>
      </c>
      <c r="AC41" s="265" t="n">
        <v>1038000</v>
      </c>
      <c r="AD41" s="265" t="n">
        <v>784000</v>
      </c>
    </row>
    <row r="42">
      <c r="A42" t="inlineStr">
        <is>
          <t>OtherAssetsCurrent · fonte · unid. moeda</t>
        </is>
      </c>
      <c r="B42" t="n">
        <v>16</v>
      </c>
      <c r="C42" t="inlineStr">
        <is>
          <t>Other current assets</t>
        </is>
      </c>
      <c r="D42" s="265" t="n">
        <v>0</v>
      </c>
      <c r="E42" s="265" t="n">
        <v>0</v>
      </c>
      <c r="F42" s="265" t="n">
        <v>0</v>
      </c>
      <c r="G42" s="265" t="n">
        <v>1007000</v>
      </c>
      <c r="I42" s="265" t="n">
        <v>1238000</v>
      </c>
      <c r="J42" s="265" t="n">
        <v>1317000</v>
      </c>
      <c r="K42" s="265" t="n">
        <v>1607000</v>
      </c>
      <c r="L42" s="265" t="n">
        <v>1026000</v>
      </c>
      <c r="N42" s="265" t="n">
        <v>1067000</v>
      </c>
      <c r="O42" s="265" t="n">
        <v>1742000</v>
      </c>
      <c r="P42" s="265" t="n">
        <v>2179000</v>
      </c>
      <c r="Q42" s="265" t="n">
        <v>1655000</v>
      </c>
      <c r="S42" s="265" t="n">
        <v>2066000</v>
      </c>
      <c r="T42" s="265" t="n">
        <v>2394000</v>
      </c>
      <c r="U42" s="265" t="n">
        <v>2819000</v>
      </c>
      <c r="V42" s="265" t="n">
        <v>689000</v>
      </c>
      <c r="X42" s="265" t="n">
        <v>778000</v>
      </c>
      <c r="Y42" s="265" t="n">
        <v>714000</v>
      </c>
      <c r="Z42" s="265" t="n">
        <v>696000</v>
      </c>
      <c r="AA42" s="265" t="n">
        <v>635000</v>
      </c>
      <c r="AC42" s="265" t="n">
        <v>1274000</v>
      </c>
      <c r="AD42" s="265" t="n">
        <v>1165000</v>
      </c>
    </row>
    <row r="43">
      <c r="A43" t="inlineStr">
        <is>
          <t>AssetsOfDisposalGroupIncludingDiscontinuedOperationCurrent · fonte · unid. moeda</t>
        </is>
      </c>
      <c r="B43" t="n">
        <v>16</v>
      </c>
      <c r="C43" t="inlineStr">
        <is>
          <t>Other current assets</t>
        </is>
      </c>
      <c r="D43" s="265" t="n">
        <v>0</v>
      </c>
      <c r="E43" s="265" t="n">
        <v>0</v>
      </c>
      <c r="F43" s="265" t="n">
        <v>0</v>
      </c>
      <c r="G43" s="265" t="n">
        <v>0</v>
      </c>
      <c r="I43" s="265" t="n">
        <v>0</v>
      </c>
      <c r="J43" s="265" t="n">
        <v>0</v>
      </c>
      <c r="K43" s="265" t="n">
        <v>0</v>
      </c>
      <c r="L43" s="265" t="n">
        <v>0</v>
      </c>
      <c r="N43" s="265" t="n">
        <v>0</v>
      </c>
      <c r="O43" s="265" t="n">
        <v>0</v>
      </c>
      <c r="P43" s="265" t="n">
        <v>0</v>
      </c>
      <c r="Q43" s="265" t="n">
        <v>0</v>
      </c>
      <c r="S43" s="265" t="n">
        <v>0</v>
      </c>
      <c r="T43" s="265" t="n">
        <v>0</v>
      </c>
      <c r="U43" s="265" t="n">
        <v>0</v>
      </c>
      <c r="V43" s="265" t="n">
        <v>0</v>
      </c>
      <c r="X43" s="265" t="n">
        <v>0</v>
      </c>
      <c r="Y43" s="265" t="n">
        <v>0</v>
      </c>
      <c r="Z43" s="265" t="n">
        <v>0</v>
      </c>
      <c r="AA43" s="265" t="n">
        <v>0</v>
      </c>
      <c r="AC43" s="265" t="n">
        <v>5735000</v>
      </c>
      <c r="AD43" s="265" t="n">
        <v>5743000</v>
      </c>
    </row>
    <row r="44">
      <c r="A44" t="inlineStr">
        <is>
          <t>PropertyPlantAndEquipmentNet · fonte · unid. moeda</t>
        </is>
      </c>
      <c r="B44" t="n">
        <v>18</v>
      </c>
      <c r="C44" t="inlineStr">
        <is>
          <t>PP&amp;E</t>
        </is>
      </c>
      <c r="D44" s="265" t="n">
        <v>0</v>
      </c>
      <c r="E44" s="265" t="n">
        <v>0</v>
      </c>
      <c r="F44" s="265" t="n">
        <v>0</v>
      </c>
      <c r="G44" s="265" t="n">
        <v>19612000</v>
      </c>
      <c r="I44" s="265" t="n">
        <v>19837000</v>
      </c>
      <c r="J44" s="265" t="n">
        <v>19739000</v>
      </c>
      <c r="K44" s="265" t="n">
        <v>19705000</v>
      </c>
      <c r="L44" s="265" t="n">
        <v>19822000</v>
      </c>
      <c r="N44" s="265" t="n">
        <v>20074000</v>
      </c>
      <c r="O44" s="265" t="n">
        <v>20239000</v>
      </c>
      <c r="P44" s="265" t="n">
        <v>20849000</v>
      </c>
      <c r="Q44" s="265" t="n">
        <v>22116000</v>
      </c>
      <c r="S44" s="265" t="n">
        <v>22446000</v>
      </c>
      <c r="T44" s="265" t="n">
        <v>21973000</v>
      </c>
      <c r="U44" s="265" t="n">
        <v>20892000</v>
      </c>
      <c r="V44" s="265" t="n">
        <v>21235000</v>
      </c>
      <c r="X44" s="265" t="n">
        <v>21566000</v>
      </c>
      <c r="Y44" s="265" t="n">
        <v>21820000</v>
      </c>
      <c r="Z44" s="265" t="n">
        <v>21990000</v>
      </c>
      <c r="AA44" s="265" t="n">
        <v>22474000</v>
      </c>
      <c r="AC44" s="265" t="n">
        <v>40769000</v>
      </c>
      <c r="AD44" s="265" t="n">
        <v>41228000</v>
      </c>
    </row>
    <row r="45">
      <c r="A45" t="inlineStr">
        <is>
          <t>Goodwill · fonte · unid. moeda</t>
        </is>
      </c>
      <c r="B45" t="n">
        <v>20</v>
      </c>
      <c r="C45" t="inlineStr">
        <is>
          <t>Goodwill</t>
        </is>
      </c>
      <c r="D45" s="265" t="n">
        <v>0</v>
      </c>
      <c r="E45" s="265" t="n">
        <v>0</v>
      </c>
      <c r="F45" s="265" t="n">
        <v>0</v>
      </c>
      <c r="G45" s="265" t="n">
        <v>0</v>
      </c>
      <c r="I45" s="265" t="n">
        <v>0</v>
      </c>
      <c r="J45" s="265" t="n">
        <v>0</v>
      </c>
      <c r="K45" s="265" t="n">
        <v>0</v>
      </c>
      <c r="L45" s="265" t="n">
        <v>0</v>
      </c>
      <c r="N45" s="265" t="n">
        <v>0</v>
      </c>
      <c r="O45" s="265" t="n">
        <v>0</v>
      </c>
      <c r="P45" s="265" t="n">
        <v>0</v>
      </c>
      <c r="Q45" s="265" t="n">
        <v>425000</v>
      </c>
      <c r="S45" s="265" t="n">
        <v>425000</v>
      </c>
      <c r="T45" s="265" t="n">
        <v>420000</v>
      </c>
      <c r="U45" s="265" t="n">
        <v>420000</v>
      </c>
      <c r="V45" s="265" t="n">
        <v>420000</v>
      </c>
      <c r="X45" s="265" t="n">
        <v>420000</v>
      </c>
      <c r="Y45" s="265" t="n">
        <v>420000</v>
      </c>
      <c r="Z45" s="265" t="n">
        <v>420000</v>
      </c>
      <c r="AA45" s="265" t="n">
        <v>420000</v>
      </c>
      <c r="AC45" s="265" t="n">
        <v>11527000</v>
      </c>
      <c r="AD45" s="265" t="n">
        <v>11527000</v>
      </c>
    </row>
    <row r="46">
      <c r="A46" t="inlineStr">
        <is>
          <t>DecommissioningFundInvestments · fonte · unid. moeda</t>
        </is>
      </c>
      <c r="B46" t="n">
        <v>22</v>
      </c>
      <c r="C46" t="inlineStr">
        <is>
          <t>Other non-current assets</t>
        </is>
      </c>
      <c r="D46" s="265" t="n">
        <v>0</v>
      </c>
      <c r="E46" s="265" t="n">
        <v>0</v>
      </c>
      <c r="F46" s="265" t="n">
        <v>0</v>
      </c>
      <c r="G46" s="265" t="n">
        <v>15938000</v>
      </c>
      <c r="I46" s="265" t="n">
        <v>15272000</v>
      </c>
      <c r="J46" s="265" t="n">
        <v>14001000</v>
      </c>
      <c r="K46" s="265" t="n">
        <v>13453000</v>
      </c>
      <c r="L46" s="265" t="n">
        <v>14114000</v>
      </c>
      <c r="N46" s="265" t="n">
        <v>14606000</v>
      </c>
      <c r="O46" s="265" t="n">
        <v>14821000</v>
      </c>
      <c r="P46" s="265" t="n">
        <v>14573000</v>
      </c>
      <c r="Q46" s="265" t="n">
        <v>16398000</v>
      </c>
      <c r="S46" s="265" t="n">
        <v>16916000</v>
      </c>
      <c r="T46" s="265" t="n">
        <v>16883000</v>
      </c>
      <c r="U46" s="265" t="n">
        <v>17694000</v>
      </c>
      <c r="V46" s="265" t="n">
        <v>17305000</v>
      </c>
      <c r="X46" s="265" t="n">
        <v>17472000</v>
      </c>
      <c r="Y46" s="265" t="n">
        <v>18289000</v>
      </c>
      <c r="Z46" s="265" t="n">
        <v>18985000</v>
      </c>
      <c r="AA46" s="265" t="n">
        <v>19336000</v>
      </c>
      <c r="AC46" s="265" t="n">
        <v>19366000</v>
      </c>
      <c r="AD46" s="265" t="n">
        <v>20492000</v>
      </c>
    </row>
    <row r="47">
      <c r="A47" t="inlineStr">
        <is>
          <t>LongTermInvestments · fonte · unid. moeda</t>
        </is>
      </c>
      <c r="B47" t="n">
        <v>22</v>
      </c>
      <c r="C47" t="inlineStr">
        <is>
          <t>Other non-current assets</t>
        </is>
      </c>
      <c r="D47" s="265" t="n">
        <v>0</v>
      </c>
      <c r="E47" s="265" t="n">
        <v>0</v>
      </c>
      <c r="F47" s="265" t="n">
        <v>0</v>
      </c>
      <c r="G47" s="265" t="n">
        <v>174000</v>
      </c>
      <c r="I47" s="265" t="n">
        <v>217000</v>
      </c>
      <c r="J47" s="265" t="n">
        <v>211000</v>
      </c>
      <c r="K47" s="265" t="n">
        <v>193000</v>
      </c>
      <c r="L47" s="265" t="n">
        <v>202000</v>
      </c>
      <c r="N47" s="265" t="n">
        <v>223000</v>
      </c>
      <c r="O47" s="265" t="n">
        <v>647000</v>
      </c>
      <c r="P47" s="265" t="n">
        <v>727000</v>
      </c>
      <c r="Q47" s="265" t="n">
        <v>563000</v>
      </c>
      <c r="S47" s="265" t="n">
        <v>623000</v>
      </c>
      <c r="T47" s="265" t="n">
        <v>584000</v>
      </c>
      <c r="U47" s="265" t="n">
        <v>494000</v>
      </c>
      <c r="V47" s="265" t="n">
        <v>640000</v>
      </c>
      <c r="X47" s="265" t="n">
        <v>386000</v>
      </c>
      <c r="Y47" s="265" t="n">
        <v>398000</v>
      </c>
      <c r="Z47" s="265" t="n">
        <v>427000</v>
      </c>
      <c r="AA47" s="265" t="n">
        <v>0</v>
      </c>
      <c r="AC47" s="265" t="n">
        <v>0</v>
      </c>
      <c r="AD47" s="265" t="n">
        <v>0</v>
      </c>
    </row>
    <row r="48">
      <c r="A48" t="inlineStr">
        <is>
          <t>DerivativeAssetsNoncurrent · fonte · unid. moeda</t>
        </is>
      </c>
      <c r="B48" t="n">
        <v>22</v>
      </c>
      <c r="C48" t="inlineStr">
        <is>
          <t>Other non-current assets</t>
        </is>
      </c>
      <c r="D48" s="265" t="n">
        <v>0</v>
      </c>
      <c r="E48" s="265" t="n">
        <v>0</v>
      </c>
      <c r="F48" s="265" t="n">
        <v>0</v>
      </c>
      <c r="G48" s="265" t="n">
        <v>949000</v>
      </c>
      <c r="I48" s="265" t="n">
        <v>565000</v>
      </c>
      <c r="J48" s="265" t="n">
        <v>1121000</v>
      </c>
      <c r="K48" s="265" t="n">
        <v>1252000</v>
      </c>
      <c r="L48" s="265" t="n">
        <v>1261000</v>
      </c>
      <c r="N48" s="265" t="n">
        <v>1125000</v>
      </c>
      <c r="O48" s="265" t="n">
        <v>1067000</v>
      </c>
      <c r="P48" s="265" t="n">
        <v>970000</v>
      </c>
      <c r="Q48" s="265" t="n">
        <v>995000</v>
      </c>
      <c r="S48" s="265" t="n">
        <v>774000</v>
      </c>
      <c r="T48" s="265" t="n">
        <v>993000</v>
      </c>
      <c r="U48" s="265" t="n">
        <v>732000</v>
      </c>
      <c r="V48" s="265" t="n">
        <v>372000</v>
      </c>
      <c r="X48" s="265" t="n">
        <v>485000</v>
      </c>
      <c r="Y48" s="265" t="n">
        <v>527000</v>
      </c>
      <c r="Z48" s="265" t="n">
        <v>459000</v>
      </c>
      <c r="AA48" s="265" t="n">
        <v>450000</v>
      </c>
      <c r="AC48" s="265" t="n">
        <v>2113000</v>
      </c>
      <c r="AD48" s="265" t="n">
        <v>1741000</v>
      </c>
    </row>
    <row r="49">
      <c r="A49" t="inlineStr">
        <is>
          <t>DefinedBenefitPlanAssetsForPlanBenefitsNoncurrent · fonte · unid. moeda</t>
        </is>
      </c>
      <c r="B49" t="n">
        <v>22</v>
      </c>
      <c r="C49" t="inlineStr">
        <is>
          <t>Other non-current assets</t>
        </is>
      </c>
      <c r="D49" s="265" t="n">
        <v>0</v>
      </c>
      <c r="E49" s="265" t="n">
        <v>0</v>
      </c>
      <c r="F49" s="265" t="n">
        <v>0</v>
      </c>
      <c r="G49" s="265" t="n">
        <v>1683000</v>
      </c>
      <c r="I49" s="265" t="n">
        <v>0</v>
      </c>
      <c r="J49" s="265" t="n">
        <v>0</v>
      </c>
      <c r="K49" s="265" t="n">
        <v>0</v>
      </c>
      <c r="L49" s="265" t="n">
        <v>0</v>
      </c>
      <c r="N49" s="265" t="n">
        <v>0</v>
      </c>
      <c r="O49" s="265" t="n">
        <v>0</v>
      </c>
      <c r="P49" s="265" t="n">
        <v>0</v>
      </c>
      <c r="Q49" s="265" t="n">
        <v>0</v>
      </c>
      <c r="S49" s="265" t="n">
        <v>0</v>
      </c>
      <c r="T49" s="265" t="n">
        <v>0</v>
      </c>
      <c r="U49" s="265" t="n">
        <v>0</v>
      </c>
      <c r="V49" s="265" t="n">
        <v>0</v>
      </c>
      <c r="X49" s="265" t="n">
        <v>0</v>
      </c>
      <c r="Y49" s="265" t="n">
        <v>0</v>
      </c>
      <c r="Z49" s="265" t="n">
        <v>0</v>
      </c>
      <c r="AA49" s="265" t="n">
        <v>0</v>
      </c>
      <c r="AC49" s="265" t="n">
        <v>0</v>
      </c>
      <c r="AD49" s="265" t="n">
        <v>0</v>
      </c>
    </row>
    <row r="50">
      <c r="A50" t="inlineStr">
        <is>
          <t>OtherAssetsNoncurrent · fonte · unid. moeda</t>
        </is>
      </c>
      <c r="B50" t="n">
        <v>22</v>
      </c>
      <c r="C50" t="inlineStr">
        <is>
          <t>Other non-current assets</t>
        </is>
      </c>
      <c r="D50" s="265" t="n">
        <v>0</v>
      </c>
      <c r="E50" s="265" t="n">
        <v>0</v>
      </c>
      <c r="F50" s="265" t="n">
        <v>0</v>
      </c>
      <c r="G50" s="265" t="n">
        <v>1717000</v>
      </c>
      <c r="I50" s="265" t="n">
        <v>2152000</v>
      </c>
      <c r="J50" s="265" t="n">
        <v>2137000</v>
      </c>
      <c r="K50" s="265" t="n">
        <v>2137000</v>
      </c>
      <c r="L50" s="265" t="n">
        <v>2106000</v>
      </c>
      <c r="N50" s="265" t="n">
        <v>1977000</v>
      </c>
      <c r="O50" s="265" t="n">
        <v>2167000</v>
      </c>
      <c r="P50" s="265" t="n">
        <v>1901000</v>
      </c>
      <c r="Q50" s="265" t="n">
        <v>1910000</v>
      </c>
      <c r="S50" s="265" t="n">
        <v>2332000</v>
      </c>
      <c r="T50" s="265" t="n">
        <v>2610000</v>
      </c>
      <c r="U50" s="265" t="n">
        <v>2297000</v>
      </c>
      <c r="V50" s="265" t="n">
        <v>2178000</v>
      </c>
      <c r="X50" s="265" t="n">
        <v>2292000</v>
      </c>
      <c r="Y50" s="265" t="n">
        <v>2351000</v>
      </c>
      <c r="Z50" s="265" t="n">
        <v>2231000</v>
      </c>
      <c r="AA50" s="265" t="n">
        <v>2450000</v>
      </c>
      <c r="AC50" s="265" t="n">
        <v>5127000</v>
      </c>
      <c r="AD50" s="265" t="n">
        <v>4300000</v>
      </c>
    </row>
    <row r="51">
      <c r="A51" t="inlineStr">
        <is>
          <t>AccountsPayableCurrent · fonte · unid. moeda</t>
        </is>
      </c>
      <c r="B51" t="n">
        <v>23</v>
      </c>
      <c r="C51" t="inlineStr">
        <is>
          <t>Accounts payable</t>
        </is>
      </c>
      <c r="D51" s="265" t="n">
        <v>0</v>
      </c>
      <c r="E51" s="265" t="n">
        <v>0</v>
      </c>
      <c r="F51" s="265" t="n">
        <v>0</v>
      </c>
      <c r="G51" s="265" t="n">
        <v>1757000</v>
      </c>
      <c r="I51" s="265" t="n">
        <v>1847000</v>
      </c>
      <c r="J51" s="265" t="n">
        <v>2160000</v>
      </c>
      <c r="K51" s="265" t="n">
        <v>2597000</v>
      </c>
      <c r="L51" s="265" t="n">
        <v>2828000</v>
      </c>
      <c r="N51" s="265" t="n">
        <v>1558000</v>
      </c>
      <c r="O51" s="265" t="n">
        <v>1260000</v>
      </c>
      <c r="P51" s="265" t="n">
        <v>0</v>
      </c>
      <c r="Q51" s="265" t="n">
        <v>0</v>
      </c>
      <c r="S51" s="265" t="n">
        <v>0</v>
      </c>
      <c r="T51" s="265" t="n">
        <v>0</v>
      </c>
      <c r="U51" s="265" t="n">
        <v>0</v>
      </c>
      <c r="V51" s="265" t="n">
        <v>0</v>
      </c>
      <c r="X51" s="265" t="n">
        <v>0</v>
      </c>
      <c r="Y51" s="265" t="n">
        <v>0</v>
      </c>
      <c r="Z51" s="265" t="n">
        <v>0</v>
      </c>
      <c r="AA51" s="265" t="n">
        <v>0</v>
      </c>
      <c r="AC51" s="265" t="n">
        <v>0</v>
      </c>
      <c r="AD51" s="265" t="n">
        <v>0</v>
      </c>
    </row>
    <row r="52">
      <c r="A52" t="inlineStr">
        <is>
          <t>AccountsPayableAndAccruedLiabilitiesCurrent · fonte · unid. moeda</t>
        </is>
      </c>
      <c r="B52" t="n">
        <v>23</v>
      </c>
      <c r="C52" t="inlineStr">
        <is>
          <t>Accounts payable</t>
        </is>
      </c>
      <c r="D52" s="265" t="n">
        <v>0</v>
      </c>
      <c r="E52" s="265" t="n">
        <v>0</v>
      </c>
      <c r="F52" s="265" t="n">
        <v>0</v>
      </c>
      <c r="G52" s="265" t="n">
        <v>0</v>
      </c>
      <c r="I52" s="265" t="n">
        <v>0</v>
      </c>
      <c r="J52" s="265" t="n">
        <v>0</v>
      </c>
      <c r="K52" s="265" t="n">
        <v>0</v>
      </c>
      <c r="L52" s="265" t="n">
        <v>0</v>
      </c>
      <c r="N52" s="265" t="n">
        <v>0</v>
      </c>
      <c r="O52" s="265" t="n">
        <v>0</v>
      </c>
      <c r="P52" s="265" t="n">
        <v>2252000</v>
      </c>
      <c r="Q52" s="265" t="n">
        <v>2612000</v>
      </c>
      <c r="S52" s="265" t="n">
        <v>2417000</v>
      </c>
      <c r="T52" s="265" t="n">
        <v>2422000</v>
      </c>
      <c r="U52" s="265" t="n">
        <v>2685000</v>
      </c>
      <c r="V52" s="265" t="n">
        <v>3943000</v>
      </c>
      <c r="X52" s="265" t="n">
        <v>3614000</v>
      </c>
      <c r="Y52" s="265" t="n">
        <v>3659000</v>
      </c>
      <c r="Z52" s="265" t="n">
        <v>3926000</v>
      </c>
      <c r="AA52" s="265" t="n">
        <v>4294000</v>
      </c>
      <c r="AC52" s="265" t="n">
        <v>4449000</v>
      </c>
      <c r="AD52" s="265" t="n">
        <v>4432000</v>
      </c>
    </row>
    <row r="53">
      <c r="A53" t="inlineStr">
        <is>
          <t>AccruedLiabilitiesCurrent · fonte · unid. moeda</t>
        </is>
      </c>
      <c r="B53" t="n">
        <v>24</v>
      </c>
      <c r="C53" t="inlineStr">
        <is>
          <t>Accrued expenses</t>
        </is>
      </c>
      <c r="D53" s="265" t="n">
        <v>0</v>
      </c>
      <c r="E53" s="265" t="n">
        <v>0</v>
      </c>
      <c r="F53" s="265" t="n">
        <v>0</v>
      </c>
      <c r="G53" s="265" t="n">
        <v>737000</v>
      </c>
      <c r="I53" s="265" t="n">
        <v>803000</v>
      </c>
      <c r="J53" s="265" t="n">
        <v>749000</v>
      </c>
      <c r="K53" s="265" t="n">
        <v>933000</v>
      </c>
      <c r="L53" s="265" t="n">
        <v>906000</v>
      </c>
      <c r="N53" s="265" t="n">
        <v>743000</v>
      </c>
      <c r="O53" s="265" t="n">
        <v>744000</v>
      </c>
      <c r="P53" s="265" t="n">
        <v>0</v>
      </c>
      <c r="Q53" s="265" t="n">
        <v>0</v>
      </c>
      <c r="S53" s="265" t="n">
        <v>0</v>
      </c>
      <c r="T53" s="265" t="n">
        <v>0</v>
      </c>
      <c r="U53" s="265" t="n">
        <v>0</v>
      </c>
      <c r="V53" s="265" t="n">
        <v>0</v>
      </c>
      <c r="X53" s="265" t="n">
        <v>0</v>
      </c>
      <c r="Y53" s="265" t="n">
        <v>0</v>
      </c>
      <c r="Z53" s="265" t="n">
        <v>0</v>
      </c>
      <c r="AA53" s="265" t="n">
        <v>0</v>
      </c>
      <c r="AC53" s="265" t="n">
        <v>0</v>
      </c>
      <c r="AD53" s="265" t="n">
        <v>0</v>
      </c>
    </row>
    <row r="54">
      <c r="A54" t="inlineStr">
        <is>
          <t>AccountsPayableRelatedPartiesCurrent · fonte · unid. moeda</t>
        </is>
      </c>
      <c r="B54" t="n">
        <v>26</v>
      </c>
      <c r="C54" t="inlineStr">
        <is>
          <t>Other current liabilities (non-debt)</t>
        </is>
      </c>
      <c r="D54" s="265" t="n">
        <v>0</v>
      </c>
      <c r="E54" s="265" t="n">
        <v>0</v>
      </c>
      <c r="F54" s="265" t="n">
        <v>0</v>
      </c>
      <c r="G54" s="265" t="n">
        <v>131000</v>
      </c>
      <c r="I54" s="265" t="n">
        <v>0</v>
      </c>
      <c r="J54" s="265" t="n">
        <v>0</v>
      </c>
      <c r="K54" s="265" t="n">
        <v>0</v>
      </c>
      <c r="L54" s="265" t="n">
        <v>0</v>
      </c>
      <c r="N54" s="265" t="n">
        <v>0</v>
      </c>
      <c r="O54" s="265" t="n">
        <v>0</v>
      </c>
      <c r="P54" s="265" t="n">
        <v>0</v>
      </c>
      <c r="Q54" s="265" t="n">
        <v>0</v>
      </c>
      <c r="S54" s="265" t="n">
        <v>0</v>
      </c>
      <c r="T54" s="265" t="n">
        <v>0</v>
      </c>
      <c r="U54" s="265" t="n">
        <v>0</v>
      </c>
      <c r="V54" s="265" t="n">
        <v>0</v>
      </c>
      <c r="X54" s="265" t="n">
        <v>0</v>
      </c>
      <c r="Y54" s="265" t="n">
        <v>0</v>
      </c>
      <c r="Z54" s="265" t="n">
        <v>0</v>
      </c>
      <c r="AA54" s="265" t="n">
        <v>0</v>
      </c>
      <c r="AC54" s="265" t="n">
        <v>0</v>
      </c>
      <c r="AD54" s="265" t="n">
        <v>0</v>
      </c>
    </row>
    <row r="55">
      <c r="A55" t="inlineStr">
        <is>
          <t>DerivativeLiabilitiesCurrent · fonte · unid. moeda</t>
        </is>
      </c>
      <c r="B55" t="n">
        <v>26</v>
      </c>
      <c r="C55" t="inlineStr">
        <is>
          <t>Other current liabilities (non-debt)</t>
        </is>
      </c>
      <c r="D55" s="265" t="n">
        <v>0</v>
      </c>
      <c r="E55" s="265" t="n">
        <v>0</v>
      </c>
      <c r="F55" s="265" t="n">
        <v>0</v>
      </c>
      <c r="G55" s="265" t="n">
        <v>981000</v>
      </c>
      <c r="I55" s="265" t="n">
        <v>1469000</v>
      </c>
      <c r="J55" s="265" t="n">
        <v>1673000</v>
      </c>
      <c r="K55" s="265" t="n">
        <v>2392000</v>
      </c>
      <c r="L55" s="265" t="n">
        <v>1558000</v>
      </c>
      <c r="N55" s="265" t="n">
        <v>1573000</v>
      </c>
      <c r="O55" s="265" t="n">
        <v>1179000</v>
      </c>
      <c r="P55" s="265" t="n">
        <v>1108000</v>
      </c>
      <c r="Q55" s="265" t="n">
        <v>632000</v>
      </c>
      <c r="S55" s="265" t="n">
        <v>667000</v>
      </c>
      <c r="T55" s="265" t="n">
        <v>563000</v>
      </c>
      <c r="U55" s="265" t="n">
        <v>502000</v>
      </c>
      <c r="V55" s="265" t="n">
        <v>467000</v>
      </c>
      <c r="X55" s="265" t="n">
        <v>550000</v>
      </c>
      <c r="Y55" s="265" t="n">
        <v>407000</v>
      </c>
      <c r="Z55" s="265" t="n">
        <v>474000</v>
      </c>
      <c r="AA55" s="265" t="n">
        <v>467000</v>
      </c>
      <c r="AC55" s="265" t="n">
        <v>810000</v>
      </c>
      <c r="AD55" s="265" t="n">
        <v>716000</v>
      </c>
    </row>
    <row r="56">
      <c r="A56" t="inlineStr">
        <is>
          <t>EnergyMarketingAccountsPayable · fonte · unid. moeda</t>
        </is>
      </c>
      <c r="B56" t="n">
        <v>26</v>
      </c>
      <c r="C56" t="inlineStr">
        <is>
          <t>Other current liabilities (non-debt)</t>
        </is>
      </c>
      <c r="D56" s="265" t="n">
        <v>0</v>
      </c>
      <c r="E56" s="265" t="n">
        <v>0</v>
      </c>
      <c r="F56" s="265" t="n">
        <v>0</v>
      </c>
      <c r="G56" s="265" t="n">
        <v>777000</v>
      </c>
      <c r="I56" s="265" t="n">
        <v>727000</v>
      </c>
      <c r="J56" s="265" t="n">
        <v>587000</v>
      </c>
      <c r="K56" s="265" t="n">
        <v>773000</v>
      </c>
      <c r="L56" s="265" t="n">
        <v>901000</v>
      </c>
      <c r="N56" s="265" t="n">
        <v>865000</v>
      </c>
      <c r="O56" s="265" t="n">
        <v>673000</v>
      </c>
      <c r="P56" s="265" t="n">
        <v>857000</v>
      </c>
      <c r="Q56" s="265" t="n">
        <v>972000</v>
      </c>
      <c r="S56" s="265" t="n">
        <v>895000</v>
      </c>
      <c r="T56" s="265" t="n">
        <v>730000</v>
      </c>
      <c r="U56" s="265" t="n">
        <v>909000</v>
      </c>
      <c r="V56" s="265" t="n">
        <v>1076000</v>
      </c>
      <c r="X56" s="265" t="n">
        <v>1001000</v>
      </c>
      <c r="Y56" s="265" t="n">
        <v>806000</v>
      </c>
      <c r="Z56" s="265" t="n">
        <v>956000</v>
      </c>
      <c r="AA56" s="265" t="n">
        <v>1075000</v>
      </c>
      <c r="AC56" s="265" t="n">
        <v>1193000</v>
      </c>
      <c r="AD56" s="265" t="n">
        <v>927000</v>
      </c>
    </row>
    <row r="57">
      <c r="A57" t="inlineStr">
        <is>
          <t>OtherLiabilitiesCurrent · fonte · unid. moeda</t>
        </is>
      </c>
      <c r="B57" t="n">
        <v>26</v>
      </c>
      <c r="C57" t="inlineStr">
        <is>
          <t>Other current liabilities (non-debt)</t>
        </is>
      </c>
      <c r="D57" s="265" t="n">
        <v>0</v>
      </c>
      <c r="E57" s="265" t="n">
        <v>0</v>
      </c>
      <c r="F57" s="265" t="n">
        <v>0</v>
      </c>
      <c r="G57" s="265" t="n">
        <v>311000</v>
      </c>
      <c r="I57" s="265" t="n">
        <v>317000</v>
      </c>
      <c r="J57" s="265" t="n">
        <v>325000</v>
      </c>
      <c r="K57" s="265" t="n">
        <v>318000</v>
      </c>
      <c r="L57" s="265" t="n">
        <v>344000</v>
      </c>
      <c r="N57" s="265" t="n">
        <v>342000</v>
      </c>
      <c r="O57" s="265" t="n">
        <v>324000</v>
      </c>
      <c r="P57" s="265" t="n">
        <v>403000</v>
      </c>
      <c r="Q57" s="265" t="n">
        <v>338000</v>
      </c>
      <c r="S57" s="265" t="n">
        <v>312000</v>
      </c>
      <c r="T57" s="265" t="n">
        <v>371000</v>
      </c>
      <c r="U57" s="265" t="n">
        <v>322000</v>
      </c>
      <c r="V57" s="265" t="n">
        <v>332000</v>
      </c>
      <c r="X57" s="265" t="n">
        <v>343000</v>
      </c>
      <c r="Y57" s="265" t="n">
        <v>359000</v>
      </c>
      <c r="Z57" s="265" t="n">
        <v>331000</v>
      </c>
      <c r="AA57" s="265" t="n">
        <v>366000</v>
      </c>
      <c r="AC57" s="265" t="n">
        <v>1291000</v>
      </c>
      <c r="AD57" s="265" t="n">
        <v>1368000</v>
      </c>
    </row>
    <row r="58">
      <c r="A58" t="inlineStr">
        <is>
          <t>ShortTermBorrowings · fonte · unid. moeda</t>
        </is>
      </c>
      <c r="B58" t="n">
        <v>27</v>
      </c>
      <c r="C58" t="inlineStr">
        <is>
          <t>Current portion of long-term debt</t>
        </is>
      </c>
      <c r="D58" s="265" t="n">
        <v>0</v>
      </c>
      <c r="E58" s="265" t="n">
        <v>0</v>
      </c>
      <c r="F58" s="265" t="n">
        <v>0</v>
      </c>
      <c r="G58" s="265" t="n">
        <v>2082000</v>
      </c>
      <c r="I58" s="265" t="n">
        <v>1080000</v>
      </c>
      <c r="J58" s="265" t="n">
        <v>200000</v>
      </c>
      <c r="K58" s="265" t="n">
        <v>693000</v>
      </c>
      <c r="L58" s="265" t="n">
        <v>1159000</v>
      </c>
      <c r="N58" s="265" t="n">
        <v>705000</v>
      </c>
      <c r="O58" s="265" t="n">
        <v>935000</v>
      </c>
      <c r="P58" s="265" t="n">
        <v>527000</v>
      </c>
      <c r="Q58" s="265" t="n">
        <v>1644000</v>
      </c>
      <c r="S58" s="265" t="n">
        <v>1509000</v>
      </c>
      <c r="T58" s="265" t="n">
        <v>680000</v>
      </c>
      <c r="U58" s="265" t="n">
        <v>0</v>
      </c>
      <c r="V58" s="265" t="n">
        <v>0</v>
      </c>
      <c r="X58" s="265" t="n">
        <v>0</v>
      </c>
      <c r="Y58" s="265" t="n">
        <v>900000</v>
      </c>
      <c r="Z58" s="265" t="n">
        <v>1650000</v>
      </c>
      <c r="AA58" s="265" t="n">
        <v>1650000</v>
      </c>
      <c r="AC58" s="265" t="n">
        <v>5102000</v>
      </c>
      <c r="AD58" s="265" t="n">
        <v>5226000</v>
      </c>
    </row>
    <row r="59">
      <c r="A59" t="inlineStr">
        <is>
          <t>LongTermDebtAndCapitalLeaseObligationsCurrent · fonte · unid. moeda</t>
        </is>
      </c>
      <c r="B59" t="n">
        <v>27</v>
      </c>
      <c r="C59" t="inlineStr">
        <is>
          <t>Current portion of long-term debt</t>
        </is>
      </c>
      <c r="D59" s="265" t="n">
        <v>0</v>
      </c>
      <c r="E59" s="265" t="n">
        <v>0</v>
      </c>
      <c r="F59" s="265" t="n">
        <v>0</v>
      </c>
      <c r="G59" s="265" t="n">
        <v>1220000</v>
      </c>
      <c r="I59" s="265" t="n">
        <v>191000</v>
      </c>
      <c r="J59" s="265" t="n">
        <v>184000</v>
      </c>
      <c r="K59" s="265" t="n">
        <v>181000</v>
      </c>
      <c r="L59" s="265" t="n">
        <v>143000</v>
      </c>
      <c r="N59" s="265" t="n">
        <v>161000</v>
      </c>
      <c r="O59" s="265" t="n">
        <v>110000</v>
      </c>
      <c r="P59" s="265" t="n">
        <v>116000</v>
      </c>
      <c r="Q59" s="265" t="n">
        <v>121000</v>
      </c>
      <c r="S59" s="265" t="n">
        <v>122000</v>
      </c>
      <c r="T59" s="265" t="n">
        <v>1035000</v>
      </c>
      <c r="U59" s="265" t="n">
        <v>1034000</v>
      </c>
      <c r="V59" s="265" t="n">
        <v>1028000</v>
      </c>
      <c r="X59" s="265" t="n">
        <v>1037000</v>
      </c>
      <c r="Y59" s="265" t="n">
        <v>125000</v>
      </c>
      <c r="Z59" s="265" t="n">
        <v>118000</v>
      </c>
      <c r="AA59" s="265" t="n">
        <v>92000</v>
      </c>
      <c r="AC59" s="265" t="n">
        <v>370000</v>
      </c>
      <c r="AD59" s="265" t="n">
        <v>363000</v>
      </c>
    </row>
    <row r="60">
      <c r="A60" t="inlineStr">
        <is>
          <t>LongTermDebtNoncurrent · fonte · unid. moeda</t>
        </is>
      </c>
      <c r="B60" t="n">
        <v>30</v>
      </c>
      <c r="C60" t="inlineStr">
        <is>
          <t>Long term debt</t>
        </is>
      </c>
      <c r="D60" s="265" t="n">
        <v>0</v>
      </c>
      <c r="E60" s="265" t="n">
        <v>0</v>
      </c>
      <c r="F60" s="265" t="n">
        <v>0</v>
      </c>
      <c r="G60" s="265" t="n">
        <v>4575000</v>
      </c>
      <c r="I60" s="265" t="n">
        <v>4548000</v>
      </c>
      <c r="J60" s="265" t="n">
        <v>4507000</v>
      </c>
      <c r="K60" s="265" t="n">
        <v>4480000</v>
      </c>
      <c r="L60" s="265" t="n">
        <v>4466000</v>
      </c>
      <c r="N60" s="265" t="n">
        <v>5763000</v>
      </c>
      <c r="O60" s="265" t="n">
        <v>6156000</v>
      </c>
      <c r="P60" s="265" t="n">
        <v>7512000</v>
      </c>
      <c r="Q60" s="265" t="n">
        <v>7496000</v>
      </c>
      <c r="S60" s="265" t="n">
        <v>8352000</v>
      </c>
      <c r="T60" s="265" t="n">
        <v>7409000</v>
      </c>
      <c r="U60" s="265" t="n">
        <v>7378000</v>
      </c>
      <c r="V60" s="265" t="n">
        <v>7384000</v>
      </c>
      <c r="X60" s="265" t="n">
        <v>7321000</v>
      </c>
      <c r="Y60" s="265" t="n">
        <v>7286000</v>
      </c>
      <c r="Z60" s="265" t="n">
        <v>7269000</v>
      </c>
      <c r="AA60" s="265" t="n">
        <v>7250000</v>
      </c>
      <c r="AC60" s="265" t="n">
        <v>16994000</v>
      </c>
      <c r="AD60" s="265" t="n">
        <v>19111000</v>
      </c>
    </row>
    <row r="61">
      <c r="A61" t="inlineStr">
        <is>
          <t>DueToAffiliateNoncurrent · fonte · unid. moeda</t>
        </is>
      </c>
      <c r="B61" t="n">
        <v>34</v>
      </c>
      <c r="C61" t="inlineStr">
        <is>
          <t>Other non-current liabilities</t>
        </is>
      </c>
      <c r="D61" s="265" t="n">
        <v>0</v>
      </c>
      <c r="E61" s="265" t="n">
        <v>0</v>
      </c>
      <c r="F61" s="265" t="n">
        <v>0</v>
      </c>
      <c r="G61" s="265" t="n">
        <v>319000</v>
      </c>
      <c r="I61" s="265" t="n">
        <v>0</v>
      </c>
      <c r="J61" s="265" t="n">
        <v>0</v>
      </c>
      <c r="K61" s="265" t="n">
        <v>0</v>
      </c>
      <c r="L61" s="265" t="n">
        <v>0</v>
      </c>
      <c r="N61" s="265" t="n">
        <v>0</v>
      </c>
      <c r="O61" s="265" t="n">
        <v>0</v>
      </c>
      <c r="P61" s="265" t="n">
        <v>0</v>
      </c>
      <c r="Q61" s="265" t="n">
        <v>0</v>
      </c>
      <c r="S61" s="265" t="n">
        <v>0</v>
      </c>
      <c r="T61" s="265" t="n">
        <v>0</v>
      </c>
      <c r="U61" s="265" t="n">
        <v>0</v>
      </c>
      <c r="V61" s="265" t="n">
        <v>0</v>
      </c>
      <c r="X61" s="265" t="n">
        <v>0</v>
      </c>
      <c r="Y61" s="265" t="n">
        <v>0</v>
      </c>
      <c r="Z61" s="265" t="n">
        <v>0</v>
      </c>
      <c r="AA61" s="265" t="n">
        <v>0</v>
      </c>
      <c r="AC61" s="265" t="n">
        <v>0</v>
      </c>
      <c r="AD61" s="265" t="n">
        <v>0</v>
      </c>
    </row>
    <row r="62">
      <c r="A62" t="inlineStr">
        <is>
          <t>DeferredIncomeTaxesAndOtherTaxLiabilitiesNoncurrent · fonte · unid. moeda</t>
        </is>
      </c>
      <c r="B62" t="n">
        <v>34</v>
      </c>
      <c r="C62" t="inlineStr">
        <is>
          <t>Other non-current liabilities</t>
        </is>
      </c>
      <c r="D62" s="265" t="n">
        <v>0</v>
      </c>
      <c r="E62" s="265" t="n">
        <v>0</v>
      </c>
      <c r="F62" s="265" t="n">
        <v>0</v>
      </c>
      <c r="G62" s="265" t="n">
        <v>3703000</v>
      </c>
      <c r="I62" s="265" t="n">
        <v>3247000</v>
      </c>
      <c r="J62" s="265" t="n">
        <v>2855000</v>
      </c>
      <c r="K62" s="265" t="n">
        <v>2647000</v>
      </c>
      <c r="L62" s="265" t="n">
        <v>3031000</v>
      </c>
      <c r="N62" s="265" t="n">
        <v>2982000</v>
      </c>
      <c r="O62" s="265" t="n">
        <v>3203000</v>
      </c>
      <c r="P62" s="265" t="n">
        <v>3208000</v>
      </c>
      <c r="Q62" s="265" t="n">
        <v>3209000</v>
      </c>
      <c r="S62" s="265" t="n">
        <v>3208000</v>
      </c>
      <c r="T62" s="265" t="n">
        <v>3377000</v>
      </c>
      <c r="U62" s="265" t="n">
        <v>3554000</v>
      </c>
      <c r="V62" s="265" t="n">
        <v>3331000</v>
      </c>
      <c r="X62" s="265" t="n">
        <v>3226000</v>
      </c>
      <c r="Y62" s="265" t="n">
        <v>3348000</v>
      </c>
      <c r="Z62" s="265" t="n">
        <v>3578000</v>
      </c>
      <c r="AA62" s="265" t="n">
        <v>3544000</v>
      </c>
      <c r="AC62" s="265" t="n">
        <v>8199000</v>
      </c>
      <c r="AD62" s="265" t="n">
        <v>8513000</v>
      </c>
    </row>
    <row r="63">
      <c r="A63" t="inlineStr">
        <is>
          <t>AssetRetirementObligationsExcludingSpentNuclearFuelNoncurrent · fonte · unid. moeda</t>
        </is>
      </c>
      <c r="B63" t="n">
        <v>34</v>
      </c>
      <c r="C63" t="inlineStr">
        <is>
          <t>Other non-current liabilities</t>
        </is>
      </c>
      <c r="D63" s="265" t="n">
        <v>0</v>
      </c>
      <c r="E63" s="265" t="n">
        <v>0</v>
      </c>
      <c r="F63" s="265" t="n">
        <v>0</v>
      </c>
      <c r="G63" s="265" t="n">
        <v>12819000</v>
      </c>
      <c r="I63" s="265" t="n">
        <v>13276000</v>
      </c>
      <c r="J63" s="265" t="n">
        <v>13402000</v>
      </c>
      <c r="K63" s="265" t="n">
        <v>12564000</v>
      </c>
      <c r="L63" s="265" t="n">
        <v>12699000</v>
      </c>
      <c r="N63" s="265" t="n">
        <v>12831000</v>
      </c>
      <c r="O63" s="265" t="n">
        <v>12971000</v>
      </c>
      <c r="P63" s="265" t="n">
        <v>13797000</v>
      </c>
      <c r="Q63" s="265" t="n">
        <v>14118000</v>
      </c>
      <c r="S63" s="265" t="n">
        <v>14278000</v>
      </c>
      <c r="T63" s="265" t="n">
        <v>13510000</v>
      </c>
      <c r="U63" s="265" t="n">
        <v>12322000</v>
      </c>
      <c r="V63" s="265" t="n">
        <v>12449000</v>
      </c>
      <c r="X63" s="265" t="n">
        <v>12524000</v>
      </c>
      <c r="Y63" s="265" t="n">
        <v>12679000</v>
      </c>
      <c r="Z63" s="265" t="n">
        <v>13032000</v>
      </c>
      <c r="AA63" s="265" t="n">
        <v>13193000</v>
      </c>
      <c r="AC63" s="265" t="n">
        <v>12433000</v>
      </c>
      <c r="AD63" s="265" t="n">
        <v>12612000</v>
      </c>
    </row>
    <row r="64">
      <c r="A64" t="inlineStr">
        <is>
          <t>DefinedBenefitPensionPlanLiabilitiesNoncurrent · fonte · unid. moeda</t>
        </is>
      </c>
      <c r="B64" t="n">
        <v>34</v>
      </c>
      <c r="C64" t="inlineStr">
        <is>
          <t>Other non-current liabilities</t>
        </is>
      </c>
      <c r="D64" s="265" t="n">
        <v>0</v>
      </c>
      <c r="E64" s="265" t="n">
        <v>0</v>
      </c>
      <c r="F64" s="265" t="n">
        <v>0</v>
      </c>
      <c r="G64" s="265" t="n">
        <v>0</v>
      </c>
      <c r="I64" s="265" t="n">
        <v>722000</v>
      </c>
      <c r="J64" s="265" t="n">
        <v>682000</v>
      </c>
      <c r="K64" s="265" t="n">
        <v>636000</v>
      </c>
      <c r="L64" s="265" t="n">
        <v>605000</v>
      </c>
      <c r="N64" s="265" t="n">
        <v>645000</v>
      </c>
      <c r="O64" s="265" t="n">
        <v>638000</v>
      </c>
      <c r="P64" s="265" t="n">
        <v>610000</v>
      </c>
      <c r="Q64" s="265" t="n">
        <v>1070000</v>
      </c>
      <c r="S64" s="265" t="n">
        <v>888000</v>
      </c>
      <c r="T64" s="265" t="n">
        <v>877000</v>
      </c>
      <c r="U64" s="265" t="n">
        <v>867000</v>
      </c>
      <c r="V64" s="265" t="n">
        <v>0</v>
      </c>
      <c r="X64" s="265" t="n">
        <v>0</v>
      </c>
      <c r="Y64" s="265" t="n">
        <v>0</v>
      </c>
      <c r="Z64" s="265" t="n">
        <v>0</v>
      </c>
      <c r="AA64" s="265" t="n">
        <v>0</v>
      </c>
      <c r="AC64" s="265" t="n">
        <v>0</v>
      </c>
      <c r="AD64" s="265" t="n">
        <v>0</v>
      </c>
    </row>
    <row r="65">
      <c r="A65" t="inlineStr">
        <is>
          <t>OtherPostretirementDefinedBenefitPlanLiabilitiesNoncurrent · fonte · unid. moeda</t>
        </is>
      </c>
      <c r="B65" t="n">
        <v>34</v>
      </c>
      <c r="C65" t="inlineStr">
        <is>
          <t>Other non-current liabilities</t>
        </is>
      </c>
      <c r="D65" s="265" t="n">
        <v>0</v>
      </c>
      <c r="E65" s="265" t="n">
        <v>0</v>
      </c>
      <c r="F65" s="265" t="n">
        <v>0</v>
      </c>
      <c r="G65" s="265" t="n">
        <v>847000</v>
      </c>
      <c r="I65" s="265" t="n">
        <v>862000</v>
      </c>
      <c r="J65" s="265" t="n">
        <v>862000</v>
      </c>
      <c r="K65" s="265" t="n">
        <v>861000</v>
      </c>
      <c r="L65" s="265" t="n">
        <v>609000</v>
      </c>
      <c r="N65" s="265" t="n">
        <v>633000</v>
      </c>
      <c r="O65" s="265" t="n">
        <v>638000</v>
      </c>
      <c r="P65" s="265" t="n">
        <v>642000</v>
      </c>
      <c r="Q65" s="265" t="n">
        <v>732000</v>
      </c>
      <c r="S65" s="265" t="n">
        <v>746000</v>
      </c>
      <c r="T65" s="265" t="n">
        <v>749000</v>
      </c>
      <c r="U65" s="265" t="n">
        <v>774000</v>
      </c>
      <c r="V65" s="265" t="n">
        <v>0</v>
      </c>
      <c r="X65" s="265" t="n">
        <v>0</v>
      </c>
      <c r="Y65" s="265" t="n">
        <v>0</v>
      </c>
      <c r="Z65" s="265" t="n">
        <v>0</v>
      </c>
      <c r="AA65" s="265" t="n">
        <v>0</v>
      </c>
      <c r="AC65" s="265" t="n">
        <v>0</v>
      </c>
      <c r="AD65" s="265" t="n">
        <v>0</v>
      </c>
    </row>
    <row r="66">
      <c r="A66" t="inlineStr">
        <is>
          <t>SpentNuclearFuelObligationNoncurrent · fonte · unid. moeda</t>
        </is>
      </c>
      <c r="B66" t="n">
        <v>34</v>
      </c>
      <c r="C66" t="inlineStr">
        <is>
          <t>Other non-current liabilities</t>
        </is>
      </c>
      <c r="D66" s="265" t="n">
        <v>0</v>
      </c>
      <c r="E66" s="265" t="n">
        <v>0</v>
      </c>
      <c r="F66" s="265" t="n">
        <v>0</v>
      </c>
      <c r="G66" s="265" t="n">
        <v>1210000</v>
      </c>
      <c r="I66" s="265" t="n">
        <v>1210000</v>
      </c>
      <c r="J66" s="265" t="n">
        <v>1213000</v>
      </c>
      <c r="K66" s="265" t="n">
        <v>1219000</v>
      </c>
      <c r="L66" s="265" t="n">
        <v>1230000</v>
      </c>
      <c r="N66" s="265" t="n">
        <v>1244000</v>
      </c>
      <c r="O66" s="265" t="n">
        <v>1260000</v>
      </c>
      <c r="P66" s="265" t="n">
        <v>1278000</v>
      </c>
      <c r="Q66" s="265" t="n">
        <v>1296000</v>
      </c>
      <c r="S66" s="265" t="n">
        <v>1313000</v>
      </c>
      <c r="T66" s="265" t="n">
        <v>1331000</v>
      </c>
      <c r="U66" s="265" t="n">
        <v>1349000</v>
      </c>
      <c r="V66" s="265" t="n">
        <v>1366000</v>
      </c>
      <c r="X66" s="265" t="n">
        <v>1381000</v>
      </c>
      <c r="Y66" s="265" t="n">
        <v>1397000</v>
      </c>
      <c r="Z66" s="265" t="n">
        <v>1412000</v>
      </c>
      <c r="AA66" s="265" t="n">
        <v>0</v>
      </c>
      <c r="AC66" s="265" t="n">
        <v>0</v>
      </c>
      <c r="AD66" s="265" t="n">
        <v>0</v>
      </c>
    </row>
    <row r="67">
      <c r="A67" t="inlineStr">
        <is>
          <t>AccountsPayableRelatedPartiesNoncurrent · fonte · unid. moeda</t>
        </is>
      </c>
      <c r="B67" t="n">
        <v>34</v>
      </c>
      <c r="C67" t="inlineStr">
        <is>
          <t>Other non-current liabilities</t>
        </is>
      </c>
      <c r="D67" s="265" t="n">
        <v>0</v>
      </c>
      <c r="E67" s="265" t="n">
        <v>0</v>
      </c>
      <c r="F67" s="265" t="n">
        <v>0</v>
      </c>
      <c r="G67" s="265" t="n">
        <v>3357000</v>
      </c>
      <c r="I67" s="265" t="n">
        <v>0</v>
      </c>
      <c r="J67" s="265" t="n">
        <v>0</v>
      </c>
      <c r="K67" s="265" t="n">
        <v>0</v>
      </c>
      <c r="L67" s="265" t="n">
        <v>0</v>
      </c>
      <c r="N67" s="265" t="n">
        <v>0</v>
      </c>
      <c r="O67" s="265" t="n">
        <v>0</v>
      </c>
      <c r="P67" s="265" t="n">
        <v>0</v>
      </c>
      <c r="Q67" s="265" t="n">
        <v>0</v>
      </c>
      <c r="S67" s="265" t="n">
        <v>0</v>
      </c>
      <c r="T67" s="265" t="n">
        <v>0</v>
      </c>
      <c r="U67" s="265" t="n">
        <v>0</v>
      </c>
      <c r="V67" s="265" t="n">
        <v>0</v>
      </c>
      <c r="X67" s="265" t="n">
        <v>0</v>
      </c>
      <c r="Y67" s="265" t="n">
        <v>0</v>
      </c>
      <c r="Z67" s="265" t="n">
        <v>0</v>
      </c>
      <c r="AA67" s="265" t="n">
        <v>0</v>
      </c>
      <c r="AC67" s="265" t="n">
        <v>0</v>
      </c>
      <c r="AD67" s="265" t="n">
        <v>0</v>
      </c>
    </row>
    <row r="68">
      <c r="A68" t="inlineStr">
        <is>
          <t>PayableToRegulatoryAgreementUnitsNoncurrent · fonte · unid. moeda</t>
        </is>
      </c>
      <c r="B68" t="n">
        <v>34</v>
      </c>
      <c r="C68" t="inlineStr">
        <is>
          <t>Other non-current liabilities</t>
        </is>
      </c>
      <c r="D68" s="265" t="n">
        <v>0</v>
      </c>
      <c r="E68" s="265" t="n">
        <v>0</v>
      </c>
      <c r="F68" s="265" t="n">
        <v>0</v>
      </c>
      <c r="G68" s="265" t="n">
        <v>0</v>
      </c>
      <c r="I68" s="265" t="n">
        <v>2969000</v>
      </c>
      <c r="J68" s="265" t="n">
        <v>2265000</v>
      </c>
      <c r="K68" s="265" t="n">
        <v>2658000</v>
      </c>
      <c r="L68" s="265" t="n">
        <v>2897000</v>
      </c>
      <c r="N68" s="265" t="n">
        <v>3069000</v>
      </c>
      <c r="O68" s="265" t="n">
        <v>3120000</v>
      </c>
      <c r="P68" s="265" t="n">
        <v>2923000</v>
      </c>
      <c r="Q68" s="265" t="n">
        <v>3688000</v>
      </c>
      <c r="S68" s="265" t="n">
        <v>3874000</v>
      </c>
      <c r="T68" s="265" t="n">
        <v>4310000</v>
      </c>
      <c r="U68" s="265" t="n">
        <v>4828000</v>
      </c>
      <c r="V68" s="265" t="n">
        <v>4518000</v>
      </c>
      <c r="X68" s="265" t="n">
        <v>4593000</v>
      </c>
      <c r="Y68" s="265" t="n">
        <v>4939000</v>
      </c>
      <c r="Z68" s="265" t="n">
        <v>5222000</v>
      </c>
      <c r="AA68" s="265" t="n">
        <v>5334000</v>
      </c>
      <c r="AC68" s="265" t="n">
        <v>5389000</v>
      </c>
      <c r="AD68" s="265" t="n">
        <v>5914000</v>
      </c>
    </row>
    <row r="69">
      <c r="A69" t="inlineStr">
        <is>
          <t>DerivativeLiabilitiesNoncurrent · fonte · unid. moeda</t>
        </is>
      </c>
      <c r="B69" t="n">
        <v>34</v>
      </c>
      <c r="C69" t="inlineStr">
        <is>
          <t>Other non-current liabilities</t>
        </is>
      </c>
      <c r="D69" s="265" t="n">
        <v>0</v>
      </c>
      <c r="E69" s="265" t="n">
        <v>0</v>
      </c>
      <c r="F69" s="265" t="n">
        <v>0</v>
      </c>
      <c r="G69" s="265" t="n">
        <v>513000</v>
      </c>
      <c r="I69" s="265" t="n">
        <v>773000</v>
      </c>
      <c r="J69" s="265" t="n">
        <v>1070000</v>
      </c>
      <c r="K69" s="265" t="n">
        <v>1244000</v>
      </c>
      <c r="L69" s="265" t="n">
        <v>983000</v>
      </c>
      <c r="N69" s="265" t="n">
        <v>700000</v>
      </c>
      <c r="O69" s="265" t="n">
        <v>613000</v>
      </c>
      <c r="P69" s="265" t="n">
        <v>536000</v>
      </c>
      <c r="Q69" s="265" t="n">
        <v>419000</v>
      </c>
      <c r="S69" s="265" t="n">
        <v>480000</v>
      </c>
      <c r="T69" s="265" t="n">
        <v>555000</v>
      </c>
      <c r="U69" s="265" t="n">
        <v>341000</v>
      </c>
      <c r="V69" s="265" t="n">
        <v>399000</v>
      </c>
      <c r="X69" s="265" t="n">
        <v>358000</v>
      </c>
      <c r="Y69" s="265" t="n">
        <v>419000</v>
      </c>
      <c r="Z69" s="265" t="n">
        <v>440000</v>
      </c>
      <c r="AA69" s="265" t="n">
        <v>414000</v>
      </c>
      <c r="AC69" s="265" t="n">
        <v>518000</v>
      </c>
      <c r="AD69" s="265" t="n">
        <v>601000</v>
      </c>
    </row>
    <row r="70">
      <c r="A70" t="inlineStr">
        <is>
          <t>OtherLiabilitiesNoncurrent · fonte · unid. moeda</t>
        </is>
      </c>
      <c r="B70" t="n">
        <v>34</v>
      </c>
      <c r="C70" t="inlineStr">
        <is>
          <t>Other non-current liabilities</t>
        </is>
      </c>
      <c r="D70" s="265" t="n">
        <v>0</v>
      </c>
      <c r="E70" s="265" t="n">
        <v>0</v>
      </c>
      <c r="F70" s="265" t="n">
        <v>0</v>
      </c>
      <c r="G70" s="265" t="n">
        <v>1133000</v>
      </c>
      <c r="I70" s="265" t="n">
        <v>1300000</v>
      </c>
      <c r="J70" s="265" t="n">
        <v>1210000</v>
      </c>
      <c r="K70" s="265" t="n">
        <v>1251000</v>
      </c>
      <c r="L70" s="265" t="n">
        <v>1178000</v>
      </c>
      <c r="N70" s="265" t="n">
        <v>1258000</v>
      </c>
      <c r="O70" s="265" t="n">
        <v>1123000</v>
      </c>
      <c r="P70" s="265" t="n">
        <v>1196000</v>
      </c>
      <c r="Q70" s="265" t="n">
        <v>1125000</v>
      </c>
      <c r="S70" s="265" t="n">
        <v>1393000</v>
      </c>
      <c r="T70" s="265" t="n">
        <v>1640000</v>
      </c>
      <c r="U70" s="265" t="n">
        <v>2028000</v>
      </c>
      <c r="V70" s="265" t="n">
        <v>1219000</v>
      </c>
      <c r="X70" s="265" t="n">
        <v>1215000</v>
      </c>
      <c r="Y70" s="265" t="n">
        <v>1148000</v>
      </c>
      <c r="Z70" s="265" t="n">
        <v>1294000</v>
      </c>
      <c r="AA70" s="265" t="n">
        <v>2740000</v>
      </c>
      <c r="AC70" s="265" t="n">
        <v>4508000</v>
      </c>
      <c r="AD70" s="265" t="n">
        <v>4304000</v>
      </c>
    </row>
    <row r="71">
      <c r="A71" t="inlineStr">
        <is>
          <t>PensionAndOtherPostretirementDefinedBenefitPlansLiabilitiesNoncurrent · fonte · unid. moeda</t>
        </is>
      </c>
      <c r="B71" t="n">
        <v>34</v>
      </c>
      <c r="C71" t="inlineStr">
        <is>
          <t>Other non-current liabilities</t>
        </is>
      </c>
      <c r="D71" s="265" t="n">
        <v>0</v>
      </c>
      <c r="E71" s="265" t="n">
        <v>0</v>
      </c>
      <c r="F71" s="265" t="n">
        <v>0</v>
      </c>
      <c r="G71" s="265" t="n">
        <v>0</v>
      </c>
      <c r="I71" s="265" t="n">
        <v>0</v>
      </c>
      <c r="J71" s="265" t="n">
        <v>0</v>
      </c>
      <c r="K71" s="265" t="n">
        <v>0</v>
      </c>
      <c r="L71" s="265" t="n">
        <v>0</v>
      </c>
      <c r="N71" s="265" t="n">
        <v>0</v>
      </c>
      <c r="O71" s="265" t="n">
        <v>0</v>
      </c>
      <c r="P71" s="265" t="n">
        <v>0</v>
      </c>
      <c r="Q71" s="265" t="n">
        <v>0</v>
      </c>
      <c r="S71" s="265" t="n">
        <v>0</v>
      </c>
      <c r="T71" s="265" t="n">
        <v>0</v>
      </c>
      <c r="U71" s="265" t="n">
        <v>0</v>
      </c>
      <c r="V71" s="265" t="n">
        <v>1875000</v>
      </c>
      <c r="X71" s="265" t="n">
        <v>1755000</v>
      </c>
      <c r="Y71" s="265" t="n">
        <v>1763000</v>
      </c>
      <c r="Z71" s="265" t="n">
        <v>1767000</v>
      </c>
      <c r="AA71" s="265" t="n">
        <v>1977000</v>
      </c>
      <c r="AC71" s="265" t="n">
        <v>1835000</v>
      </c>
      <c r="AD71" s="265" t="n">
        <v>1844000</v>
      </c>
    </row>
    <row r="72">
      <c r="A72" t="inlineStr">
        <is>
          <t>MinorityInterest · fonte · unid. moeda</t>
        </is>
      </c>
      <c r="B72" t="n">
        <v>35</v>
      </c>
      <c r="C72" t="inlineStr">
        <is>
          <t>Minority interest</t>
        </is>
      </c>
      <c r="D72" s="265" t="n">
        <v>0</v>
      </c>
      <c r="E72" s="265" t="n">
        <v>0</v>
      </c>
      <c r="F72" s="265" t="n">
        <v>0</v>
      </c>
      <c r="G72" s="265" t="n">
        <v>395000</v>
      </c>
      <c r="I72" s="265" t="n">
        <v>400000</v>
      </c>
      <c r="J72" s="265" t="n">
        <v>389000</v>
      </c>
      <c r="K72" s="265" t="n">
        <v>366000</v>
      </c>
      <c r="L72" s="265" t="n">
        <v>354000</v>
      </c>
      <c r="N72" s="265" t="n">
        <v>358000</v>
      </c>
      <c r="O72" s="265" t="n">
        <v>356000</v>
      </c>
      <c r="P72" s="265" t="n">
        <v>334000</v>
      </c>
      <c r="Q72" s="265" t="n">
        <v>361000</v>
      </c>
      <c r="S72" s="265" t="n">
        <v>361000</v>
      </c>
      <c r="T72" s="265" t="n">
        <v>356000</v>
      </c>
      <c r="U72" s="265" t="n">
        <v>371000</v>
      </c>
      <c r="V72" s="265" t="n">
        <v>373000</v>
      </c>
      <c r="X72" s="265" t="n">
        <v>378000</v>
      </c>
      <c r="Y72" s="265" t="n">
        <v>357000</v>
      </c>
      <c r="Z72" s="265" t="n">
        <v>342000</v>
      </c>
      <c r="AA72" s="265" t="n">
        <v>336000</v>
      </c>
      <c r="AC72" s="265" t="n">
        <v>337000</v>
      </c>
      <c r="AD72" s="265" t="n">
        <v>345000</v>
      </c>
    </row>
    <row r="73">
      <c r="A73" t="inlineStr">
        <is>
          <t>CommonStockValue · fonte · unid. moeda</t>
        </is>
      </c>
      <c r="B73" t="n">
        <v>37</v>
      </c>
      <c r="C73" t="inlineStr">
        <is>
          <t>Common Stock and APIC</t>
        </is>
      </c>
      <c r="D73" s="265" t="n">
        <v>0</v>
      </c>
      <c r="E73" s="265" t="n">
        <v>0</v>
      </c>
      <c r="F73" s="265" t="n">
        <v>0</v>
      </c>
      <c r="G73" s="265" t="n">
        <v>0</v>
      </c>
      <c r="I73" s="265" t="n">
        <v>13212000</v>
      </c>
      <c r="J73" s="265" t="n">
        <v>13241000</v>
      </c>
      <c r="K73" s="265" t="n">
        <v>13255000</v>
      </c>
      <c r="L73" s="265" t="n">
        <v>13274000</v>
      </c>
      <c r="N73" s="265" t="n">
        <v>13029000</v>
      </c>
      <c r="O73" s="265" t="n">
        <v>12808000</v>
      </c>
      <c r="P73" s="265" t="n">
        <v>12576000</v>
      </c>
      <c r="Q73" s="265" t="n">
        <v>12355000</v>
      </c>
      <c r="S73" s="265" t="n">
        <v>11847000</v>
      </c>
      <c r="T73" s="265" t="n">
        <v>11350000</v>
      </c>
      <c r="U73" s="265" t="n">
        <v>11379000</v>
      </c>
      <c r="V73" s="265" t="n">
        <v>11402000</v>
      </c>
      <c r="X73" s="265" t="n">
        <v>11203000</v>
      </c>
      <c r="Y73" s="265" t="n">
        <v>10939000</v>
      </c>
      <c r="Z73" s="265" t="n">
        <v>11022000</v>
      </c>
      <c r="AA73" s="265" t="n">
        <v>11043000</v>
      </c>
      <c r="AC73" s="265" t="n">
        <v>28574000</v>
      </c>
      <c r="AD73" s="265" t="n">
        <v>26683000</v>
      </c>
    </row>
    <row r="74">
      <c r="A74" t="inlineStr">
        <is>
          <t>AccumulatedOtherComprehensiveIncomeLossNetOfTax · fonte · unid. moeda</t>
        </is>
      </c>
      <c r="B74" t="n">
        <v>39</v>
      </c>
      <c r="C74" t="inlineStr">
        <is>
          <t>Comprehensive (accumulated) loss</t>
        </is>
      </c>
      <c r="D74" s="265" t="n">
        <v>0</v>
      </c>
      <c r="E74" s="265" t="n">
        <v>0</v>
      </c>
      <c r="F74" s="265" t="n">
        <v>0</v>
      </c>
      <c r="G74" s="265" t="n">
        <v>-31000</v>
      </c>
      <c r="I74" s="265" t="n">
        <v>-2016000</v>
      </c>
      <c r="J74" s="265" t="n">
        <v>-1992000</v>
      </c>
      <c r="K74" s="265" t="n">
        <v>-1969000</v>
      </c>
      <c r="L74" s="265" t="n">
        <v>-1760000</v>
      </c>
      <c r="N74" s="265" t="n">
        <v>-1808000</v>
      </c>
      <c r="O74" s="265" t="n">
        <v>-1800000</v>
      </c>
      <c r="P74" s="265" t="n">
        <v>-1797000</v>
      </c>
      <c r="Q74" s="265" t="n">
        <v>-2191000</v>
      </c>
      <c r="S74" s="265" t="n">
        <v>-2180000</v>
      </c>
      <c r="T74" s="265" t="n">
        <v>-2161000</v>
      </c>
      <c r="U74" s="265" t="n">
        <v>-2134000</v>
      </c>
      <c r="V74" s="265" t="n">
        <v>-2302000</v>
      </c>
      <c r="X74" s="265" t="n">
        <v>-2309000</v>
      </c>
      <c r="Y74" s="265" t="n">
        <v>-2272000</v>
      </c>
      <c r="Z74" s="265" t="n">
        <v>-2260000</v>
      </c>
      <c r="AA74" s="265" t="n">
        <v>-2425000</v>
      </c>
      <c r="AC74" s="265" t="n">
        <v>-2425000</v>
      </c>
      <c r="AD74" s="265" t="n">
        <v>-2398000</v>
      </c>
    </row>
    <row r="75">
      <c r="A75" t="inlineStr">
        <is>
          <t>MembersCapital · fonte · unid. moeda</t>
        </is>
      </c>
      <c r="B75" t="n">
        <v>40</v>
      </c>
      <c r="C75" t="inlineStr">
        <is>
          <t>Other equity account</t>
        </is>
      </c>
      <c r="D75" s="265" t="n">
        <v>0</v>
      </c>
      <c r="E75" s="265" t="n">
        <v>0</v>
      </c>
      <c r="F75" s="265" t="n">
        <v>0</v>
      </c>
      <c r="G75" s="265" t="n">
        <v>11250000</v>
      </c>
      <c r="I75" s="265" t="n">
        <v>0</v>
      </c>
      <c r="J75" s="265" t="n">
        <v>0</v>
      </c>
      <c r="K75" s="265" t="n">
        <v>0</v>
      </c>
      <c r="L75" s="265" t="n">
        <v>0</v>
      </c>
      <c r="N75" s="265" t="n">
        <v>0</v>
      </c>
      <c r="O75" s="265" t="n">
        <v>0</v>
      </c>
      <c r="P75" s="265" t="n">
        <v>0</v>
      </c>
      <c r="Q75" s="265" t="n">
        <v>0</v>
      </c>
      <c r="S75" s="265" t="n">
        <v>0</v>
      </c>
      <c r="T75" s="265" t="n">
        <v>0</v>
      </c>
      <c r="U75" s="265" t="n">
        <v>0</v>
      </c>
      <c r="V75" s="265" t="n">
        <v>0</v>
      </c>
      <c r="X75" s="265" t="n">
        <v>0</v>
      </c>
      <c r="Y75" s="265" t="n">
        <v>0</v>
      </c>
      <c r="Z75" s="265" t="n">
        <v>0</v>
      </c>
      <c r="AA75" s="265" t="n">
        <v>0</v>
      </c>
      <c r="AC75" s="265" t="n">
        <v>0</v>
      </c>
      <c r="AD75" s="265" t="n">
        <v>0</v>
      </c>
    </row>
    <row r="76">
      <c r="A76" t="inlineStr">
        <is>
          <t>RetainedEarningsAccumulatedDeficit · fonte · unid. moeda</t>
        </is>
      </c>
      <c r="B76" t="n">
        <v>41</v>
      </c>
      <c r="C76" t="inlineStr">
        <is>
          <t>Retained earnings</t>
        </is>
      </c>
      <c r="D76" s="265" t="n">
        <v>0</v>
      </c>
      <c r="E76" s="265" t="n">
        <v>0</v>
      </c>
      <c r="F76" s="265" t="n">
        <v>0</v>
      </c>
      <c r="G76" s="265" t="n">
        <v>0</v>
      </c>
      <c r="I76" s="265" t="n">
        <v>-91000</v>
      </c>
      <c r="J76" s="265" t="n">
        <v>-249000</v>
      </c>
      <c r="K76" s="265" t="n">
        <v>-483000</v>
      </c>
      <c r="L76" s="265" t="n">
        <v>-496000</v>
      </c>
      <c r="N76" s="265" t="n">
        <v>-493000</v>
      </c>
      <c r="O76" s="265" t="n">
        <v>248000</v>
      </c>
      <c r="P76" s="265" t="n">
        <v>887000</v>
      </c>
      <c r="Q76" s="265" t="n">
        <v>761000</v>
      </c>
      <c r="S76" s="265" t="n">
        <v>1532000</v>
      </c>
      <c r="T76" s="265" t="n">
        <v>2236000</v>
      </c>
      <c r="U76" s="265" t="n">
        <v>3325000</v>
      </c>
      <c r="V76" s="265" t="n">
        <v>4066000</v>
      </c>
      <c r="X76" s="265" t="n">
        <v>4062000</v>
      </c>
      <c r="Y76" s="265" t="n">
        <v>4779000</v>
      </c>
      <c r="Z76" s="265" t="n">
        <v>5588000</v>
      </c>
      <c r="AA76" s="265" t="n">
        <v>5899000</v>
      </c>
      <c r="AC76" s="265" t="n">
        <v>7334000</v>
      </c>
      <c r="AD76" s="265" t="n">
        <v>7692000</v>
      </c>
    </row>
    <row r="77">
      <c r="A77" t="inlineStr">
        <is>
          <t>[vazio] Despesas antecipadas: não aparece como linha própria nas demonstrações (zero) · derivada · unid. moeda</t>
        </is>
      </c>
      <c r="B77" t="n">
        <v>15</v>
      </c>
      <c r="C77" t="inlineStr">
        <is>
          <t>Prepaid expenses</t>
        </is>
      </c>
      <c r="D77" s="265" t="n">
        <v>0</v>
      </c>
      <c r="E77" s="265" t="n">
        <v>0</v>
      </c>
      <c r="F77" s="265" t="n">
        <v>0</v>
      </c>
      <c r="G77" s="265" t="n">
        <v>0</v>
      </c>
      <c r="I77" s="265" t="n">
        <v>0</v>
      </c>
      <c r="J77" s="265" t="n">
        <v>0</v>
      </c>
      <c r="K77" s="265" t="n">
        <v>0</v>
      </c>
      <c r="L77" s="265" t="n">
        <v>0</v>
      </c>
      <c r="N77" s="265" t="n">
        <v>0</v>
      </c>
      <c r="O77" s="265" t="n">
        <v>0</v>
      </c>
      <c r="P77" s="265" t="n">
        <v>0</v>
      </c>
      <c r="Q77" s="265" t="n">
        <v>0</v>
      </c>
      <c r="S77" s="265" t="n">
        <v>0</v>
      </c>
      <c r="T77" s="265" t="n">
        <v>0</v>
      </c>
      <c r="U77" s="265" t="n">
        <v>0</v>
      </c>
      <c r="V77" s="265" t="n">
        <v>0</v>
      </c>
      <c r="X77" s="265" t="n">
        <v>0</v>
      </c>
      <c r="Y77" s="265" t="n">
        <v>0</v>
      </c>
      <c r="Z77" s="265" t="n">
        <v>0</v>
      </c>
      <c r="AA77" s="265" t="n">
        <v>0</v>
      </c>
      <c r="AC77" s="265" t="n">
        <v>0</v>
      </c>
      <c r="AD77" s="265" t="n">
        <v>0</v>
      </c>
    </row>
    <row r="78">
      <c r="A78" t="inlineStr">
        <is>
          <t>[vazio] Investimentos em coligadas: não aparece como linha própria nas demonstrações (zero) · derivada · unid. moeda</t>
        </is>
      </c>
      <c r="B78" t="n">
        <v>17</v>
      </c>
      <c r="C78" t="inlineStr">
        <is>
          <t>Equity in affiliates</t>
        </is>
      </c>
      <c r="D78" s="265" t="n">
        <v>0</v>
      </c>
      <c r="E78" s="265" t="n">
        <v>0</v>
      </c>
      <c r="F78" s="265" t="n">
        <v>0</v>
      </c>
      <c r="G78" s="265" t="n">
        <v>0</v>
      </c>
      <c r="I78" s="265" t="n">
        <v>0</v>
      </c>
      <c r="J78" s="265" t="n">
        <v>0</v>
      </c>
      <c r="K78" s="265" t="n">
        <v>0</v>
      </c>
      <c r="L78" s="265" t="n">
        <v>0</v>
      </c>
      <c r="N78" s="265" t="n">
        <v>0</v>
      </c>
      <c r="O78" s="265" t="n">
        <v>0</v>
      </c>
      <c r="P78" s="265" t="n">
        <v>0</v>
      </c>
      <c r="Q78" s="265" t="n">
        <v>0</v>
      </c>
      <c r="S78" s="265" t="n">
        <v>0</v>
      </c>
      <c r="T78" s="265" t="n">
        <v>0</v>
      </c>
      <c r="U78" s="265" t="n">
        <v>0</v>
      </c>
      <c r="V78" s="265" t="n">
        <v>0</v>
      </c>
      <c r="X78" s="265" t="n">
        <v>0</v>
      </c>
      <c r="Y78" s="265" t="n">
        <v>0</v>
      </c>
      <c r="Z78" s="265" t="n">
        <v>0</v>
      </c>
      <c r="AA78" s="265" t="n">
        <v>0</v>
      </c>
      <c r="AC78" s="265" t="n">
        <v>0</v>
      </c>
      <c r="AD78" s="265" t="n">
        <v>0</v>
      </c>
    </row>
    <row r="79">
      <c r="A79" t="inlineStr">
        <is>
          <t>[vazio] Direito de uso: não aparece como linha própria nas demonstrações (zero) · derivada · unid. moeda</t>
        </is>
      </c>
      <c r="B79" t="n">
        <v>19</v>
      </c>
      <c r="C79" t="inlineStr">
        <is>
          <t>Right-of-use-assets</t>
        </is>
      </c>
      <c r="D79" s="265" t="n">
        <v>0</v>
      </c>
      <c r="E79" s="265" t="n">
        <v>0</v>
      </c>
      <c r="F79" s="265" t="n">
        <v>0</v>
      </c>
      <c r="G79" s="265" t="n">
        <v>0</v>
      </c>
      <c r="I79" s="265" t="n">
        <v>0</v>
      </c>
      <c r="J79" s="265" t="n">
        <v>0</v>
      </c>
      <c r="K79" s="265" t="n">
        <v>0</v>
      </c>
      <c r="L79" s="265" t="n">
        <v>0</v>
      </c>
      <c r="N79" s="265" t="n">
        <v>0</v>
      </c>
      <c r="O79" s="265" t="n">
        <v>0</v>
      </c>
      <c r="P79" s="265" t="n">
        <v>0</v>
      </c>
      <c r="Q79" s="265" t="n">
        <v>0</v>
      </c>
      <c r="S79" s="265" t="n">
        <v>0</v>
      </c>
      <c r="T79" s="265" t="n">
        <v>0</v>
      </c>
      <c r="U79" s="265" t="n">
        <v>0</v>
      </c>
      <c r="V79" s="265" t="n">
        <v>0</v>
      </c>
      <c r="X79" s="265" t="n">
        <v>0</v>
      </c>
      <c r="Y79" s="265" t="n">
        <v>0</v>
      </c>
      <c r="Z79" s="265" t="n">
        <v>0</v>
      </c>
      <c r="AA79" s="265" t="n">
        <v>0</v>
      </c>
      <c r="AC79" s="265" t="n">
        <v>0</v>
      </c>
      <c r="AD79" s="265" t="n">
        <v>0</v>
      </c>
    </row>
    <row r="80">
      <c r="A80" t="inlineStr">
        <is>
          <t>[vazio] Intangíveis: não aparece como linha própria nas demonstrações (zero) · derivada · unid. moeda</t>
        </is>
      </c>
      <c r="B80" t="n">
        <v>21</v>
      </c>
      <c r="C80" t="inlineStr">
        <is>
          <t>Intangibles</t>
        </is>
      </c>
      <c r="D80" s="265" t="n">
        <v>0</v>
      </c>
      <c r="E80" s="265" t="n">
        <v>0</v>
      </c>
      <c r="F80" s="265" t="n">
        <v>0</v>
      </c>
      <c r="G80" s="265" t="n">
        <v>0</v>
      </c>
      <c r="I80" s="265" t="n">
        <v>0</v>
      </c>
      <c r="J80" s="265" t="n">
        <v>0</v>
      </c>
      <c r="K80" s="265" t="n">
        <v>0</v>
      </c>
      <c r="L80" s="265" t="n">
        <v>0</v>
      </c>
      <c r="N80" s="265" t="n">
        <v>0</v>
      </c>
      <c r="O80" s="265" t="n">
        <v>0</v>
      </c>
      <c r="P80" s="265" t="n">
        <v>0</v>
      </c>
      <c r="Q80" s="265" t="n">
        <v>0</v>
      </c>
      <c r="S80" s="265" t="n">
        <v>0</v>
      </c>
      <c r="T80" s="265" t="n">
        <v>0</v>
      </c>
      <c r="U80" s="265" t="n">
        <v>0</v>
      </c>
      <c r="V80" s="265" t="n">
        <v>0</v>
      </c>
      <c r="X80" s="265" t="n">
        <v>0</v>
      </c>
      <c r="Y80" s="265" t="n">
        <v>0</v>
      </c>
      <c r="Z80" s="265" t="n">
        <v>0</v>
      </c>
      <c r="AA80" s="265" t="n">
        <v>0</v>
      </c>
      <c r="AC80" s="265" t="n">
        <v>0</v>
      </c>
      <c r="AD80" s="265" t="n">
        <v>0</v>
      </c>
    </row>
    <row r="81">
      <c r="A81" t="inlineStr">
        <is>
          <t>[vazio] Impostos a pagar: não aparece como linha própria nas demonstrações (zero) · derivada · unid. moeda</t>
        </is>
      </c>
      <c r="B81" t="n">
        <v>25</v>
      </c>
      <c r="C81" t="inlineStr">
        <is>
          <t>Taxes payable</t>
        </is>
      </c>
      <c r="D81" s="265" t="n">
        <v>0</v>
      </c>
      <c r="E81" s="265" t="n">
        <v>0</v>
      </c>
      <c r="F81" s="265" t="n">
        <v>0</v>
      </c>
      <c r="G81" s="265" t="n">
        <v>0</v>
      </c>
      <c r="I81" s="265" t="n">
        <v>0</v>
      </c>
      <c r="J81" s="265" t="n">
        <v>0</v>
      </c>
      <c r="K81" s="265" t="n">
        <v>0</v>
      </c>
      <c r="L81" s="265" t="n">
        <v>0</v>
      </c>
      <c r="N81" s="265" t="n">
        <v>0</v>
      </c>
      <c r="O81" s="265" t="n">
        <v>0</v>
      </c>
      <c r="P81" s="265" t="n">
        <v>0</v>
      </c>
      <c r="Q81" s="265" t="n">
        <v>0</v>
      </c>
      <c r="S81" s="265" t="n">
        <v>0</v>
      </c>
      <c r="T81" s="265" t="n">
        <v>0</v>
      </c>
      <c r="U81" s="265" t="n">
        <v>0</v>
      </c>
      <c r="V81" s="265" t="n">
        <v>0</v>
      </c>
      <c r="X81" s="265" t="n">
        <v>0</v>
      </c>
      <c r="Y81" s="265" t="n">
        <v>0</v>
      </c>
      <c r="Z81" s="265" t="n">
        <v>0</v>
      </c>
      <c r="AA81" s="265" t="n">
        <v>0</v>
      </c>
      <c r="AC81" s="265" t="n">
        <v>0</v>
      </c>
      <c r="AD81" s="265" t="n">
        <v>0</v>
      </c>
    </row>
    <row r="82">
      <c r="A82" t="inlineStr">
        <is>
          <t>[vazio] Revolving: não aparece como linha própria nas demonstrações (zero) · derivada · unid. moeda</t>
        </is>
      </c>
      <c r="B82" t="n">
        <v>28</v>
      </c>
      <c r="C82" t="inlineStr">
        <is>
          <t>Short term debt (Revolving credit facility)</t>
        </is>
      </c>
      <c r="D82" s="265" t="n">
        <v>0</v>
      </c>
      <c r="E82" s="265" t="n">
        <v>0</v>
      </c>
      <c r="F82" s="265" t="n">
        <v>0</v>
      </c>
      <c r="G82" s="265" t="n">
        <v>0</v>
      </c>
      <c r="I82" s="265" t="n">
        <v>0</v>
      </c>
      <c r="J82" s="265" t="n">
        <v>0</v>
      </c>
      <c r="K82" s="265" t="n">
        <v>0</v>
      </c>
      <c r="L82" s="265" t="n">
        <v>0</v>
      </c>
      <c r="N82" s="265" t="n">
        <v>0</v>
      </c>
      <c r="O82" s="265" t="n">
        <v>0</v>
      </c>
      <c r="P82" s="265" t="n">
        <v>0</v>
      </c>
      <c r="Q82" s="265" t="n">
        <v>0</v>
      </c>
      <c r="S82" s="265" t="n">
        <v>0</v>
      </c>
      <c r="T82" s="265" t="n">
        <v>0</v>
      </c>
      <c r="U82" s="265" t="n">
        <v>0</v>
      </c>
      <c r="V82" s="265" t="n">
        <v>0</v>
      </c>
      <c r="X82" s="265" t="n">
        <v>0</v>
      </c>
      <c r="Y82" s="265" t="n">
        <v>0</v>
      </c>
      <c r="Z82" s="265" t="n">
        <v>0</v>
      </c>
      <c r="AA82" s="265" t="n">
        <v>0</v>
      </c>
      <c r="AC82" s="265" t="n">
        <v>0</v>
      </c>
      <c r="AD82" s="265" t="n">
        <v>0</v>
      </c>
    </row>
    <row r="83">
      <c r="A83" t="inlineStr">
        <is>
          <t>[vazio] Arrendamento CP: não aparece como linha própria nas demonstrações (zero) · derivada · unid. moeda</t>
        </is>
      </c>
      <c r="B83" t="n">
        <v>29</v>
      </c>
      <c r="C83" t="inlineStr">
        <is>
          <t>Short term operating leases</t>
        </is>
      </c>
      <c r="D83" s="265" t="n">
        <v>0</v>
      </c>
      <c r="E83" s="265" t="n">
        <v>0</v>
      </c>
      <c r="F83" s="265" t="n">
        <v>0</v>
      </c>
      <c r="G83" s="265" t="n">
        <v>0</v>
      </c>
      <c r="I83" s="265" t="n">
        <v>0</v>
      </c>
      <c r="J83" s="265" t="n">
        <v>0</v>
      </c>
      <c r="K83" s="265" t="n">
        <v>0</v>
      </c>
      <c r="L83" s="265" t="n">
        <v>0</v>
      </c>
      <c r="N83" s="265" t="n">
        <v>0</v>
      </c>
      <c r="O83" s="265" t="n">
        <v>0</v>
      </c>
      <c r="P83" s="265" t="n">
        <v>0</v>
      </c>
      <c r="Q83" s="265" t="n">
        <v>0</v>
      </c>
      <c r="S83" s="265" t="n">
        <v>0</v>
      </c>
      <c r="T83" s="265" t="n">
        <v>0</v>
      </c>
      <c r="U83" s="265" t="n">
        <v>0</v>
      </c>
      <c r="V83" s="265" t="n">
        <v>0</v>
      </c>
      <c r="X83" s="265" t="n">
        <v>0</v>
      </c>
      <c r="Y83" s="265" t="n">
        <v>0</v>
      </c>
      <c r="Z83" s="265" t="n">
        <v>0</v>
      </c>
      <c r="AA83" s="265" t="n">
        <v>0</v>
      </c>
      <c r="AC83" s="265" t="n">
        <v>0</v>
      </c>
      <c r="AD83" s="265" t="n">
        <v>0</v>
      </c>
    </row>
    <row r="84">
      <c r="A84" t="inlineStr">
        <is>
          <t>[vazio] Arrendamento LP: não aparece como linha própria nas demonstrações (zero) · derivada · unid. moeda</t>
        </is>
      </c>
      <c r="B84" t="n">
        <v>31</v>
      </c>
      <c r="C84" t="inlineStr">
        <is>
          <t>Long term operating leases</t>
        </is>
      </c>
      <c r="D84" s="265" t="n">
        <v>0</v>
      </c>
      <c r="E84" s="265" t="n">
        <v>0</v>
      </c>
      <c r="F84" s="265" t="n">
        <v>0</v>
      </c>
      <c r="G84" s="265" t="n">
        <v>0</v>
      </c>
      <c r="I84" s="265" t="n">
        <v>0</v>
      </c>
      <c r="J84" s="265" t="n">
        <v>0</v>
      </c>
      <c r="K84" s="265" t="n">
        <v>0</v>
      </c>
      <c r="L84" s="265" t="n">
        <v>0</v>
      </c>
      <c r="N84" s="265" t="n">
        <v>0</v>
      </c>
      <c r="O84" s="265" t="n">
        <v>0</v>
      </c>
      <c r="P84" s="265" t="n">
        <v>0</v>
      </c>
      <c r="Q84" s="265" t="n">
        <v>0</v>
      </c>
      <c r="S84" s="265" t="n">
        <v>0</v>
      </c>
      <c r="T84" s="265" t="n">
        <v>0</v>
      </c>
      <c r="U84" s="265" t="n">
        <v>0</v>
      </c>
      <c r="V84" s="265" t="n">
        <v>0</v>
      </c>
      <c r="X84" s="265" t="n">
        <v>0</v>
      </c>
      <c r="Y84" s="265" t="n">
        <v>0</v>
      </c>
      <c r="Z84" s="265" t="n">
        <v>0</v>
      </c>
      <c r="AA84" s="265" t="n">
        <v>0</v>
      </c>
      <c r="AC84" s="265" t="n">
        <v>0</v>
      </c>
      <c r="AD84" s="265" t="n">
        <v>0</v>
      </c>
    </row>
    <row r="85">
      <c r="A85" t="inlineStr">
        <is>
          <t>[vazio] Dívida conversível: não aparece como linha própria nas demonstrações (zero) · derivada · unid. moeda</t>
        </is>
      </c>
      <c r="B85" t="n">
        <v>32</v>
      </c>
      <c r="C85" t="inlineStr">
        <is>
          <t>Convertible debt</t>
        </is>
      </c>
      <c r="D85" s="265" t="n">
        <v>0</v>
      </c>
      <c r="E85" s="265" t="n">
        <v>0</v>
      </c>
      <c r="F85" s="265" t="n">
        <v>0</v>
      </c>
      <c r="G85" s="265" t="n">
        <v>0</v>
      </c>
      <c r="I85" s="265" t="n">
        <v>0</v>
      </c>
      <c r="J85" s="265" t="n">
        <v>0</v>
      </c>
      <c r="K85" s="265" t="n">
        <v>0</v>
      </c>
      <c r="L85" s="265" t="n">
        <v>0</v>
      </c>
      <c r="N85" s="265" t="n">
        <v>0</v>
      </c>
      <c r="O85" s="265" t="n">
        <v>0</v>
      </c>
      <c r="P85" s="265" t="n">
        <v>0</v>
      </c>
      <c r="Q85" s="265" t="n">
        <v>0</v>
      </c>
      <c r="S85" s="265" t="n">
        <v>0</v>
      </c>
      <c r="T85" s="265" t="n">
        <v>0</v>
      </c>
      <c r="U85" s="265" t="n">
        <v>0</v>
      </c>
      <c r="V85" s="265" t="n">
        <v>0</v>
      </c>
      <c r="X85" s="265" t="n">
        <v>0</v>
      </c>
      <c r="Y85" s="265" t="n">
        <v>0</v>
      </c>
      <c r="Z85" s="265" t="n">
        <v>0</v>
      </c>
      <c r="AA85" s="265" t="n">
        <v>0</v>
      </c>
      <c r="AC85" s="265" t="n">
        <v>0</v>
      </c>
      <c r="AD85" s="265" t="n">
        <v>0</v>
      </c>
    </row>
    <row r="86">
      <c r="A86" t="inlineStr">
        <is>
          <t>[vazio] IR diferido passivo: não aparece como linha própria nas demonstrações (zero) · derivada · unid. moeda</t>
        </is>
      </c>
      <c r="B86" t="n">
        <v>33</v>
      </c>
      <c r="C86" t="inlineStr">
        <is>
          <t>Deferred income taxes</t>
        </is>
      </c>
      <c r="D86" s="265" t="n">
        <v>0</v>
      </c>
      <c r="E86" s="265" t="n">
        <v>0</v>
      </c>
      <c r="F86" s="265" t="n">
        <v>0</v>
      </c>
      <c r="G86" s="265" t="n">
        <v>0</v>
      </c>
      <c r="I86" s="265" t="n">
        <v>0</v>
      </c>
      <c r="J86" s="265" t="n">
        <v>0</v>
      </c>
      <c r="K86" s="265" t="n">
        <v>0</v>
      </c>
      <c r="L86" s="265" t="n">
        <v>0</v>
      </c>
      <c r="N86" s="265" t="n">
        <v>0</v>
      </c>
      <c r="O86" s="265" t="n">
        <v>0</v>
      </c>
      <c r="P86" s="265" t="n">
        <v>0</v>
      </c>
      <c r="Q86" s="265" t="n">
        <v>0</v>
      </c>
      <c r="S86" s="265" t="n">
        <v>0</v>
      </c>
      <c r="T86" s="265" t="n">
        <v>0</v>
      </c>
      <c r="U86" s="265" t="n">
        <v>0</v>
      </c>
      <c r="V86" s="265" t="n">
        <v>0</v>
      </c>
      <c r="X86" s="265" t="n">
        <v>0</v>
      </c>
      <c r="Y86" s="265" t="n">
        <v>0</v>
      </c>
      <c r="Z86" s="265" t="n">
        <v>0</v>
      </c>
      <c r="AA86" s="265" t="n">
        <v>0</v>
      </c>
      <c r="AC86" s="265" t="n">
        <v>0</v>
      </c>
      <c r="AD86" s="265" t="n">
        <v>0</v>
      </c>
    </row>
    <row r="87">
      <c r="A87" t="inlineStr">
        <is>
          <t>[vazio] Tesouraria: não aparece como linha própria nas demonstrações (zero) · derivada · unid. moeda</t>
        </is>
      </c>
      <c r="B87" t="n">
        <v>38</v>
      </c>
      <c r="C87" t="inlineStr">
        <is>
          <t>Treasury stock (contra account)</t>
        </is>
      </c>
      <c r="D87" s="265" t="n">
        <v>0</v>
      </c>
      <c r="E87" s="265" t="n">
        <v>0</v>
      </c>
      <c r="F87" s="265" t="n">
        <v>0</v>
      </c>
      <c r="G87" s="265" t="n">
        <v>0</v>
      </c>
      <c r="I87" s="265" t="n">
        <v>0</v>
      </c>
      <c r="J87" s="265" t="n">
        <v>0</v>
      </c>
      <c r="K87" s="265" t="n">
        <v>0</v>
      </c>
      <c r="L87" s="265" t="n">
        <v>0</v>
      </c>
      <c r="N87" s="265" t="n">
        <v>0</v>
      </c>
      <c r="O87" s="265" t="n">
        <v>0</v>
      </c>
      <c r="P87" s="265" t="n">
        <v>0</v>
      </c>
      <c r="Q87" s="265" t="n">
        <v>0</v>
      </c>
      <c r="S87" s="265" t="n">
        <v>0</v>
      </c>
      <c r="T87" s="265" t="n">
        <v>0</v>
      </c>
      <c r="U87" s="265" t="n">
        <v>0</v>
      </c>
      <c r="V87" s="265" t="n">
        <v>0</v>
      </c>
      <c r="X87" s="265" t="n">
        <v>0</v>
      </c>
      <c r="Y87" s="265" t="n">
        <v>0</v>
      </c>
      <c r="Z87" s="265" t="n">
        <v>0</v>
      </c>
      <c r="AA87" s="265" t="n">
        <v>0</v>
      </c>
      <c r="AC87" s="265" t="n">
        <v>0</v>
      </c>
      <c r="AD87" s="265" t="n">
        <v>0</v>
      </c>
    </row>
    <row r="88">
      <c r="A88" t="inlineStr">
        <is>
          <t>Linhas de face do ativo circulante sem tag própria (subtotal divulgado - soma das linhas) · derivada · unid. moeda</t>
        </is>
      </c>
      <c r="B88" t="n">
        <v>16</v>
      </c>
      <c r="C88" t="inlineStr">
        <is>
          <t>Other current assets</t>
        </is>
      </c>
      <c r="D88" s="265" t="n">
        <v>0</v>
      </c>
      <c r="E88" s="265" t="n">
        <v>0</v>
      </c>
      <c r="F88" s="265" t="n">
        <v>0</v>
      </c>
      <c r="G88" s="265" t="n">
        <v>-576000</v>
      </c>
      <c r="I88" s="265" t="n">
        <v>-1696000</v>
      </c>
      <c r="J88" s="265" t="n">
        <v>-926000</v>
      </c>
      <c r="K88" s="265" t="n">
        <v>-1303000</v>
      </c>
      <c r="L88" s="265" t="n">
        <v>-528000</v>
      </c>
      <c r="N88" s="265" t="n">
        <v>-336000</v>
      </c>
      <c r="O88" s="265" t="n">
        <v>-325000</v>
      </c>
      <c r="P88" s="265" t="n">
        <v>-1977000</v>
      </c>
      <c r="Q88" s="265" t="n">
        <v>-454000</v>
      </c>
      <c r="S88" s="265" t="n">
        <v>-645000</v>
      </c>
      <c r="T88" s="265" t="n">
        <v>-383000</v>
      </c>
      <c r="U88" s="265" t="n">
        <v>-1882000</v>
      </c>
      <c r="V88" s="265" t="n">
        <v>-3129000</v>
      </c>
      <c r="X88" s="265" t="n">
        <v>-1942000</v>
      </c>
      <c r="Y88" s="265" t="n">
        <v>-2062000</v>
      </c>
      <c r="Z88" s="265" t="n">
        <v>-4091000</v>
      </c>
      <c r="AA88" s="265" t="n">
        <v>-3748000</v>
      </c>
      <c r="AC88" s="265" t="n">
        <v>-1171000</v>
      </c>
      <c r="AD88" s="265" t="n">
        <v>-1077000</v>
      </c>
    </row>
    <row r="89">
      <c r="A89" t="inlineStr">
        <is>
          <t>BALANÇO - totais divulgados (memória)</t>
        </is>
      </c>
      <c r="C89" t="inlineStr">
        <is>
          <t>[linha bruta, sem código; lançada nas linhas abaixo]</t>
        </is>
      </c>
      <c r="D89" s="265" t="n"/>
      <c r="E89" s="265" t="n"/>
      <c r="F89" s="265" t="n"/>
      <c r="G89" s="265" t="n"/>
      <c r="I89" s="265" t="n"/>
      <c r="J89" s="265" t="n"/>
      <c r="K89" s="265" t="n"/>
      <c r="L89" s="265" t="n"/>
      <c r="N89" s="265" t="n"/>
      <c r="O89" s="265" t="n"/>
      <c r="P89" s="265" t="n"/>
      <c r="Q89" s="265" t="n"/>
      <c r="S89" s="265" t="n"/>
      <c r="T89" s="265" t="n"/>
      <c r="U89" s="265" t="n"/>
      <c r="V89" s="265" t="n"/>
      <c r="X89" s="265" t="n"/>
      <c r="Y89" s="265" t="n"/>
      <c r="Z89" s="265" t="n"/>
      <c r="AA89" s="265" t="n"/>
      <c r="AC89" s="265" t="n"/>
      <c r="AD89" s="265" t="n"/>
    </row>
    <row r="90">
      <c r="A90" t="inlineStr">
        <is>
          <t>Total do ativo [us-gaap:Assets] · memoria · unid. moeda</t>
        </is>
      </c>
      <c r="C90" t="inlineStr">
        <is>
          <t>[linha bruta, sem código; lançada nas linhas abaixo]</t>
        </is>
      </c>
      <c r="D90" s="265" t="n"/>
      <c r="E90" s="265" t="n"/>
      <c r="F90" s="265" t="n"/>
      <c r="G90" s="265" t="n">
        <v>48086000</v>
      </c>
      <c r="I90" s="265" t="n">
        <v>46846000</v>
      </c>
      <c r="J90" s="265" t="n">
        <v>45333000</v>
      </c>
      <c r="K90" s="265" t="n">
        <v>46616000</v>
      </c>
      <c r="L90" s="265" t="n">
        <v>46909000</v>
      </c>
      <c r="N90" s="265" t="n">
        <v>46158000</v>
      </c>
      <c r="O90" s="265" t="n">
        <v>46559000</v>
      </c>
      <c r="P90" s="265" t="n">
        <v>48965000</v>
      </c>
      <c r="Q90" s="265" t="n">
        <v>50758000</v>
      </c>
      <c r="S90" s="265" t="n">
        <v>52014000</v>
      </c>
      <c r="T90" s="265" t="n">
        <v>51340000</v>
      </c>
      <c r="U90" s="265" t="n">
        <v>51834000</v>
      </c>
      <c r="V90" s="265" t="n">
        <v>52926000</v>
      </c>
      <c r="X90" s="265" t="n">
        <v>52252000</v>
      </c>
      <c r="Y90" s="265" t="n">
        <v>53038000</v>
      </c>
      <c r="Z90" s="265" t="n">
        <v>56161000</v>
      </c>
      <c r="AA90" s="265" t="n">
        <v>57249000</v>
      </c>
      <c r="AC90" s="265" t="n">
        <v>96911000</v>
      </c>
      <c r="AD90" s="265" t="n">
        <v>98253000</v>
      </c>
    </row>
    <row r="91">
      <c r="A91" t="inlineStr">
        <is>
          <t>Total do passivo + PL [us-gaap:LiabilitiesAndStockholdersEquity] · memoria · unid. moeda</t>
        </is>
      </c>
      <c r="C91" t="inlineStr">
        <is>
          <t>[linha bruta, sem código; lançada nas linhas abaixo]</t>
        </is>
      </c>
      <c r="D91" s="265" t="n"/>
      <c r="E91" s="265" t="n"/>
      <c r="F91" s="265" t="n"/>
      <c r="G91" s="265" t="n">
        <v>48086000</v>
      </c>
      <c r="I91" s="265" t="n">
        <v>46846000</v>
      </c>
      <c r="J91" s="265" t="n">
        <v>45333000</v>
      </c>
      <c r="K91" s="265" t="n">
        <v>46616000</v>
      </c>
      <c r="L91" s="265" t="n">
        <v>46909000</v>
      </c>
      <c r="N91" s="265" t="n">
        <v>46158000</v>
      </c>
      <c r="O91" s="265" t="n">
        <v>46559000</v>
      </c>
      <c r="P91" s="265" t="n">
        <v>48965000</v>
      </c>
      <c r="Q91" s="265" t="n">
        <v>50758000</v>
      </c>
      <c r="S91" s="265" t="n">
        <v>52014000</v>
      </c>
      <c r="T91" s="265" t="n">
        <v>51340000</v>
      </c>
      <c r="U91" s="265" t="n">
        <v>51834000</v>
      </c>
      <c r="V91" s="265" t="n">
        <v>52926000</v>
      </c>
      <c r="X91" s="265" t="n">
        <v>52252000</v>
      </c>
      <c r="Y91" s="265" t="n">
        <v>53038000</v>
      </c>
      <c r="Z91" s="265" t="n">
        <v>56161000</v>
      </c>
      <c r="AA91" s="265" t="n">
        <v>57249000</v>
      </c>
      <c r="AC91" s="265" t="n">
        <v>96911000</v>
      </c>
      <c r="AD91" s="265" t="n">
        <v>98253000</v>
      </c>
    </row>
    <row r="92">
      <c r="A92" t="inlineStr">
        <is>
          <t>CHECKS (devem ser 0)</t>
        </is>
      </c>
      <c r="C92" t="inlineStr">
        <is>
          <t>[linha bruta, sem código; lançada nas linhas abaixo]</t>
        </is>
      </c>
      <c r="D92" s="265" t="n"/>
      <c r="E92" s="265" t="n"/>
      <c r="F92" s="265" t="n"/>
      <c r="G92" s="265" t="n"/>
      <c r="I92" s="265" t="n"/>
      <c r="J92" s="265" t="n"/>
      <c r="K92" s="265" t="n"/>
      <c r="L92" s="265" t="n"/>
      <c r="N92" s="265" t="n"/>
      <c r="O92" s="265" t="n"/>
      <c r="P92" s="265" t="n"/>
      <c r="Q92" s="265" t="n"/>
      <c r="S92" s="265" t="n"/>
      <c r="T92" s="265" t="n"/>
      <c r="U92" s="265" t="n"/>
      <c r="V92" s="265" t="n"/>
      <c r="X92" s="265" t="n"/>
      <c r="Y92" s="265" t="n"/>
      <c r="Z92" s="265" t="n"/>
      <c r="AA92" s="265" t="n"/>
      <c r="AC92" s="265" t="n"/>
      <c r="AD92" s="265" t="n"/>
    </row>
    <row r="93">
      <c r="A93" t="inlineStr">
        <is>
          <t>CHECK: contas de ativo - ativo total (USD, arredondado a 100 mil) · derivada · unid. moeda</t>
        </is>
      </c>
      <c r="C93" t="inlineStr">
        <is>
          <t>[linha bruta, sem código; lançada nas linhas abaixo]</t>
        </is>
      </c>
      <c r="D93" s="265">
        <f>ROUND(N(D30)+N(D31)+N(D32)+N(D33)+N(D34)+N(D35)+N(D36)+N(D37)+N(D38)+N(D39)+N(D40)+N(D41)+N(D42)+N(D43)+N(D44)+N(D45)+N(D46)+N(D47)+N(D48)+N(D49)+N(D50)+N(D88)-N(D90),-2)</f>
        <v>0</v>
      </c>
      <c r="E93" s="265">
        <f>ROUND(N(E30)+N(E31)+N(E32)+N(E33)+N(E34)+N(E35)+N(E36)+N(E37)+N(E38)+N(E39)+N(E40)+N(E41)+N(E42)+N(E43)+N(E44)+N(E45)+N(E46)+N(E47)+N(E48)+N(E49)+N(E50)+N(E88)-N(E90),-2)</f>
        <v>0</v>
      </c>
      <c r="F93" s="265">
        <f>ROUND(N(F30)+N(F31)+N(F32)+N(F33)+N(F34)+N(F35)+N(F36)+N(F37)+N(F38)+N(F39)+N(F40)+N(F41)+N(F42)+N(F43)+N(F44)+N(F45)+N(F46)+N(F47)+N(F48)+N(F49)+N(F50)+N(F88)-N(F90),-2)</f>
        <v>0</v>
      </c>
      <c r="G93" s="265">
        <f>ROUND(N(G30)+N(G31)+N(G32)+N(G33)+N(G34)+N(G35)+N(G36)+N(G37)+N(G38)+N(G39)+N(G40)+N(G41)+N(G42)+N(G43)+N(G44)+N(G45)+N(G46)+N(G47)+N(G48)+N(G49)+N(G50)+N(G88)-N(G90),-2)</f>
        <v>0</v>
      </c>
      <c r="I93" s="265">
        <f>ROUND(N(I30)+N(I31)+N(I32)+N(I33)+N(I34)+N(I35)+N(I36)+N(I37)+N(I38)+N(I39)+N(I40)+N(I41)+N(I42)+N(I43)+N(I44)+N(I45)+N(I46)+N(I47)+N(I48)+N(I49)+N(I50)+N(I88)-N(I90),-2)</f>
        <v>0</v>
      </c>
      <c r="J93" s="265">
        <f>ROUND(N(J30)+N(J31)+N(J32)+N(J33)+N(J34)+N(J35)+N(J36)+N(J37)+N(J38)+N(J39)+N(J40)+N(J41)+N(J42)+N(J43)+N(J44)+N(J45)+N(J46)+N(J47)+N(J48)+N(J49)+N(J50)+N(J88)-N(J90),-2)</f>
        <v>0</v>
      </c>
      <c r="K93" s="265">
        <f>ROUND(N(K30)+N(K31)+N(K32)+N(K33)+N(K34)+N(K35)+N(K36)+N(K37)+N(K38)+N(K39)+N(K40)+N(K41)+N(K42)+N(K43)+N(K44)+N(K45)+N(K46)+N(K47)+N(K48)+N(K49)+N(K50)+N(K88)-N(K90),-2)</f>
        <v>0</v>
      </c>
      <c r="L93" s="265">
        <f>ROUND(N(L30)+N(L31)+N(L32)+N(L33)+N(L34)+N(L35)+N(L36)+N(L37)+N(L38)+N(L39)+N(L40)+N(L41)+N(L42)+N(L43)+N(L44)+N(L45)+N(L46)+N(L47)+N(L48)+N(L49)+N(L50)+N(L88)-N(L90),-2)</f>
        <v>0</v>
      </c>
      <c r="N93" s="265">
        <f>ROUND(N(N30)+N(N31)+N(N32)+N(N33)+N(N34)+N(N35)+N(N36)+N(N37)+N(N38)+N(N39)+N(N40)+N(N41)+N(N42)+N(N43)+N(N44)+N(N45)+N(N46)+N(N47)+N(N48)+N(N49)+N(N50)+N(N88)-N(N90),-2)</f>
        <v>0</v>
      </c>
      <c r="O93" s="265">
        <f>ROUND(N(O30)+N(O31)+N(O32)+N(O33)+N(O34)+N(O35)+N(O36)+N(O37)+N(O38)+N(O39)+N(O40)+N(O41)+N(O42)+N(O43)+N(O44)+N(O45)+N(O46)+N(O47)+N(O48)+N(O49)+N(O50)+N(O88)-N(O90),-2)</f>
        <v>0</v>
      </c>
      <c r="P93" s="265">
        <f>ROUND(N(P30)+N(P31)+N(P32)+N(P33)+N(P34)+N(P35)+N(P36)+N(P37)+N(P38)+N(P39)+N(P40)+N(P41)+N(P42)+N(P43)+N(P44)+N(P45)+N(P46)+N(P47)+N(P48)+N(P49)+N(P50)+N(P88)-N(P90),-2)</f>
        <v>0</v>
      </c>
      <c r="Q93" s="265">
        <f>ROUND(N(Q30)+N(Q31)+N(Q32)+N(Q33)+N(Q34)+N(Q35)+N(Q36)+N(Q37)+N(Q38)+N(Q39)+N(Q40)+N(Q41)+N(Q42)+N(Q43)+N(Q44)+N(Q45)+N(Q46)+N(Q47)+N(Q48)+N(Q49)+N(Q50)+N(Q88)-N(Q90),-2)</f>
        <v>0</v>
      </c>
      <c r="S93" s="265">
        <f>ROUND(N(S30)+N(S31)+N(S32)+N(S33)+N(S34)+N(S35)+N(S36)+N(S37)+N(S38)+N(S39)+N(S40)+N(S41)+N(S42)+N(S43)+N(S44)+N(S45)+N(S46)+N(S47)+N(S48)+N(S49)+N(S50)+N(S88)-N(S90),-2)</f>
        <v>0</v>
      </c>
      <c r="T93" s="265">
        <f>ROUND(N(T30)+N(T31)+N(T32)+N(T33)+N(T34)+N(T35)+N(T36)+N(T37)+N(T38)+N(T39)+N(T40)+N(T41)+N(T42)+N(T43)+N(T44)+N(T45)+N(T46)+N(T47)+N(T48)+N(T49)+N(T50)+N(T88)-N(T90),-2)</f>
        <v>0</v>
      </c>
      <c r="U93" s="265">
        <f>ROUND(N(U30)+N(U31)+N(U32)+N(U33)+N(U34)+N(U35)+N(U36)+N(U37)+N(U38)+N(U39)+N(U40)+N(U41)+N(U42)+N(U43)+N(U44)+N(U45)+N(U46)+N(U47)+N(U48)+N(U49)+N(U50)+N(U88)-N(U90),-2)</f>
        <v>0</v>
      </c>
      <c r="V93" s="265">
        <f>ROUND(N(V30)+N(V31)+N(V32)+N(V33)+N(V34)+N(V35)+N(V36)+N(V37)+N(V38)+N(V39)+N(V40)+N(V41)+N(V42)+N(V43)+N(V44)+N(V45)+N(V46)+N(V47)+N(V48)+N(V49)+N(V50)+N(V88)-N(V90),-2)</f>
        <v>0</v>
      </c>
      <c r="X93" s="265">
        <f>ROUND(N(X30)+N(X31)+N(X32)+N(X33)+N(X34)+N(X35)+N(X36)+N(X37)+N(X38)+N(X39)+N(X40)+N(X41)+N(X42)+N(X43)+N(X44)+N(X45)+N(X46)+N(X47)+N(X48)+N(X49)+N(X50)+N(X88)-N(X90),-2)</f>
        <v>0</v>
      </c>
      <c r="Y93" s="265">
        <f>ROUND(N(Y30)+N(Y31)+N(Y32)+N(Y33)+N(Y34)+N(Y35)+N(Y36)+N(Y37)+N(Y38)+N(Y39)+N(Y40)+N(Y41)+N(Y42)+N(Y43)+N(Y44)+N(Y45)+N(Y46)+N(Y47)+N(Y48)+N(Y49)+N(Y50)+N(Y88)-N(Y90),-2)</f>
        <v>0</v>
      </c>
      <c r="Z93" s="265">
        <f>ROUND(N(Z30)+N(Z31)+N(Z32)+N(Z33)+N(Z34)+N(Z35)+N(Z36)+N(Z37)+N(Z38)+N(Z39)+N(Z40)+N(Z41)+N(Z42)+N(Z43)+N(Z44)+N(Z45)+N(Z46)+N(Z47)+N(Z48)+N(Z49)+N(Z50)+N(Z88)-N(Z90),-2)</f>
        <v>0</v>
      </c>
      <c r="AA93" s="265">
        <f>ROUND(N(AA30)+N(AA31)+N(AA32)+N(AA33)+N(AA34)+N(AA35)+N(AA36)+N(AA37)+N(AA38)+N(AA39)+N(AA40)+N(AA41)+N(AA42)+N(AA43)+N(AA44)+N(AA45)+N(AA46)+N(AA47)+N(AA48)+N(AA49)+N(AA50)+N(AA88)-N(AA90),-2)</f>
        <v>0</v>
      </c>
      <c r="AC93" s="265">
        <f>ROUND(N(AC30)+N(AC31)+N(AC32)+N(AC33)+N(AC34)+N(AC35)+N(AC36)+N(AC37)+N(AC38)+N(AC39)+N(AC40)+N(AC41)+N(AC42)+N(AC43)+N(AC44)+N(AC45)+N(AC46)+N(AC47)+N(AC48)+N(AC49)+N(AC50)+N(AC88)-N(AC90),-2)</f>
        <v>0</v>
      </c>
      <c r="AD93" s="265">
        <f>ROUND(N(AD30)+N(AD31)+N(AD32)+N(AD33)+N(AD34)+N(AD35)+N(AD36)+N(AD37)+N(AD38)+N(AD39)+N(AD40)+N(AD41)+N(AD42)+N(AD43)+N(AD44)+N(AD45)+N(AD46)+N(AD47)+N(AD48)+N(AD49)+N(AD50)+N(AD88)-N(AD90),-2)</f>
        <v>0</v>
      </c>
    </row>
    <row r="94">
      <c r="A94" t="inlineStr">
        <is>
          <t>CHECK: passivo + PL (contas) - passivo + PL total · derivada · unid. moeda</t>
        </is>
      </c>
      <c r="C94" t="inlineStr">
        <is>
          <t>[linha bruta, sem código; lançada nas linhas abaixo]</t>
        </is>
      </c>
      <c r="D94" s="265">
        <f>ROUND(N(D51)+N(D52)+N(D53)+N(D54)+N(D55)+N(D56)+N(D57)+N(D58)+N(D59)+N(D60)+N(D61)+N(D62)+N(D63)+N(D64)+N(D65)+N(D66)+N(D67)+N(D68)+N(D69)+N(D70)+N(D71)+N(D72)+N(D73)+N(D74)+N(D75)+N(D76)-N(D91),-2)</f>
        <v>0</v>
      </c>
      <c r="E94" s="265">
        <f>ROUND(N(E51)+N(E52)+N(E53)+N(E54)+N(E55)+N(E56)+N(E57)+N(E58)+N(E59)+N(E60)+N(E61)+N(E62)+N(E63)+N(E64)+N(E65)+N(E66)+N(E67)+N(E68)+N(E69)+N(E70)+N(E71)+N(E72)+N(E73)+N(E74)+N(E75)+N(E76)-N(E91),-2)</f>
        <v>0</v>
      </c>
      <c r="F94" s="265">
        <f>ROUND(N(F51)+N(F52)+N(F53)+N(F54)+N(F55)+N(F56)+N(F57)+N(F58)+N(F59)+N(F60)+N(F61)+N(F62)+N(F63)+N(F64)+N(F65)+N(F66)+N(F67)+N(F68)+N(F69)+N(F70)+N(F71)+N(F72)+N(F73)+N(F74)+N(F75)+N(F76)-N(F91),-2)</f>
        <v>0</v>
      </c>
      <c r="G94" s="265">
        <f>ROUND(N(G51)+N(G52)+N(G53)+N(G54)+N(G55)+N(G56)+N(G57)+N(G58)+N(G59)+N(G60)+N(G61)+N(G62)+N(G63)+N(G64)+N(G65)+N(G66)+N(G67)+N(G68)+N(G69)+N(G70)+N(G71)+N(G72)+N(G73)+N(G74)+N(G75)+N(G76)-N(G91),-2)</f>
        <v>0</v>
      </c>
      <c r="I94" s="265">
        <f>ROUND(N(I51)+N(I52)+N(I53)+N(I54)+N(I55)+N(I56)+N(I57)+N(I58)+N(I59)+N(I60)+N(I61)+N(I62)+N(I63)+N(I64)+N(I65)+N(I66)+N(I67)+N(I68)+N(I69)+N(I70)+N(I71)+N(I72)+N(I73)+N(I74)+N(I75)+N(I76)-N(I91),-2)</f>
        <v>0</v>
      </c>
      <c r="J94" s="265">
        <f>ROUND(N(J51)+N(J52)+N(J53)+N(J54)+N(J55)+N(J56)+N(J57)+N(J58)+N(J59)+N(J60)+N(J61)+N(J62)+N(J63)+N(J64)+N(J65)+N(J66)+N(J67)+N(J68)+N(J69)+N(J70)+N(J71)+N(J72)+N(J73)+N(J74)+N(J75)+N(J76)-N(J91),-2)</f>
        <v>0</v>
      </c>
      <c r="K94" s="265">
        <f>ROUND(N(K51)+N(K52)+N(K53)+N(K54)+N(K55)+N(K56)+N(K57)+N(K58)+N(K59)+N(K60)+N(K61)+N(K62)+N(K63)+N(K64)+N(K65)+N(K66)+N(K67)+N(K68)+N(K69)+N(K70)+N(K71)+N(K72)+N(K73)+N(K74)+N(K75)+N(K76)-N(K91),-2)</f>
        <v>0</v>
      </c>
      <c r="L94" s="265">
        <f>ROUND(N(L51)+N(L52)+N(L53)+N(L54)+N(L55)+N(L56)+N(L57)+N(L58)+N(L59)+N(L60)+N(L61)+N(L62)+N(L63)+N(L64)+N(L65)+N(L66)+N(L67)+N(L68)+N(L69)+N(L70)+N(L71)+N(L72)+N(L73)+N(L74)+N(L75)+N(L76)-N(L91),-2)</f>
        <v>0</v>
      </c>
      <c r="N94" s="265">
        <f>ROUND(N(N51)+N(N52)+N(N53)+N(N54)+N(N55)+N(N56)+N(N57)+N(N58)+N(N59)+N(N60)+N(N61)+N(N62)+N(N63)+N(N64)+N(N65)+N(N66)+N(N67)+N(N68)+N(N69)+N(N70)+N(N71)+N(N72)+N(N73)+N(N74)+N(N75)+N(N76)-N(N91),-2)</f>
        <v>0</v>
      </c>
      <c r="O94" s="265">
        <f>ROUND(N(O51)+N(O52)+N(O53)+N(O54)+N(O55)+N(O56)+N(O57)+N(O58)+N(O59)+N(O60)+N(O61)+N(O62)+N(O63)+N(O64)+N(O65)+N(O66)+N(O67)+N(O68)+N(O69)+N(O70)+N(O71)+N(O72)+N(O73)+N(O74)+N(O75)+N(O76)-N(O91),-2)</f>
        <v>0</v>
      </c>
      <c r="P94" s="265">
        <f>ROUND(N(P51)+N(P52)+N(P53)+N(P54)+N(P55)+N(P56)+N(P57)+N(P58)+N(P59)+N(P60)+N(P61)+N(P62)+N(P63)+N(P64)+N(P65)+N(P66)+N(P67)+N(P68)+N(P69)+N(P70)+N(P71)+N(P72)+N(P73)+N(P74)+N(P75)+N(P76)-N(P91),-2)</f>
        <v>0</v>
      </c>
      <c r="Q94" s="265">
        <f>ROUND(N(Q51)+N(Q52)+N(Q53)+N(Q54)+N(Q55)+N(Q56)+N(Q57)+N(Q58)+N(Q59)+N(Q60)+N(Q61)+N(Q62)+N(Q63)+N(Q64)+N(Q65)+N(Q66)+N(Q67)+N(Q68)+N(Q69)+N(Q70)+N(Q71)+N(Q72)+N(Q73)+N(Q74)+N(Q75)+N(Q76)-N(Q91),-2)</f>
        <v>0</v>
      </c>
      <c r="S94" s="265">
        <f>ROUND(N(S51)+N(S52)+N(S53)+N(S54)+N(S55)+N(S56)+N(S57)+N(S58)+N(S59)+N(S60)+N(S61)+N(S62)+N(S63)+N(S64)+N(S65)+N(S66)+N(S67)+N(S68)+N(S69)+N(S70)+N(S71)+N(S72)+N(S73)+N(S74)+N(S75)+N(S76)-N(S91),-2)</f>
        <v>0</v>
      </c>
      <c r="T94" s="265">
        <f>ROUND(N(T51)+N(T52)+N(T53)+N(T54)+N(T55)+N(T56)+N(T57)+N(T58)+N(T59)+N(T60)+N(T61)+N(T62)+N(T63)+N(T64)+N(T65)+N(T66)+N(T67)+N(T68)+N(T69)+N(T70)+N(T71)+N(T72)+N(T73)+N(T74)+N(T75)+N(T76)-N(T91),-2)</f>
        <v>0</v>
      </c>
      <c r="U94" s="265">
        <f>ROUND(N(U51)+N(U52)+N(U53)+N(U54)+N(U55)+N(U56)+N(U57)+N(U58)+N(U59)+N(U60)+N(U61)+N(U62)+N(U63)+N(U64)+N(U65)+N(U66)+N(U67)+N(U68)+N(U69)+N(U70)+N(U71)+N(U72)+N(U73)+N(U74)+N(U75)+N(U76)-N(U91),-2)</f>
        <v>0</v>
      </c>
      <c r="V94" s="265">
        <f>ROUND(N(V51)+N(V52)+N(V53)+N(V54)+N(V55)+N(V56)+N(V57)+N(V58)+N(V59)+N(V60)+N(V61)+N(V62)+N(V63)+N(V64)+N(V65)+N(V66)+N(V67)+N(V68)+N(V69)+N(V70)+N(V71)+N(V72)+N(V73)+N(V74)+N(V75)+N(V76)-N(V91),-2)</f>
        <v>0</v>
      </c>
      <c r="X94" s="265">
        <f>ROUND(N(X51)+N(X52)+N(X53)+N(X54)+N(X55)+N(X56)+N(X57)+N(X58)+N(X59)+N(X60)+N(X61)+N(X62)+N(X63)+N(X64)+N(X65)+N(X66)+N(X67)+N(X68)+N(X69)+N(X70)+N(X71)+N(X72)+N(X73)+N(X74)+N(X75)+N(X76)-N(X91),-2)</f>
        <v>0</v>
      </c>
      <c r="Y94" s="265">
        <f>ROUND(N(Y51)+N(Y52)+N(Y53)+N(Y54)+N(Y55)+N(Y56)+N(Y57)+N(Y58)+N(Y59)+N(Y60)+N(Y61)+N(Y62)+N(Y63)+N(Y64)+N(Y65)+N(Y66)+N(Y67)+N(Y68)+N(Y69)+N(Y70)+N(Y71)+N(Y72)+N(Y73)+N(Y74)+N(Y75)+N(Y76)-N(Y91),-2)</f>
        <v>0</v>
      </c>
      <c r="Z94" s="265">
        <f>ROUND(N(Z51)+N(Z52)+N(Z53)+N(Z54)+N(Z55)+N(Z56)+N(Z57)+N(Z58)+N(Z59)+N(Z60)+N(Z61)+N(Z62)+N(Z63)+N(Z64)+N(Z65)+N(Z66)+N(Z67)+N(Z68)+N(Z69)+N(Z70)+N(Z71)+N(Z72)+N(Z73)+N(Z74)+N(Z75)+N(Z76)-N(Z91),-2)</f>
        <v>0</v>
      </c>
      <c r="AA94" s="265">
        <f>ROUND(N(AA51)+N(AA52)+N(AA53)+N(AA54)+N(AA55)+N(AA56)+N(AA57)+N(AA58)+N(AA59)+N(AA60)+N(AA61)+N(AA62)+N(AA63)+N(AA64)+N(AA65)+N(AA66)+N(AA67)+N(AA68)+N(AA69)+N(AA70)+N(AA71)+N(AA72)+N(AA73)+N(AA74)+N(AA75)+N(AA76)-N(AA91),-2)</f>
        <v>0</v>
      </c>
      <c r="AC94" s="265">
        <f>ROUND(N(AC51)+N(AC52)+N(AC53)+N(AC54)+N(AC55)+N(AC56)+N(AC57)+N(AC58)+N(AC59)+N(AC60)+N(AC61)+N(AC62)+N(AC63)+N(AC64)+N(AC65)+N(AC66)+N(AC67)+N(AC68)+N(AC69)+N(AC70)+N(AC71)+N(AC72)+N(AC73)+N(AC74)+N(AC75)+N(AC76)-N(AC91),-2)</f>
        <v>0</v>
      </c>
      <c r="AD94" s="265">
        <f>ROUND(N(AD51)+N(AD52)+N(AD53)+N(AD54)+N(AD55)+N(AD56)+N(AD57)+N(AD58)+N(AD59)+N(AD60)+N(AD61)+N(AD62)+N(AD63)+N(AD64)+N(AD65)+N(AD66)+N(AD67)+N(AD68)+N(AD69)+N(AD70)+N(AD71)+N(AD72)+N(AD73)+N(AD74)+N(AD75)+N(AD76)-N(AD91),-2)</f>
        <v>0</v>
      </c>
    </row>
    <row r="95">
      <c r="A95" t="inlineStr">
        <is>
          <t>CHECK: receita - custo - despesas + não operacional - IR - minoritários + outros após IR - lucro (deve ser 0) · derivada</t>
        </is>
      </c>
      <c r="C95" t="inlineStr">
        <is>
          <t>[linha bruta, sem código; lançada nas linhas abaixo]</t>
        </is>
      </c>
      <c r="D95" s="265">
        <f>ROUND(N(D5)-N(D6)-N(D9)+N(D12)-N(D16)-N(D18)+N(D21)-N(D22),-2)</f>
        <v>0</v>
      </c>
      <c r="E95" s="265">
        <f>ROUND(N(E5)-N(E6)-N(E9)+N(E12)-N(E16)-N(E18)+N(E21)-N(E22),-2)</f>
        <v>0</v>
      </c>
      <c r="F95" s="265">
        <f>ROUND(N(F5)-N(F6)-N(F9)+N(F12)-N(F16)-N(F18)+N(F21)-N(F22),-2)</f>
        <v>0</v>
      </c>
      <c r="G95" s="265">
        <f>ROUND(N(G5)-N(G6)-N(G9)+N(G12)-N(G16)-N(G18)+N(G21)-N(G22),-2)</f>
        <v>0</v>
      </c>
      <c r="I95" s="265">
        <f>ROUND(N(I5)-N(I6)-N(I9)+N(I12)-N(I16)-N(I18)+N(I21)-N(I22),-2)</f>
        <v>0</v>
      </c>
      <c r="J95" s="265">
        <f>ROUND(N(J5)-N(J6)-N(J9)+N(J12)-N(J16)-N(J18)+N(J21)-N(J22),-2)</f>
        <v>0</v>
      </c>
      <c r="K95" s="265">
        <f>ROUND(N(K5)-N(K6)-N(K9)+N(K12)-N(K16)-N(K18)+N(K21)-N(K22),-2)</f>
        <v>0</v>
      </c>
      <c r="L95" s="265">
        <f>ROUND(N(L5)-N(L6)-N(L9)+N(L12)-N(L16)-N(L18)+N(L21)-N(L22),-2)</f>
        <v>0</v>
      </c>
      <c r="N95" s="265">
        <f>ROUND(N(N5)-N(N6)-N(N9)+N(N12)-N(N16)-N(N18)+N(N21)-N(N22),-2)</f>
        <v>0</v>
      </c>
      <c r="O95" s="265">
        <f>ROUND(N(O5)-N(O6)-N(O9)+N(O12)-N(O16)-N(O18)+N(O21)-N(O22),-2)</f>
        <v>0</v>
      </c>
      <c r="P95" s="265">
        <f>ROUND(N(P5)-N(P6)-N(P9)+N(P12)-N(P16)-N(P18)+N(P21)-N(P22),-2)</f>
        <v>0</v>
      </c>
      <c r="Q95" s="265">
        <f>ROUND(N(Q5)-N(Q6)-N(Q9)+N(Q12)-N(Q16)-N(Q18)+N(Q21)-N(Q22),-2)</f>
        <v>0</v>
      </c>
      <c r="S95" s="265">
        <f>ROUND(N(S5)-N(S6)-N(S9)+N(S12)-N(S16)-N(S18)+N(S21)-N(S22),-2)</f>
        <v>0</v>
      </c>
      <c r="T95" s="265">
        <f>ROUND(N(T5)-N(T6)-N(T9)+N(T12)-N(T16)-N(T18)+N(T21)-N(T22),-2)</f>
        <v>0</v>
      </c>
      <c r="U95" s="265">
        <f>ROUND(N(U5)-N(U6)-N(U9)+N(U12)-N(U16)-N(U18)+N(U21)-N(U22),-2)</f>
        <v>0</v>
      </c>
      <c r="V95" s="265">
        <f>ROUND(N(V5)-N(V6)-N(V9)+N(V12)-N(V16)-N(V18)+N(V21)-N(V22),-2)</f>
        <v>0</v>
      </c>
      <c r="X95" s="265">
        <f>ROUND(N(X5)-N(X6)-N(X9)+N(X12)-N(X16)-N(X18)+N(X21)-N(X22),-2)</f>
        <v>0</v>
      </c>
      <c r="Y95" s="265">
        <f>ROUND(N(Y5)-N(Y6)-N(Y9)+N(Y12)-N(Y16)-N(Y18)+N(Y21)-N(Y22),-2)</f>
        <v>0</v>
      </c>
      <c r="Z95" s="265">
        <f>ROUND(N(Z5)-N(Z6)-N(Z9)+N(Z12)-N(Z16)-N(Z18)+N(Z21)-N(Z22),-2)</f>
        <v>0</v>
      </c>
      <c r="AA95" s="265">
        <f>ROUND(N(AA5)-N(AA6)-N(AA9)+N(AA12)-N(AA16)-N(AA18)+N(AA21)-N(AA22),-2)</f>
        <v>0</v>
      </c>
      <c r="AC95" s="265">
        <f>ROUND(N(AC5)-N(AC6)-N(AC9)+N(AC12)-N(AC16)-N(AC18)+N(AC21)-N(AC22),-2)</f>
        <v>0</v>
      </c>
      <c r="AD95" s="265">
        <f>ROUND(N(AD5)-N(AD6)-N(AD9)+N(AD12)-N(AD16)-N(AD18)+N(AD21)-N(AD22),-2)</f>
        <v>0</v>
      </c>
    </row>
    <row r="96">
      <c r="A96" t="inlineStr">
        <is>
          <t>[vazio] Sem 10-Q/10-K para: 1Q20, 2Q20, 3Q20, 4Q20, 1Q21, 2Q21, 3Q21</t>
        </is>
      </c>
      <c r="C96" t="inlineStr">
        <is>
          <t>[linha bruta, sem código; lançada nas linhas abaixo]</t>
        </is>
      </c>
      <c r="D96" s="265" t="n"/>
      <c r="E96" s="265" t="n"/>
      <c r="F96" s="265" t="n"/>
      <c r="G96" s="265" t="n"/>
      <c r="I96" s="265" t="n"/>
      <c r="J96" s="265" t="n"/>
      <c r="K96" s="265" t="n"/>
      <c r="L96" s="265" t="n"/>
      <c r="N96" s="265" t="n"/>
      <c r="O96" s="265" t="n"/>
      <c r="P96" s="265" t="n"/>
      <c r="Q96" s="265" t="n"/>
      <c r="S96" s="265" t="n"/>
      <c r="T96" s="265" t="n"/>
      <c r="U96" s="265" t="n"/>
      <c r="V96" s="265" t="n"/>
      <c r="X96" s="265" t="n"/>
      <c r="Y96" s="265" t="n"/>
      <c r="Z96" s="265" t="n"/>
      <c r="AA96" s="265" t="n"/>
      <c r="AC96" s="265" t="n"/>
      <c r="AD96" s="265" t="n"/>
    </row>
    <row r="97">
      <c r="D97" s="265" t="n"/>
      <c r="E97" s="265" t="n"/>
      <c r="F97" s="265" t="n"/>
      <c r="G97" s="265" t="n"/>
      <c r="I97" s="265" t="n"/>
      <c r="J97" s="265" t="n"/>
      <c r="K97" s="265" t="n"/>
      <c r="L97" s="265" t="n"/>
      <c r="N97" s="265" t="n"/>
      <c r="O97" s="265" t="n"/>
      <c r="P97" s="265" t="n"/>
      <c r="Q97" s="265" t="n"/>
      <c r="S97" s="265" t="n"/>
      <c r="T97" s="265" t="n"/>
      <c r="U97" s="265" t="n"/>
      <c r="V97" s="265" t="n"/>
      <c r="X97" s="265" t="n"/>
      <c r="Y97" s="265" t="n"/>
      <c r="Z97" s="265" t="n"/>
      <c r="AA97" s="265" t="n"/>
      <c r="AC97" s="265" t="n"/>
      <c r="AD97" s="265" t="n"/>
    </row>
    <row r="98">
      <c r="A98" t="inlineStr">
        <is>
          <t>DRIVERS DE RECEITA (codigos 45+): receita por região de geração/comercialização (Mid-Atlantic, Midwest, New York, ERCOT, outras regiões) - SEC XBRL (USD, fator 0,000001).</t>
        </is>
      </c>
      <c r="C98" t="inlineStr">
        <is>
          <t>[linha bruta, sem código; lançada nas linhas abaixo]</t>
        </is>
      </c>
      <c r="D98" s="265" t="n"/>
      <c r="E98" s="265" t="n"/>
      <c r="F98" s="265" t="n"/>
      <c r="G98" s="265" t="n"/>
      <c r="I98" s="265" t="n"/>
      <c r="J98" s="265" t="n"/>
      <c r="K98" s="265" t="n"/>
      <c r="L98" s="265" t="n"/>
      <c r="N98" s="265" t="n"/>
      <c r="O98" s="265" t="n"/>
      <c r="P98" s="265" t="n"/>
      <c r="Q98" s="265" t="n"/>
      <c r="S98" s="265" t="n"/>
      <c r="T98" s="265" t="n"/>
      <c r="U98" s="265" t="n"/>
      <c r="V98" s="265" t="n"/>
      <c r="X98" s="265" t="n"/>
      <c r="Y98" s="265" t="n"/>
      <c r="Z98" s="265" t="n"/>
      <c r="AA98" s="265" t="n"/>
      <c r="AC98" s="265" t="n"/>
      <c r="AD98" s="265" t="n"/>
    </row>
    <row r="99">
      <c r="A99" t="inlineStr">
        <is>
          <t>Mid-Atlantic - receita (USD) · fonte · unid. moeda</t>
        </is>
      </c>
      <c r="B99" t="n">
        <v>45</v>
      </c>
      <c r="C99" t="inlineStr">
        <is>
          <t>Mid-Atlantic - receita (USD)</t>
        </is>
      </c>
      <c r="D99" s="265" t="n">
        <v>1160000</v>
      </c>
      <c r="E99" s="265" t="n">
        <v>1086000</v>
      </c>
      <c r="F99" s="265" t="n">
        <v>1268000</v>
      </c>
      <c r="G99" s="265" t="n">
        <v>1053000</v>
      </c>
      <c r="I99" s="265" t="n">
        <v>1104000</v>
      </c>
      <c r="J99" s="265" t="n">
        <v>1200000</v>
      </c>
      <c r="K99" s="265" t="n">
        <v>1658000</v>
      </c>
      <c r="L99" s="265" t="n">
        <v>1195000</v>
      </c>
      <c r="N99" s="265" t="n">
        <v>1276000</v>
      </c>
      <c r="O99" s="265" t="n">
        <v>1208000</v>
      </c>
      <c r="P99" s="265" t="n">
        <v>1415000</v>
      </c>
      <c r="Q99" s="265" t="n">
        <v>1239000</v>
      </c>
      <c r="S99" s="265" t="n">
        <v>1242000</v>
      </c>
      <c r="T99" s="265" t="n">
        <v>1304000</v>
      </c>
      <c r="U99" s="265" t="n">
        <v>1603000</v>
      </c>
      <c r="V99" s="265" t="n">
        <v>1374000</v>
      </c>
      <c r="X99" s="265" t="n">
        <v>1665000</v>
      </c>
      <c r="Y99" s="265" t="n">
        <v>1448000</v>
      </c>
      <c r="Z99" s="265" t="n">
        <v>1763000</v>
      </c>
      <c r="AA99" s="265" t="n">
        <v>1611000</v>
      </c>
      <c r="AC99" s="265" t="n">
        <v>1847000</v>
      </c>
      <c r="AD99" s="265" t="n">
        <v>1555000</v>
      </c>
    </row>
    <row r="100">
      <c r="A100" t="inlineStr">
        <is>
          <t>Midwest - receita (USD) · fonte · unid. moeda</t>
        </is>
      </c>
      <c r="B100" t="n">
        <v>46</v>
      </c>
      <c r="C100" t="inlineStr">
        <is>
          <t>Midwest - receita (USD)</t>
        </is>
      </c>
      <c r="D100" s="265" t="n">
        <v>998000</v>
      </c>
      <c r="E100" s="265" t="n">
        <v>962000</v>
      </c>
      <c r="F100" s="265" t="n">
        <v>985000</v>
      </c>
      <c r="G100" s="265" t="n">
        <v>1116000</v>
      </c>
      <c r="I100" s="265" t="n">
        <v>1197000</v>
      </c>
      <c r="J100" s="265" t="n">
        <v>1102000</v>
      </c>
      <c r="K100" s="265" t="n">
        <v>1049000</v>
      </c>
      <c r="L100" s="265" t="n">
        <v>1309000</v>
      </c>
      <c r="N100" s="265" t="n">
        <v>1030000</v>
      </c>
      <c r="O100" s="265" t="n">
        <v>1329000</v>
      </c>
      <c r="P100" s="265" t="n">
        <v>1117000</v>
      </c>
      <c r="Q100" s="265" t="n">
        <v>1182000</v>
      </c>
      <c r="S100" s="265" t="n">
        <v>1094000</v>
      </c>
      <c r="T100" s="265" t="n">
        <v>1168000</v>
      </c>
      <c r="U100" s="265" t="n">
        <v>1275000</v>
      </c>
      <c r="V100" s="265" t="n">
        <v>1268000</v>
      </c>
      <c r="X100" s="265" t="n">
        <v>1404000</v>
      </c>
      <c r="Y100" s="265" t="n">
        <v>1524000</v>
      </c>
      <c r="Z100" s="265" t="n">
        <v>1390000</v>
      </c>
      <c r="AA100" s="265" t="n">
        <v>1487000</v>
      </c>
      <c r="AC100" s="265" t="n">
        <v>1732000</v>
      </c>
      <c r="AD100" s="265" t="n">
        <v>1568000</v>
      </c>
    </row>
    <row r="101">
      <c r="A101" t="inlineStr">
        <is>
          <t>New York - receita (USD) · fonte · unid. moeda</t>
        </is>
      </c>
      <c r="B101" t="n">
        <v>47</v>
      </c>
      <c r="C101" t="inlineStr">
        <is>
          <t>New York - receita (USD)</t>
        </is>
      </c>
      <c r="D101" s="265" t="n">
        <v>337000</v>
      </c>
      <c r="E101" s="265" t="n">
        <v>381000</v>
      </c>
      <c r="F101" s="265" t="n">
        <v>455000</v>
      </c>
      <c r="G101" s="265" t="n">
        <v>402000</v>
      </c>
      <c r="I101" s="265" t="n">
        <v>359000</v>
      </c>
      <c r="J101" s="265" t="n">
        <v>393000</v>
      </c>
      <c r="K101" s="265" t="n">
        <v>426000</v>
      </c>
      <c r="L101" s="265" t="n">
        <v>418000</v>
      </c>
      <c r="N101" s="265" t="n">
        <v>501000</v>
      </c>
      <c r="O101" s="265" t="n">
        <v>468000</v>
      </c>
      <c r="P101" s="265" t="n">
        <v>508000</v>
      </c>
      <c r="Q101" s="265" t="n">
        <v>544000</v>
      </c>
      <c r="S101" s="265" t="n">
        <v>513000</v>
      </c>
      <c r="T101" s="265" t="n">
        <v>514000</v>
      </c>
      <c r="U101" s="265" t="n">
        <v>507000</v>
      </c>
      <c r="V101" s="265" t="n">
        <v>516000</v>
      </c>
      <c r="X101" s="265" t="n">
        <v>562000</v>
      </c>
      <c r="Y101" s="265" t="n">
        <v>535000</v>
      </c>
      <c r="Z101" s="265" t="n">
        <v>558000</v>
      </c>
      <c r="AA101" s="265" t="n">
        <v>535000</v>
      </c>
      <c r="AC101" s="265" t="n">
        <v>569000</v>
      </c>
      <c r="AD101" s="265" t="n">
        <v>564000</v>
      </c>
    </row>
    <row r="102">
      <c r="A102" t="inlineStr">
        <is>
          <t>ERCOT - receita (USD) · fonte · unid. moeda</t>
        </is>
      </c>
      <c r="B102" t="n">
        <v>48</v>
      </c>
      <c r="C102" t="inlineStr">
        <is>
          <t>ERCOT - receita (USD)</t>
        </is>
      </c>
      <c r="D102" s="265" t="n">
        <v>252000</v>
      </c>
      <c r="E102" s="265" t="n">
        <v>271000</v>
      </c>
      <c r="F102" s="265" t="n">
        <v>356000</v>
      </c>
      <c r="G102" s="265" t="n">
        <v>293000</v>
      </c>
      <c r="I102" s="265" t="n">
        <v>235000</v>
      </c>
      <c r="J102" s="265" t="n">
        <v>489000</v>
      </c>
      <c r="K102" s="265" t="n">
        <v>496000</v>
      </c>
      <c r="L102" s="265" t="n">
        <v>336000</v>
      </c>
      <c r="N102" s="265" t="n">
        <v>168000</v>
      </c>
      <c r="O102" s="265" t="n">
        <v>327000</v>
      </c>
      <c r="P102" s="265" t="n">
        <v>558000</v>
      </c>
      <c r="Q102" s="265" t="n">
        <v>294000</v>
      </c>
      <c r="S102" s="265" t="n">
        <v>321000</v>
      </c>
      <c r="T102" s="265" t="n">
        <v>357000</v>
      </c>
      <c r="U102" s="265" t="n">
        <v>523000</v>
      </c>
      <c r="V102" s="265" t="n">
        <v>349000</v>
      </c>
      <c r="X102" s="265" t="n">
        <v>398000</v>
      </c>
      <c r="Y102" s="265" t="n">
        <v>464000</v>
      </c>
      <c r="Z102" s="265" t="n">
        <v>628000</v>
      </c>
      <c r="AA102" s="265" t="n">
        <v>415000</v>
      </c>
      <c r="AC102" s="265" t="n">
        <v>370000</v>
      </c>
      <c r="AD102" s="265" t="n">
        <v>446000</v>
      </c>
    </row>
    <row r="103">
      <c r="A103" t="inlineStr">
        <is>
          <t>Outras regiões - receita (USD) · fonte · unid. moeda</t>
        </is>
      </c>
      <c r="B103" t="n">
        <v>49</v>
      </c>
      <c r="C103" t="inlineStr">
        <is>
          <t>Outras regiões - receita (USD)</t>
        </is>
      </c>
      <c r="D103" s="265" t="n">
        <v>1440000</v>
      </c>
      <c r="E103" s="265" t="n">
        <v>1047000</v>
      </c>
      <c r="F103" s="265" t="n">
        <v>1266000</v>
      </c>
      <c r="G103" s="265" t="n">
        <v>1162000</v>
      </c>
      <c r="I103" s="265" t="n">
        <v>1933000</v>
      </c>
      <c r="J103" s="265" t="n">
        <v>1321000</v>
      </c>
      <c r="K103" s="265" t="n">
        <v>1926000</v>
      </c>
      <c r="L103" s="265" t="n">
        <v>1537000</v>
      </c>
      <c r="N103" s="265" t="n">
        <v>1797000</v>
      </c>
      <c r="O103" s="265" t="n">
        <v>1106000</v>
      </c>
      <c r="P103" s="265" t="n">
        <v>1593000</v>
      </c>
      <c r="Q103" s="265" t="n">
        <v>1353000</v>
      </c>
      <c r="S103" s="265" t="n">
        <v>1624000</v>
      </c>
      <c r="T103" s="265" t="n">
        <v>1184000</v>
      </c>
      <c r="U103" s="265" t="n">
        <v>1443000</v>
      </c>
      <c r="V103" s="265" t="n">
        <v>1254000</v>
      </c>
      <c r="X103" s="265" t="n">
        <v>1556000</v>
      </c>
      <c r="Y103" s="265" t="n">
        <v>1178000</v>
      </c>
      <c r="Z103" s="265" t="n">
        <v>1543000</v>
      </c>
      <c r="AA103" s="265" t="n">
        <v>1306000</v>
      </c>
      <c r="AC103" s="265" t="n">
        <v>1487000</v>
      </c>
      <c r="AD103" s="265" t="n">
        <v>964000</v>
      </c>
    </row>
    <row r="104">
      <c r="A104" t="inlineStr">
        <is>
          <t>Notas: valores dimensionais das instâncias XBRL. A soma das regiões não fecha com a receita consolidada: a diferença são outros negócios (gás natural, renováveis, resultado de derivativos economicamente hedgeados). A companhia existe como emissora separada desde a cisão da Exelon (fev/2022); os dados de 2021 vêm dos comparativos.</t>
        </is>
      </c>
      <c r="C104" t="inlineStr">
        <is>
          <t>[linha bruta, sem código; lançada nas linhas abaixo]</t>
        </is>
      </c>
      <c r="D104" s="265" t="n"/>
      <c r="E104" s="265" t="n"/>
      <c r="F104" s="265" t="n"/>
      <c r="G104" s="265" t="n"/>
      <c r="I104" s="265" t="n"/>
      <c r="J104" s="265" t="n"/>
      <c r="K104" s="265" t="n"/>
      <c r="L104" s="265" t="n"/>
      <c r="N104" s="265" t="n"/>
      <c r="O104" s="265" t="n"/>
      <c r="P104" s="265" t="n"/>
      <c r="Q104" s="265" t="n"/>
      <c r="S104" s="265" t="n"/>
      <c r="T104" s="265" t="n"/>
      <c r="U104" s="265" t="n"/>
      <c r="V104" s="265" t="n"/>
      <c r="X104" s="265" t="n"/>
      <c r="Y104" s="265" t="n"/>
      <c r="Z104" s="265" t="n"/>
      <c r="AA104" s="265" t="n"/>
      <c r="AC104" s="265" t="n"/>
      <c r="AD104" s="265" t="n"/>
    </row>
    <row r="106">
      <c r="A106" t="inlineStr">
        <is>
          <t>Linhas de origem: 4 a 104. A Inputs (2) varre as linhas 4 a 150; as linhas 105 a 150 estão livres. Linhas "(lançamento)" aplicam código e sinal sobre a linha bruta indicada (a máscara tem uma só coluna de código).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7"/>
  <sheetViews>
    <sheetView showGridLines="0" tabSelected="1" zoomScaleNormal="100" workbookViewId="0">
      <pane xSplit="3" ySplit="3" topLeftCell="D4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baseColWidth="8" defaultColWidth="10.42578125" defaultRowHeight="12.75"/>
  <cols>
    <col width="14.7109375" customWidth="1" style="3" min="1" max="1"/>
    <col width="10.140625" customWidth="1" style="3" min="2" max="2"/>
    <col width="50" customWidth="1" style="4" min="3" max="3"/>
    <col width="12.42578125" customWidth="1" style="3" min="4" max="33"/>
    <col width="10.42578125" customWidth="1" style="4" min="34" max="54"/>
    <col width="11" customWidth="1" style="4" min="55" max="55"/>
    <col width="10.42578125" customWidth="1" style="4" min="56" max="58"/>
    <col width="10.42578125" customWidth="1" style="4" min="59" max="16384"/>
  </cols>
  <sheetData>
    <row r="1" ht="14.25" customFormat="1" customHeight="1" s="3">
      <c r="A1" s="5" t="str">
        <f>IF(Control!B3="","EMPRESA",Control!B3)</f>
        <v>Constellation Energy Corporation</v>
      </c>
      <c r="B1" s="5" t="inlineStr">
        <is>
          <t>Código</t>
        </is>
      </c>
      <c r="C1" s="1" t="inlineStr">
        <is>
          <t>Conta padronizada</t>
        </is>
      </c>
      <c r="D1" s="1" t="n">
        <v>2021</v>
      </c>
      <c r="E1" s="1" t="n">
        <v>2021</v>
      </c>
      <c r="F1" s="1" t="n">
        <v>2021</v>
      </c>
      <c r="G1" s="1" t="n">
        <v>2021</v>
      </c>
      <c r="H1" s="1" t="n">
        <v>2021</v>
      </c>
      <c r="I1" s="1" t="n">
        <v>2022</v>
      </c>
      <c r="J1" s="1" t="n">
        <v>2022</v>
      </c>
      <c r="K1" s="1" t="n">
        <v>2022</v>
      </c>
      <c r="L1" s="1" t="n">
        <v>2022</v>
      </c>
      <c r="M1" s="1" t="n">
        <v>2022</v>
      </c>
      <c r="N1" s="1" t="n">
        <v>2023</v>
      </c>
      <c r="O1" s="1" t="n">
        <v>2023</v>
      </c>
      <c r="P1" s="1" t="n">
        <v>2023</v>
      </c>
      <c r="Q1" s="1" t="n">
        <v>2023</v>
      </c>
      <c r="R1" s="1" t="n">
        <v>2023</v>
      </c>
      <c r="S1" s="1" t="n">
        <v>2024</v>
      </c>
      <c r="T1" s="1" t="n">
        <v>2024</v>
      </c>
      <c r="U1" s="1" t="n">
        <v>2024</v>
      </c>
      <c r="V1" s="1" t="n">
        <v>2024</v>
      </c>
      <c r="W1" s="1" t="n">
        <v>2024</v>
      </c>
      <c r="X1" s="1" t="n">
        <v>2025</v>
      </c>
      <c r="Y1" s="1" t="n">
        <v>2025</v>
      </c>
      <c r="Z1" s="1" t="n">
        <v>2025</v>
      </c>
      <c r="AA1" s="1" t="n">
        <v>2025</v>
      </c>
      <c r="AB1" s="1" t="n">
        <v>2025</v>
      </c>
      <c r="AC1" s="1" t="n">
        <v>2026</v>
      </c>
      <c r="AD1" s="1" t="n">
        <v>2026</v>
      </c>
      <c r="AE1" s="1" t="n">
        <v>2026</v>
      </c>
      <c r="AF1" s="1" t="n">
        <v>2026</v>
      </c>
      <c r="AG1" s="1" t="n">
        <v>2026</v>
      </c>
    </row>
    <row r="2" ht="14.25" customHeight="1">
      <c r="A2" s="1" t="inlineStr">
        <is>
          <t>US$ milhões</t>
        </is>
      </c>
      <c r="B2" s="1" t="n"/>
      <c r="C2" s="1" t="inlineStr">
        <is>
          <t>Período</t>
        </is>
      </c>
      <c r="D2" s="6" t="inlineStr">
        <is>
          <t>1Q21</t>
        </is>
      </c>
      <c r="E2" s="6" t="inlineStr">
        <is>
          <t>2Q21</t>
        </is>
      </c>
      <c r="F2" s="6" t="inlineStr">
        <is>
          <t>3Q21</t>
        </is>
      </c>
      <c r="G2" s="6" t="inlineStr">
        <is>
          <t>4Q21</t>
        </is>
      </c>
      <c r="H2" s="7" t="inlineStr">
        <is>
          <t>2021</t>
        </is>
      </c>
      <c r="I2" s="6" t="inlineStr">
        <is>
          <t>1Q22</t>
        </is>
      </c>
      <c r="J2" s="6" t="inlineStr">
        <is>
          <t>2Q22</t>
        </is>
      </c>
      <c r="K2" s="6" t="inlineStr">
        <is>
          <t>3Q22</t>
        </is>
      </c>
      <c r="L2" s="6" t="inlineStr">
        <is>
          <t>4Q22</t>
        </is>
      </c>
      <c r="M2" s="7" t="inlineStr">
        <is>
          <t>2022</t>
        </is>
      </c>
      <c r="N2" s="6" t="inlineStr">
        <is>
          <t>1Q23</t>
        </is>
      </c>
      <c r="O2" s="6" t="inlineStr">
        <is>
          <t>2Q23</t>
        </is>
      </c>
      <c r="P2" s="6" t="inlineStr">
        <is>
          <t>3Q23</t>
        </is>
      </c>
      <c r="Q2" s="6" t="inlineStr">
        <is>
          <t>4Q23</t>
        </is>
      </c>
      <c r="R2" s="7" t="inlineStr">
        <is>
          <t>2023</t>
        </is>
      </c>
      <c r="S2" s="6" t="inlineStr">
        <is>
          <t>1Q24</t>
        </is>
      </c>
      <c r="T2" s="6" t="inlineStr">
        <is>
          <t>2Q24</t>
        </is>
      </c>
      <c r="U2" s="6" t="inlineStr">
        <is>
          <t>3Q24</t>
        </is>
      </c>
      <c r="V2" s="6" t="inlineStr">
        <is>
          <t>4Q24</t>
        </is>
      </c>
      <c r="W2" s="7" t="inlineStr">
        <is>
          <t>2024</t>
        </is>
      </c>
      <c r="X2" s="6" t="inlineStr">
        <is>
          <t>1Q25</t>
        </is>
      </c>
      <c r="Y2" s="6" t="inlineStr">
        <is>
          <t>2Q25</t>
        </is>
      </c>
      <c r="Z2" s="6" t="inlineStr">
        <is>
          <t>3Q25</t>
        </is>
      </c>
      <c r="AA2" s="6" t="inlineStr">
        <is>
          <t>4Q25</t>
        </is>
      </c>
      <c r="AB2" s="7" t="inlineStr">
        <is>
          <t>2025</t>
        </is>
      </c>
      <c r="AC2" s="6" t="inlineStr">
        <is>
          <t>1Q26</t>
        </is>
      </c>
      <c r="AD2" s="6" t="inlineStr">
        <is>
          <t>2Q26</t>
        </is>
      </c>
      <c r="AE2" s="6" t="inlineStr">
        <is>
          <t>3Q26</t>
        </is>
      </c>
      <c r="AF2" s="6" t="inlineStr">
        <is>
          <t>4Q26</t>
        </is>
      </c>
      <c r="AG2" s="7" t="inlineStr">
        <is>
          <t>2026</t>
        </is>
      </c>
    </row>
    <row r="3" ht="15" customHeight="1">
      <c r="A3" s="8" t="inlineStr">
        <is>
          <t>Actual flag</t>
        </is>
      </c>
      <c r="B3" s="8" t="n"/>
      <c r="C3" s="8" t="inlineStr">
        <is>
          <t>0 = sem dados / 1 = realizado</t>
        </is>
      </c>
      <c r="D3" s="8" t="n">
        <v>1</v>
      </c>
      <c r="E3" s="8" t="n">
        <v>1</v>
      </c>
      <c r="F3" s="8" t="n">
        <v>1</v>
      </c>
      <c r="G3" s="8" t="n">
        <v>1</v>
      </c>
      <c r="H3" s="8" t="n">
        <v>1</v>
      </c>
      <c r="I3" s="8" t="n">
        <v>1</v>
      </c>
      <c r="J3" s="8" t="n">
        <v>1</v>
      </c>
      <c r="K3" s="8" t="n">
        <v>1</v>
      </c>
      <c r="L3" s="8" t="n">
        <v>1</v>
      </c>
      <c r="M3" s="8" t="n">
        <v>1</v>
      </c>
      <c r="N3" s="8" t="n">
        <v>1</v>
      </c>
      <c r="O3" s="8" t="n">
        <v>1</v>
      </c>
      <c r="P3" s="8" t="n">
        <v>1</v>
      </c>
      <c r="Q3" s="8" t="n">
        <v>1</v>
      </c>
      <c r="R3" s="8" t="n">
        <v>1</v>
      </c>
      <c r="S3" s="8" t="n">
        <v>1</v>
      </c>
      <c r="T3" s="8" t="n">
        <v>1</v>
      </c>
      <c r="U3" s="8" t="n">
        <v>1</v>
      </c>
      <c r="V3" s="8" t="n">
        <v>1</v>
      </c>
      <c r="W3" s="8" t="n">
        <v>1</v>
      </c>
      <c r="X3" s="8" t="n">
        <v>1</v>
      </c>
      <c r="Y3" s="8" t="n">
        <v>1</v>
      </c>
      <c r="Z3" s="8" t="n">
        <v>1</v>
      </c>
      <c r="AA3" s="8" t="n">
        <v>1</v>
      </c>
      <c r="AB3" s="8" t="n">
        <v>1</v>
      </c>
      <c r="AC3" s="8" t="n">
        <v>1</v>
      </c>
      <c r="AD3" s="8" t="n">
        <v>1</v>
      </c>
      <c r="AE3" s="8" t="n">
        <v>0</v>
      </c>
      <c r="AF3" s="8" t="n">
        <v>0</v>
      </c>
      <c r="AG3" s="8" t="n">
        <v>0</v>
      </c>
    </row>
    <row r="4">
      <c r="B4" s="9" t="n">
        <v>1</v>
      </c>
      <c r="C4" s="10" t="inlineStr">
        <is>
          <t>Net Revenues</t>
        </is>
      </c>
      <c r="D4" s="11">
        <f>IF(D$3=0,"",SUMIFS(INDEX(Inputs!$D$4:$AG$150,0,MATCH(D$2,Inputs!$D$2:$AG$2,0)),Inputs!$B$4:$B$150,$B4)/1000)</f>
        <v>5559</v>
      </c>
      <c r="E4" s="11">
        <f>IF(E$3=0,"",SUMIFS(INDEX(Inputs!$D$4:$AG$150,0,MATCH(E$2,Inputs!$D$2:$AG$2,0)),Inputs!$B$4:$B$150,$B4)/1000)</f>
        <v>4153</v>
      </c>
      <c r="F4" s="11">
        <f>IF(F$3=0,"",SUMIFS(INDEX(Inputs!$D$4:$AG$150,0,MATCH(F$2,Inputs!$D$2:$AG$2,0)),Inputs!$B$4:$B$150,$B4)/1000)</f>
        <v>4406</v>
      </c>
      <c r="G4" s="11">
        <f>IF(G$3=0,"",SUMIFS(INDEX(Inputs!$D$4:$AG$150,0,MATCH(G$2,Inputs!$D$2:$AG$2,0)),Inputs!$B$4:$B$150,$B4)/1000)</f>
        <v>5532</v>
      </c>
      <c r="H4" s="12">
        <f>IF(COUNT(D4:G4)=4,SUM(D4:G4),"")</f>
        <v>19650</v>
      </c>
      <c r="I4" s="11">
        <f>IF(I$3=0,"",SUMIFS(INDEX(Inputs!$D$4:$AG$150,0,MATCH(I$2,Inputs!$D$2:$AG$2,0)),Inputs!$B$4:$B$150,$B4)/1000)</f>
        <v>5591</v>
      </c>
      <c r="J4" s="11">
        <f>IF(J$3=0,"",SUMIFS(INDEX(Inputs!$D$4:$AG$150,0,MATCH(J$2,Inputs!$D$2:$AG$2,0)),Inputs!$B$4:$B$150,$B4)/1000)</f>
        <v>5465</v>
      </c>
      <c r="K4" s="11">
        <f>IF(K$3=0,"",SUMIFS(INDEX(Inputs!$D$4:$AG$150,0,MATCH(K$2,Inputs!$D$2:$AG$2,0)),Inputs!$B$4:$B$150,$B4)/1000)</f>
        <v>6051</v>
      </c>
      <c r="L4" s="11">
        <f>IF(L$3=0,"",SUMIFS(INDEX(Inputs!$D$4:$AG$150,0,MATCH(L$2,Inputs!$D$2:$AG$2,0)),Inputs!$B$4:$B$150,$B4)/1000)</f>
        <v>7333</v>
      </c>
      <c r="M4" s="12">
        <f>IF(COUNT(I4:L4)=4,SUM(I4:L4),"")</f>
        <v>24440</v>
      </c>
      <c r="N4" s="11">
        <f>IF(N$3=0,"",SUMIFS(INDEX(Inputs!$D$4:$AG$150,0,MATCH(N$2,Inputs!$D$2:$AG$2,0)),Inputs!$B$4:$B$150,$B4)/1000)</f>
        <v>7565</v>
      </c>
      <c r="O4" s="11">
        <f>IF(O$3=0,"",SUMIFS(INDEX(Inputs!$D$4:$AG$150,0,MATCH(O$2,Inputs!$D$2:$AG$2,0)),Inputs!$B$4:$B$150,$B4)/1000)</f>
        <v>5446</v>
      </c>
      <c r="P4" s="11">
        <f>IF(P$3=0,"",SUMIFS(INDEX(Inputs!$D$4:$AG$150,0,MATCH(P$2,Inputs!$D$2:$AG$2,0)),Inputs!$B$4:$B$150,$B4)/1000)</f>
        <v>6111</v>
      </c>
      <c r="Q4" s="11">
        <f>IF(Q$3=0,"",SUMIFS(INDEX(Inputs!$D$4:$AG$150,0,MATCH(Q$2,Inputs!$D$2:$AG$2,0)),Inputs!$B$4:$B$150,$B4)/1000)</f>
        <v>5796</v>
      </c>
      <c r="R4" s="12">
        <f>IF(COUNT(N4:Q4)=4,SUM(N4:Q4),"")</f>
        <v>24918</v>
      </c>
      <c r="S4" s="11">
        <f>IF(S$3=0,"",SUMIFS(INDEX(Inputs!$D$4:$AG$150,0,MATCH(S$2,Inputs!$D$2:$AG$2,0)),Inputs!$B$4:$B$150,$B4)/1000)</f>
        <v>6161</v>
      </c>
      <c r="T4" s="11">
        <f>IF(T$3=0,"",SUMIFS(INDEX(Inputs!$D$4:$AG$150,0,MATCH(T$2,Inputs!$D$2:$AG$2,0)),Inputs!$B$4:$B$150,$B4)/1000)</f>
        <v>5475</v>
      </c>
      <c r="U4" s="11">
        <f>IF(U$3=0,"",SUMIFS(INDEX(Inputs!$D$4:$AG$150,0,MATCH(U$2,Inputs!$D$2:$AG$2,0)),Inputs!$B$4:$B$150,$B4)/1000)</f>
        <v>6550</v>
      </c>
      <c r="V4" s="11">
        <f>IF(V$3=0,"",SUMIFS(INDEX(Inputs!$D$4:$AG$150,0,MATCH(V$2,Inputs!$D$2:$AG$2,0)),Inputs!$B$4:$B$150,$B4)/1000)</f>
        <v>5382</v>
      </c>
      <c r="W4" s="12">
        <f>IF(COUNT(S4:V4)=4,SUM(S4:V4),"")</f>
        <v>23568</v>
      </c>
      <c r="X4" s="11">
        <f>IF(X$3=0,"",SUMIFS(INDEX(Inputs!$D$4:$AG$150,0,MATCH(X$2,Inputs!$D$2:$AG$2,0)),Inputs!$B$4:$B$150,$B4)/1000)</f>
        <v>6788</v>
      </c>
      <c r="Y4" s="11">
        <f>IF(Y$3=0,"",SUMIFS(INDEX(Inputs!$D$4:$AG$150,0,MATCH(Y$2,Inputs!$D$2:$AG$2,0)),Inputs!$B$4:$B$150,$B4)/1000)</f>
        <v>6101</v>
      </c>
      <c r="Z4" s="11">
        <f>IF(Z$3=0,"",SUMIFS(INDEX(Inputs!$D$4:$AG$150,0,MATCH(Z$2,Inputs!$D$2:$AG$2,0)),Inputs!$B$4:$B$150,$B4)/1000)</f>
        <v>6570</v>
      </c>
      <c r="AA4" s="11">
        <f>IF(AA$3=0,"",SUMIFS(INDEX(Inputs!$D$4:$AG$150,0,MATCH(AA$2,Inputs!$D$2:$AG$2,0)),Inputs!$B$4:$B$150,$B4)/1000)</f>
        <v>6074</v>
      </c>
      <c r="AB4" s="12">
        <f>IF(COUNT(X4:AA4)=4,SUM(X4:AA4),"")</f>
        <v>25533</v>
      </c>
      <c r="AC4" s="11">
        <f>IF(AC$3=0,"",SUMIFS(INDEX(Inputs!$D$4:$AG$150,0,MATCH(AC$2,Inputs!$D$2:$AG$2,0)),Inputs!$B$4:$B$150,$B4)/1000)</f>
        <v>11122</v>
      </c>
      <c r="AD4" s="11">
        <f>IF(AD$3=0,"",SUMIFS(INDEX(Inputs!$D$4:$AG$150,0,MATCH(AD$2,Inputs!$D$2:$AG$2,0)),Inputs!$B$4:$B$150,$B4)/1000)</f>
        <v>7504</v>
      </c>
      <c r="AE4" s="11" t="str">
        <f>IF(AE$3=0,"",SUMIFS(INDEX(Inputs!$D$4:$AG$150,0,MATCH(AE$2,Inputs!$D$2:$AG$2,0)),Inputs!$B$4:$B$150,$B4)/1000)</f>
        <v/>
      </c>
      <c r="AF4" s="11" t="str">
        <f>IF(AF$3=0,"",SUMIFS(INDEX(Inputs!$D$4:$AG$150,0,MATCH(AF$2,Inputs!$D$2:$AG$2,0)),Inputs!$B$4:$B$150,$B4)/1000)</f>
        <v/>
      </c>
      <c r="AG4" s="12" t="str">
        <f>IF(COUNT(AC4:AF4)=4,SUM(AC4:AF4),"")</f>
        <v/>
      </c>
    </row>
    <row r="5">
      <c r="B5" s="9" t="n">
        <v>2</v>
      </c>
      <c r="C5" s="13" t="inlineStr">
        <is>
          <t>COGS (cash)</t>
        </is>
      </c>
      <c r="D5" s="11">
        <f>IF(D$3=0,"",SUMIFS(INDEX(Inputs!$D$4:$AG$150,0,MATCH(D$2,Inputs!$D$2:$AG$2,0)),Inputs!$B$4:$B$150,$B5)/1000)</f>
        <v>0</v>
      </c>
      <c r="E5" s="11">
        <f>IF(E$3=0,"",SUMIFS(INDEX(Inputs!$D$4:$AG$150,0,MATCH(E$2,Inputs!$D$2:$AG$2,0)),Inputs!$B$4:$B$150,$B5)/1000)</f>
        <v>0</v>
      </c>
      <c r="F5" s="11">
        <f>IF(F$3=0,"",SUMIFS(INDEX(Inputs!$D$4:$AG$150,0,MATCH(F$2,Inputs!$D$2:$AG$2,0)),Inputs!$B$4:$B$150,$B5)/1000)</f>
        <v>0</v>
      </c>
      <c r="G5" s="11">
        <f>IF(G$3=0,"",SUMIFS(INDEX(Inputs!$D$4:$AG$150,0,MATCH(G$2,Inputs!$D$2:$AG$2,0)),Inputs!$B$4:$B$150,$B5)/1000)</f>
        <v>0</v>
      </c>
      <c r="H5" s="12">
        <f>IF(COUNT(D5:G5)=4,SUM(D5:G5),"")</f>
        <v>0</v>
      </c>
      <c r="I5" s="11">
        <f>IF(I$3=0,"",SUMIFS(INDEX(Inputs!$D$4:$AG$150,0,MATCH(I$2,Inputs!$D$2:$AG$2,0)),Inputs!$B$4:$B$150,$B5)/1000)</f>
        <v>0</v>
      </c>
      <c r="J5" s="11">
        <f>IF(J$3=0,"",SUMIFS(INDEX(Inputs!$D$4:$AG$150,0,MATCH(J$2,Inputs!$D$2:$AG$2,0)),Inputs!$B$4:$B$150,$B5)/1000)</f>
        <v>0</v>
      </c>
      <c r="K5" s="11">
        <f>IF(K$3=0,"",SUMIFS(INDEX(Inputs!$D$4:$AG$150,0,MATCH(K$2,Inputs!$D$2:$AG$2,0)),Inputs!$B$4:$B$150,$B5)/1000)</f>
        <v>0</v>
      </c>
      <c r="L5" s="11">
        <f>IF(L$3=0,"",SUMIFS(INDEX(Inputs!$D$4:$AG$150,0,MATCH(L$2,Inputs!$D$2:$AG$2,0)),Inputs!$B$4:$B$150,$B5)/1000)</f>
        <v>0</v>
      </c>
      <c r="M5" s="12">
        <f>IF(COUNT(I5:L5)=4,SUM(I5:L5),"")</f>
        <v>0</v>
      </c>
      <c r="N5" s="11">
        <f>IF(N$3=0,"",SUMIFS(INDEX(Inputs!$D$4:$AG$150,0,MATCH(N$2,Inputs!$D$2:$AG$2,0)),Inputs!$B$4:$B$150,$B5)/1000)</f>
        <v>0</v>
      </c>
      <c r="O5" s="11">
        <f>IF(O$3=0,"",SUMIFS(INDEX(Inputs!$D$4:$AG$150,0,MATCH(O$2,Inputs!$D$2:$AG$2,0)),Inputs!$B$4:$B$150,$B5)/1000)</f>
        <v>0</v>
      </c>
      <c r="P5" s="11">
        <f>IF(P$3=0,"",SUMIFS(INDEX(Inputs!$D$4:$AG$150,0,MATCH(P$2,Inputs!$D$2:$AG$2,0)),Inputs!$B$4:$B$150,$B5)/1000)</f>
        <v>0</v>
      </c>
      <c r="Q5" s="11">
        <f>IF(Q$3=0,"",SUMIFS(INDEX(Inputs!$D$4:$AG$150,0,MATCH(Q$2,Inputs!$D$2:$AG$2,0)),Inputs!$B$4:$B$150,$B5)/1000)</f>
        <v>0</v>
      </c>
      <c r="R5" s="12">
        <f>IF(COUNT(N5:Q5)=4,SUM(N5:Q5),"")</f>
        <v>0</v>
      </c>
      <c r="S5" s="11">
        <f>IF(S$3=0,"",SUMIFS(INDEX(Inputs!$D$4:$AG$150,0,MATCH(S$2,Inputs!$D$2:$AG$2,0)),Inputs!$B$4:$B$150,$B5)/1000)</f>
        <v>0</v>
      </c>
      <c r="T5" s="11">
        <f>IF(T$3=0,"",SUMIFS(INDEX(Inputs!$D$4:$AG$150,0,MATCH(T$2,Inputs!$D$2:$AG$2,0)),Inputs!$B$4:$B$150,$B5)/1000)</f>
        <v>0</v>
      </c>
      <c r="U5" s="11">
        <f>IF(U$3=0,"",SUMIFS(INDEX(Inputs!$D$4:$AG$150,0,MATCH(U$2,Inputs!$D$2:$AG$2,0)),Inputs!$B$4:$B$150,$B5)/1000)</f>
        <v>0</v>
      </c>
      <c r="V5" s="11">
        <f>IF(V$3=0,"",SUMIFS(INDEX(Inputs!$D$4:$AG$150,0,MATCH(V$2,Inputs!$D$2:$AG$2,0)),Inputs!$B$4:$B$150,$B5)/1000)</f>
        <v>0</v>
      </c>
      <c r="W5" s="12">
        <f>IF(COUNT(S5:V5)=4,SUM(S5:V5),"")</f>
        <v>0</v>
      </c>
      <c r="X5" s="11">
        <f>IF(X$3=0,"",SUMIFS(INDEX(Inputs!$D$4:$AG$150,0,MATCH(X$2,Inputs!$D$2:$AG$2,0)),Inputs!$B$4:$B$150,$B5)/1000)</f>
        <v>0</v>
      </c>
      <c r="Y5" s="11">
        <f>IF(Y$3=0,"",SUMIFS(INDEX(Inputs!$D$4:$AG$150,0,MATCH(Y$2,Inputs!$D$2:$AG$2,0)),Inputs!$B$4:$B$150,$B5)/1000)</f>
        <v>0</v>
      </c>
      <c r="Z5" s="11">
        <f>IF(Z$3=0,"",SUMIFS(INDEX(Inputs!$D$4:$AG$150,0,MATCH(Z$2,Inputs!$D$2:$AG$2,0)),Inputs!$B$4:$B$150,$B5)/1000)</f>
        <v>0</v>
      </c>
      <c r="AA5" s="11">
        <f>IF(AA$3=0,"",SUMIFS(INDEX(Inputs!$D$4:$AG$150,0,MATCH(AA$2,Inputs!$D$2:$AG$2,0)),Inputs!$B$4:$B$150,$B5)/1000)</f>
        <v>0</v>
      </c>
      <c r="AB5" s="12">
        <f>IF(COUNT(X5:AA5)=4,SUM(X5:AA5),"")</f>
        <v>0</v>
      </c>
      <c r="AC5" s="11">
        <f>IF(AC$3=0,"",SUMIFS(INDEX(Inputs!$D$4:$AG$150,0,MATCH(AC$2,Inputs!$D$2:$AG$2,0)),Inputs!$B$4:$B$150,$B5)/1000)</f>
        <v>0</v>
      </c>
      <c r="AD5" s="11">
        <f>IF(AD$3=0,"",SUMIFS(INDEX(Inputs!$D$4:$AG$150,0,MATCH(AD$2,Inputs!$D$2:$AG$2,0)),Inputs!$B$4:$B$150,$B5)/1000)</f>
        <v>0</v>
      </c>
      <c r="AE5" s="11" t="str">
        <f>IF(AE$3=0,"",SUMIFS(INDEX(Inputs!$D$4:$AG$150,0,MATCH(AE$2,Inputs!$D$2:$AG$2,0)),Inputs!$B$4:$B$150,$B5)/1000)</f>
        <v/>
      </c>
      <c r="AF5" s="11" t="str">
        <f>IF(AF$3=0,"",SUMIFS(INDEX(Inputs!$D$4:$AG$150,0,MATCH(AF$2,Inputs!$D$2:$AG$2,0)),Inputs!$B$4:$B$150,$B5)/1000)</f>
        <v/>
      </c>
      <c r="AG5" s="12" t="str">
        <f>IF(COUNT(AC5:AF5)=4,SUM(AC5:AF5),"")</f>
        <v/>
      </c>
    </row>
    <row r="6">
      <c r="B6" s="9" t="n">
        <v>3</v>
      </c>
      <c r="C6" s="13" t="inlineStr">
        <is>
          <t>SG&amp;A and Other (cash)</t>
        </is>
      </c>
      <c r="D6" s="11">
        <f>IF(D$3=0,"",SUMIFS(INDEX(Inputs!$D$4:$AG$150,0,MATCH(D$2,Inputs!$D$2:$AG$2,0)),Inputs!$B$4:$B$150,$B6)/1000)</f>
        <v>-5255</v>
      </c>
      <c r="E6" s="11">
        <f>IF(E$3=0,"",SUMIFS(INDEX(Inputs!$D$4:$AG$150,0,MATCH(E$2,Inputs!$D$2:$AG$2,0)),Inputs!$B$4:$B$150,$B6)/1000)</f>
        <v>-3121</v>
      </c>
      <c r="F6" s="11">
        <f>IF(F$3=0,"",SUMIFS(INDEX(Inputs!$D$4:$AG$150,0,MATCH(F$2,Inputs!$D$2:$AG$2,0)),Inputs!$B$4:$B$150,$B6)/1000)</f>
        <v>-2135</v>
      </c>
      <c r="G6" s="11">
        <f>IF(G$3=0,"",SUMIFS(INDEX(Inputs!$D$4:$AG$150,0,MATCH(G$2,Inputs!$D$2:$AG$2,0)),Inputs!$B$4:$B$150,$B6)/1000)</f>
        <v>-4945</v>
      </c>
      <c r="H6" s="12">
        <f>IF(COUNT(D6:G6)=4,SUM(D6:G6),"")</f>
        <v>-15456</v>
      </c>
      <c r="I6" s="11">
        <f>IF(I$3=0,"",SUMIFS(INDEX(Inputs!$D$4:$AG$150,0,MATCH(I$2,Inputs!$D$2:$AG$2,0)),Inputs!$B$4:$B$150,$B6)/1000)</f>
        <v>-4554</v>
      </c>
      <c r="J6" s="11">
        <f>IF(J$3=0,"",SUMIFS(INDEX(Inputs!$D$4:$AG$150,0,MATCH(J$2,Inputs!$D$2:$AG$2,0)),Inputs!$B$4:$B$150,$B6)/1000)</f>
        <v>-4588</v>
      </c>
      <c r="K6" s="11">
        <f>IF(K$3=0,"",SUMIFS(INDEX(Inputs!$D$4:$AG$150,0,MATCH(K$2,Inputs!$D$2:$AG$2,0)),Inputs!$B$4:$B$150,$B6)/1000)</f>
        <v>-5489</v>
      </c>
      <c r="L6" s="11">
        <f>IF(L$3=0,"",SUMIFS(INDEX(Inputs!$D$4:$AG$150,0,MATCH(L$2,Inputs!$D$2:$AG$2,0)),Inputs!$B$4:$B$150,$B6)/1000)</f>
        <v>-6888</v>
      </c>
      <c r="M6" s="12">
        <f>IF(COUNT(I6:L6)=4,SUM(I6:L6),"")</f>
        <v>-21519</v>
      </c>
      <c r="N6" s="11">
        <f>IF(N$3=0,"",SUMIFS(INDEX(Inputs!$D$4:$AG$150,0,MATCH(N$2,Inputs!$D$2:$AG$2,0)),Inputs!$B$4:$B$150,$B6)/1000)</f>
        <v>-6929</v>
      </c>
      <c r="O6" s="11">
        <f>IF(O$3=0,"",SUMIFS(INDEX(Inputs!$D$4:$AG$150,0,MATCH(O$2,Inputs!$D$2:$AG$2,0)),Inputs!$B$4:$B$150,$B6)/1000)</f>
        <v>-4163</v>
      </c>
      <c r="P6" s="11">
        <f>IF(P$3=0,"",SUMIFS(INDEX(Inputs!$D$4:$AG$150,0,MATCH(P$2,Inputs!$D$2:$AG$2,0)),Inputs!$B$4:$B$150,$B6)/1000)</f>
        <v>-4513</v>
      </c>
      <c r="Q6" s="11">
        <f>IF(Q$3=0,"",SUMIFS(INDEX(Inputs!$D$4:$AG$150,0,MATCH(Q$2,Inputs!$D$2:$AG$2,0)),Inputs!$B$4:$B$150,$B6)/1000)</f>
        <v>-5189</v>
      </c>
      <c r="R6" s="12">
        <f>IF(COUNT(N6:Q6)=4,SUM(N6:Q6),"")</f>
        <v>-20794</v>
      </c>
      <c r="S6" s="11">
        <f>IF(S$3=0,"",SUMIFS(INDEX(Inputs!$D$4:$AG$150,0,MATCH(S$2,Inputs!$D$2:$AG$2,0)),Inputs!$B$4:$B$150,$B6)/1000)</f>
        <v>-4654</v>
      </c>
      <c r="T6" s="11">
        <f>IF(T$3=0,"",SUMIFS(INDEX(Inputs!$D$4:$AG$150,0,MATCH(T$2,Inputs!$D$2:$AG$2,0)),Inputs!$B$4:$B$150,$B6)/1000)</f>
        <v>-3681</v>
      </c>
      <c r="U6" s="11">
        <f>IF(U$3=0,"",SUMIFS(INDEX(Inputs!$D$4:$AG$150,0,MATCH(U$2,Inputs!$D$2:$AG$2,0)),Inputs!$B$4:$B$150,$B6)/1000)</f>
        <v>-4422</v>
      </c>
      <c r="V6" s="11">
        <f>IF(V$3=0,"",SUMIFS(INDEX(Inputs!$D$4:$AG$150,0,MATCH(V$2,Inputs!$D$2:$AG$2,0)),Inputs!$B$4:$B$150,$B6)/1000)</f>
        <v>-3759</v>
      </c>
      <c r="W6" s="12">
        <f>IF(COUNT(S6:V6)=4,SUM(S6:V6),"")</f>
        <v>-16516</v>
      </c>
      <c r="X6" s="11">
        <f>IF(X$3=0,"",SUMIFS(INDEX(Inputs!$D$4:$AG$150,0,MATCH(X$2,Inputs!$D$2:$AG$2,0)),Inputs!$B$4:$B$150,$B6)/1000)</f>
        <v>-5697</v>
      </c>
      <c r="Y6" s="11">
        <f>IF(Y$3=0,"",SUMIFS(INDEX(Inputs!$D$4:$AG$150,0,MATCH(Y$2,Inputs!$D$2:$AG$2,0)),Inputs!$B$4:$B$150,$B6)/1000)</f>
        <v>-4490</v>
      </c>
      <c r="Z6" s="11">
        <f>IF(Z$3=0,"",SUMIFS(INDEX(Inputs!$D$4:$AG$150,0,MATCH(Z$2,Inputs!$D$2:$AG$2,0)),Inputs!$B$4:$B$150,$B6)/1000)</f>
        <v>-4839</v>
      </c>
      <c r="AA6" s="11">
        <f>IF(AA$3=0,"",SUMIFS(INDEX(Inputs!$D$4:$AG$150,0,MATCH(AA$2,Inputs!$D$2:$AG$2,0)),Inputs!$B$4:$B$150,$B6)/1000)</f>
        <v>-4820</v>
      </c>
      <c r="AB6" s="12">
        <f>IF(COUNT(X6:AA6)=4,SUM(X6:AA6),"")</f>
        <v>-19846</v>
      </c>
      <c r="AC6" s="11">
        <f>IF(AC$3=0,"",SUMIFS(INDEX(Inputs!$D$4:$AG$150,0,MATCH(AC$2,Inputs!$D$2:$AG$2,0)),Inputs!$B$4:$B$150,$B6)/1000)</f>
        <v>-7588</v>
      </c>
      <c r="AD6" s="11">
        <f>IF(AD$3=0,"",SUMIFS(INDEX(Inputs!$D$4:$AG$150,0,MATCH(AD$2,Inputs!$D$2:$AG$2,0)),Inputs!$B$4:$B$150,$B6)/1000)</f>
        <v>-5758</v>
      </c>
      <c r="AE6" s="11" t="str">
        <f>IF(AE$3=0,"",SUMIFS(INDEX(Inputs!$D$4:$AG$150,0,MATCH(AE$2,Inputs!$D$2:$AG$2,0)),Inputs!$B$4:$B$150,$B6)/1000)</f>
        <v/>
      </c>
      <c r="AF6" s="11" t="str">
        <f>IF(AF$3=0,"",SUMIFS(INDEX(Inputs!$D$4:$AG$150,0,MATCH(AF$2,Inputs!$D$2:$AG$2,0)),Inputs!$B$4:$B$150,$B6)/1000)</f>
        <v/>
      </c>
      <c r="AG6" s="12" t="str">
        <f>IF(COUNT(AC6:AF6)=4,SUM(AC6:AF6),"")</f>
        <v/>
      </c>
    </row>
    <row r="7">
      <c r="B7" s="9" t="n">
        <v>4</v>
      </c>
      <c r="C7" s="13" t="inlineStr">
        <is>
          <t>D&amp;A</t>
        </is>
      </c>
      <c r="D7" s="11">
        <f>IF(D$3=0,"",SUMIFS(INDEX(Inputs!$D$4:$AG$150,0,MATCH(D$2,Inputs!$D$2:$AG$2,0)),Inputs!$B$4:$B$150,$B7)/1000)</f>
        <v>-1346</v>
      </c>
      <c r="E7" s="11">
        <f>IF(E$3=0,"",SUMIFS(INDEX(Inputs!$D$4:$AG$150,0,MATCH(E$2,Inputs!$D$2:$AG$2,0)),Inputs!$B$4:$B$150,$B7)/1000)</f>
        <v>-1340</v>
      </c>
      <c r="F7" s="11">
        <f>IF(F$3=0,"",SUMIFS(INDEX(Inputs!$D$4:$AG$150,0,MATCH(F$2,Inputs!$D$2:$AG$2,0)),Inputs!$B$4:$B$150,$B7)/1000)</f>
        <v>-1265</v>
      </c>
      <c r="G7" s="11">
        <f>IF(G$3=0,"",SUMIFS(INDEX(Inputs!$D$4:$AG$150,0,MATCH(G$2,Inputs!$D$2:$AG$2,0)),Inputs!$B$4:$B$150,$B7)/1000)</f>
        <v>-589</v>
      </c>
      <c r="H7" s="12">
        <f>IF(COUNT(D7:G7)=4,SUM(D7:G7),"")</f>
        <v>-4540</v>
      </c>
      <c r="I7" s="11">
        <f>IF(I$3=0,"",SUMIFS(INDEX(Inputs!$D$4:$AG$150,0,MATCH(I$2,Inputs!$D$2:$AG$2,0)),Inputs!$B$4:$B$150,$B7)/1000)</f>
        <v>-602</v>
      </c>
      <c r="J7" s="11">
        <f>IF(J$3=0,"",SUMIFS(INDEX(Inputs!$D$4:$AG$150,0,MATCH(J$2,Inputs!$D$2:$AG$2,0)),Inputs!$B$4:$B$150,$B7)/1000)</f>
        <v>-605</v>
      </c>
      <c r="K7" s="11">
        <f>IF(K$3=0,"",SUMIFS(INDEX(Inputs!$D$4:$AG$150,0,MATCH(K$2,Inputs!$D$2:$AG$2,0)),Inputs!$B$4:$B$150,$B7)/1000)</f>
        <v>-603</v>
      </c>
      <c r="L7" s="11">
        <f>IF(L$3=0,"",SUMIFS(INDEX(Inputs!$D$4:$AG$150,0,MATCH(L$2,Inputs!$D$2:$AG$2,0)),Inputs!$B$4:$B$150,$B7)/1000)</f>
        <v>-617</v>
      </c>
      <c r="M7" s="12">
        <f>IF(COUNT(I7:L7)=4,SUM(I7:L7),"")</f>
        <v>-2427</v>
      </c>
      <c r="N7" s="11">
        <f>IF(N$3=0,"",SUMIFS(INDEX(Inputs!$D$4:$AG$150,0,MATCH(N$2,Inputs!$D$2:$AG$2,0)),Inputs!$B$4:$B$150,$B7)/1000)</f>
        <v>-605</v>
      </c>
      <c r="O7" s="11">
        <f>IF(O$3=0,"",SUMIFS(INDEX(Inputs!$D$4:$AG$150,0,MATCH(O$2,Inputs!$D$2:$AG$2,0)),Inputs!$B$4:$B$150,$B7)/1000)</f>
        <v>-614</v>
      </c>
      <c r="P7" s="11">
        <f>IF(P$3=0,"",SUMIFS(INDEX(Inputs!$D$4:$AG$150,0,MATCH(P$2,Inputs!$D$2:$AG$2,0)),Inputs!$B$4:$B$150,$B7)/1000)</f>
        <v>-621</v>
      </c>
      <c r="Q7" s="11">
        <f>IF(Q$3=0,"",SUMIFS(INDEX(Inputs!$D$4:$AG$150,0,MATCH(Q$2,Inputs!$D$2:$AG$2,0)),Inputs!$B$4:$B$150,$B7)/1000)</f>
        <v>-674</v>
      </c>
      <c r="R7" s="12">
        <f>IF(COUNT(N7:Q7)=4,SUM(N7:Q7),"")</f>
        <v>-2514</v>
      </c>
      <c r="S7" s="11">
        <f>IF(S$3=0,"",SUMIFS(INDEX(Inputs!$D$4:$AG$150,0,MATCH(S$2,Inputs!$D$2:$AG$2,0)),Inputs!$B$4:$B$150,$B7)/1000)</f>
        <v>-694</v>
      </c>
      <c r="T7" s="11">
        <f>IF(T$3=0,"",SUMIFS(INDEX(Inputs!$D$4:$AG$150,0,MATCH(T$2,Inputs!$D$2:$AG$2,0)),Inputs!$B$4:$B$150,$B7)/1000)</f>
        <v>-694</v>
      </c>
      <c r="U7" s="11">
        <f>IF(U$3=0,"",SUMIFS(INDEX(Inputs!$D$4:$AG$150,0,MATCH(U$2,Inputs!$D$2:$AG$2,0)),Inputs!$B$4:$B$150,$B7)/1000)</f>
        <v>-661</v>
      </c>
      <c r="V7" s="11">
        <f>IF(V$3=0,"",SUMIFS(INDEX(Inputs!$D$4:$AG$150,0,MATCH(V$2,Inputs!$D$2:$AG$2,0)),Inputs!$B$4:$B$150,$B7)/1000)</f>
        <v>-651</v>
      </c>
      <c r="W7" s="12">
        <f>IF(COUNT(S7:V7)=4,SUM(S7:V7),"")</f>
        <v>-2700</v>
      </c>
      <c r="X7" s="11">
        <f>IF(X$3=0,"",SUMIFS(INDEX(Inputs!$D$4:$AG$150,0,MATCH(X$2,Inputs!$D$2:$AG$2,0)),Inputs!$B$4:$B$150,$B7)/1000)</f>
        <v>-640</v>
      </c>
      <c r="Y7" s="11">
        <f>IF(Y$3=0,"",SUMIFS(INDEX(Inputs!$D$4:$AG$150,0,MATCH(Y$2,Inputs!$D$2:$AG$2,0)),Inputs!$B$4:$B$150,$B7)/1000)</f>
        <v>-660</v>
      </c>
      <c r="Z7" s="11">
        <f>IF(Z$3=0,"",SUMIFS(INDEX(Inputs!$D$4:$AG$150,0,MATCH(Z$2,Inputs!$D$2:$AG$2,0)),Inputs!$B$4:$B$150,$B7)/1000)</f>
        <v>-645</v>
      </c>
      <c r="AA7" s="11">
        <f>IF(AA$3=0,"",SUMIFS(INDEX(Inputs!$D$4:$AG$150,0,MATCH(AA$2,Inputs!$D$2:$AG$2,0)),Inputs!$B$4:$B$150,$B7)/1000)</f>
        <v>-656</v>
      </c>
      <c r="AB7" s="12">
        <f>IF(COUNT(X7:AA7)=4,SUM(X7:AA7),"")</f>
        <v>-2601</v>
      </c>
      <c r="AC7" s="11">
        <f>IF(AC$3=0,"",SUMIFS(INDEX(Inputs!$D$4:$AG$150,0,MATCH(AC$2,Inputs!$D$2:$AG$2,0)),Inputs!$B$4:$B$150,$B7)/1000)</f>
        <v>-1202</v>
      </c>
      <c r="AD7" s="11">
        <f>IF(AD$3=0,"",SUMIFS(INDEX(Inputs!$D$4:$AG$150,0,MATCH(AD$2,Inputs!$D$2:$AG$2,0)),Inputs!$B$4:$B$150,$B7)/1000)</f>
        <v>-1166</v>
      </c>
      <c r="AE7" s="11" t="str">
        <f>IF(AE$3=0,"",SUMIFS(INDEX(Inputs!$D$4:$AG$150,0,MATCH(AE$2,Inputs!$D$2:$AG$2,0)),Inputs!$B$4:$B$150,$B7)/1000)</f>
        <v/>
      </c>
      <c r="AF7" s="11" t="str">
        <f>IF(AF$3=0,"",SUMIFS(INDEX(Inputs!$D$4:$AG$150,0,MATCH(AF$2,Inputs!$D$2:$AG$2,0)),Inputs!$B$4:$B$150,$B7)/1000)</f>
        <v/>
      </c>
      <c r="AG7" s="12" t="str">
        <f>IF(COUNT(AC7:AF7)=4,SUM(AC7:AF7),"")</f>
        <v/>
      </c>
    </row>
    <row r="8">
      <c r="B8" s="9" t="n">
        <v>5</v>
      </c>
      <c r="C8" s="14" t="inlineStr">
        <is>
          <t>Interest Expense</t>
        </is>
      </c>
      <c r="D8" s="11">
        <f>IF(D$3=0,"",SUMIFS(INDEX(Inputs!$D$4:$AG$150,0,MATCH(D$2,Inputs!$D$2:$AG$2,0)),Inputs!$B$4:$B$150,$B8)/1000)</f>
        <v>-68</v>
      </c>
      <c r="E8" s="11">
        <f>IF(E$3=0,"",SUMIFS(INDEX(Inputs!$D$4:$AG$150,0,MATCH(E$2,Inputs!$D$2:$AG$2,0)),Inputs!$B$4:$B$150,$B8)/1000)</f>
        <v>-72</v>
      </c>
      <c r="F8" s="11">
        <f>IF(F$3=0,"",SUMIFS(INDEX(Inputs!$D$4:$AG$150,0,MATCH(F$2,Inputs!$D$2:$AG$2,0)),Inputs!$B$4:$B$150,$B8)/1000)</f>
        <v>-73</v>
      </c>
      <c r="G8" s="11">
        <f>IF(G$3=0,"",SUMIFS(INDEX(Inputs!$D$4:$AG$150,0,MATCH(G$2,Inputs!$D$2:$AG$2,0)),Inputs!$B$4:$B$150,$B8)/1000)</f>
        <v>-68</v>
      </c>
      <c r="H8" s="12">
        <f>IF(COUNT(D8:G8)=4,SUM(D8:G8),"")</f>
        <v>-281</v>
      </c>
      <c r="I8" s="11">
        <f>IF(I$3=0,"",SUMIFS(INDEX(Inputs!$D$4:$AG$150,0,MATCH(I$2,Inputs!$D$2:$AG$2,0)),Inputs!$B$4:$B$150,$B8)/1000)</f>
        <v>-55</v>
      </c>
      <c r="J8" s="11">
        <f>IF(J$3=0,"",SUMIFS(INDEX(Inputs!$D$4:$AG$150,0,MATCH(J$2,Inputs!$D$2:$AG$2,0)),Inputs!$B$4:$B$150,$B8)/1000)</f>
        <v>-56</v>
      </c>
      <c r="K8" s="11">
        <f>IF(K$3=0,"",SUMIFS(INDEX(Inputs!$D$4:$AG$150,0,MATCH(K$2,Inputs!$D$2:$AG$2,0)),Inputs!$B$4:$B$150,$B8)/1000)</f>
        <v>-75</v>
      </c>
      <c r="L8" s="11">
        <f>IF(L$3=0,"",SUMIFS(INDEX(Inputs!$D$4:$AG$150,0,MATCH(L$2,Inputs!$D$2:$AG$2,0)),Inputs!$B$4:$B$150,$B8)/1000)</f>
        <v>-64</v>
      </c>
      <c r="M8" s="12">
        <f>IF(COUNT(I8:L8)=4,SUM(I8:L8),"")</f>
        <v>-250</v>
      </c>
      <c r="N8" s="11">
        <f>IF(N$3=0,"",SUMIFS(INDEX(Inputs!$D$4:$AG$150,0,MATCH(N$2,Inputs!$D$2:$AG$2,0)),Inputs!$B$4:$B$150,$B8)/1000)</f>
        <v>-107</v>
      </c>
      <c r="O8" s="11">
        <f>IF(O$3=0,"",SUMIFS(INDEX(Inputs!$D$4:$AG$150,0,MATCH(O$2,Inputs!$D$2:$AG$2,0)),Inputs!$B$4:$B$150,$B8)/1000)</f>
        <v>-103</v>
      </c>
      <c r="P8" s="11">
        <f>IF(P$3=0,"",SUMIFS(INDEX(Inputs!$D$4:$AG$150,0,MATCH(P$2,Inputs!$D$2:$AG$2,0)),Inputs!$B$4:$B$150,$B8)/1000)</f>
        <v>-82</v>
      </c>
      <c r="Q8" s="11">
        <f>IF(Q$3=0,"",SUMIFS(INDEX(Inputs!$D$4:$AG$150,0,MATCH(Q$2,Inputs!$D$2:$AG$2,0)),Inputs!$B$4:$B$150,$B8)/1000)</f>
        <v>-139</v>
      </c>
      <c r="R8" s="12">
        <f>IF(COUNT(N8:Q8)=4,SUM(N8:Q8),"")</f>
        <v>-431</v>
      </c>
      <c r="S8" s="11">
        <f>IF(S$3=0,"",SUMIFS(INDEX(Inputs!$D$4:$AG$150,0,MATCH(S$2,Inputs!$D$2:$AG$2,0)),Inputs!$B$4:$B$150,$B8)/1000)</f>
        <v>-127</v>
      </c>
      <c r="T8" s="11">
        <f>IF(T$3=0,"",SUMIFS(INDEX(Inputs!$D$4:$AG$150,0,MATCH(T$2,Inputs!$D$2:$AG$2,0)),Inputs!$B$4:$B$150,$B8)/1000)</f>
        <v>-142</v>
      </c>
      <c r="U8" s="11">
        <f>IF(U$3=0,"",SUMIFS(INDEX(Inputs!$D$4:$AG$150,0,MATCH(U$2,Inputs!$D$2:$AG$2,0)),Inputs!$B$4:$B$150,$B8)/1000)</f>
        <v>-147</v>
      </c>
      <c r="V8" s="11">
        <f>IF(V$3=0,"",SUMIFS(INDEX(Inputs!$D$4:$AG$150,0,MATCH(V$2,Inputs!$D$2:$AG$2,0)),Inputs!$B$4:$B$150,$B8)/1000)</f>
        <v>-90</v>
      </c>
      <c r="W8" s="12">
        <f>IF(COUNT(S8:V8)=4,SUM(S8:V8),"")</f>
        <v>-506</v>
      </c>
      <c r="X8" s="11">
        <f>IF(X$3=0,"",SUMIFS(INDEX(Inputs!$D$4:$AG$150,0,MATCH(X$2,Inputs!$D$2:$AG$2,0)),Inputs!$B$4:$B$150,$B8)/1000)</f>
        <v>-146</v>
      </c>
      <c r="Y8" s="11">
        <f>IF(Y$3=0,"",SUMIFS(INDEX(Inputs!$D$4:$AG$150,0,MATCH(Y$2,Inputs!$D$2:$AG$2,0)),Inputs!$B$4:$B$150,$B8)/1000)</f>
        <v>-118</v>
      </c>
      <c r="Z8" s="11">
        <f>IF(Z$3=0,"",SUMIFS(INDEX(Inputs!$D$4:$AG$150,0,MATCH(Z$2,Inputs!$D$2:$AG$2,0)),Inputs!$B$4:$B$150,$B8)/1000)</f>
        <v>-134</v>
      </c>
      <c r="AA8" s="11">
        <f>IF(AA$3=0,"",SUMIFS(INDEX(Inputs!$D$4:$AG$150,0,MATCH(AA$2,Inputs!$D$2:$AG$2,0)),Inputs!$B$4:$B$150,$B8)/1000)</f>
        <v>-113</v>
      </c>
      <c r="AB8" s="12">
        <f>IF(COUNT(X8:AA8)=4,SUM(X8:AA8),"")</f>
        <v>-511</v>
      </c>
      <c r="AC8" s="11">
        <f>IF(AC$3=0,"",SUMIFS(INDEX(Inputs!$D$4:$AG$150,0,MATCH(AC$2,Inputs!$D$2:$AG$2,0)),Inputs!$B$4:$B$150,$B8)/1000)</f>
        <v>-253</v>
      </c>
      <c r="AD8" s="11">
        <f>IF(AD$3=0,"",SUMIFS(INDEX(Inputs!$D$4:$AG$150,0,MATCH(AD$2,Inputs!$D$2:$AG$2,0)),Inputs!$B$4:$B$150,$B8)/1000)</f>
        <v>-283</v>
      </c>
      <c r="AE8" s="11" t="str">
        <f>IF(AE$3=0,"",SUMIFS(INDEX(Inputs!$D$4:$AG$150,0,MATCH(AE$2,Inputs!$D$2:$AG$2,0)),Inputs!$B$4:$B$150,$B8)/1000)</f>
        <v/>
      </c>
      <c r="AF8" s="11" t="str">
        <f>IF(AF$3=0,"",SUMIFS(INDEX(Inputs!$D$4:$AG$150,0,MATCH(AF$2,Inputs!$D$2:$AG$2,0)),Inputs!$B$4:$B$150,$B8)/1000)</f>
        <v/>
      </c>
      <c r="AG8" s="12" t="str">
        <f>IF(COUNT(AC8:AF8)=4,SUM(AC8:AF8),"")</f>
        <v/>
      </c>
    </row>
    <row r="9">
      <c r="B9" s="9" t="n">
        <v>6</v>
      </c>
      <c r="C9" s="14" t="inlineStr">
        <is>
          <t>Nonoperating Income / (Loss)</t>
        </is>
      </c>
      <c r="D9" s="11">
        <f>IF(D$3=0,"",SUMIFS(INDEX(Inputs!$D$4:$AG$150,0,MATCH(D$2,Inputs!$D$2:$AG$2,0)),Inputs!$B$4:$B$150,$B9)/1000)</f>
        <v>163</v>
      </c>
      <c r="E9" s="11">
        <f>IF(E$3=0,"",SUMIFS(INDEX(Inputs!$D$4:$AG$150,0,MATCH(E$2,Inputs!$D$2:$AG$2,0)),Inputs!$B$4:$B$150,$B9)/1000)</f>
        <v>504</v>
      </c>
      <c r="F9" s="11">
        <f>IF(F$3=0,"",SUMIFS(INDEX(Inputs!$D$4:$AG$150,0,MATCH(F$2,Inputs!$D$2:$AG$2,0)),Inputs!$B$4:$B$150,$B9)/1000)</f>
        <v>-119</v>
      </c>
      <c r="G9" s="11">
        <f>IF(G$3=0,"",SUMIFS(INDEX(Inputs!$D$4:$AG$150,0,MATCH(G$2,Inputs!$D$2:$AG$2,0)),Inputs!$B$4:$B$150,$B9)/1000)</f>
        <v>230</v>
      </c>
      <c r="H9" s="12">
        <f>IF(COUNT(D9:G9)=4,SUM(D9:G9),"")</f>
        <v>778</v>
      </c>
      <c r="I9" s="11">
        <f>IF(I$3=0,"",SUMIFS(INDEX(Inputs!$D$4:$AG$150,0,MATCH(I$2,Inputs!$D$2:$AG$2,0)),Inputs!$B$4:$B$150,$B9)/1000)</f>
        <v>-319</v>
      </c>
      <c r="J9" s="11">
        <f>IF(J$3=0,"",SUMIFS(INDEX(Inputs!$D$4:$AG$150,0,MATCH(J$2,Inputs!$D$2:$AG$2,0)),Inputs!$B$4:$B$150,$B9)/1000)</f>
        <v>-654</v>
      </c>
      <c r="K9" s="11">
        <f>IF(K$3=0,"",SUMIFS(INDEX(Inputs!$D$4:$AG$150,0,MATCH(K$2,Inputs!$D$2:$AG$2,0)),Inputs!$B$4:$B$150,$B9)/1000)</f>
        <v>-196</v>
      </c>
      <c r="L9" s="11">
        <f>IF(L$3=0,"",SUMIFS(INDEX(Inputs!$D$4:$AG$150,0,MATCH(L$2,Inputs!$D$2:$AG$2,0)),Inputs!$B$4:$B$150,$B9)/1000)</f>
        <v>383</v>
      </c>
      <c r="M9" s="12">
        <f>IF(COUNT(I9:L9)=4,SUM(I9:L9),"")</f>
        <v>-786</v>
      </c>
      <c r="N9" s="11">
        <f>IF(N$3=0,"",SUMIFS(INDEX(Inputs!$D$4:$AG$150,0,MATCH(N$2,Inputs!$D$2:$AG$2,0)),Inputs!$B$4:$B$150,$B9)/1000)</f>
        <v>314</v>
      </c>
      <c r="O9" s="11">
        <f>IF(O$3=0,"",SUMIFS(INDEX(Inputs!$D$4:$AG$150,0,MATCH(O$2,Inputs!$D$2:$AG$2,0)),Inputs!$B$4:$B$150,$B9)/1000)</f>
        <v>605</v>
      </c>
      <c r="P9" s="11">
        <f>IF(P$3=0,"",SUMIFS(INDEX(Inputs!$D$4:$AG$150,0,MATCH(P$2,Inputs!$D$2:$AG$2,0)),Inputs!$B$4:$B$150,$B9)/1000)</f>
        <v>0</v>
      </c>
      <c r="Q9" s="11">
        <f>IF(Q$3=0,"",SUMIFS(INDEX(Inputs!$D$4:$AG$150,0,MATCH(Q$2,Inputs!$D$2:$AG$2,0)),Inputs!$B$4:$B$150,$B9)/1000)</f>
        <v>349</v>
      </c>
      <c r="R9" s="12">
        <f>IF(COUNT(N9:Q9)=4,SUM(N9:Q9),"")</f>
        <v>1268</v>
      </c>
      <c r="S9" s="11">
        <f>IF(S$3=0,"",SUMIFS(INDEX(Inputs!$D$4:$AG$150,0,MATCH(S$2,Inputs!$D$2:$AG$2,0)),Inputs!$B$4:$B$150,$B9)/1000)</f>
        <v>362</v>
      </c>
      <c r="T9" s="11">
        <f>IF(T$3=0,"",SUMIFS(INDEX(Inputs!$D$4:$AG$150,0,MATCH(T$2,Inputs!$D$2:$AG$2,0)),Inputs!$B$4:$B$150,$B9)/1000)</f>
        <v>6</v>
      </c>
      <c r="U9" s="11">
        <f>IF(U$3=0,"",SUMIFS(INDEX(Inputs!$D$4:$AG$150,0,MATCH(U$2,Inputs!$D$2:$AG$2,0)),Inputs!$B$4:$B$150,$B9)/1000)</f>
        <v>325</v>
      </c>
      <c r="V9" s="11">
        <f>IF(V$3=0,"",SUMIFS(INDEX(Inputs!$D$4:$AG$150,0,MATCH(V$2,Inputs!$D$2:$AG$2,0)),Inputs!$B$4:$B$150,$B9)/1000)</f>
        <v>-23</v>
      </c>
      <c r="W9" s="12">
        <f>IF(COUNT(S9:V9)=4,SUM(S9:V9),"")</f>
        <v>670</v>
      </c>
      <c r="X9" s="11">
        <f>IF(X$3=0,"",SUMIFS(INDEX(Inputs!$D$4:$AG$150,0,MATCH(X$2,Inputs!$D$2:$AG$2,0)),Inputs!$B$4:$B$150,$B9)/1000)</f>
        <v>-154</v>
      </c>
      <c r="Y9" s="11">
        <f>IF(Y$3=0,"",SUMIFS(INDEX(Inputs!$D$4:$AG$150,0,MATCH(Y$2,Inputs!$D$2:$AG$2,0)),Inputs!$B$4:$B$150,$B9)/1000)</f>
        <v>440</v>
      </c>
      <c r="Z9" s="11">
        <f>IF(Z$3=0,"",SUMIFS(INDEX(Inputs!$D$4:$AG$150,0,MATCH(Z$2,Inputs!$D$2:$AG$2,0)),Inputs!$B$4:$B$150,$B9)/1000)</f>
        <v>443</v>
      </c>
      <c r="AA9" s="11">
        <f>IF(AA$3=0,"",SUMIFS(INDEX(Inputs!$D$4:$AG$150,0,MATCH(AA$2,Inputs!$D$2:$AG$2,0)),Inputs!$B$4:$B$150,$B9)/1000)</f>
        <v>207</v>
      </c>
      <c r="AB9" s="12">
        <f>IF(COUNT(X9:AA9)=4,SUM(X9:AA9),"")</f>
        <v>936</v>
      </c>
      <c r="AC9" s="11">
        <f>IF(AC$3=0,"",SUMIFS(INDEX(Inputs!$D$4:$AG$150,0,MATCH(AC$2,Inputs!$D$2:$AG$2,0)),Inputs!$B$4:$B$150,$B9)/1000)</f>
        <v>46</v>
      </c>
      <c r="AD9" s="11">
        <f>IF(AD$3=0,"",SUMIFS(INDEX(Inputs!$D$4:$AG$150,0,MATCH(AD$2,Inputs!$D$2:$AG$2,0)),Inputs!$B$4:$B$150,$B9)/1000)</f>
        <v>603</v>
      </c>
      <c r="AE9" s="11" t="str">
        <f>IF(AE$3=0,"",SUMIFS(INDEX(Inputs!$D$4:$AG$150,0,MATCH(AE$2,Inputs!$D$2:$AG$2,0)),Inputs!$B$4:$B$150,$B9)/1000)</f>
        <v/>
      </c>
      <c r="AF9" s="11" t="str">
        <f>IF(AF$3=0,"",SUMIFS(INDEX(Inputs!$D$4:$AG$150,0,MATCH(AF$2,Inputs!$D$2:$AG$2,0)),Inputs!$B$4:$B$150,$B9)/1000)</f>
        <v/>
      </c>
      <c r="AG9" s="12" t="str">
        <f>IF(COUNT(AC9:AF9)=4,SUM(AC9:AF9),"")</f>
        <v/>
      </c>
    </row>
    <row r="10">
      <c r="B10" s="9" t="n">
        <v>7</v>
      </c>
      <c r="C10" s="14" t="inlineStr">
        <is>
          <t>Taxes</t>
        </is>
      </c>
      <c r="D10" s="11">
        <f>IF(D$3=0,"",SUMIFS(INDEX(Inputs!$D$4:$AG$150,0,MATCH(D$2,Inputs!$D$2:$AG$2,0)),Inputs!$B$4:$B$150,$B10)/1000)</f>
        <v>179</v>
      </c>
      <c r="E10" s="11">
        <f>IF(E$3=0,"",SUMIFS(INDEX(Inputs!$D$4:$AG$150,0,MATCH(E$2,Inputs!$D$2:$AG$2,0)),Inputs!$B$4:$B$150,$B10)/1000)</f>
        <v>-110</v>
      </c>
      <c r="F10" s="11">
        <f>IF(F$3=0,"",SUMIFS(INDEX(Inputs!$D$4:$AG$150,0,MATCH(F$2,Inputs!$D$2:$AG$2,0)),Inputs!$B$4:$B$150,$B10)/1000)</f>
        <v>-177</v>
      </c>
      <c r="G10" s="11">
        <f>IF(G$3=0,"",SUMIFS(INDEX(Inputs!$D$4:$AG$150,0,MATCH(G$2,Inputs!$D$2:$AG$2,0)),Inputs!$B$4:$B$150,$B10)/1000)</f>
        <v>-117</v>
      </c>
      <c r="H10" s="12">
        <f>IF(COUNT(D10:G10)=4,SUM(D10:G10),"")</f>
        <v>-225</v>
      </c>
      <c r="I10" s="11">
        <f>IF(I$3=0,"",SUMIFS(INDEX(Inputs!$D$4:$AG$150,0,MATCH(I$2,Inputs!$D$2:$AG$2,0)),Inputs!$B$4:$B$150,$B10)/1000)</f>
        <v>53</v>
      </c>
      <c r="J10" s="11">
        <f>IF(J$3=0,"",SUMIFS(INDEX(Inputs!$D$4:$AG$150,0,MATCH(J$2,Inputs!$D$2:$AG$2,0)),Inputs!$B$4:$B$150,$B10)/1000)</f>
        <v>328</v>
      </c>
      <c r="K10" s="11">
        <f>IF(K$3=0,"",SUMIFS(INDEX(Inputs!$D$4:$AG$150,0,MATCH(K$2,Inputs!$D$2:$AG$2,0)),Inputs!$B$4:$B$150,$B10)/1000)</f>
        <v>123</v>
      </c>
      <c r="L10" s="11">
        <f>IF(L$3=0,"",SUMIFS(INDEX(Inputs!$D$4:$AG$150,0,MATCH(L$2,Inputs!$D$2:$AG$2,0)),Inputs!$B$4:$B$150,$B10)/1000)</f>
        <v>-116</v>
      </c>
      <c r="M10" s="12">
        <f>IF(COUNT(I10:L10)=4,SUM(I10:L10),"")</f>
        <v>388</v>
      </c>
      <c r="N10" s="11">
        <f>IF(N$3=0,"",SUMIFS(INDEX(Inputs!$D$4:$AG$150,0,MATCH(N$2,Inputs!$D$2:$AG$2,0)),Inputs!$B$4:$B$150,$B10)/1000)</f>
        <v>-131</v>
      </c>
      <c r="O10" s="11">
        <f>IF(O$3=0,"",SUMIFS(INDEX(Inputs!$D$4:$AG$150,0,MATCH(O$2,Inputs!$D$2:$AG$2,0)),Inputs!$B$4:$B$150,$B10)/1000)</f>
        <v>-342</v>
      </c>
      <c r="P10" s="11">
        <f>IF(P$3=0,"",SUMIFS(INDEX(Inputs!$D$4:$AG$150,0,MATCH(P$2,Inputs!$D$2:$AG$2,0)),Inputs!$B$4:$B$150,$B10)/1000)</f>
        <v>-205</v>
      </c>
      <c r="Q10" s="11">
        <f>IF(Q$3=0,"",SUMIFS(INDEX(Inputs!$D$4:$AG$150,0,MATCH(Q$2,Inputs!$D$2:$AG$2,0)),Inputs!$B$4:$B$150,$B10)/1000)</f>
        <v>-182</v>
      </c>
      <c r="R10" s="12">
        <f>IF(COUNT(N10:Q10)=4,SUM(N10:Q10),"")</f>
        <v>-860</v>
      </c>
      <c r="S10" s="11">
        <f>IF(S$3=0,"",SUMIFS(INDEX(Inputs!$D$4:$AG$150,0,MATCH(S$2,Inputs!$D$2:$AG$2,0)),Inputs!$B$4:$B$150,$B10)/1000)</f>
        <v>-165</v>
      </c>
      <c r="T10" s="11">
        <f>IF(T$3=0,"",SUMIFS(INDEX(Inputs!$D$4:$AG$150,0,MATCH(T$2,Inputs!$D$2:$AG$2,0)),Inputs!$B$4:$B$150,$B10)/1000)</f>
        <v>-154</v>
      </c>
      <c r="U10" s="11">
        <f>IF(U$3=0,"",SUMIFS(INDEX(Inputs!$D$4:$AG$150,0,MATCH(U$2,Inputs!$D$2:$AG$2,0)),Inputs!$B$4:$B$150,$B10)/1000)</f>
        <v>-449</v>
      </c>
      <c r="V10" s="11">
        <f>IF(V$3=0,"",SUMIFS(INDEX(Inputs!$D$4:$AG$150,0,MATCH(V$2,Inputs!$D$2:$AG$2,0)),Inputs!$B$4:$B$150,$B10)/1000)</f>
        <v>-6</v>
      </c>
      <c r="W10" s="12">
        <f>IF(COUNT(S10:V10)=4,SUM(S10:V10),"")</f>
        <v>-774</v>
      </c>
      <c r="X10" s="11">
        <f>IF(X$3=0,"",SUMIFS(INDEX(Inputs!$D$4:$AG$150,0,MATCH(X$2,Inputs!$D$2:$AG$2,0)),Inputs!$B$4:$B$150,$B10)/1000)</f>
        <v>-22</v>
      </c>
      <c r="Y10" s="11">
        <f>IF(Y$3=0,"",SUMIFS(INDEX(Inputs!$D$4:$AG$150,0,MATCH(Y$2,Inputs!$D$2:$AG$2,0)),Inputs!$B$4:$B$150,$B10)/1000)</f>
        <v>-440</v>
      </c>
      <c r="Z10" s="11">
        <f>IF(Z$3=0,"",SUMIFS(INDEX(Inputs!$D$4:$AG$150,0,MATCH(Z$2,Inputs!$D$2:$AG$2,0)),Inputs!$B$4:$B$150,$B10)/1000)</f>
        <v>-466</v>
      </c>
      <c r="AA10" s="11">
        <f>IF(AA$3=0,"",SUMIFS(INDEX(Inputs!$D$4:$AG$150,0,MATCH(AA$2,Inputs!$D$2:$AG$2,0)),Inputs!$B$4:$B$150,$B10)/1000)</f>
        <v>-259</v>
      </c>
      <c r="AB10" s="12">
        <f>IF(COUNT(X10:AA10)=4,SUM(X10:AA10),"")</f>
        <v>-1187</v>
      </c>
      <c r="AC10" s="11">
        <f>IF(AC$3=0,"",SUMIFS(INDEX(Inputs!$D$4:$AG$150,0,MATCH(AC$2,Inputs!$D$2:$AG$2,0)),Inputs!$B$4:$B$150,$B10)/1000)</f>
        <v>-530</v>
      </c>
      <c r="AD10" s="11">
        <f>IF(AD$3=0,"",SUMIFS(INDEX(Inputs!$D$4:$AG$150,0,MATCH(AD$2,Inputs!$D$2:$AG$2,0)),Inputs!$B$4:$B$150,$B10)/1000)</f>
        <v>-398</v>
      </c>
      <c r="AE10" s="11" t="str">
        <f>IF(AE$3=0,"",SUMIFS(INDEX(Inputs!$D$4:$AG$150,0,MATCH(AE$2,Inputs!$D$2:$AG$2,0)),Inputs!$B$4:$B$150,$B10)/1000)</f>
        <v/>
      </c>
      <c r="AF10" s="11" t="str">
        <f>IF(AF$3=0,"",SUMIFS(INDEX(Inputs!$D$4:$AG$150,0,MATCH(AF$2,Inputs!$D$2:$AG$2,0)),Inputs!$B$4:$B$150,$B10)/1000)</f>
        <v/>
      </c>
      <c r="AG10" s="12" t="str">
        <f>IF(COUNT(AC10:AF10)=4,SUM(AC10:AF10),"")</f>
        <v/>
      </c>
    </row>
    <row r="11">
      <c r="B11" s="9" t="n">
        <v>8</v>
      </c>
      <c r="C11" s="14" t="inlineStr">
        <is>
          <t>Equity in Income of Affiliates, after tax (enter as +)</t>
        </is>
      </c>
      <c r="D11" s="11">
        <f>IF(D$3=0,"",SUMIFS(INDEX(Inputs!$D$4:$AG$150,0,MATCH(D$2,Inputs!$D$2:$AG$2,0)),Inputs!$B$4:$B$150,$B11)/1000)</f>
        <v>-1</v>
      </c>
      <c r="E11" s="11">
        <f>IF(E$3=0,"",SUMIFS(INDEX(Inputs!$D$4:$AG$150,0,MATCH(E$2,Inputs!$D$2:$AG$2,0)),Inputs!$B$4:$B$150,$B11)/1000)</f>
        <v>-1</v>
      </c>
      <c r="F11" s="11">
        <f>IF(F$3=0,"",SUMIFS(INDEX(Inputs!$D$4:$AG$150,0,MATCH(F$2,Inputs!$D$2:$AG$2,0)),Inputs!$B$4:$B$150,$B11)/1000)</f>
        <v>-4</v>
      </c>
      <c r="G11" s="11">
        <f>IF(G$3=0,"",SUMIFS(INDEX(Inputs!$D$4:$AG$150,0,MATCH(G$2,Inputs!$D$2:$AG$2,0)),Inputs!$B$4:$B$150,$B11)/1000)</f>
        <v>-4</v>
      </c>
      <c r="H11" s="12">
        <f>IF(COUNT(D11:G11)=4,SUM(D11:G11),"")</f>
        <v>-10</v>
      </c>
      <c r="I11" s="11">
        <f>IF(I$3=0,"",SUMIFS(INDEX(Inputs!$D$4:$AG$150,0,MATCH(I$2,Inputs!$D$2:$AG$2,0)),Inputs!$B$4:$B$150,$B11)/1000)</f>
        <v>-3</v>
      </c>
      <c r="J11" s="11">
        <f>IF(J$3=0,"",SUMIFS(INDEX(Inputs!$D$4:$AG$150,0,MATCH(J$2,Inputs!$D$2:$AG$2,0)),Inputs!$B$4:$B$150,$B11)/1000)</f>
        <v>-3</v>
      </c>
      <c r="K11" s="11">
        <f>IF(K$3=0,"",SUMIFS(INDEX(Inputs!$D$4:$AG$150,0,MATCH(K$2,Inputs!$D$2:$AG$2,0)),Inputs!$B$4:$B$150,$B11)/1000)</f>
        <v>-4</v>
      </c>
      <c r="L11" s="11">
        <f>IF(L$3=0,"",SUMIFS(INDEX(Inputs!$D$4:$AG$150,0,MATCH(L$2,Inputs!$D$2:$AG$2,0)),Inputs!$B$4:$B$150,$B11)/1000)</f>
        <v>-3</v>
      </c>
      <c r="M11" s="12">
        <f>IF(COUNT(I11:L11)=4,SUM(I11:L11),"")</f>
        <v>-13</v>
      </c>
      <c r="N11" s="11">
        <f>IF(N$3=0,"",SUMIFS(INDEX(Inputs!$D$4:$AG$150,0,MATCH(N$2,Inputs!$D$2:$AG$2,0)),Inputs!$B$4:$B$150,$B11)/1000)</f>
        <v>-5</v>
      </c>
      <c r="O11" s="11">
        <f>IF(O$3=0,"",SUMIFS(INDEX(Inputs!$D$4:$AG$150,0,MATCH(O$2,Inputs!$D$2:$AG$2,0)),Inputs!$B$4:$B$150,$B11)/1000)</f>
        <v>-5</v>
      </c>
      <c r="P11" s="11">
        <f>IF(P$3=0,"",SUMIFS(INDEX(Inputs!$D$4:$AG$150,0,MATCH(P$2,Inputs!$D$2:$AG$2,0)),Inputs!$B$4:$B$150,$B11)/1000)</f>
        <v>0</v>
      </c>
      <c r="Q11" s="11">
        <f>IF(Q$3=0,"",SUMIFS(INDEX(Inputs!$D$4:$AG$150,0,MATCH(Q$2,Inputs!$D$2:$AG$2,0)),Inputs!$B$4:$B$150,$B11)/1000)</f>
        <v>0</v>
      </c>
      <c r="R11" s="12">
        <f>IF(COUNT(N11:Q11)=4,SUM(N11:Q11),"")</f>
        <v>-10</v>
      </c>
      <c r="S11" s="11">
        <f>IF(S$3=0,"",SUMIFS(INDEX(Inputs!$D$4:$AG$150,0,MATCH(S$2,Inputs!$D$2:$AG$2,0)),Inputs!$B$4:$B$150,$B11)/1000)</f>
        <v>0</v>
      </c>
      <c r="T11" s="11">
        <f>IF(T$3=0,"",SUMIFS(INDEX(Inputs!$D$4:$AG$150,0,MATCH(T$2,Inputs!$D$2:$AG$2,0)),Inputs!$B$4:$B$150,$B11)/1000)</f>
        <v>-1</v>
      </c>
      <c r="U11" s="11">
        <f>IF(U$3=0,"",SUMIFS(INDEX(Inputs!$D$4:$AG$150,0,MATCH(U$2,Inputs!$D$2:$AG$2,0)),Inputs!$B$4:$B$150,$B11)/1000)</f>
        <v>0</v>
      </c>
      <c r="V11" s="11">
        <f>IF(V$3=0,"",SUMIFS(INDEX(Inputs!$D$4:$AG$150,0,MATCH(V$2,Inputs!$D$2:$AG$2,0)),Inputs!$B$4:$B$150,$B11)/1000)</f>
        <v>-3</v>
      </c>
      <c r="W11" s="12">
        <f>IF(COUNT(S11:V11)=4,SUM(S11:V11),"")</f>
        <v>-4</v>
      </c>
      <c r="X11" s="11">
        <f>IF(X$3=0,"",SUMIFS(INDEX(Inputs!$D$4:$AG$150,0,MATCH(X$2,Inputs!$D$2:$AG$2,0)),Inputs!$B$4:$B$150,$B11)/1000)</f>
        <v>0</v>
      </c>
      <c r="Y11" s="11">
        <f>IF(Y$3=0,"",SUMIFS(INDEX(Inputs!$D$4:$AG$150,0,MATCH(Y$2,Inputs!$D$2:$AG$2,0)),Inputs!$B$4:$B$150,$B11)/1000)</f>
        <v>0</v>
      </c>
      <c r="Z11" s="11">
        <f>IF(Z$3=0,"",SUMIFS(INDEX(Inputs!$D$4:$AG$150,0,MATCH(Z$2,Inputs!$D$2:$AG$2,0)),Inputs!$B$4:$B$150,$B11)/1000)</f>
        <v>0</v>
      </c>
      <c r="AA11" s="11">
        <f>IF(AA$3=0,"",SUMIFS(INDEX(Inputs!$D$4:$AG$150,0,MATCH(AA$2,Inputs!$D$2:$AG$2,0)),Inputs!$B$4:$B$150,$B11)/1000)</f>
        <v>-1</v>
      </c>
      <c r="AB11" s="12">
        <f>IF(COUNT(X11:AA11)=4,SUM(X11:AA11),"")</f>
        <v>-1</v>
      </c>
      <c r="AC11" s="11">
        <f>IF(AC$3=0,"",SUMIFS(INDEX(Inputs!$D$4:$AG$150,0,MATCH(AC$2,Inputs!$D$2:$AG$2,0)),Inputs!$B$4:$B$150,$B11)/1000)</f>
        <v>8</v>
      </c>
      <c r="AD11" s="11">
        <f>IF(AD$3=0,"",SUMIFS(INDEX(Inputs!$D$4:$AG$150,0,MATCH(AD$2,Inputs!$D$2:$AG$2,0)),Inputs!$B$4:$B$150,$B11)/1000)</f>
        <v>6</v>
      </c>
      <c r="AE11" s="11" t="str">
        <f>IF(AE$3=0,"",SUMIFS(INDEX(Inputs!$D$4:$AG$150,0,MATCH(AE$2,Inputs!$D$2:$AG$2,0)),Inputs!$B$4:$B$150,$B11)/1000)</f>
        <v/>
      </c>
      <c r="AF11" s="11" t="str">
        <f>IF(AF$3=0,"",SUMIFS(INDEX(Inputs!$D$4:$AG$150,0,MATCH(AF$2,Inputs!$D$2:$AG$2,0)),Inputs!$B$4:$B$150,$B11)/1000)</f>
        <v/>
      </c>
      <c r="AG11" s="12" t="str">
        <f>IF(COUNT(AC11:AF11)=4,SUM(AC11:AF11),"")</f>
        <v/>
      </c>
    </row>
    <row r="12">
      <c r="B12" s="9" t="n">
        <v>9</v>
      </c>
      <c r="C12" s="14" t="inlineStr">
        <is>
          <t>Minority Interest Expense, after tax (enter as - )</t>
        </is>
      </c>
      <c r="D12" s="11">
        <f>IF(D$3=0,"",SUMIFS(INDEX(Inputs!$D$4:$AG$150,0,MATCH(D$2,Inputs!$D$2:$AG$2,0)),Inputs!$B$4:$B$150,$B12)/1000)</f>
        <v>-24</v>
      </c>
      <c r="E12" s="11">
        <f>IF(E$3=0,"",SUMIFS(INDEX(Inputs!$D$4:$AG$150,0,MATCH(E$2,Inputs!$D$2:$AG$2,0)),Inputs!$B$4:$B$150,$B12)/1000)</f>
        <v>-74</v>
      </c>
      <c r="F12" s="11">
        <f>IF(F$3=0,"",SUMIFS(INDEX(Inputs!$D$4:$AG$150,0,MATCH(F$2,Inputs!$D$2:$AG$2,0)),Inputs!$B$4:$B$150,$B12)/1000)</f>
        <v>-26</v>
      </c>
      <c r="G12" s="11">
        <f>IF(G$3=0,"",SUMIFS(INDEX(Inputs!$D$4:$AG$150,0,MATCH(G$2,Inputs!$D$2:$AG$2,0)),Inputs!$B$4:$B$150,$B12)/1000)</f>
        <v>3</v>
      </c>
      <c r="H12" s="12">
        <f>IF(COUNT(D12:G12)=4,SUM(D12:G12),"")</f>
        <v>-121</v>
      </c>
      <c r="I12" s="11">
        <f>IF(I$3=0,"",SUMIFS(INDEX(Inputs!$D$4:$AG$150,0,MATCH(I$2,Inputs!$D$2:$AG$2,0)),Inputs!$B$4:$B$150,$B12)/1000)</f>
        <v>-5</v>
      </c>
      <c r="J12" s="11">
        <f>IF(J$3=0,"",SUMIFS(INDEX(Inputs!$D$4:$AG$150,0,MATCH(J$2,Inputs!$D$2:$AG$2,0)),Inputs!$B$4:$B$150,$B12)/1000)</f>
        <v>2</v>
      </c>
      <c r="K12" s="11">
        <f>IF(K$3=0,"",SUMIFS(INDEX(Inputs!$D$4:$AG$150,0,MATCH(K$2,Inputs!$D$2:$AG$2,0)),Inputs!$B$4:$B$150,$B12)/1000)</f>
        <v>5</v>
      </c>
      <c r="L12" s="11">
        <f>IF(L$3=0,"",SUMIFS(INDEX(Inputs!$D$4:$AG$150,0,MATCH(L$2,Inputs!$D$2:$AG$2,0)),Inputs!$B$4:$B$150,$B12)/1000)</f>
        <v>6</v>
      </c>
      <c r="M12" s="12">
        <f>IF(COUNT(I12:L12)=4,SUM(I12:L12),"")</f>
        <v>8</v>
      </c>
      <c r="N12" s="11">
        <f>IF(N$3=0,"",SUMIFS(INDEX(Inputs!$D$4:$AG$150,0,MATCH(N$2,Inputs!$D$2:$AG$2,0)),Inputs!$B$4:$B$150,$B12)/1000)</f>
        <v>-6</v>
      </c>
      <c r="O12" s="11">
        <f>IF(O$3=0,"",SUMIFS(INDEX(Inputs!$D$4:$AG$150,0,MATCH(O$2,Inputs!$D$2:$AG$2,0)),Inputs!$B$4:$B$150,$B12)/1000)</f>
        <v>9</v>
      </c>
      <c r="P12" s="11">
        <f>IF(P$3=0,"",SUMIFS(INDEX(Inputs!$D$4:$AG$150,0,MATCH(P$2,Inputs!$D$2:$AG$2,0)),Inputs!$B$4:$B$150,$B12)/1000)</f>
        <v>41</v>
      </c>
      <c r="Q12" s="11">
        <f>IF(Q$3=0,"",SUMIFS(INDEX(Inputs!$D$4:$AG$150,0,MATCH(Q$2,Inputs!$D$2:$AG$2,0)),Inputs!$B$4:$B$150,$B12)/1000)</f>
        <v>2</v>
      </c>
      <c r="R12" s="12">
        <f>IF(COUNT(N12:Q12)=4,SUM(N12:Q12),"")</f>
        <v>46</v>
      </c>
      <c r="S12" s="11">
        <f>IF(S$3=0,"",SUMIFS(INDEX(Inputs!$D$4:$AG$150,0,MATCH(S$2,Inputs!$D$2:$AG$2,0)),Inputs!$B$4:$B$150,$B12)/1000)</f>
        <v>0</v>
      </c>
      <c r="T12" s="11">
        <f>IF(T$3=0,"",SUMIFS(INDEX(Inputs!$D$4:$AG$150,0,MATCH(T$2,Inputs!$D$2:$AG$2,0)),Inputs!$B$4:$B$150,$B12)/1000)</f>
        <v>5</v>
      </c>
      <c r="U12" s="11">
        <f>IF(U$3=0,"",SUMIFS(INDEX(Inputs!$D$4:$AG$150,0,MATCH(U$2,Inputs!$D$2:$AG$2,0)),Inputs!$B$4:$B$150,$B12)/1000)</f>
        <v>4</v>
      </c>
      <c r="V12" s="11">
        <f>IF(V$3=0,"",SUMIFS(INDEX(Inputs!$D$4:$AG$150,0,MATCH(V$2,Inputs!$D$2:$AG$2,0)),Inputs!$B$4:$B$150,$B12)/1000)</f>
        <v>2</v>
      </c>
      <c r="W12" s="12">
        <f>IF(COUNT(S12:V12)=4,SUM(S12:V12),"")</f>
        <v>11</v>
      </c>
      <c r="X12" s="11">
        <f>IF(X$3=0,"",SUMIFS(INDEX(Inputs!$D$4:$AG$150,0,MATCH(X$2,Inputs!$D$2:$AG$2,0)),Inputs!$B$4:$B$150,$B12)/1000)</f>
        <v>-11</v>
      </c>
      <c r="Y12" s="11">
        <f>IF(Y$3=0,"",SUMIFS(INDEX(Inputs!$D$4:$AG$150,0,MATCH(Y$2,Inputs!$D$2:$AG$2,0)),Inputs!$B$4:$B$150,$B12)/1000)</f>
        <v>6</v>
      </c>
      <c r="Z12" s="11">
        <f>IF(Z$3=0,"",SUMIFS(INDEX(Inputs!$D$4:$AG$150,0,MATCH(Z$2,Inputs!$D$2:$AG$2,0)),Inputs!$B$4:$B$150,$B12)/1000)</f>
        <v>1</v>
      </c>
      <c r="AA12" s="11">
        <f>IF(AA$3=0,"",SUMIFS(INDEX(Inputs!$D$4:$AG$150,0,MATCH(AA$2,Inputs!$D$2:$AG$2,0)),Inputs!$B$4:$B$150,$B12)/1000)</f>
        <v>0</v>
      </c>
      <c r="AB12" s="12">
        <f>IF(COUNT(X12:AA12)=4,SUM(X12:AA12),"")</f>
        <v>-4</v>
      </c>
      <c r="AC12" s="11">
        <f>IF(AC$3=0,"",SUMIFS(INDEX(Inputs!$D$4:$AG$150,0,MATCH(AC$2,Inputs!$D$2:$AG$2,0)),Inputs!$B$4:$B$150,$B12)/1000)</f>
        <v>-13</v>
      </c>
      <c r="AD12" s="11">
        <f>IF(AD$3=0,"",SUMIFS(INDEX(Inputs!$D$4:$AG$150,0,MATCH(AD$2,Inputs!$D$2:$AG$2,0)),Inputs!$B$4:$B$150,$B12)/1000)</f>
        <v>5</v>
      </c>
      <c r="AE12" s="11" t="str">
        <f>IF(AE$3=0,"",SUMIFS(INDEX(Inputs!$D$4:$AG$150,0,MATCH(AE$2,Inputs!$D$2:$AG$2,0)),Inputs!$B$4:$B$150,$B12)/1000)</f>
        <v/>
      </c>
      <c r="AF12" s="11" t="str">
        <f>IF(AF$3=0,"",SUMIFS(INDEX(Inputs!$D$4:$AG$150,0,MATCH(AF$2,Inputs!$D$2:$AG$2,0)),Inputs!$B$4:$B$150,$B12)/1000)</f>
        <v/>
      </c>
      <c r="AG12" s="12" t="str">
        <f>IF(COUNT(AC12:AF12)=4,SUM(AC12:AF12),"")</f>
        <v/>
      </c>
    </row>
    <row r="13">
      <c r="B13" s="9" t="n">
        <v>10</v>
      </c>
      <c r="C13" s="13" t="inlineStr">
        <is>
          <t>Common Dividends</t>
        </is>
      </c>
      <c r="D13" s="11">
        <f>IF(D$3=0,"",SUMIFS(INDEX(Inputs!$D$4:$AG$150,0,MATCH(D$2,Inputs!$D$2:$AG$2,0)),Inputs!$B$4:$B$150,$B13)/1000)</f>
        <v>0</v>
      </c>
      <c r="E13" s="11">
        <f>IF(E$3=0,"",SUMIFS(INDEX(Inputs!$D$4:$AG$150,0,MATCH(E$2,Inputs!$D$2:$AG$2,0)),Inputs!$B$4:$B$150,$B13)/1000)</f>
        <v>0</v>
      </c>
      <c r="F13" s="11">
        <f>IF(F$3=0,"",SUMIFS(INDEX(Inputs!$D$4:$AG$150,0,MATCH(F$2,Inputs!$D$2:$AG$2,0)),Inputs!$B$4:$B$150,$B13)/1000)</f>
        <v>0</v>
      </c>
      <c r="G13" s="11">
        <f>IF(G$3=0,"",SUMIFS(INDEX(Inputs!$D$4:$AG$150,0,MATCH(G$2,Inputs!$D$2:$AG$2,0)),Inputs!$B$4:$B$150,$B13)/1000)</f>
        <v>0</v>
      </c>
      <c r="H13" s="12">
        <f>IF(COUNT(D13:G13)=4,SUM(D13:G13),"")</f>
        <v>0</v>
      </c>
      <c r="I13" s="11">
        <f>IF(I$3=0,"",SUMIFS(INDEX(Inputs!$D$4:$AG$150,0,MATCH(I$2,Inputs!$D$2:$AG$2,0)),Inputs!$B$4:$B$150,$B13)/1000)</f>
        <v>-46</v>
      </c>
      <c r="J13" s="11">
        <f>IF(J$3=0,"",SUMIFS(INDEX(Inputs!$D$4:$AG$150,0,MATCH(J$2,Inputs!$D$2:$AG$2,0)),Inputs!$B$4:$B$150,$B13)/1000)</f>
        <v>-47</v>
      </c>
      <c r="K13" s="11">
        <f>IF(K$3=0,"",SUMIFS(INDEX(Inputs!$D$4:$AG$150,0,MATCH(K$2,Inputs!$D$2:$AG$2,0)),Inputs!$B$4:$B$150,$B13)/1000)</f>
        <v>-46</v>
      </c>
      <c r="L13" s="11">
        <f>IF(L$3=0,"",SUMIFS(INDEX(Inputs!$D$4:$AG$150,0,MATCH(L$2,Inputs!$D$2:$AG$2,0)),Inputs!$B$4:$B$150,$B13)/1000)</f>
        <v>-46</v>
      </c>
      <c r="M13" s="12">
        <f>IF(COUNT(I13:L13)=4,SUM(I13:L13),"")</f>
        <v>-185</v>
      </c>
      <c r="N13" s="11">
        <f>IF(N$3=0,"",SUMIFS(INDEX(Inputs!$D$4:$AG$150,0,MATCH(N$2,Inputs!$D$2:$AG$2,0)),Inputs!$B$4:$B$150,$B13)/1000)</f>
        <v>-93</v>
      </c>
      <c r="O13" s="11">
        <f>IF(O$3=0,"",SUMIFS(INDEX(Inputs!$D$4:$AG$150,0,MATCH(O$2,Inputs!$D$2:$AG$2,0)),Inputs!$B$4:$B$150,$B13)/1000)</f>
        <v>-92</v>
      </c>
      <c r="P13" s="11">
        <f>IF(P$3=0,"",SUMIFS(INDEX(Inputs!$D$4:$AG$150,0,MATCH(P$2,Inputs!$D$2:$AG$2,0)),Inputs!$B$4:$B$150,$B13)/1000)</f>
        <v>-92</v>
      </c>
      <c r="Q13" s="11">
        <f>IF(Q$3=0,"",SUMIFS(INDEX(Inputs!$D$4:$AG$150,0,MATCH(Q$2,Inputs!$D$2:$AG$2,0)),Inputs!$B$4:$B$150,$B13)/1000)</f>
        <v>-89</v>
      </c>
      <c r="R13" s="12">
        <f>IF(COUNT(N13:Q13)=4,SUM(N13:Q13),"")</f>
        <v>-366</v>
      </c>
      <c r="S13" s="11">
        <f>IF(S$3=0,"",SUMIFS(INDEX(Inputs!$D$4:$AG$150,0,MATCH(S$2,Inputs!$D$2:$AG$2,0)),Inputs!$B$4:$B$150,$B13)/1000)</f>
        <v>-112</v>
      </c>
      <c r="T13" s="11">
        <f>IF(T$3=0,"",SUMIFS(INDEX(Inputs!$D$4:$AG$150,0,MATCH(T$2,Inputs!$D$2:$AG$2,0)),Inputs!$B$4:$B$150,$B13)/1000)</f>
        <v>-110</v>
      </c>
      <c r="U13" s="11">
        <f>IF(U$3=0,"",SUMIFS(INDEX(Inputs!$D$4:$AG$150,0,MATCH(U$2,Inputs!$D$2:$AG$2,0)),Inputs!$B$4:$B$150,$B13)/1000)</f>
        <v>-111</v>
      </c>
      <c r="V13" s="11">
        <f>IF(V$3=0,"",SUMIFS(INDEX(Inputs!$D$4:$AG$150,0,MATCH(V$2,Inputs!$D$2:$AG$2,0)),Inputs!$B$4:$B$150,$B13)/1000)</f>
        <v>-111</v>
      </c>
      <c r="W13" s="12">
        <f>IF(COUNT(S13:V13)=4,SUM(S13:V13),"")</f>
        <v>-444</v>
      </c>
      <c r="X13" s="11">
        <f>IF(X$3=0,"",SUMIFS(INDEX(Inputs!$D$4:$AG$150,0,MATCH(X$2,Inputs!$D$2:$AG$2,0)),Inputs!$B$4:$B$150,$B13)/1000)</f>
        <v>-122</v>
      </c>
      <c r="Y13" s="11">
        <f>IF(Y$3=0,"",SUMIFS(INDEX(Inputs!$D$4:$AG$150,0,MATCH(Y$2,Inputs!$D$2:$AG$2,0)),Inputs!$B$4:$B$150,$B13)/1000)</f>
        <v>-122</v>
      </c>
      <c r="Z13" s="11">
        <f>IF(Z$3=0,"",SUMIFS(INDEX(Inputs!$D$4:$AG$150,0,MATCH(Z$2,Inputs!$D$2:$AG$2,0)),Inputs!$B$4:$B$150,$B13)/1000)</f>
        <v>-121</v>
      </c>
      <c r="AA13" s="11">
        <f>IF(AA$3=0,"",SUMIFS(INDEX(Inputs!$D$4:$AG$150,0,MATCH(AA$2,Inputs!$D$2:$AG$2,0)),Inputs!$B$4:$B$150,$B13)/1000)</f>
        <v>-121</v>
      </c>
      <c r="AB13" s="12">
        <f>IF(COUNT(X13:AA13)=4,SUM(X13:AA13),"")</f>
        <v>-486</v>
      </c>
      <c r="AC13" s="11">
        <f>IF(AC$3=0,"",SUMIFS(INDEX(Inputs!$D$4:$AG$150,0,MATCH(AC$2,Inputs!$D$2:$AG$2,0)),Inputs!$B$4:$B$150,$B13)/1000)</f>
        <v>-155</v>
      </c>
      <c r="AD13" s="11">
        <f>IF(AD$3=0,"",SUMIFS(INDEX(Inputs!$D$4:$AG$150,0,MATCH(AD$2,Inputs!$D$2:$AG$2,0)),Inputs!$B$4:$B$150,$B13)/1000)</f>
        <v>-154</v>
      </c>
      <c r="AE13" s="11" t="str">
        <f>IF(AE$3=0,"",SUMIFS(INDEX(Inputs!$D$4:$AG$150,0,MATCH(AE$2,Inputs!$D$2:$AG$2,0)),Inputs!$B$4:$B$150,$B13)/1000)</f>
        <v/>
      </c>
      <c r="AF13" s="11" t="str">
        <f>IF(AF$3=0,"",SUMIFS(INDEX(Inputs!$D$4:$AG$150,0,MATCH(AF$2,Inputs!$D$2:$AG$2,0)),Inputs!$B$4:$B$150,$B13)/1000)</f>
        <v/>
      </c>
      <c r="AG13" s="12" t="str">
        <f>IF(COUNT(AC13:AF13)=4,SUM(AC13:AF13),"")</f>
        <v/>
      </c>
    </row>
    <row r="14">
      <c r="D14" s="12" t="n"/>
    </row>
    <row r="15">
      <c r="B15" s="9" t="n">
        <v>11</v>
      </c>
      <c r="C15" s="13" t="inlineStr">
        <is>
          <t>Cash and equivalents (inc. investment securities)</t>
        </is>
      </c>
      <c r="D15" s="11">
        <f>IF(D$3=0,"",SUMIFS(INDEX(Inputs!$D$4:$AG$150,0,MATCH(D$2,Inputs!$D$2:$AG$2,0)),Inputs!$B$4:$B$150,$B15)/1000)</f>
        <v>0</v>
      </c>
      <c r="E15" s="11">
        <f>IF(E$3=0,"",SUMIFS(INDEX(Inputs!$D$4:$AG$150,0,MATCH(E$2,Inputs!$D$2:$AG$2,0)),Inputs!$B$4:$B$150,$B15)/1000)</f>
        <v>0</v>
      </c>
      <c r="F15" s="11">
        <f>IF(F$3=0,"",SUMIFS(INDEX(Inputs!$D$4:$AG$150,0,MATCH(F$2,Inputs!$D$2:$AG$2,0)),Inputs!$B$4:$B$150,$B15)/1000)</f>
        <v>0</v>
      </c>
      <c r="G15" s="11">
        <f>IF(G$3=0,"",SUMIFS(INDEX(Inputs!$D$4:$AG$150,0,MATCH(G$2,Inputs!$D$2:$AG$2,0)),Inputs!$B$4:$B$150,$B15)/1000)</f>
        <v>1080</v>
      </c>
      <c r="H15" s="12">
        <f>IF(G15="","",G15)</f>
        <v>1080</v>
      </c>
      <c r="I15" s="11">
        <f>IF(I$3=0,"",SUMIFS(INDEX(Inputs!$D$4:$AG$150,0,MATCH(I$2,Inputs!$D$2:$AG$2,0)),Inputs!$B$4:$B$150,$B15)/1000)</f>
        <v>3301</v>
      </c>
      <c r="J15" s="11">
        <f>IF(J$3=0,"",SUMIFS(INDEX(Inputs!$D$4:$AG$150,0,MATCH(J$2,Inputs!$D$2:$AG$2,0)),Inputs!$B$4:$B$150,$B15)/1000)</f>
        <v>1732</v>
      </c>
      <c r="K15" s="11">
        <f>IF(K$3=0,"",SUMIFS(INDEX(Inputs!$D$4:$AG$150,0,MATCH(K$2,Inputs!$D$2:$AG$2,0)),Inputs!$B$4:$B$150,$B15)/1000)</f>
        <v>2495</v>
      </c>
      <c r="L15" s="11">
        <f>IF(L$3=0,"",SUMIFS(INDEX(Inputs!$D$4:$AG$150,0,MATCH(L$2,Inputs!$D$2:$AG$2,0)),Inputs!$B$4:$B$150,$B15)/1000)</f>
        <v>950</v>
      </c>
      <c r="M15" s="12">
        <f>IF(L15="","",L15)</f>
        <v>950</v>
      </c>
      <c r="N15" s="11">
        <f>IF(N$3=0,"",SUMIFS(INDEX(Inputs!$D$4:$AG$150,0,MATCH(N$2,Inputs!$D$2:$AG$2,0)),Inputs!$B$4:$B$150,$B15)/1000)</f>
        <v>573</v>
      </c>
      <c r="O15" s="11">
        <f>IF(O$3=0,"",SUMIFS(INDEX(Inputs!$D$4:$AG$150,0,MATCH(O$2,Inputs!$D$2:$AG$2,0)),Inputs!$B$4:$B$150,$B15)/1000)</f>
        <v>594</v>
      </c>
      <c r="P15" s="11">
        <f>IF(P$3=0,"",SUMIFS(INDEX(Inputs!$D$4:$AG$150,0,MATCH(P$2,Inputs!$D$2:$AG$2,0)),Inputs!$B$4:$B$150,$B15)/1000)</f>
        <v>3866</v>
      </c>
      <c r="Q15" s="11">
        <f>IF(Q$3=0,"",SUMIFS(INDEX(Inputs!$D$4:$AG$150,0,MATCH(Q$2,Inputs!$D$2:$AG$2,0)),Inputs!$B$4:$B$150,$B15)/1000)</f>
        <v>822</v>
      </c>
      <c r="R15" s="12">
        <f>IF(Q15="","",Q15)</f>
        <v>822</v>
      </c>
      <c r="S15" s="11">
        <f>IF(S$3=0,"",SUMIFS(INDEX(Inputs!$D$4:$AG$150,0,MATCH(S$2,Inputs!$D$2:$AG$2,0)),Inputs!$B$4:$B$150,$B15)/1000)</f>
        <v>1207</v>
      </c>
      <c r="T15" s="11">
        <f>IF(T$3=0,"",SUMIFS(INDEX(Inputs!$D$4:$AG$150,0,MATCH(T$2,Inputs!$D$2:$AG$2,0)),Inputs!$B$4:$B$150,$B15)/1000)</f>
        <v>694</v>
      </c>
      <c r="U15" s="11">
        <f>IF(U$3=0,"",SUMIFS(INDEX(Inputs!$D$4:$AG$150,0,MATCH(U$2,Inputs!$D$2:$AG$2,0)),Inputs!$B$4:$B$150,$B15)/1000)</f>
        <v>3675</v>
      </c>
      <c r="V15" s="11">
        <f>IF(V$3=0,"",SUMIFS(INDEX(Inputs!$D$4:$AG$150,0,MATCH(V$2,Inputs!$D$2:$AG$2,0)),Inputs!$B$4:$B$150,$B15)/1000)</f>
        <v>6151</v>
      </c>
      <c r="W15" s="12">
        <f>IF(V15="","",V15)</f>
        <v>6151</v>
      </c>
      <c r="X15" s="11">
        <f>IF(X$3=0,"",SUMIFS(INDEX(Inputs!$D$4:$AG$150,0,MATCH(X$2,Inputs!$D$2:$AG$2,0)),Inputs!$B$4:$B$150,$B15)/1000)</f>
        <v>3788</v>
      </c>
      <c r="Y15" s="11">
        <f>IF(Y$3=0,"",SUMIFS(INDEX(Inputs!$D$4:$AG$150,0,MATCH(Y$2,Inputs!$D$2:$AG$2,0)),Inputs!$B$4:$B$150,$B15)/1000)</f>
        <v>4036</v>
      </c>
      <c r="Z15" s="11">
        <f>IF(Z$3=0,"",SUMIFS(INDEX(Inputs!$D$4:$AG$150,0,MATCH(Z$2,Inputs!$D$2:$AG$2,0)),Inputs!$B$4:$B$150,$B15)/1000)</f>
        <v>8050</v>
      </c>
      <c r="AA15" s="11">
        <f>IF(AA$3=0,"",SUMIFS(INDEX(Inputs!$D$4:$AG$150,0,MATCH(AA$2,Inputs!$D$2:$AG$2,0)),Inputs!$B$4:$B$150,$B15)/1000)</f>
        <v>7389</v>
      </c>
      <c r="AB15" s="12">
        <f>IF(AA15="","",AA15)</f>
        <v>7389</v>
      </c>
      <c r="AC15" s="11">
        <f>IF(AC$3=0,"",SUMIFS(INDEX(Inputs!$D$4:$AG$150,0,MATCH(AC$2,Inputs!$D$2:$AG$2,0)),Inputs!$B$4:$B$150,$B15)/1000)</f>
        <v>1971</v>
      </c>
      <c r="AD15" s="11">
        <f>IF(AD$3=0,"",SUMIFS(INDEX(Inputs!$D$4:$AG$150,0,MATCH(AD$2,Inputs!$D$2:$AG$2,0)),Inputs!$B$4:$B$150,$B15)/1000)</f>
        <v>1774</v>
      </c>
      <c r="AE15" s="11" t="str">
        <f>IF(AE$3=0,"",SUMIFS(INDEX(Inputs!$D$4:$AG$150,0,MATCH(AE$2,Inputs!$D$2:$AG$2,0)),Inputs!$B$4:$B$150,$B15)/1000)</f>
        <v/>
      </c>
      <c r="AF15" s="11" t="str">
        <f>IF(AF$3=0,"",SUMIFS(INDEX(Inputs!$D$4:$AG$150,0,MATCH(AF$2,Inputs!$D$2:$AG$2,0)),Inputs!$B$4:$B$150,$B15)/1000)</f>
        <v/>
      </c>
      <c r="AG15" s="12" t="str">
        <f>IF(AF15="","",AF15)</f>
        <v/>
      </c>
    </row>
    <row r="16">
      <c r="B16" s="9" t="n">
        <v>12</v>
      </c>
      <c r="C16" s="14" t="inlineStr">
        <is>
          <t>Accounts receivable</t>
        </is>
      </c>
      <c r="D16" s="11">
        <f>IF(D$3=0,"",SUMIFS(INDEX(Inputs!$D$4:$AG$150,0,MATCH(D$2,Inputs!$D$2:$AG$2,0)),Inputs!$B$4:$B$150,$B16)/1000)</f>
        <v>0</v>
      </c>
      <c r="E16" s="11">
        <f>IF(E$3=0,"",SUMIFS(INDEX(Inputs!$D$4:$AG$150,0,MATCH(E$2,Inputs!$D$2:$AG$2,0)),Inputs!$B$4:$B$150,$B16)/1000)</f>
        <v>0</v>
      </c>
      <c r="F16" s="11">
        <f>IF(F$3=0,"",SUMIFS(INDEX(Inputs!$D$4:$AG$150,0,MATCH(F$2,Inputs!$D$2:$AG$2,0)),Inputs!$B$4:$B$150,$B16)/1000)</f>
        <v>0</v>
      </c>
      <c r="G16" s="11">
        <f>IF(G$3=0,"",SUMIFS(INDEX(Inputs!$D$4:$AG$150,0,MATCH(G$2,Inputs!$D$2:$AG$2,0)),Inputs!$B$4:$B$150,$B16)/1000)</f>
        <v>1669</v>
      </c>
      <c r="H16" s="12">
        <f>IF(G16="","",G16)</f>
        <v>1669</v>
      </c>
      <c r="I16" s="11">
        <f>IF(I$3=0,"",SUMIFS(INDEX(Inputs!$D$4:$AG$150,0,MATCH(I$2,Inputs!$D$2:$AG$2,0)),Inputs!$B$4:$B$150,$B16)/1000)</f>
        <v>1936</v>
      </c>
      <c r="J16" s="11">
        <f>IF(J$3=0,"",SUMIFS(INDEX(Inputs!$D$4:$AG$150,0,MATCH(J$2,Inputs!$D$2:$AG$2,0)),Inputs!$B$4:$B$150,$B16)/1000)</f>
        <v>1734</v>
      </c>
      <c r="K16" s="11">
        <f>IF(K$3=0,"",SUMIFS(INDEX(Inputs!$D$4:$AG$150,0,MATCH(K$2,Inputs!$D$2:$AG$2,0)),Inputs!$B$4:$B$150,$B16)/1000)</f>
        <v>1819</v>
      </c>
      <c r="L16" s="11">
        <f>IF(L$3=0,"",SUMIFS(INDEX(Inputs!$D$4:$AG$150,0,MATCH(L$2,Inputs!$D$2:$AG$2,0)),Inputs!$B$4:$B$150,$B16)/1000)</f>
        <v>2585</v>
      </c>
      <c r="M16" s="12">
        <f>IF(L16="","",L16)</f>
        <v>2585</v>
      </c>
      <c r="N16" s="11">
        <f>IF(N$3=0,"",SUMIFS(INDEX(Inputs!$D$4:$AG$150,0,MATCH(N$2,Inputs!$D$2:$AG$2,0)),Inputs!$B$4:$B$150,$B16)/1000)</f>
        <v>2147</v>
      </c>
      <c r="O16" s="11">
        <f>IF(O$3=0,"",SUMIFS(INDEX(Inputs!$D$4:$AG$150,0,MATCH(O$2,Inputs!$D$2:$AG$2,0)),Inputs!$B$4:$B$150,$B16)/1000)</f>
        <v>1306</v>
      </c>
      <c r="P16" s="11">
        <f>IF(P$3=0,"",SUMIFS(INDEX(Inputs!$D$4:$AG$150,0,MATCH(P$2,Inputs!$D$2:$AG$2,0)),Inputs!$B$4:$B$150,$B16)/1000)</f>
        <v>1541</v>
      </c>
      <c r="Q16" s="11">
        <f>IF(Q$3=0,"",SUMIFS(INDEX(Inputs!$D$4:$AG$150,0,MATCH(Q$2,Inputs!$D$2:$AG$2,0)),Inputs!$B$4:$B$150,$B16)/1000)</f>
        <v>1934</v>
      </c>
      <c r="R16" s="12">
        <f>IF(Q16="","",Q16)</f>
        <v>1934</v>
      </c>
      <c r="S16" s="11">
        <f>IF(S$3=0,"",SUMIFS(INDEX(Inputs!$D$4:$AG$150,0,MATCH(S$2,Inputs!$D$2:$AG$2,0)),Inputs!$B$4:$B$150,$B16)/1000)</f>
        <v>1855</v>
      </c>
      <c r="T16" s="11">
        <f>IF(T$3=0,"",SUMIFS(INDEX(Inputs!$D$4:$AG$150,0,MATCH(T$2,Inputs!$D$2:$AG$2,0)),Inputs!$B$4:$B$150,$B16)/1000)</f>
        <v>1578</v>
      </c>
      <c r="U16" s="11">
        <f>IF(U$3=0,"",SUMIFS(INDEX(Inputs!$D$4:$AG$150,0,MATCH(U$2,Inputs!$D$2:$AG$2,0)),Inputs!$B$4:$B$150,$B16)/1000)</f>
        <v>1208</v>
      </c>
      <c r="V16" s="11">
        <f>IF(V$3=0,"",SUMIFS(INDEX(Inputs!$D$4:$AG$150,0,MATCH(V$2,Inputs!$D$2:$AG$2,0)),Inputs!$B$4:$B$150,$B16)/1000)</f>
        <v>3116</v>
      </c>
      <c r="W16" s="12">
        <f>IF(V16="","",V16)</f>
        <v>3116</v>
      </c>
      <c r="X16" s="11">
        <f>IF(X$3=0,"",SUMIFS(INDEX(Inputs!$D$4:$AG$150,0,MATCH(X$2,Inputs!$D$2:$AG$2,0)),Inputs!$B$4:$B$150,$B16)/1000)</f>
        <v>3193</v>
      </c>
      <c r="Y16" s="11">
        <f>IF(Y$3=0,"",SUMIFS(INDEX(Inputs!$D$4:$AG$150,0,MATCH(Y$2,Inputs!$D$2:$AG$2,0)),Inputs!$B$4:$B$150,$B16)/1000)</f>
        <v>2947</v>
      </c>
      <c r="Z16" s="11">
        <f>IF(Z$3=0,"",SUMIFS(INDEX(Inputs!$D$4:$AG$150,0,MATCH(Z$2,Inputs!$D$2:$AG$2,0)),Inputs!$B$4:$B$150,$B16)/1000)</f>
        <v>3168</v>
      </c>
      <c r="AA16" s="11">
        <f>IF(AA$3=0,"",SUMIFS(INDEX(Inputs!$D$4:$AG$150,0,MATCH(AA$2,Inputs!$D$2:$AG$2,0)),Inputs!$B$4:$B$150,$B16)/1000)</f>
        <v>4266</v>
      </c>
      <c r="AB16" s="12">
        <f>IF(AA16="","",AA16)</f>
        <v>4266</v>
      </c>
      <c r="AC16" s="11">
        <f>IF(AC$3=0,"",SUMIFS(INDEX(Inputs!$D$4:$AG$150,0,MATCH(AC$2,Inputs!$D$2:$AG$2,0)),Inputs!$B$4:$B$150,$B16)/1000)</f>
        <v>4414</v>
      </c>
      <c r="AD16" s="11">
        <f>IF(AD$3=0,"",SUMIFS(INDEX(Inputs!$D$4:$AG$150,0,MATCH(AD$2,Inputs!$D$2:$AG$2,0)),Inputs!$B$4:$B$150,$B16)/1000)</f>
        <v>4661</v>
      </c>
      <c r="AE16" s="11" t="str">
        <f>IF(AE$3=0,"",SUMIFS(INDEX(Inputs!$D$4:$AG$150,0,MATCH(AE$2,Inputs!$D$2:$AG$2,0)),Inputs!$B$4:$B$150,$B16)/1000)</f>
        <v/>
      </c>
      <c r="AF16" s="11" t="str">
        <f>IF(AF$3=0,"",SUMIFS(INDEX(Inputs!$D$4:$AG$150,0,MATCH(AF$2,Inputs!$D$2:$AG$2,0)),Inputs!$B$4:$B$150,$B16)/1000)</f>
        <v/>
      </c>
      <c r="AG16" s="12" t="str">
        <f>IF(AF16="","",AF16)</f>
        <v/>
      </c>
    </row>
    <row r="17">
      <c r="B17" s="9" t="n">
        <v>13</v>
      </c>
      <c r="C17" s="14" t="inlineStr">
        <is>
          <t>Inventories</t>
        </is>
      </c>
      <c r="D17" s="11">
        <f>IF(D$3=0,"",SUMIFS(INDEX(Inputs!$D$4:$AG$150,0,MATCH(D$2,Inputs!$D$2:$AG$2,0)),Inputs!$B$4:$B$150,$B17)/1000)</f>
        <v>0</v>
      </c>
      <c r="E17" s="11">
        <f>IF(E$3=0,"",SUMIFS(INDEX(Inputs!$D$4:$AG$150,0,MATCH(E$2,Inputs!$D$2:$AG$2,0)),Inputs!$B$4:$B$150,$B17)/1000)</f>
        <v>0</v>
      </c>
      <c r="F17" s="11">
        <f>IF(F$3=0,"",SUMIFS(INDEX(Inputs!$D$4:$AG$150,0,MATCH(F$2,Inputs!$D$2:$AG$2,0)),Inputs!$B$4:$B$150,$B17)/1000)</f>
        <v>0</v>
      </c>
      <c r="G17" s="11">
        <f>IF(G$3=0,"",SUMIFS(INDEX(Inputs!$D$4:$AG$150,0,MATCH(G$2,Inputs!$D$2:$AG$2,0)),Inputs!$B$4:$B$150,$B17)/1000)</f>
        <v>0</v>
      </c>
      <c r="H17" s="12">
        <f>IF(G17="","",G17)</f>
        <v>0</v>
      </c>
      <c r="I17" s="11">
        <f>IF(I$3=0,"",SUMIFS(INDEX(Inputs!$D$4:$AG$150,0,MATCH(I$2,Inputs!$D$2:$AG$2,0)),Inputs!$B$4:$B$150,$B17)/1000)</f>
        <v>0</v>
      </c>
      <c r="J17" s="11">
        <f>IF(J$3=0,"",SUMIFS(INDEX(Inputs!$D$4:$AG$150,0,MATCH(J$2,Inputs!$D$2:$AG$2,0)),Inputs!$B$4:$B$150,$B17)/1000)</f>
        <v>0</v>
      </c>
      <c r="K17" s="11">
        <f>IF(K$3=0,"",SUMIFS(INDEX(Inputs!$D$4:$AG$150,0,MATCH(K$2,Inputs!$D$2:$AG$2,0)),Inputs!$B$4:$B$150,$B17)/1000)</f>
        <v>0</v>
      </c>
      <c r="L17" s="11">
        <f>IF(L$3=0,"",SUMIFS(INDEX(Inputs!$D$4:$AG$150,0,MATCH(L$2,Inputs!$D$2:$AG$2,0)),Inputs!$B$4:$B$150,$B17)/1000)</f>
        <v>0</v>
      </c>
      <c r="M17" s="12">
        <f>IF(L17="","",L17)</f>
        <v>0</v>
      </c>
      <c r="N17" s="11">
        <f>IF(N$3=0,"",SUMIFS(INDEX(Inputs!$D$4:$AG$150,0,MATCH(N$2,Inputs!$D$2:$AG$2,0)),Inputs!$B$4:$B$150,$B17)/1000)</f>
        <v>0</v>
      </c>
      <c r="O17" s="11">
        <f>IF(O$3=0,"",SUMIFS(INDEX(Inputs!$D$4:$AG$150,0,MATCH(O$2,Inputs!$D$2:$AG$2,0)),Inputs!$B$4:$B$150,$B17)/1000)</f>
        <v>0</v>
      </c>
      <c r="P17" s="11">
        <f>IF(P$3=0,"",SUMIFS(INDEX(Inputs!$D$4:$AG$150,0,MATCH(P$2,Inputs!$D$2:$AG$2,0)),Inputs!$B$4:$B$150,$B17)/1000)</f>
        <v>0</v>
      </c>
      <c r="Q17" s="11">
        <f>IF(Q$3=0,"",SUMIFS(INDEX(Inputs!$D$4:$AG$150,0,MATCH(Q$2,Inputs!$D$2:$AG$2,0)),Inputs!$B$4:$B$150,$B17)/1000)</f>
        <v>0</v>
      </c>
      <c r="R17" s="12">
        <f>IF(Q17="","",Q17)</f>
        <v>0</v>
      </c>
      <c r="S17" s="11">
        <f>IF(S$3=0,"",SUMIFS(INDEX(Inputs!$D$4:$AG$150,0,MATCH(S$2,Inputs!$D$2:$AG$2,0)),Inputs!$B$4:$B$150,$B17)/1000)</f>
        <v>0</v>
      </c>
      <c r="T17" s="11">
        <f>IF(T$3=0,"",SUMIFS(INDEX(Inputs!$D$4:$AG$150,0,MATCH(T$2,Inputs!$D$2:$AG$2,0)),Inputs!$B$4:$B$150,$B17)/1000)</f>
        <v>0</v>
      </c>
      <c r="U17" s="11">
        <f>IF(U$3=0,"",SUMIFS(INDEX(Inputs!$D$4:$AG$150,0,MATCH(U$2,Inputs!$D$2:$AG$2,0)),Inputs!$B$4:$B$150,$B17)/1000)</f>
        <v>0</v>
      </c>
      <c r="V17" s="11">
        <f>IF(V$3=0,"",SUMIFS(INDEX(Inputs!$D$4:$AG$150,0,MATCH(V$2,Inputs!$D$2:$AG$2,0)),Inputs!$B$4:$B$150,$B17)/1000)</f>
        <v>0</v>
      </c>
      <c r="W17" s="12">
        <f>IF(V17="","",V17)</f>
        <v>0</v>
      </c>
      <c r="X17" s="11">
        <f>IF(X$3=0,"",SUMIFS(INDEX(Inputs!$D$4:$AG$150,0,MATCH(X$2,Inputs!$D$2:$AG$2,0)),Inputs!$B$4:$B$150,$B17)/1000)</f>
        <v>0</v>
      </c>
      <c r="Y17" s="11">
        <f>IF(Y$3=0,"",SUMIFS(INDEX(Inputs!$D$4:$AG$150,0,MATCH(Y$2,Inputs!$D$2:$AG$2,0)),Inputs!$B$4:$B$150,$B17)/1000)</f>
        <v>0</v>
      </c>
      <c r="Z17" s="11">
        <f>IF(Z$3=0,"",SUMIFS(INDEX(Inputs!$D$4:$AG$150,0,MATCH(Z$2,Inputs!$D$2:$AG$2,0)),Inputs!$B$4:$B$150,$B17)/1000)</f>
        <v>0</v>
      </c>
      <c r="AA17" s="11">
        <f>IF(AA$3=0,"",SUMIFS(INDEX(Inputs!$D$4:$AG$150,0,MATCH(AA$2,Inputs!$D$2:$AG$2,0)),Inputs!$B$4:$B$150,$B17)/1000)</f>
        <v>1736</v>
      </c>
      <c r="AB17" s="12">
        <f>IF(AA17="","",AA17)</f>
        <v>1736</v>
      </c>
      <c r="AC17" s="11">
        <f>IF(AC$3=0,"",SUMIFS(INDEX(Inputs!$D$4:$AG$150,0,MATCH(AC$2,Inputs!$D$2:$AG$2,0)),Inputs!$B$4:$B$150,$B17)/1000)</f>
        <v>2582</v>
      </c>
      <c r="AD17" s="11">
        <f>IF(AD$3=0,"",SUMIFS(INDEX(Inputs!$D$4:$AG$150,0,MATCH(AD$2,Inputs!$D$2:$AG$2,0)),Inputs!$B$4:$B$150,$B17)/1000)</f>
        <v>3368</v>
      </c>
      <c r="AE17" s="11" t="str">
        <f>IF(AE$3=0,"",SUMIFS(INDEX(Inputs!$D$4:$AG$150,0,MATCH(AE$2,Inputs!$D$2:$AG$2,0)),Inputs!$B$4:$B$150,$B17)/1000)</f>
        <v/>
      </c>
      <c r="AF17" s="11" t="str">
        <f>IF(AF$3=0,"",SUMIFS(INDEX(Inputs!$D$4:$AG$150,0,MATCH(AF$2,Inputs!$D$2:$AG$2,0)),Inputs!$B$4:$B$150,$B17)/1000)</f>
        <v/>
      </c>
      <c r="AG17" s="12" t="str">
        <f>IF(AF17="","",AF17)</f>
        <v/>
      </c>
    </row>
    <row r="18">
      <c r="B18" s="9" t="n">
        <v>14</v>
      </c>
      <c r="C18" s="14" t="inlineStr">
        <is>
          <t>Deferred income taxes</t>
        </is>
      </c>
      <c r="D18" s="11">
        <f>IF(D$3=0,"",SUMIFS(INDEX(Inputs!$D$4:$AG$150,0,MATCH(D$2,Inputs!$D$2:$AG$2,0)),Inputs!$B$4:$B$150,$B18)/1000)</f>
        <v>0</v>
      </c>
      <c r="E18" s="11">
        <f>IF(E$3=0,"",SUMIFS(INDEX(Inputs!$D$4:$AG$150,0,MATCH(E$2,Inputs!$D$2:$AG$2,0)),Inputs!$B$4:$B$150,$B18)/1000)</f>
        <v>0</v>
      </c>
      <c r="F18" s="11">
        <f>IF(F$3=0,"",SUMIFS(INDEX(Inputs!$D$4:$AG$150,0,MATCH(F$2,Inputs!$D$2:$AG$2,0)),Inputs!$B$4:$B$150,$B18)/1000)</f>
        <v>0</v>
      </c>
      <c r="G18" s="11">
        <f>IF(G$3=0,"",SUMIFS(INDEX(Inputs!$D$4:$AG$150,0,MATCH(G$2,Inputs!$D$2:$AG$2,0)),Inputs!$B$4:$B$150,$B18)/1000)</f>
        <v>32</v>
      </c>
      <c r="H18" s="12">
        <f>IF(G18="","",G18)</f>
        <v>32</v>
      </c>
      <c r="I18" s="11">
        <f>IF(I$3=0,"",SUMIFS(INDEX(Inputs!$D$4:$AG$150,0,MATCH(I$2,Inputs!$D$2:$AG$2,0)),Inputs!$B$4:$B$150,$B18)/1000)</f>
        <v>36</v>
      </c>
      <c r="J18" s="11">
        <f>IF(J$3=0,"",SUMIFS(INDEX(Inputs!$D$4:$AG$150,0,MATCH(J$2,Inputs!$D$2:$AG$2,0)),Inputs!$B$4:$B$150,$B18)/1000)</f>
        <v>34</v>
      </c>
      <c r="K18" s="11">
        <f>IF(K$3=0,"",SUMIFS(INDEX(Inputs!$D$4:$AG$150,0,MATCH(K$2,Inputs!$D$2:$AG$2,0)),Inputs!$B$4:$B$150,$B18)/1000)</f>
        <v>23</v>
      </c>
      <c r="L18" s="11">
        <f>IF(L$3=0,"",SUMIFS(INDEX(Inputs!$D$4:$AG$150,0,MATCH(L$2,Inputs!$D$2:$AG$2,0)),Inputs!$B$4:$B$150,$B18)/1000)</f>
        <v>44</v>
      </c>
      <c r="M18" s="12">
        <f>IF(L18="","",L18)</f>
        <v>44</v>
      </c>
      <c r="N18" s="11">
        <f>IF(N$3=0,"",SUMIFS(INDEX(Inputs!$D$4:$AG$150,0,MATCH(N$2,Inputs!$D$2:$AG$2,0)),Inputs!$B$4:$B$150,$B18)/1000)</f>
        <v>45</v>
      </c>
      <c r="O18" s="11">
        <f>IF(O$3=0,"",SUMIFS(INDEX(Inputs!$D$4:$AG$150,0,MATCH(O$2,Inputs!$D$2:$AG$2,0)),Inputs!$B$4:$B$150,$B18)/1000)</f>
        <v>43</v>
      </c>
      <c r="P18" s="11">
        <f>IF(P$3=0,"",SUMIFS(INDEX(Inputs!$D$4:$AG$150,0,MATCH(P$2,Inputs!$D$2:$AG$2,0)),Inputs!$B$4:$B$150,$B18)/1000)</f>
        <v>43</v>
      </c>
      <c r="Q18" s="11">
        <f>IF(Q$3=0,"",SUMIFS(INDEX(Inputs!$D$4:$AG$150,0,MATCH(Q$2,Inputs!$D$2:$AG$2,0)),Inputs!$B$4:$B$150,$B18)/1000)</f>
        <v>52</v>
      </c>
      <c r="R18" s="12">
        <f>IF(Q18="","",Q18)</f>
        <v>52</v>
      </c>
      <c r="S18" s="11">
        <f>IF(S$3=0,"",SUMIFS(INDEX(Inputs!$D$4:$AG$150,0,MATCH(S$2,Inputs!$D$2:$AG$2,0)),Inputs!$B$4:$B$150,$B18)/1000)</f>
        <v>38</v>
      </c>
      <c r="T18" s="11">
        <f>IF(T$3=0,"",SUMIFS(INDEX(Inputs!$D$4:$AG$150,0,MATCH(T$2,Inputs!$D$2:$AG$2,0)),Inputs!$B$4:$B$150,$B18)/1000)</f>
        <v>25</v>
      </c>
      <c r="U18" s="11">
        <f>IF(U$3=0,"",SUMIFS(INDEX(Inputs!$D$4:$AG$150,0,MATCH(U$2,Inputs!$D$2:$AG$2,0)),Inputs!$B$4:$B$150,$B18)/1000)</f>
        <v>35</v>
      </c>
      <c r="V18" s="11">
        <f>IF(V$3=0,"",SUMIFS(INDEX(Inputs!$D$4:$AG$150,0,MATCH(V$2,Inputs!$D$2:$AG$2,0)),Inputs!$B$4:$B$150,$B18)/1000)</f>
        <v>0</v>
      </c>
      <c r="W18" s="12">
        <f>IF(V18="","",V18)</f>
        <v>0</v>
      </c>
      <c r="X18" s="11">
        <f>IF(X$3=0,"",SUMIFS(INDEX(Inputs!$D$4:$AG$150,0,MATCH(X$2,Inputs!$D$2:$AG$2,0)),Inputs!$B$4:$B$150,$B18)/1000)</f>
        <v>0</v>
      </c>
      <c r="Y18" s="11">
        <f>IF(Y$3=0,"",SUMIFS(INDEX(Inputs!$D$4:$AG$150,0,MATCH(Y$2,Inputs!$D$2:$AG$2,0)),Inputs!$B$4:$B$150,$B18)/1000)</f>
        <v>0</v>
      </c>
      <c r="Z18" s="11">
        <f>IF(Z$3=0,"",SUMIFS(INDEX(Inputs!$D$4:$AG$150,0,MATCH(Z$2,Inputs!$D$2:$AG$2,0)),Inputs!$B$4:$B$150,$B18)/1000)</f>
        <v>0</v>
      </c>
      <c r="AA18" s="11">
        <f>IF(AA$3=0,"",SUMIFS(INDEX(Inputs!$D$4:$AG$150,0,MATCH(AA$2,Inputs!$D$2:$AG$2,0)),Inputs!$B$4:$B$150,$B18)/1000)</f>
        <v>0</v>
      </c>
      <c r="AB18" s="12">
        <f>IF(AA18="","",AA18)</f>
        <v>0</v>
      </c>
      <c r="AC18" s="11">
        <f>IF(AC$3=0,"",SUMIFS(INDEX(Inputs!$D$4:$AG$150,0,MATCH(AC$2,Inputs!$D$2:$AG$2,0)),Inputs!$B$4:$B$150,$B18)/1000)</f>
        <v>0</v>
      </c>
      <c r="AD18" s="11">
        <f>IF(AD$3=0,"",SUMIFS(INDEX(Inputs!$D$4:$AG$150,0,MATCH(AD$2,Inputs!$D$2:$AG$2,0)),Inputs!$B$4:$B$150,$B18)/1000)</f>
        <v>0</v>
      </c>
      <c r="AE18" s="11" t="str">
        <f>IF(AE$3=0,"",SUMIFS(INDEX(Inputs!$D$4:$AG$150,0,MATCH(AE$2,Inputs!$D$2:$AG$2,0)),Inputs!$B$4:$B$150,$B18)/1000)</f>
        <v/>
      </c>
      <c r="AF18" s="11" t="str">
        <f>IF(AF$3=0,"",SUMIFS(INDEX(Inputs!$D$4:$AG$150,0,MATCH(AF$2,Inputs!$D$2:$AG$2,0)),Inputs!$B$4:$B$150,$B18)/1000)</f>
        <v/>
      </c>
      <c r="AG18" s="12" t="str">
        <f>IF(AF18="","",AF18)</f>
        <v/>
      </c>
    </row>
    <row r="19">
      <c r="B19" s="9" t="n">
        <v>15</v>
      </c>
      <c r="C19" s="14" t="inlineStr">
        <is>
          <t>Prepaid expenses</t>
        </is>
      </c>
      <c r="D19" s="11">
        <f>IF(D$3=0,"",SUMIFS(INDEX(Inputs!$D$4:$AG$150,0,MATCH(D$2,Inputs!$D$2:$AG$2,0)),Inputs!$B$4:$B$150,$B19)/1000)</f>
        <v>0</v>
      </c>
      <c r="E19" s="11">
        <f>IF(E$3=0,"",SUMIFS(INDEX(Inputs!$D$4:$AG$150,0,MATCH(E$2,Inputs!$D$2:$AG$2,0)),Inputs!$B$4:$B$150,$B19)/1000)</f>
        <v>0</v>
      </c>
      <c r="F19" s="11">
        <f>IF(F$3=0,"",SUMIFS(INDEX(Inputs!$D$4:$AG$150,0,MATCH(F$2,Inputs!$D$2:$AG$2,0)),Inputs!$B$4:$B$150,$B19)/1000)</f>
        <v>0</v>
      </c>
      <c r="G19" s="11">
        <f>IF(G$3=0,"",SUMIFS(INDEX(Inputs!$D$4:$AG$150,0,MATCH(G$2,Inputs!$D$2:$AG$2,0)),Inputs!$B$4:$B$150,$B19)/1000)</f>
        <v>0</v>
      </c>
      <c r="H19" s="12">
        <f>IF(G19="","",G19)</f>
        <v>0</v>
      </c>
      <c r="I19" s="11">
        <f>IF(I$3=0,"",SUMIFS(INDEX(Inputs!$D$4:$AG$150,0,MATCH(I$2,Inputs!$D$2:$AG$2,0)),Inputs!$B$4:$B$150,$B19)/1000)</f>
        <v>0</v>
      </c>
      <c r="J19" s="11">
        <f>IF(J$3=0,"",SUMIFS(INDEX(Inputs!$D$4:$AG$150,0,MATCH(J$2,Inputs!$D$2:$AG$2,0)),Inputs!$B$4:$B$150,$B19)/1000)</f>
        <v>0</v>
      </c>
      <c r="K19" s="11">
        <f>IF(K$3=0,"",SUMIFS(INDEX(Inputs!$D$4:$AG$150,0,MATCH(K$2,Inputs!$D$2:$AG$2,0)),Inputs!$B$4:$B$150,$B19)/1000)</f>
        <v>0</v>
      </c>
      <c r="L19" s="11">
        <f>IF(L$3=0,"",SUMIFS(INDEX(Inputs!$D$4:$AG$150,0,MATCH(L$2,Inputs!$D$2:$AG$2,0)),Inputs!$B$4:$B$150,$B19)/1000)</f>
        <v>0</v>
      </c>
      <c r="M19" s="12">
        <f>IF(L19="","",L19)</f>
        <v>0</v>
      </c>
      <c r="N19" s="11">
        <f>IF(N$3=0,"",SUMIFS(INDEX(Inputs!$D$4:$AG$150,0,MATCH(N$2,Inputs!$D$2:$AG$2,0)),Inputs!$B$4:$B$150,$B19)/1000)</f>
        <v>0</v>
      </c>
      <c r="O19" s="11">
        <f>IF(O$3=0,"",SUMIFS(INDEX(Inputs!$D$4:$AG$150,0,MATCH(O$2,Inputs!$D$2:$AG$2,0)),Inputs!$B$4:$B$150,$B19)/1000)</f>
        <v>0</v>
      </c>
      <c r="P19" s="11">
        <f>IF(P$3=0,"",SUMIFS(INDEX(Inputs!$D$4:$AG$150,0,MATCH(P$2,Inputs!$D$2:$AG$2,0)),Inputs!$B$4:$B$150,$B19)/1000)</f>
        <v>0</v>
      </c>
      <c r="Q19" s="11">
        <f>IF(Q$3=0,"",SUMIFS(INDEX(Inputs!$D$4:$AG$150,0,MATCH(Q$2,Inputs!$D$2:$AG$2,0)),Inputs!$B$4:$B$150,$B19)/1000)</f>
        <v>0</v>
      </c>
      <c r="R19" s="12">
        <f>IF(Q19="","",Q19)</f>
        <v>0</v>
      </c>
      <c r="S19" s="11">
        <f>IF(S$3=0,"",SUMIFS(INDEX(Inputs!$D$4:$AG$150,0,MATCH(S$2,Inputs!$D$2:$AG$2,0)),Inputs!$B$4:$B$150,$B19)/1000)</f>
        <v>0</v>
      </c>
      <c r="T19" s="11">
        <f>IF(T$3=0,"",SUMIFS(INDEX(Inputs!$D$4:$AG$150,0,MATCH(T$2,Inputs!$D$2:$AG$2,0)),Inputs!$B$4:$B$150,$B19)/1000)</f>
        <v>0</v>
      </c>
      <c r="U19" s="11">
        <f>IF(U$3=0,"",SUMIFS(INDEX(Inputs!$D$4:$AG$150,0,MATCH(U$2,Inputs!$D$2:$AG$2,0)),Inputs!$B$4:$B$150,$B19)/1000)</f>
        <v>0</v>
      </c>
      <c r="V19" s="11">
        <f>IF(V$3=0,"",SUMIFS(INDEX(Inputs!$D$4:$AG$150,0,MATCH(V$2,Inputs!$D$2:$AG$2,0)),Inputs!$B$4:$B$150,$B19)/1000)</f>
        <v>0</v>
      </c>
      <c r="W19" s="12">
        <f>IF(V19="","",V19)</f>
        <v>0</v>
      </c>
      <c r="X19" s="11">
        <f>IF(X$3=0,"",SUMIFS(INDEX(Inputs!$D$4:$AG$150,0,MATCH(X$2,Inputs!$D$2:$AG$2,0)),Inputs!$B$4:$B$150,$B19)/1000)</f>
        <v>0</v>
      </c>
      <c r="Y19" s="11">
        <f>IF(Y$3=0,"",SUMIFS(INDEX(Inputs!$D$4:$AG$150,0,MATCH(Y$2,Inputs!$D$2:$AG$2,0)),Inputs!$B$4:$B$150,$B19)/1000)</f>
        <v>0</v>
      </c>
      <c r="Z19" s="11">
        <f>IF(Z$3=0,"",SUMIFS(INDEX(Inputs!$D$4:$AG$150,0,MATCH(Z$2,Inputs!$D$2:$AG$2,0)),Inputs!$B$4:$B$150,$B19)/1000)</f>
        <v>0</v>
      </c>
      <c r="AA19" s="11">
        <f>IF(AA$3=0,"",SUMIFS(INDEX(Inputs!$D$4:$AG$150,0,MATCH(AA$2,Inputs!$D$2:$AG$2,0)),Inputs!$B$4:$B$150,$B19)/1000)</f>
        <v>0</v>
      </c>
      <c r="AB19" s="12">
        <f>IF(AA19="","",AA19)</f>
        <v>0</v>
      </c>
      <c r="AC19" s="11">
        <f>IF(AC$3=0,"",SUMIFS(INDEX(Inputs!$D$4:$AG$150,0,MATCH(AC$2,Inputs!$D$2:$AG$2,0)),Inputs!$B$4:$B$150,$B19)/1000)</f>
        <v>0</v>
      </c>
      <c r="AD19" s="11">
        <f>IF(AD$3=0,"",SUMIFS(INDEX(Inputs!$D$4:$AG$150,0,MATCH(AD$2,Inputs!$D$2:$AG$2,0)),Inputs!$B$4:$B$150,$B19)/1000)</f>
        <v>0</v>
      </c>
      <c r="AE19" s="11" t="str">
        <f>IF(AE$3=0,"",SUMIFS(INDEX(Inputs!$D$4:$AG$150,0,MATCH(AE$2,Inputs!$D$2:$AG$2,0)),Inputs!$B$4:$B$150,$B19)/1000)</f>
        <v/>
      </c>
      <c r="AF19" s="11" t="str">
        <f>IF(AF$3=0,"",SUMIFS(INDEX(Inputs!$D$4:$AG$150,0,MATCH(AF$2,Inputs!$D$2:$AG$2,0)),Inputs!$B$4:$B$150,$B19)/1000)</f>
        <v/>
      </c>
      <c r="AG19" s="12" t="str">
        <f>IF(AF19="","",AF19)</f>
        <v/>
      </c>
    </row>
    <row r="20">
      <c r="B20" s="9" t="n">
        <v>16</v>
      </c>
      <c r="C20" s="14" t="inlineStr">
        <is>
          <t>Other current assets</t>
        </is>
      </c>
      <c r="D20" s="11">
        <f>IF(D$3=0,"",SUMIFS(INDEX(Inputs!$D$4:$AG$150,0,MATCH(D$2,Inputs!$D$2:$AG$2,0)),Inputs!$B$4:$B$150,$B20)/1000)</f>
        <v>0</v>
      </c>
      <c r="E20" s="11">
        <f>IF(E$3=0,"",SUMIFS(INDEX(Inputs!$D$4:$AG$150,0,MATCH(E$2,Inputs!$D$2:$AG$2,0)),Inputs!$B$4:$B$150,$B20)/1000)</f>
        <v>0</v>
      </c>
      <c r="F20" s="11">
        <f>IF(F$3=0,"",SUMIFS(INDEX(Inputs!$D$4:$AG$150,0,MATCH(F$2,Inputs!$D$2:$AG$2,0)),Inputs!$B$4:$B$150,$B20)/1000)</f>
        <v>0</v>
      </c>
      <c r="G20" s="11">
        <f>IF(G$3=0,"",SUMIFS(INDEX(Inputs!$D$4:$AG$150,0,MATCH(G$2,Inputs!$D$2:$AG$2,0)),Inputs!$B$4:$B$150,$B20)/1000)</f>
        <v>5232</v>
      </c>
      <c r="H20" s="12">
        <f>IF(G20="","",G20)</f>
        <v>5232</v>
      </c>
      <c r="I20" s="11">
        <f>IF(I$3=0,"",SUMIFS(INDEX(Inputs!$D$4:$AG$150,0,MATCH(I$2,Inputs!$D$2:$AG$2,0)),Inputs!$B$4:$B$150,$B20)/1000)</f>
        <v>3530</v>
      </c>
      <c r="J20" s="11">
        <f>IF(J$3=0,"",SUMIFS(INDEX(Inputs!$D$4:$AG$150,0,MATCH(J$2,Inputs!$D$2:$AG$2,0)),Inputs!$B$4:$B$150,$B20)/1000)</f>
        <v>4624</v>
      </c>
      <c r="K20" s="11">
        <f>IF(K$3=0,"",SUMIFS(INDEX(Inputs!$D$4:$AG$150,0,MATCH(K$2,Inputs!$D$2:$AG$2,0)),Inputs!$B$4:$B$150,$B20)/1000)</f>
        <v>5539</v>
      </c>
      <c r="L20" s="11">
        <f>IF(L$3=0,"",SUMIFS(INDEX(Inputs!$D$4:$AG$150,0,MATCH(L$2,Inputs!$D$2:$AG$2,0)),Inputs!$B$4:$B$150,$B20)/1000)</f>
        <v>5825</v>
      </c>
      <c r="M20" s="12">
        <f>IF(L20="","",L20)</f>
        <v>5825</v>
      </c>
      <c r="N20" s="11">
        <f>IF(N$3=0,"",SUMIFS(INDEX(Inputs!$D$4:$AG$150,0,MATCH(N$2,Inputs!$D$2:$AG$2,0)),Inputs!$B$4:$B$150,$B20)/1000)</f>
        <v>5388</v>
      </c>
      <c r="O20" s="11">
        <f>IF(O$3=0,"",SUMIFS(INDEX(Inputs!$D$4:$AG$150,0,MATCH(O$2,Inputs!$D$2:$AG$2,0)),Inputs!$B$4:$B$150,$B20)/1000)</f>
        <v>5675</v>
      </c>
      <c r="P20" s="11">
        <f>IF(P$3=0,"",SUMIFS(INDEX(Inputs!$D$4:$AG$150,0,MATCH(P$2,Inputs!$D$2:$AG$2,0)),Inputs!$B$4:$B$150,$B20)/1000)</f>
        <v>4495</v>
      </c>
      <c r="Q20" s="11">
        <f>IF(Q$3=0,"",SUMIFS(INDEX(Inputs!$D$4:$AG$150,0,MATCH(Q$2,Inputs!$D$2:$AG$2,0)),Inputs!$B$4:$B$150,$B20)/1000)</f>
        <v>5543</v>
      </c>
      <c r="R20" s="12">
        <f>IF(Q20="","",Q20)</f>
        <v>5543</v>
      </c>
      <c r="S20" s="11">
        <f>IF(S$3=0,"",SUMIFS(INDEX(Inputs!$D$4:$AG$150,0,MATCH(S$2,Inputs!$D$2:$AG$2,0)),Inputs!$B$4:$B$150,$B20)/1000)</f>
        <v>5398</v>
      </c>
      <c r="T20" s="11">
        <f>IF(T$3=0,"",SUMIFS(INDEX(Inputs!$D$4:$AG$150,0,MATCH(T$2,Inputs!$D$2:$AG$2,0)),Inputs!$B$4:$B$150,$B20)/1000)</f>
        <v>5580</v>
      </c>
      <c r="U20" s="11">
        <f>IF(U$3=0,"",SUMIFS(INDEX(Inputs!$D$4:$AG$150,0,MATCH(U$2,Inputs!$D$2:$AG$2,0)),Inputs!$B$4:$B$150,$B20)/1000)</f>
        <v>4387</v>
      </c>
      <c r="V20" s="11">
        <f>IF(V$3=0,"",SUMIFS(INDEX(Inputs!$D$4:$AG$150,0,MATCH(V$2,Inputs!$D$2:$AG$2,0)),Inputs!$B$4:$B$150,$B20)/1000)</f>
        <v>1509</v>
      </c>
      <c r="W20" s="12">
        <f>IF(V20="","",V20)</f>
        <v>1509</v>
      </c>
      <c r="X20" s="11">
        <f>IF(X$3=0,"",SUMIFS(INDEX(Inputs!$D$4:$AG$150,0,MATCH(X$2,Inputs!$D$2:$AG$2,0)),Inputs!$B$4:$B$150,$B20)/1000)</f>
        <v>2650</v>
      </c>
      <c r="Y20" s="11">
        <f>IF(Y$3=0,"",SUMIFS(INDEX(Inputs!$D$4:$AG$150,0,MATCH(Y$2,Inputs!$D$2:$AG$2,0)),Inputs!$B$4:$B$150,$B20)/1000)</f>
        <v>2250</v>
      </c>
      <c r="Z20" s="11">
        <f>IF(Z$3=0,"",SUMIFS(INDEX(Inputs!$D$4:$AG$150,0,MATCH(Z$2,Inputs!$D$2:$AG$2,0)),Inputs!$B$4:$B$150,$B20)/1000)</f>
        <v>431</v>
      </c>
      <c r="AA20" s="11">
        <f>IF(AA$3=0,"",SUMIFS(INDEX(Inputs!$D$4:$AG$150,0,MATCH(AA$2,Inputs!$D$2:$AG$2,0)),Inputs!$B$4:$B$150,$B20)/1000)</f>
        <v>-1272</v>
      </c>
      <c r="AB20" s="12">
        <f>IF(AA20="","",AA20)</f>
        <v>-1272</v>
      </c>
      <c r="AC20" s="11">
        <f>IF(AC$3=0,"",SUMIFS(INDEX(Inputs!$D$4:$AG$150,0,MATCH(AC$2,Inputs!$D$2:$AG$2,0)),Inputs!$B$4:$B$150,$B20)/1000)</f>
        <v>9042</v>
      </c>
      <c r="AD20" s="11">
        <f>IF(AD$3=0,"",SUMIFS(INDEX(Inputs!$D$4:$AG$150,0,MATCH(AD$2,Inputs!$D$2:$AG$2,0)),Inputs!$B$4:$B$150,$B20)/1000)</f>
        <v>9162</v>
      </c>
      <c r="AE20" s="11" t="str">
        <f>IF(AE$3=0,"",SUMIFS(INDEX(Inputs!$D$4:$AG$150,0,MATCH(AE$2,Inputs!$D$2:$AG$2,0)),Inputs!$B$4:$B$150,$B20)/1000)</f>
        <v/>
      </c>
      <c r="AF20" s="11" t="str">
        <f>IF(AF$3=0,"",SUMIFS(INDEX(Inputs!$D$4:$AG$150,0,MATCH(AF$2,Inputs!$D$2:$AG$2,0)),Inputs!$B$4:$B$150,$B20)/1000)</f>
        <v/>
      </c>
      <c r="AG20" s="12" t="str">
        <f>IF(AF20="","",AF20)</f>
        <v/>
      </c>
    </row>
    <row r="21">
      <c r="B21" s="9" t="n">
        <v>17</v>
      </c>
      <c r="C21" s="14" t="inlineStr">
        <is>
          <t>Equity in affiliates</t>
        </is>
      </c>
      <c r="D21" s="11">
        <f>IF(D$3=0,"",SUMIFS(INDEX(Inputs!$D$4:$AG$150,0,MATCH(D$2,Inputs!$D$2:$AG$2,0)),Inputs!$B$4:$B$150,$B21)/1000)</f>
        <v>0</v>
      </c>
      <c r="E21" s="11">
        <f>IF(E$3=0,"",SUMIFS(INDEX(Inputs!$D$4:$AG$150,0,MATCH(E$2,Inputs!$D$2:$AG$2,0)),Inputs!$B$4:$B$150,$B21)/1000)</f>
        <v>0</v>
      </c>
      <c r="F21" s="11">
        <f>IF(F$3=0,"",SUMIFS(INDEX(Inputs!$D$4:$AG$150,0,MATCH(F$2,Inputs!$D$2:$AG$2,0)),Inputs!$B$4:$B$150,$B21)/1000)</f>
        <v>0</v>
      </c>
      <c r="G21" s="11">
        <f>IF(G$3=0,"",SUMIFS(INDEX(Inputs!$D$4:$AG$150,0,MATCH(G$2,Inputs!$D$2:$AG$2,0)),Inputs!$B$4:$B$150,$B21)/1000)</f>
        <v>0</v>
      </c>
      <c r="H21" s="12">
        <f>IF(G21="","",G21)</f>
        <v>0</v>
      </c>
      <c r="I21" s="11">
        <f>IF(I$3=0,"",SUMIFS(INDEX(Inputs!$D$4:$AG$150,0,MATCH(I$2,Inputs!$D$2:$AG$2,0)),Inputs!$B$4:$B$150,$B21)/1000)</f>
        <v>0</v>
      </c>
      <c r="J21" s="11">
        <f>IF(J$3=0,"",SUMIFS(INDEX(Inputs!$D$4:$AG$150,0,MATCH(J$2,Inputs!$D$2:$AG$2,0)),Inputs!$B$4:$B$150,$B21)/1000)</f>
        <v>0</v>
      </c>
      <c r="K21" s="11">
        <f>IF(K$3=0,"",SUMIFS(INDEX(Inputs!$D$4:$AG$150,0,MATCH(K$2,Inputs!$D$2:$AG$2,0)),Inputs!$B$4:$B$150,$B21)/1000)</f>
        <v>0</v>
      </c>
      <c r="L21" s="11">
        <f>IF(L$3=0,"",SUMIFS(INDEX(Inputs!$D$4:$AG$150,0,MATCH(L$2,Inputs!$D$2:$AG$2,0)),Inputs!$B$4:$B$150,$B21)/1000)</f>
        <v>0</v>
      </c>
      <c r="M21" s="12">
        <f>IF(L21="","",L21)</f>
        <v>0</v>
      </c>
      <c r="N21" s="11">
        <f>IF(N$3=0,"",SUMIFS(INDEX(Inputs!$D$4:$AG$150,0,MATCH(N$2,Inputs!$D$2:$AG$2,0)),Inputs!$B$4:$B$150,$B21)/1000)</f>
        <v>0</v>
      </c>
      <c r="O21" s="11">
        <f>IF(O$3=0,"",SUMIFS(INDEX(Inputs!$D$4:$AG$150,0,MATCH(O$2,Inputs!$D$2:$AG$2,0)),Inputs!$B$4:$B$150,$B21)/1000)</f>
        <v>0</v>
      </c>
      <c r="P21" s="11">
        <f>IF(P$3=0,"",SUMIFS(INDEX(Inputs!$D$4:$AG$150,0,MATCH(P$2,Inputs!$D$2:$AG$2,0)),Inputs!$B$4:$B$150,$B21)/1000)</f>
        <v>0</v>
      </c>
      <c r="Q21" s="11">
        <f>IF(Q$3=0,"",SUMIFS(INDEX(Inputs!$D$4:$AG$150,0,MATCH(Q$2,Inputs!$D$2:$AG$2,0)),Inputs!$B$4:$B$150,$B21)/1000)</f>
        <v>0</v>
      </c>
      <c r="R21" s="12">
        <f>IF(Q21="","",Q21)</f>
        <v>0</v>
      </c>
      <c r="S21" s="11">
        <f>IF(S$3=0,"",SUMIFS(INDEX(Inputs!$D$4:$AG$150,0,MATCH(S$2,Inputs!$D$2:$AG$2,0)),Inputs!$B$4:$B$150,$B21)/1000)</f>
        <v>0</v>
      </c>
      <c r="T21" s="11">
        <f>IF(T$3=0,"",SUMIFS(INDEX(Inputs!$D$4:$AG$150,0,MATCH(T$2,Inputs!$D$2:$AG$2,0)),Inputs!$B$4:$B$150,$B21)/1000)</f>
        <v>0</v>
      </c>
      <c r="U21" s="11">
        <f>IF(U$3=0,"",SUMIFS(INDEX(Inputs!$D$4:$AG$150,0,MATCH(U$2,Inputs!$D$2:$AG$2,0)),Inputs!$B$4:$B$150,$B21)/1000)</f>
        <v>0</v>
      </c>
      <c r="V21" s="11">
        <f>IF(V$3=0,"",SUMIFS(INDEX(Inputs!$D$4:$AG$150,0,MATCH(V$2,Inputs!$D$2:$AG$2,0)),Inputs!$B$4:$B$150,$B21)/1000)</f>
        <v>0</v>
      </c>
      <c r="W21" s="12">
        <f>IF(V21="","",V21)</f>
        <v>0</v>
      </c>
      <c r="X21" s="11">
        <f>IF(X$3=0,"",SUMIFS(INDEX(Inputs!$D$4:$AG$150,0,MATCH(X$2,Inputs!$D$2:$AG$2,0)),Inputs!$B$4:$B$150,$B21)/1000)</f>
        <v>0</v>
      </c>
      <c r="Y21" s="11">
        <f>IF(Y$3=0,"",SUMIFS(INDEX(Inputs!$D$4:$AG$150,0,MATCH(Y$2,Inputs!$D$2:$AG$2,0)),Inputs!$B$4:$B$150,$B21)/1000)</f>
        <v>0</v>
      </c>
      <c r="Z21" s="11">
        <f>IF(Z$3=0,"",SUMIFS(INDEX(Inputs!$D$4:$AG$150,0,MATCH(Z$2,Inputs!$D$2:$AG$2,0)),Inputs!$B$4:$B$150,$B21)/1000)</f>
        <v>0</v>
      </c>
      <c r="AA21" s="11">
        <f>IF(AA$3=0,"",SUMIFS(INDEX(Inputs!$D$4:$AG$150,0,MATCH(AA$2,Inputs!$D$2:$AG$2,0)),Inputs!$B$4:$B$150,$B21)/1000)</f>
        <v>0</v>
      </c>
      <c r="AB21" s="12">
        <f>IF(AA21="","",AA21)</f>
        <v>0</v>
      </c>
      <c r="AC21" s="11">
        <f>IF(AC$3=0,"",SUMIFS(INDEX(Inputs!$D$4:$AG$150,0,MATCH(AC$2,Inputs!$D$2:$AG$2,0)),Inputs!$B$4:$B$150,$B21)/1000)</f>
        <v>0</v>
      </c>
      <c r="AD21" s="11">
        <f>IF(AD$3=0,"",SUMIFS(INDEX(Inputs!$D$4:$AG$150,0,MATCH(AD$2,Inputs!$D$2:$AG$2,0)),Inputs!$B$4:$B$150,$B21)/1000)</f>
        <v>0</v>
      </c>
      <c r="AE21" s="11" t="str">
        <f>IF(AE$3=0,"",SUMIFS(INDEX(Inputs!$D$4:$AG$150,0,MATCH(AE$2,Inputs!$D$2:$AG$2,0)),Inputs!$B$4:$B$150,$B21)/1000)</f>
        <v/>
      </c>
      <c r="AF21" s="11" t="str">
        <f>IF(AF$3=0,"",SUMIFS(INDEX(Inputs!$D$4:$AG$150,0,MATCH(AF$2,Inputs!$D$2:$AG$2,0)),Inputs!$B$4:$B$150,$B21)/1000)</f>
        <v/>
      </c>
      <c r="AG21" s="12" t="str">
        <f>IF(AF21="","",AF21)</f>
        <v/>
      </c>
    </row>
    <row r="22">
      <c r="B22" s="9" t="n">
        <v>18</v>
      </c>
      <c r="C22" s="14" t="inlineStr">
        <is>
          <t>PP&amp;E</t>
        </is>
      </c>
      <c r="D22" s="11">
        <f>IF(D$3=0,"",SUMIFS(INDEX(Inputs!$D$4:$AG$150,0,MATCH(D$2,Inputs!$D$2:$AG$2,0)),Inputs!$B$4:$B$150,$B22)/1000)</f>
        <v>0</v>
      </c>
      <c r="E22" s="11">
        <f>IF(E$3=0,"",SUMIFS(INDEX(Inputs!$D$4:$AG$150,0,MATCH(E$2,Inputs!$D$2:$AG$2,0)),Inputs!$B$4:$B$150,$B22)/1000)</f>
        <v>0</v>
      </c>
      <c r="F22" s="11">
        <f>IF(F$3=0,"",SUMIFS(INDEX(Inputs!$D$4:$AG$150,0,MATCH(F$2,Inputs!$D$2:$AG$2,0)),Inputs!$B$4:$B$150,$B22)/1000)</f>
        <v>0</v>
      </c>
      <c r="G22" s="11">
        <f>IF(G$3=0,"",SUMIFS(INDEX(Inputs!$D$4:$AG$150,0,MATCH(G$2,Inputs!$D$2:$AG$2,0)),Inputs!$B$4:$B$150,$B22)/1000)</f>
        <v>19612</v>
      </c>
      <c r="H22" s="12">
        <f>IF(G22="","",G22)</f>
        <v>19612</v>
      </c>
      <c r="I22" s="11">
        <f>IF(I$3=0,"",SUMIFS(INDEX(Inputs!$D$4:$AG$150,0,MATCH(I$2,Inputs!$D$2:$AG$2,0)),Inputs!$B$4:$B$150,$B22)/1000)</f>
        <v>19837</v>
      </c>
      <c r="J22" s="11">
        <f>IF(J$3=0,"",SUMIFS(INDEX(Inputs!$D$4:$AG$150,0,MATCH(J$2,Inputs!$D$2:$AG$2,0)),Inputs!$B$4:$B$150,$B22)/1000)</f>
        <v>19739</v>
      </c>
      <c r="K22" s="11">
        <f>IF(K$3=0,"",SUMIFS(INDEX(Inputs!$D$4:$AG$150,0,MATCH(K$2,Inputs!$D$2:$AG$2,0)),Inputs!$B$4:$B$150,$B22)/1000)</f>
        <v>19705</v>
      </c>
      <c r="L22" s="11">
        <f>IF(L$3=0,"",SUMIFS(INDEX(Inputs!$D$4:$AG$150,0,MATCH(L$2,Inputs!$D$2:$AG$2,0)),Inputs!$B$4:$B$150,$B22)/1000)</f>
        <v>19822</v>
      </c>
      <c r="M22" s="12">
        <f>IF(L22="","",L22)</f>
        <v>19822</v>
      </c>
      <c r="N22" s="11">
        <f>IF(N$3=0,"",SUMIFS(INDEX(Inputs!$D$4:$AG$150,0,MATCH(N$2,Inputs!$D$2:$AG$2,0)),Inputs!$B$4:$B$150,$B22)/1000)</f>
        <v>20074</v>
      </c>
      <c r="O22" s="11">
        <f>IF(O$3=0,"",SUMIFS(INDEX(Inputs!$D$4:$AG$150,0,MATCH(O$2,Inputs!$D$2:$AG$2,0)),Inputs!$B$4:$B$150,$B22)/1000)</f>
        <v>20239</v>
      </c>
      <c r="P22" s="11">
        <f>IF(P$3=0,"",SUMIFS(INDEX(Inputs!$D$4:$AG$150,0,MATCH(P$2,Inputs!$D$2:$AG$2,0)),Inputs!$B$4:$B$150,$B22)/1000)</f>
        <v>20849</v>
      </c>
      <c r="Q22" s="11">
        <f>IF(Q$3=0,"",SUMIFS(INDEX(Inputs!$D$4:$AG$150,0,MATCH(Q$2,Inputs!$D$2:$AG$2,0)),Inputs!$B$4:$B$150,$B22)/1000)</f>
        <v>22116</v>
      </c>
      <c r="R22" s="12">
        <f>IF(Q22="","",Q22)</f>
        <v>22116</v>
      </c>
      <c r="S22" s="11">
        <f>IF(S$3=0,"",SUMIFS(INDEX(Inputs!$D$4:$AG$150,0,MATCH(S$2,Inputs!$D$2:$AG$2,0)),Inputs!$B$4:$B$150,$B22)/1000)</f>
        <v>22446</v>
      </c>
      <c r="T22" s="11">
        <f>IF(T$3=0,"",SUMIFS(INDEX(Inputs!$D$4:$AG$150,0,MATCH(T$2,Inputs!$D$2:$AG$2,0)),Inputs!$B$4:$B$150,$B22)/1000)</f>
        <v>21973</v>
      </c>
      <c r="U22" s="11">
        <f>IF(U$3=0,"",SUMIFS(INDEX(Inputs!$D$4:$AG$150,0,MATCH(U$2,Inputs!$D$2:$AG$2,0)),Inputs!$B$4:$B$150,$B22)/1000)</f>
        <v>20892</v>
      </c>
      <c r="V22" s="11">
        <f>IF(V$3=0,"",SUMIFS(INDEX(Inputs!$D$4:$AG$150,0,MATCH(V$2,Inputs!$D$2:$AG$2,0)),Inputs!$B$4:$B$150,$B22)/1000)</f>
        <v>21235</v>
      </c>
      <c r="W22" s="12">
        <f>IF(V22="","",V22)</f>
        <v>21235</v>
      </c>
      <c r="X22" s="11">
        <f>IF(X$3=0,"",SUMIFS(INDEX(Inputs!$D$4:$AG$150,0,MATCH(X$2,Inputs!$D$2:$AG$2,0)),Inputs!$B$4:$B$150,$B22)/1000)</f>
        <v>21566</v>
      </c>
      <c r="Y22" s="11">
        <f>IF(Y$3=0,"",SUMIFS(INDEX(Inputs!$D$4:$AG$150,0,MATCH(Y$2,Inputs!$D$2:$AG$2,0)),Inputs!$B$4:$B$150,$B22)/1000)</f>
        <v>21820</v>
      </c>
      <c r="Z22" s="11">
        <f>IF(Z$3=0,"",SUMIFS(INDEX(Inputs!$D$4:$AG$150,0,MATCH(Z$2,Inputs!$D$2:$AG$2,0)),Inputs!$B$4:$B$150,$B22)/1000)</f>
        <v>21990</v>
      </c>
      <c r="AA22" s="11">
        <f>IF(AA$3=0,"",SUMIFS(INDEX(Inputs!$D$4:$AG$150,0,MATCH(AA$2,Inputs!$D$2:$AG$2,0)),Inputs!$B$4:$B$150,$B22)/1000)</f>
        <v>22474</v>
      </c>
      <c r="AB22" s="12">
        <f>IF(AA22="","",AA22)</f>
        <v>22474</v>
      </c>
      <c r="AC22" s="11">
        <f>IF(AC$3=0,"",SUMIFS(INDEX(Inputs!$D$4:$AG$150,0,MATCH(AC$2,Inputs!$D$2:$AG$2,0)),Inputs!$B$4:$B$150,$B22)/1000)</f>
        <v>40769</v>
      </c>
      <c r="AD22" s="11">
        <f>IF(AD$3=0,"",SUMIFS(INDEX(Inputs!$D$4:$AG$150,0,MATCH(AD$2,Inputs!$D$2:$AG$2,0)),Inputs!$B$4:$B$150,$B22)/1000)</f>
        <v>41228</v>
      </c>
      <c r="AE22" s="11" t="str">
        <f>IF(AE$3=0,"",SUMIFS(INDEX(Inputs!$D$4:$AG$150,0,MATCH(AE$2,Inputs!$D$2:$AG$2,0)),Inputs!$B$4:$B$150,$B22)/1000)</f>
        <v/>
      </c>
      <c r="AF22" s="11" t="str">
        <f>IF(AF$3=0,"",SUMIFS(INDEX(Inputs!$D$4:$AG$150,0,MATCH(AF$2,Inputs!$D$2:$AG$2,0)),Inputs!$B$4:$B$150,$B22)/1000)</f>
        <v/>
      </c>
      <c r="AG22" s="12" t="str">
        <f>IF(AF22="","",AF22)</f>
        <v/>
      </c>
    </row>
    <row r="23">
      <c r="B23" s="9" t="n">
        <v>19</v>
      </c>
      <c r="C23" s="14" t="inlineStr">
        <is>
          <t>Right-of-use-assets</t>
        </is>
      </c>
      <c r="D23" s="11">
        <f>IF(D$3=0,"",SUMIFS(INDEX(Inputs!$D$4:$AG$150,0,MATCH(D$2,Inputs!$D$2:$AG$2,0)),Inputs!$B$4:$B$150,$B23)/1000)</f>
        <v>0</v>
      </c>
      <c r="E23" s="11">
        <f>IF(E$3=0,"",SUMIFS(INDEX(Inputs!$D$4:$AG$150,0,MATCH(E$2,Inputs!$D$2:$AG$2,0)),Inputs!$B$4:$B$150,$B23)/1000)</f>
        <v>0</v>
      </c>
      <c r="F23" s="11">
        <f>IF(F$3=0,"",SUMIFS(INDEX(Inputs!$D$4:$AG$150,0,MATCH(F$2,Inputs!$D$2:$AG$2,0)),Inputs!$B$4:$B$150,$B23)/1000)</f>
        <v>0</v>
      </c>
      <c r="G23" s="11">
        <f>IF(G$3=0,"",SUMIFS(INDEX(Inputs!$D$4:$AG$150,0,MATCH(G$2,Inputs!$D$2:$AG$2,0)),Inputs!$B$4:$B$150,$B23)/1000)</f>
        <v>0</v>
      </c>
      <c r="H23" s="12">
        <f>IF(G23="","",G23)</f>
        <v>0</v>
      </c>
      <c r="I23" s="11">
        <f>IF(I$3=0,"",SUMIFS(INDEX(Inputs!$D$4:$AG$150,0,MATCH(I$2,Inputs!$D$2:$AG$2,0)),Inputs!$B$4:$B$150,$B23)/1000)</f>
        <v>0</v>
      </c>
      <c r="J23" s="11">
        <f>IF(J$3=0,"",SUMIFS(INDEX(Inputs!$D$4:$AG$150,0,MATCH(J$2,Inputs!$D$2:$AG$2,0)),Inputs!$B$4:$B$150,$B23)/1000)</f>
        <v>0</v>
      </c>
      <c r="K23" s="11">
        <f>IF(K$3=0,"",SUMIFS(INDEX(Inputs!$D$4:$AG$150,0,MATCH(K$2,Inputs!$D$2:$AG$2,0)),Inputs!$B$4:$B$150,$B23)/1000)</f>
        <v>0</v>
      </c>
      <c r="L23" s="11">
        <f>IF(L$3=0,"",SUMIFS(INDEX(Inputs!$D$4:$AG$150,0,MATCH(L$2,Inputs!$D$2:$AG$2,0)),Inputs!$B$4:$B$150,$B23)/1000)</f>
        <v>0</v>
      </c>
      <c r="M23" s="12">
        <f>IF(L23="","",L23)</f>
        <v>0</v>
      </c>
      <c r="N23" s="11">
        <f>IF(N$3=0,"",SUMIFS(INDEX(Inputs!$D$4:$AG$150,0,MATCH(N$2,Inputs!$D$2:$AG$2,0)),Inputs!$B$4:$B$150,$B23)/1000)</f>
        <v>0</v>
      </c>
      <c r="O23" s="11">
        <f>IF(O$3=0,"",SUMIFS(INDEX(Inputs!$D$4:$AG$150,0,MATCH(O$2,Inputs!$D$2:$AG$2,0)),Inputs!$B$4:$B$150,$B23)/1000)</f>
        <v>0</v>
      </c>
      <c r="P23" s="11">
        <f>IF(P$3=0,"",SUMIFS(INDEX(Inputs!$D$4:$AG$150,0,MATCH(P$2,Inputs!$D$2:$AG$2,0)),Inputs!$B$4:$B$150,$B23)/1000)</f>
        <v>0</v>
      </c>
      <c r="Q23" s="11">
        <f>IF(Q$3=0,"",SUMIFS(INDEX(Inputs!$D$4:$AG$150,0,MATCH(Q$2,Inputs!$D$2:$AG$2,0)),Inputs!$B$4:$B$150,$B23)/1000)</f>
        <v>0</v>
      </c>
      <c r="R23" s="12">
        <f>IF(Q23="","",Q23)</f>
        <v>0</v>
      </c>
      <c r="S23" s="11">
        <f>IF(S$3=0,"",SUMIFS(INDEX(Inputs!$D$4:$AG$150,0,MATCH(S$2,Inputs!$D$2:$AG$2,0)),Inputs!$B$4:$B$150,$B23)/1000)</f>
        <v>0</v>
      </c>
      <c r="T23" s="11">
        <f>IF(T$3=0,"",SUMIFS(INDEX(Inputs!$D$4:$AG$150,0,MATCH(T$2,Inputs!$D$2:$AG$2,0)),Inputs!$B$4:$B$150,$B23)/1000)</f>
        <v>0</v>
      </c>
      <c r="U23" s="11">
        <f>IF(U$3=0,"",SUMIFS(INDEX(Inputs!$D$4:$AG$150,0,MATCH(U$2,Inputs!$D$2:$AG$2,0)),Inputs!$B$4:$B$150,$B23)/1000)</f>
        <v>0</v>
      </c>
      <c r="V23" s="11">
        <f>IF(V$3=0,"",SUMIFS(INDEX(Inputs!$D$4:$AG$150,0,MATCH(V$2,Inputs!$D$2:$AG$2,0)),Inputs!$B$4:$B$150,$B23)/1000)</f>
        <v>0</v>
      </c>
      <c r="W23" s="12">
        <f>IF(V23="","",V23)</f>
        <v>0</v>
      </c>
      <c r="X23" s="11">
        <f>IF(X$3=0,"",SUMIFS(INDEX(Inputs!$D$4:$AG$150,0,MATCH(X$2,Inputs!$D$2:$AG$2,0)),Inputs!$B$4:$B$150,$B23)/1000)</f>
        <v>0</v>
      </c>
      <c r="Y23" s="11">
        <f>IF(Y$3=0,"",SUMIFS(INDEX(Inputs!$D$4:$AG$150,0,MATCH(Y$2,Inputs!$D$2:$AG$2,0)),Inputs!$B$4:$B$150,$B23)/1000)</f>
        <v>0</v>
      </c>
      <c r="Z23" s="11">
        <f>IF(Z$3=0,"",SUMIFS(INDEX(Inputs!$D$4:$AG$150,0,MATCH(Z$2,Inputs!$D$2:$AG$2,0)),Inputs!$B$4:$B$150,$B23)/1000)</f>
        <v>0</v>
      </c>
      <c r="AA23" s="11">
        <f>IF(AA$3=0,"",SUMIFS(INDEX(Inputs!$D$4:$AG$150,0,MATCH(AA$2,Inputs!$D$2:$AG$2,0)),Inputs!$B$4:$B$150,$B23)/1000)</f>
        <v>0</v>
      </c>
      <c r="AB23" s="12">
        <f>IF(AA23="","",AA23)</f>
        <v>0</v>
      </c>
      <c r="AC23" s="11">
        <f>IF(AC$3=0,"",SUMIFS(INDEX(Inputs!$D$4:$AG$150,0,MATCH(AC$2,Inputs!$D$2:$AG$2,0)),Inputs!$B$4:$B$150,$B23)/1000)</f>
        <v>0</v>
      </c>
      <c r="AD23" s="11">
        <f>IF(AD$3=0,"",SUMIFS(INDEX(Inputs!$D$4:$AG$150,0,MATCH(AD$2,Inputs!$D$2:$AG$2,0)),Inputs!$B$4:$B$150,$B23)/1000)</f>
        <v>0</v>
      </c>
      <c r="AE23" s="11" t="str">
        <f>IF(AE$3=0,"",SUMIFS(INDEX(Inputs!$D$4:$AG$150,0,MATCH(AE$2,Inputs!$D$2:$AG$2,0)),Inputs!$B$4:$B$150,$B23)/1000)</f>
        <v/>
      </c>
      <c r="AF23" s="11" t="str">
        <f>IF(AF$3=0,"",SUMIFS(INDEX(Inputs!$D$4:$AG$150,0,MATCH(AF$2,Inputs!$D$2:$AG$2,0)),Inputs!$B$4:$B$150,$B23)/1000)</f>
        <v/>
      </c>
      <c r="AG23" s="12" t="str">
        <f>IF(AF23="","",AF23)</f>
        <v/>
      </c>
    </row>
    <row r="24">
      <c r="B24" s="9" t="n">
        <v>20</v>
      </c>
      <c r="C24" s="14" t="inlineStr">
        <is>
          <t>Goodwill</t>
        </is>
      </c>
      <c r="D24" s="11">
        <f>IF(D$3=0,"",SUMIFS(INDEX(Inputs!$D$4:$AG$150,0,MATCH(D$2,Inputs!$D$2:$AG$2,0)),Inputs!$B$4:$B$150,$B24)/1000)</f>
        <v>0</v>
      </c>
      <c r="E24" s="11">
        <f>IF(E$3=0,"",SUMIFS(INDEX(Inputs!$D$4:$AG$150,0,MATCH(E$2,Inputs!$D$2:$AG$2,0)),Inputs!$B$4:$B$150,$B24)/1000)</f>
        <v>0</v>
      </c>
      <c r="F24" s="11">
        <f>IF(F$3=0,"",SUMIFS(INDEX(Inputs!$D$4:$AG$150,0,MATCH(F$2,Inputs!$D$2:$AG$2,0)),Inputs!$B$4:$B$150,$B24)/1000)</f>
        <v>0</v>
      </c>
      <c r="G24" s="11">
        <f>IF(G$3=0,"",SUMIFS(INDEX(Inputs!$D$4:$AG$150,0,MATCH(G$2,Inputs!$D$2:$AG$2,0)),Inputs!$B$4:$B$150,$B24)/1000)</f>
        <v>0</v>
      </c>
      <c r="H24" s="12">
        <f>IF(G24="","",G24)</f>
        <v>0</v>
      </c>
      <c r="I24" s="11">
        <f>IF(I$3=0,"",SUMIFS(INDEX(Inputs!$D$4:$AG$150,0,MATCH(I$2,Inputs!$D$2:$AG$2,0)),Inputs!$B$4:$B$150,$B24)/1000)</f>
        <v>0</v>
      </c>
      <c r="J24" s="11">
        <f>IF(J$3=0,"",SUMIFS(INDEX(Inputs!$D$4:$AG$150,0,MATCH(J$2,Inputs!$D$2:$AG$2,0)),Inputs!$B$4:$B$150,$B24)/1000)</f>
        <v>0</v>
      </c>
      <c r="K24" s="11">
        <f>IF(K$3=0,"",SUMIFS(INDEX(Inputs!$D$4:$AG$150,0,MATCH(K$2,Inputs!$D$2:$AG$2,0)),Inputs!$B$4:$B$150,$B24)/1000)</f>
        <v>0</v>
      </c>
      <c r="L24" s="11">
        <f>IF(L$3=0,"",SUMIFS(INDEX(Inputs!$D$4:$AG$150,0,MATCH(L$2,Inputs!$D$2:$AG$2,0)),Inputs!$B$4:$B$150,$B24)/1000)</f>
        <v>0</v>
      </c>
      <c r="M24" s="12">
        <f>IF(L24="","",L24)</f>
        <v>0</v>
      </c>
      <c r="N24" s="11">
        <f>IF(N$3=0,"",SUMIFS(INDEX(Inputs!$D$4:$AG$150,0,MATCH(N$2,Inputs!$D$2:$AG$2,0)),Inputs!$B$4:$B$150,$B24)/1000)</f>
        <v>0</v>
      </c>
      <c r="O24" s="11">
        <f>IF(O$3=0,"",SUMIFS(INDEX(Inputs!$D$4:$AG$150,0,MATCH(O$2,Inputs!$D$2:$AG$2,0)),Inputs!$B$4:$B$150,$B24)/1000)</f>
        <v>0</v>
      </c>
      <c r="P24" s="11">
        <f>IF(P$3=0,"",SUMIFS(INDEX(Inputs!$D$4:$AG$150,0,MATCH(P$2,Inputs!$D$2:$AG$2,0)),Inputs!$B$4:$B$150,$B24)/1000)</f>
        <v>0</v>
      </c>
      <c r="Q24" s="11">
        <f>IF(Q$3=0,"",SUMIFS(INDEX(Inputs!$D$4:$AG$150,0,MATCH(Q$2,Inputs!$D$2:$AG$2,0)),Inputs!$B$4:$B$150,$B24)/1000)</f>
        <v>425</v>
      </c>
      <c r="R24" s="12">
        <f>IF(Q24="","",Q24)</f>
        <v>425</v>
      </c>
      <c r="S24" s="11">
        <f>IF(S$3=0,"",SUMIFS(INDEX(Inputs!$D$4:$AG$150,0,MATCH(S$2,Inputs!$D$2:$AG$2,0)),Inputs!$B$4:$B$150,$B24)/1000)</f>
        <v>425</v>
      </c>
      <c r="T24" s="11">
        <f>IF(T$3=0,"",SUMIFS(INDEX(Inputs!$D$4:$AG$150,0,MATCH(T$2,Inputs!$D$2:$AG$2,0)),Inputs!$B$4:$B$150,$B24)/1000)</f>
        <v>420</v>
      </c>
      <c r="U24" s="11">
        <f>IF(U$3=0,"",SUMIFS(INDEX(Inputs!$D$4:$AG$150,0,MATCH(U$2,Inputs!$D$2:$AG$2,0)),Inputs!$B$4:$B$150,$B24)/1000)</f>
        <v>420</v>
      </c>
      <c r="V24" s="11">
        <f>IF(V$3=0,"",SUMIFS(INDEX(Inputs!$D$4:$AG$150,0,MATCH(V$2,Inputs!$D$2:$AG$2,0)),Inputs!$B$4:$B$150,$B24)/1000)</f>
        <v>420</v>
      </c>
      <c r="W24" s="12">
        <f>IF(V24="","",V24)</f>
        <v>420</v>
      </c>
      <c r="X24" s="11">
        <f>IF(X$3=0,"",SUMIFS(INDEX(Inputs!$D$4:$AG$150,0,MATCH(X$2,Inputs!$D$2:$AG$2,0)),Inputs!$B$4:$B$150,$B24)/1000)</f>
        <v>420</v>
      </c>
      <c r="Y24" s="11">
        <f>IF(Y$3=0,"",SUMIFS(INDEX(Inputs!$D$4:$AG$150,0,MATCH(Y$2,Inputs!$D$2:$AG$2,0)),Inputs!$B$4:$B$150,$B24)/1000)</f>
        <v>420</v>
      </c>
      <c r="Z24" s="11">
        <f>IF(Z$3=0,"",SUMIFS(INDEX(Inputs!$D$4:$AG$150,0,MATCH(Z$2,Inputs!$D$2:$AG$2,0)),Inputs!$B$4:$B$150,$B24)/1000)</f>
        <v>420</v>
      </c>
      <c r="AA24" s="11">
        <f>IF(AA$3=0,"",SUMIFS(INDEX(Inputs!$D$4:$AG$150,0,MATCH(AA$2,Inputs!$D$2:$AG$2,0)),Inputs!$B$4:$B$150,$B24)/1000)</f>
        <v>420</v>
      </c>
      <c r="AB24" s="12">
        <f>IF(AA24="","",AA24)</f>
        <v>420</v>
      </c>
      <c r="AC24" s="11">
        <f>IF(AC$3=0,"",SUMIFS(INDEX(Inputs!$D$4:$AG$150,0,MATCH(AC$2,Inputs!$D$2:$AG$2,0)),Inputs!$B$4:$B$150,$B24)/1000)</f>
        <v>11527</v>
      </c>
      <c r="AD24" s="11">
        <f>IF(AD$3=0,"",SUMIFS(INDEX(Inputs!$D$4:$AG$150,0,MATCH(AD$2,Inputs!$D$2:$AG$2,0)),Inputs!$B$4:$B$150,$B24)/1000)</f>
        <v>11527</v>
      </c>
      <c r="AE24" s="11" t="str">
        <f>IF(AE$3=0,"",SUMIFS(INDEX(Inputs!$D$4:$AG$150,0,MATCH(AE$2,Inputs!$D$2:$AG$2,0)),Inputs!$B$4:$B$150,$B24)/1000)</f>
        <v/>
      </c>
      <c r="AF24" s="11" t="str">
        <f>IF(AF$3=0,"",SUMIFS(INDEX(Inputs!$D$4:$AG$150,0,MATCH(AF$2,Inputs!$D$2:$AG$2,0)),Inputs!$B$4:$B$150,$B24)/1000)</f>
        <v/>
      </c>
      <c r="AG24" s="12" t="str">
        <f>IF(AF24="","",AF24)</f>
        <v/>
      </c>
    </row>
    <row r="25">
      <c r="B25" s="9" t="n">
        <v>21</v>
      </c>
      <c r="C25" s="14" t="inlineStr">
        <is>
          <t>Intangibles</t>
        </is>
      </c>
      <c r="D25" s="11">
        <f>IF(D$3=0,"",SUMIFS(INDEX(Inputs!$D$4:$AG$150,0,MATCH(D$2,Inputs!$D$2:$AG$2,0)),Inputs!$B$4:$B$150,$B25)/1000)</f>
        <v>0</v>
      </c>
      <c r="E25" s="11">
        <f>IF(E$3=0,"",SUMIFS(INDEX(Inputs!$D$4:$AG$150,0,MATCH(E$2,Inputs!$D$2:$AG$2,0)),Inputs!$B$4:$B$150,$B25)/1000)</f>
        <v>0</v>
      </c>
      <c r="F25" s="11">
        <f>IF(F$3=0,"",SUMIFS(INDEX(Inputs!$D$4:$AG$150,0,MATCH(F$2,Inputs!$D$2:$AG$2,0)),Inputs!$B$4:$B$150,$B25)/1000)</f>
        <v>0</v>
      </c>
      <c r="G25" s="11">
        <f>IF(G$3=0,"",SUMIFS(INDEX(Inputs!$D$4:$AG$150,0,MATCH(G$2,Inputs!$D$2:$AG$2,0)),Inputs!$B$4:$B$150,$B25)/1000)</f>
        <v>0</v>
      </c>
      <c r="H25" s="12">
        <f>IF(G25="","",G25)</f>
        <v>0</v>
      </c>
      <c r="I25" s="11">
        <f>IF(I$3=0,"",SUMIFS(INDEX(Inputs!$D$4:$AG$150,0,MATCH(I$2,Inputs!$D$2:$AG$2,0)),Inputs!$B$4:$B$150,$B25)/1000)</f>
        <v>0</v>
      </c>
      <c r="J25" s="11">
        <f>IF(J$3=0,"",SUMIFS(INDEX(Inputs!$D$4:$AG$150,0,MATCH(J$2,Inputs!$D$2:$AG$2,0)),Inputs!$B$4:$B$150,$B25)/1000)</f>
        <v>0</v>
      </c>
      <c r="K25" s="11">
        <f>IF(K$3=0,"",SUMIFS(INDEX(Inputs!$D$4:$AG$150,0,MATCH(K$2,Inputs!$D$2:$AG$2,0)),Inputs!$B$4:$B$150,$B25)/1000)</f>
        <v>0</v>
      </c>
      <c r="L25" s="11">
        <f>IF(L$3=0,"",SUMIFS(INDEX(Inputs!$D$4:$AG$150,0,MATCH(L$2,Inputs!$D$2:$AG$2,0)),Inputs!$B$4:$B$150,$B25)/1000)</f>
        <v>0</v>
      </c>
      <c r="M25" s="12">
        <f>IF(L25="","",L25)</f>
        <v>0</v>
      </c>
      <c r="N25" s="11">
        <f>IF(N$3=0,"",SUMIFS(INDEX(Inputs!$D$4:$AG$150,0,MATCH(N$2,Inputs!$D$2:$AG$2,0)),Inputs!$B$4:$B$150,$B25)/1000)</f>
        <v>0</v>
      </c>
      <c r="O25" s="11">
        <f>IF(O$3=0,"",SUMIFS(INDEX(Inputs!$D$4:$AG$150,0,MATCH(O$2,Inputs!$D$2:$AG$2,0)),Inputs!$B$4:$B$150,$B25)/1000)</f>
        <v>0</v>
      </c>
      <c r="P25" s="11">
        <f>IF(P$3=0,"",SUMIFS(INDEX(Inputs!$D$4:$AG$150,0,MATCH(P$2,Inputs!$D$2:$AG$2,0)),Inputs!$B$4:$B$150,$B25)/1000)</f>
        <v>0</v>
      </c>
      <c r="Q25" s="11">
        <f>IF(Q$3=0,"",SUMIFS(INDEX(Inputs!$D$4:$AG$150,0,MATCH(Q$2,Inputs!$D$2:$AG$2,0)),Inputs!$B$4:$B$150,$B25)/1000)</f>
        <v>0</v>
      </c>
      <c r="R25" s="12">
        <f>IF(Q25="","",Q25)</f>
        <v>0</v>
      </c>
      <c r="S25" s="11">
        <f>IF(S$3=0,"",SUMIFS(INDEX(Inputs!$D$4:$AG$150,0,MATCH(S$2,Inputs!$D$2:$AG$2,0)),Inputs!$B$4:$B$150,$B25)/1000)</f>
        <v>0</v>
      </c>
      <c r="T25" s="11">
        <f>IF(T$3=0,"",SUMIFS(INDEX(Inputs!$D$4:$AG$150,0,MATCH(T$2,Inputs!$D$2:$AG$2,0)),Inputs!$B$4:$B$150,$B25)/1000)</f>
        <v>0</v>
      </c>
      <c r="U25" s="11">
        <f>IF(U$3=0,"",SUMIFS(INDEX(Inputs!$D$4:$AG$150,0,MATCH(U$2,Inputs!$D$2:$AG$2,0)),Inputs!$B$4:$B$150,$B25)/1000)</f>
        <v>0</v>
      </c>
      <c r="V25" s="11">
        <f>IF(V$3=0,"",SUMIFS(INDEX(Inputs!$D$4:$AG$150,0,MATCH(V$2,Inputs!$D$2:$AG$2,0)),Inputs!$B$4:$B$150,$B25)/1000)</f>
        <v>0</v>
      </c>
      <c r="W25" s="12">
        <f>IF(V25="","",V25)</f>
        <v>0</v>
      </c>
      <c r="X25" s="11">
        <f>IF(X$3=0,"",SUMIFS(INDEX(Inputs!$D$4:$AG$150,0,MATCH(X$2,Inputs!$D$2:$AG$2,0)),Inputs!$B$4:$B$150,$B25)/1000)</f>
        <v>0</v>
      </c>
      <c r="Y25" s="11">
        <f>IF(Y$3=0,"",SUMIFS(INDEX(Inputs!$D$4:$AG$150,0,MATCH(Y$2,Inputs!$D$2:$AG$2,0)),Inputs!$B$4:$B$150,$B25)/1000)</f>
        <v>0</v>
      </c>
      <c r="Z25" s="11">
        <f>IF(Z$3=0,"",SUMIFS(INDEX(Inputs!$D$4:$AG$150,0,MATCH(Z$2,Inputs!$D$2:$AG$2,0)),Inputs!$B$4:$B$150,$B25)/1000)</f>
        <v>0</v>
      </c>
      <c r="AA25" s="11">
        <f>IF(AA$3=0,"",SUMIFS(INDEX(Inputs!$D$4:$AG$150,0,MATCH(AA$2,Inputs!$D$2:$AG$2,0)),Inputs!$B$4:$B$150,$B25)/1000)</f>
        <v>0</v>
      </c>
      <c r="AB25" s="12">
        <f>IF(AA25="","",AA25)</f>
        <v>0</v>
      </c>
      <c r="AC25" s="11">
        <f>IF(AC$3=0,"",SUMIFS(INDEX(Inputs!$D$4:$AG$150,0,MATCH(AC$2,Inputs!$D$2:$AG$2,0)),Inputs!$B$4:$B$150,$B25)/1000)</f>
        <v>0</v>
      </c>
      <c r="AD25" s="11">
        <f>IF(AD$3=0,"",SUMIFS(INDEX(Inputs!$D$4:$AG$150,0,MATCH(AD$2,Inputs!$D$2:$AG$2,0)),Inputs!$B$4:$B$150,$B25)/1000)</f>
        <v>0</v>
      </c>
      <c r="AE25" s="11" t="str">
        <f>IF(AE$3=0,"",SUMIFS(INDEX(Inputs!$D$4:$AG$150,0,MATCH(AE$2,Inputs!$D$2:$AG$2,0)),Inputs!$B$4:$B$150,$B25)/1000)</f>
        <v/>
      </c>
      <c r="AF25" s="11" t="str">
        <f>IF(AF$3=0,"",SUMIFS(INDEX(Inputs!$D$4:$AG$150,0,MATCH(AF$2,Inputs!$D$2:$AG$2,0)),Inputs!$B$4:$B$150,$B25)/1000)</f>
        <v/>
      </c>
      <c r="AG25" s="12" t="str">
        <f>IF(AF25="","",AF25)</f>
        <v/>
      </c>
    </row>
    <row r="26">
      <c r="B26" s="9" t="n">
        <v>22</v>
      </c>
      <c r="C26" s="14" t="inlineStr">
        <is>
          <t>Other non-current assets</t>
        </is>
      </c>
      <c r="D26" s="11">
        <f>IF(D$3=0,"",SUMIFS(INDEX(Inputs!$D$4:$AG$150,0,MATCH(D$2,Inputs!$D$2:$AG$2,0)),Inputs!$B$4:$B$150,$B26)/1000)</f>
        <v>0</v>
      </c>
      <c r="E26" s="11">
        <f>IF(E$3=0,"",SUMIFS(INDEX(Inputs!$D$4:$AG$150,0,MATCH(E$2,Inputs!$D$2:$AG$2,0)),Inputs!$B$4:$B$150,$B26)/1000)</f>
        <v>0</v>
      </c>
      <c r="F26" s="11">
        <f>IF(F$3=0,"",SUMIFS(INDEX(Inputs!$D$4:$AG$150,0,MATCH(F$2,Inputs!$D$2:$AG$2,0)),Inputs!$B$4:$B$150,$B26)/1000)</f>
        <v>0</v>
      </c>
      <c r="G26" s="11">
        <f>IF(G$3=0,"",SUMIFS(INDEX(Inputs!$D$4:$AG$150,0,MATCH(G$2,Inputs!$D$2:$AG$2,0)),Inputs!$B$4:$B$150,$B26)/1000)</f>
        <v>20461</v>
      </c>
      <c r="H26" s="12">
        <f>IF(G26="","",G26)</f>
        <v>20461</v>
      </c>
      <c r="I26" s="11">
        <f>IF(I$3=0,"",SUMIFS(INDEX(Inputs!$D$4:$AG$150,0,MATCH(I$2,Inputs!$D$2:$AG$2,0)),Inputs!$B$4:$B$150,$B26)/1000)</f>
        <v>18206</v>
      </c>
      <c r="J26" s="11">
        <f>IF(J$3=0,"",SUMIFS(INDEX(Inputs!$D$4:$AG$150,0,MATCH(J$2,Inputs!$D$2:$AG$2,0)),Inputs!$B$4:$B$150,$B26)/1000)</f>
        <v>17470</v>
      </c>
      <c r="K26" s="11">
        <f>IF(K$3=0,"",SUMIFS(INDEX(Inputs!$D$4:$AG$150,0,MATCH(K$2,Inputs!$D$2:$AG$2,0)),Inputs!$B$4:$B$150,$B26)/1000)</f>
        <v>17035</v>
      </c>
      <c r="L26" s="11">
        <f>IF(L$3=0,"",SUMIFS(INDEX(Inputs!$D$4:$AG$150,0,MATCH(L$2,Inputs!$D$2:$AG$2,0)),Inputs!$B$4:$B$150,$B26)/1000)</f>
        <v>17683</v>
      </c>
      <c r="M26" s="12">
        <f>IF(L26="","",L26)</f>
        <v>17683</v>
      </c>
      <c r="N26" s="11">
        <f>IF(N$3=0,"",SUMIFS(INDEX(Inputs!$D$4:$AG$150,0,MATCH(N$2,Inputs!$D$2:$AG$2,0)),Inputs!$B$4:$B$150,$B26)/1000)</f>
        <v>17931</v>
      </c>
      <c r="O26" s="11">
        <f>IF(O$3=0,"",SUMIFS(INDEX(Inputs!$D$4:$AG$150,0,MATCH(O$2,Inputs!$D$2:$AG$2,0)),Inputs!$B$4:$B$150,$B26)/1000)</f>
        <v>18702</v>
      </c>
      <c r="P26" s="11">
        <f>IF(P$3=0,"",SUMIFS(INDEX(Inputs!$D$4:$AG$150,0,MATCH(P$2,Inputs!$D$2:$AG$2,0)),Inputs!$B$4:$B$150,$B26)/1000)</f>
        <v>18171</v>
      </c>
      <c r="Q26" s="11">
        <f>IF(Q$3=0,"",SUMIFS(INDEX(Inputs!$D$4:$AG$150,0,MATCH(Q$2,Inputs!$D$2:$AG$2,0)),Inputs!$B$4:$B$150,$B26)/1000)</f>
        <v>19866</v>
      </c>
      <c r="R26" s="12">
        <f>IF(Q26="","",Q26)</f>
        <v>19866</v>
      </c>
      <c r="S26" s="11">
        <f>IF(S$3=0,"",SUMIFS(INDEX(Inputs!$D$4:$AG$150,0,MATCH(S$2,Inputs!$D$2:$AG$2,0)),Inputs!$B$4:$B$150,$B26)/1000)</f>
        <v>20645</v>
      </c>
      <c r="T26" s="11">
        <f>IF(T$3=0,"",SUMIFS(INDEX(Inputs!$D$4:$AG$150,0,MATCH(T$2,Inputs!$D$2:$AG$2,0)),Inputs!$B$4:$B$150,$B26)/1000)</f>
        <v>21070</v>
      </c>
      <c r="U26" s="11">
        <f>IF(U$3=0,"",SUMIFS(INDEX(Inputs!$D$4:$AG$150,0,MATCH(U$2,Inputs!$D$2:$AG$2,0)),Inputs!$B$4:$B$150,$B26)/1000)</f>
        <v>21217</v>
      </c>
      <c r="V26" s="11">
        <f>IF(V$3=0,"",SUMIFS(INDEX(Inputs!$D$4:$AG$150,0,MATCH(V$2,Inputs!$D$2:$AG$2,0)),Inputs!$B$4:$B$150,$B26)/1000)</f>
        <v>20495</v>
      </c>
      <c r="W26" s="12">
        <f>IF(V26="","",V26)</f>
        <v>20495</v>
      </c>
      <c r="X26" s="11">
        <f>IF(X$3=0,"",SUMIFS(INDEX(Inputs!$D$4:$AG$150,0,MATCH(X$2,Inputs!$D$2:$AG$2,0)),Inputs!$B$4:$B$150,$B26)/1000)</f>
        <v>20635</v>
      </c>
      <c r="Y26" s="11">
        <f>IF(Y$3=0,"",SUMIFS(INDEX(Inputs!$D$4:$AG$150,0,MATCH(Y$2,Inputs!$D$2:$AG$2,0)),Inputs!$B$4:$B$150,$B26)/1000)</f>
        <v>21565</v>
      </c>
      <c r="Z26" s="11">
        <f>IF(Z$3=0,"",SUMIFS(INDEX(Inputs!$D$4:$AG$150,0,MATCH(Z$2,Inputs!$D$2:$AG$2,0)),Inputs!$B$4:$B$150,$B26)/1000)</f>
        <v>22102</v>
      </c>
      <c r="AA26" s="11">
        <f>IF(AA$3=0,"",SUMIFS(INDEX(Inputs!$D$4:$AG$150,0,MATCH(AA$2,Inputs!$D$2:$AG$2,0)),Inputs!$B$4:$B$150,$B26)/1000)</f>
        <v>22236</v>
      </c>
      <c r="AB26" s="12">
        <f>IF(AA26="","",AA26)</f>
        <v>22236</v>
      </c>
      <c r="AC26" s="11">
        <f>IF(AC$3=0,"",SUMIFS(INDEX(Inputs!$D$4:$AG$150,0,MATCH(AC$2,Inputs!$D$2:$AG$2,0)),Inputs!$B$4:$B$150,$B26)/1000)</f>
        <v>26606</v>
      </c>
      <c r="AD26" s="11">
        <f>IF(AD$3=0,"",SUMIFS(INDEX(Inputs!$D$4:$AG$150,0,MATCH(AD$2,Inputs!$D$2:$AG$2,0)),Inputs!$B$4:$B$150,$B26)/1000)</f>
        <v>26533</v>
      </c>
      <c r="AE26" s="11" t="str">
        <f>IF(AE$3=0,"",SUMIFS(INDEX(Inputs!$D$4:$AG$150,0,MATCH(AE$2,Inputs!$D$2:$AG$2,0)),Inputs!$B$4:$B$150,$B26)/1000)</f>
        <v/>
      </c>
      <c r="AF26" s="11" t="str">
        <f>IF(AF$3=0,"",SUMIFS(INDEX(Inputs!$D$4:$AG$150,0,MATCH(AF$2,Inputs!$D$2:$AG$2,0)),Inputs!$B$4:$B$150,$B26)/1000)</f>
        <v/>
      </c>
      <c r="AG26" s="12" t="str">
        <f>IF(AF26="","",AF26)</f>
        <v/>
      </c>
    </row>
    <row r="27">
      <c r="C27" s="3" t="n"/>
    </row>
    <row r="28">
      <c r="B28" s="9" t="n">
        <v>23</v>
      </c>
      <c r="C28" s="14" t="inlineStr">
        <is>
          <t>Accounts payable</t>
        </is>
      </c>
      <c r="D28" s="11">
        <f>IF(D$3=0,"",SUMIFS(INDEX(Inputs!$D$4:$AG$150,0,MATCH(D$2,Inputs!$D$2:$AG$2,0)),Inputs!$B$4:$B$150,$B28)/1000)</f>
        <v>0</v>
      </c>
      <c r="E28" s="11">
        <f>IF(E$3=0,"",SUMIFS(INDEX(Inputs!$D$4:$AG$150,0,MATCH(E$2,Inputs!$D$2:$AG$2,0)),Inputs!$B$4:$B$150,$B28)/1000)</f>
        <v>0</v>
      </c>
      <c r="F28" s="11">
        <f>IF(F$3=0,"",SUMIFS(INDEX(Inputs!$D$4:$AG$150,0,MATCH(F$2,Inputs!$D$2:$AG$2,0)),Inputs!$B$4:$B$150,$B28)/1000)</f>
        <v>0</v>
      </c>
      <c r="G28" s="11">
        <f>IF(G$3=0,"",SUMIFS(INDEX(Inputs!$D$4:$AG$150,0,MATCH(G$2,Inputs!$D$2:$AG$2,0)),Inputs!$B$4:$B$150,$B28)/1000)</f>
        <v>1757</v>
      </c>
      <c r="H28" s="12">
        <f>IF(G28="","",G28)</f>
        <v>1757</v>
      </c>
      <c r="I28" s="11">
        <f>IF(I$3=0,"",SUMIFS(INDEX(Inputs!$D$4:$AG$150,0,MATCH(I$2,Inputs!$D$2:$AG$2,0)),Inputs!$B$4:$B$150,$B28)/1000)</f>
        <v>1847</v>
      </c>
      <c r="J28" s="11">
        <f>IF(J$3=0,"",SUMIFS(INDEX(Inputs!$D$4:$AG$150,0,MATCH(J$2,Inputs!$D$2:$AG$2,0)),Inputs!$B$4:$B$150,$B28)/1000)</f>
        <v>2160</v>
      </c>
      <c r="K28" s="11">
        <f>IF(K$3=0,"",SUMIFS(INDEX(Inputs!$D$4:$AG$150,0,MATCH(K$2,Inputs!$D$2:$AG$2,0)),Inputs!$B$4:$B$150,$B28)/1000)</f>
        <v>2597</v>
      </c>
      <c r="L28" s="11">
        <f>IF(L$3=0,"",SUMIFS(INDEX(Inputs!$D$4:$AG$150,0,MATCH(L$2,Inputs!$D$2:$AG$2,0)),Inputs!$B$4:$B$150,$B28)/1000)</f>
        <v>2828</v>
      </c>
      <c r="M28" s="12">
        <f>IF(L28="","",L28)</f>
        <v>2828</v>
      </c>
      <c r="N28" s="11">
        <f>IF(N$3=0,"",SUMIFS(INDEX(Inputs!$D$4:$AG$150,0,MATCH(N$2,Inputs!$D$2:$AG$2,0)),Inputs!$B$4:$B$150,$B28)/1000)</f>
        <v>1558</v>
      </c>
      <c r="O28" s="11">
        <f>IF(O$3=0,"",SUMIFS(INDEX(Inputs!$D$4:$AG$150,0,MATCH(O$2,Inputs!$D$2:$AG$2,0)),Inputs!$B$4:$B$150,$B28)/1000)</f>
        <v>1260</v>
      </c>
      <c r="P28" s="11">
        <f>IF(P$3=0,"",SUMIFS(INDEX(Inputs!$D$4:$AG$150,0,MATCH(P$2,Inputs!$D$2:$AG$2,0)),Inputs!$B$4:$B$150,$B28)/1000)</f>
        <v>2252</v>
      </c>
      <c r="Q28" s="11">
        <f>IF(Q$3=0,"",SUMIFS(INDEX(Inputs!$D$4:$AG$150,0,MATCH(Q$2,Inputs!$D$2:$AG$2,0)),Inputs!$B$4:$B$150,$B28)/1000)</f>
        <v>2612</v>
      </c>
      <c r="R28" s="12">
        <f>IF(Q28="","",Q28)</f>
        <v>2612</v>
      </c>
      <c r="S28" s="11">
        <f>IF(S$3=0,"",SUMIFS(INDEX(Inputs!$D$4:$AG$150,0,MATCH(S$2,Inputs!$D$2:$AG$2,0)),Inputs!$B$4:$B$150,$B28)/1000)</f>
        <v>2417</v>
      </c>
      <c r="T28" s="11">
        <f>IF(T$3=0,"",SUMIFS(INDEX(Inputs!$D$4:$AG$150,0,MATCH(T$2,Inputs!$D$2:$AG$2,0)),Inputs!$B$4:$B$150,$B28)/1000)</f>
        <v>2422</v>
      </c>
      <c r="U28" s="11">
        <f>IF(U$3=0,"",SUMIFS(INDEX(Inputs!$D$4:$AG$150,0,MATCH(U$2,Inputs!$D$2:$AG$2,0)),Inputs!$B$4:$B$150,$B28)/1000)</f>
        <v>2685</v>
      </c>
      <c r="V28" s="11">
        <f>IF(V$3=0,"",SUMIFS(INDEX(Inputs!$D$4:$AG$150,0,MATCH(V$2,Inputs!$D$2:$AG$2,0)),Inputs!$B$4:$B$150,$B28)/1000)</f>
        <v>3943</v>
      </c>
      <c r="W28" s="12">
        <f>IF(V28="","",V28)</f>
        <v>3943</v>
      </c>
      <c r="X28" s="11">
        <f>IF(X$3=0,"",SUMIFS(INDEX(Inputs!$D$4:$AG$150,0,MATCH(X$2,Inputs!$D$2:$AG$2,0)),Inputs!$B$4:$B$150,$B28)/1000)</f>
        <v>3614</v>
      </c>
      <c r="Y28" s="11">
        <f>IF(Y$3=0,"",SUMIFS(INDEX(Inputs!$D$4:$AG$150,0,MATCH(Y$2,Inputs!$D$2:$AG$2,0)),Inputs!$B$4:$B$150,$B28)/1000)</f>
        <v>3659</v>
      </c>
      <c r="Z28" s="11">
        <f>IF(Z$3=0,"",SUMIFS(INDEX(Inputs!$D$4:$AG$150,0,MATCH(Z$2,Inputs!$D$2:$AG$2,0)),Inputs!$B$4:$B$150,$B28)/1000)</f>
        <v>3926</v>
      </c>
      <c r="AA28" s="11">
        <f>IF(AA$3=0,"",SUMIFS(INDEX(Inputs!$D$4:$AG$150,0,MATCH(AA$2,Inputs!$D$2:$AG$2,0)),Inputs!$B$4:$B$150,$B28)/1000)</f>
        <v>4294</v>
      </c>
      <c r="AB28" s="12">
        <f>IF(AA28="","",AA28)</f>
        <v>4294</v>
      </c>
      <c r="AC28" s="11">
        <f>IF(AC$3=0,"",SUMIFS(INDEX(Inputs!$D$4:$AG$150,0,MATCH(AC$2,Inputs!$D$2:$AG$2,0)),Inputs!$B$4:$B$150,$B28)/1000)</f>
        <v>4449</v>
      </c>
      <c r="AD28" s="11">
        <f>IF(AD$3=0,"",SUMIFS(INDEX(Inputs!$D$4:$AG$150,0,MATCH(AD$2,Inputs!$D$2:$AG$2,0)),Inputs!$B$4:$B$150,$B28)/1000)</f>
        <v>4432</v>
      </c>
      <c r="AE28" s="11" t="str">
        <f>IF(AE$3=0,"",SUMIFS(INDEX(Inputs!$D$4:$AG$150,0,MATCH(AE$2,Inputs!$D$2:$AG$2,0)),Inputs!$B$4:$B$150,$B28)/1000)</f>
        <v/>
      </c>
      <c r="AF28" s="11" t="str">
        <f>IF(AF$3=0,"",SUMIFS(INDEX(Inputs!$D$4:$AG$150,0,MATCH(AF$2,Inputs!$D$2:$AG$2,0)),Inputs!$B$4:$B$150,$B28)/1000)</f>
        <v/>
      </c>
      <c r="AG28" s="12" t="str">
        <f>IF(AF28="","",AF28)</f>
        <v/>
      </c>
    </row>
    <row r="29">
      <c r="B29" s="9" t="n">
        <v>24</v>
      </c>
      <c r="C29" s="14" t="inlineStr">
        <is>
          <t>Accrued expenses</t>
        </is>
      </c>
      <c r="D29" s="11">
        <f>IF(D$3=0,"",SUMIFS(INDEX(Inputs!$D$4:$AG$150,0,MATCH(D$2,Inputs!$D$2:$AG$2,0)),Inputs!$B$4:$B$150,$B29)/1000)</f>
        <v>0</v>
      </c>
      <c r="E29" s="11">
        <f>IF(E$3=0,"",SUMIFS(INDEX(Inputs!$D$4:$AG$150,0,MATCH(E$2,Inputs!$D$2:$AG$2,0)),Inputs!$B$4:$B$150,$B29)/1000)</f>
        <v>0</v>
      </c>
      <c r="F29" s="11">
        <f>IF(F$3=0,"",SUMIFS(INDEX(Inputs!$D$4:$AG$150,0,MATCH(F$2,Inputs!$D$2:$AG$2,0)),Inputs!$B$4:$B$150,$B29)/1000)</f>
        <v>0</v>
      </c>
      <c r="G29" s="11">
        <f>IF(G$3=0,"",SUMIFS(INDEX(Inputs!$D$4:$AG$150,0,MATCH(G$2,Inputs!$D$2:$AG$2,0)),Inputs!$B$4:$B$150,$B29)/1000)</f>
        <v>737</v>
      </c>
      <c r="H29" s="12">
        <f>IF(G29="","",G29)</f>
        <v>737</v>
      </c>
      <c r="I29" s="11">
        <f>IF(I$3=0,"",SUMIFS(INDEX(Inputs!$D$4:$AG$150,0,MATCH(I$2,Inputs!$D$2:$AG$2,0)),Inputs!$B$4:$B$150,$B29)/1000)</f>
        <v>803</v>
      </c>
      <c r="J29" s="11">
        <f>IF(J$3=0,"",SUMIFS(INDEX(Inputs!$D$4:$AG$150,0,MATCH(J$2,Inputs!$D$2:$AG$2,0)),Inputs!$B$4:$B$150,$B29)/1000)</f>
        <v>749</v>
      </c>
      <c r="K29" s="11">
        <f>IF(K$3=0,"",SUMIFS(INDEX(Inputs!$D$4:$AG$150,0,MATCH(K$2,Inputs!$D$2:$AG$2,0)),Inputs!$B$4:$B$150,$B29)/1000)</f>
        <v>933</v>
      </c>
      <c r="L29" s="11">
        <f>IF(L$3=0,"",SUMIFS(INDEX(Inputs!$D$4:$AG$150,0,MATCH(L$2,Inputs!$D$2:$AG$2,0)),Inputs!$B$4:$B$150,$B29)/1000)</f>
        <v>906</v>
      </c>
      <c r="M29" s="12">
        <f>IF(L29="","",L29)</f>
        <v>906</v>
      </c>
      <c r="N29" s="11">
        <f>IF(N$3=0,"",SUMIFS(INDEX(Inputs!$D$4:$AG$150,0,MATCH(N$2,Inputs!$D$2:$AG$2,0)),Inputs!$B$4:$B$150,$B29)/1000)</f>
        <v>743</v>
      </c>
      <c r="O29" s="11">
        <f>IF(O$3=0,"",SUMIFS(INDEX(Inputs!$D$4:$AG$150,0,MATCH(O$2,Inputs!$D$2:$AG$2,0)),Inputs!$B$4:$B$150,$B29)/1000)</f>
        <v>744</v>
      </c>
      <c r="P29" s="11">
        <f>IF(P$3=0,"",SUMIFS(INDEX(Inputs!$D$4:$AG$150,0,MATCH(P$2,Inputs!$D$2:$AG$2,0)),Inputs!$B$4:$B$150,$B29)/1000)</f>
        <v>0</v>
      </c>
      <c r="Q29" s="11">
        <f>IF(Q$3=0,"",SUMIFS(INDEX(Inputs!$D$4:$AG$150,0,MATCH(Q$2,Inputs!$D$2:$AG$2,0)),Inputs!$B$4:$B$150,$B29)/1000)</f>
        <v>0</v>
      </c>
      <c r="R29" s="12">
        <f>IF(Q29="","",Q29)</f>
        <v>0</v>
      </c>
      <c r="S29" s="11">
        <f>IF(S$3=0,"",SUMIFS(INDEX(Inputs!$D$4:$AG$150,0,MATCH(S$2,Inputs!$D$2:$AG$2,0)),Inputs!$B$4:$B$150,$B29)/1000)</f>
        <v>0</v>
      </c>
      <c r="T29" s="11">
        <f>IF(T$3=0,"",SUMIFS(INDEX(Inputs!$D$4:$AG$150,0,MATCH(T$2,Inputs!$D$2:$AG$2,0)),Inputs!$B$4:$B$150,$B29)/1000)</f>
        <v>0</v>
      </c>
      <c r="U29" s="11">
        <f>IF(U$3=0,"",SUMIFS(INDEX(Inputs!$D$4:$AG$150,0,MATCH(U$2,Inputs!$D$2:$AG$2,0)),Inputs!$B$4:$B$150,$B29)/1000)</f>
        <v>0</v>
      </c>
      <c r="V29" s="11">
        <f>IF(V$3=0,"",SUMIFS(INDEX(Inputs!$D$4:$AG$150,0,MATCH(V$2,Inputs!$D$2:$AG$2,0)),Inputs!$B$4:$B$150,$B29)/1000)</f>
        <v>0</v>
      </c>
      <c r="W29" s="12">
        <f>IF(V29="","",V29)</f>
        <v>0</v>
      </c>
      <c r="X29" s="11">
        <f>IF(X$3=0,"",SUMIFS(INDEX(Inputs!$D$4:$AG$150,0,MATCH(X$2,Inputs!$D$2:$AG$2,0)),Inputs!$B$4:$B$150,$B29)/1000)</f>
        <v>0</v>
      </c>
      <c r="Y29" s="11">
        <f>IF(Y$3=0,"",SUMIFS(INDEX(Inputs!$D$4:$AG$150,0,MATCH(Y$2,Inputs!$D$2:$AG$2,0)),Inputs!$B$4:$B$150,$B29)/1000)</f>
        <v>0</v>
      </c>
      <c r="Z29" s="11">
        <f>IF(Z$3=0,"",SUMIFS(INDEX(Inputs!$D$4:$AG$150,0,MATCH(Z$2,Inputs!$D$2:$AG$2,0)),Inputs!$B$4:$B$150,$B29)/1000)</f>
        <v>0</v>
      </c>
      <c r="AA29" s="11">
        <f>IF(AA$3=0,"",SUMIFS(INDEX(Inputs!$D$4:$AG$150,0,MATCH(AA$2,Inputs!$D$2:$AG$2,0)),Inputs!$B$4:$B$150,$B29)/1000)</f>
        <v>0</v>
      </c>
      <c r="AB29" s="12">
        <f>IF(AA29="","",AA29)</f>
        <v>0</v>
      </c>
      <c r="AC29" s="11">
        <f>IF(AC$3=0,"",SUMIFS(INDEX(Inputs!$D$4:$AG$150,0,MATCH(AC$2,Inputs!$D$2:$AG$2,0)),Inputs!$B$4:$B$150,$B29)/1000)</f>
        <v>0</v>
      </c>
      <c r="AD29" s="11">
        <f>IF(AD$3=0,"",SUMIFS(INDEX(Inputs!$D$4:$AG$150,0,MATCH(AD$2,Inputs!$D$2:$AG$2,0)),Inputs!$B$4:$B$150,$B29)/1000)</f>
        <v>0</v>
      </c>
      <c r="AE29" s="11" t="str">
        <f>IF(AE$3=0,"",SUMIFS(INDEX(Inputs!$D$4:$AG$150,0,MATCH(AE$2,Inputs!$D$2:$AG$2,0)),Inputs!$B$4:$B$150,$B29)/1000)</f>
        <v/>
      </c>
      <c r="AF29" s="11" t="str">
        <f>IF(AF$3=0,"",SUMIFS(INDEX(Inputs!$D$4:$AG$150,0,MATCH(AF$2,Inputs!$D$2:$AG$2,0)),Inputs!$B$4:$B$150,$B29)/1000)</f>
        <v/>
      </c>
      <c r="AG29" s="12" t="str">
        <f>IF(AF29="","",AF29)</f>
        <v/>
      </c>
    </row>
    <row r="30">
      <c r="B30" s="9" t="n">
        <v>25</v>
      </c>
      <c r="C30" s="14" t="inlineStr">
        <is>
          <t>Taxes payable</t>
        </is>
      </c>
      <c r="D30" s="11">
        <f>IF(D$3=0,"",SUMIFS(INDEX(Inputs!$D$4:$AG$150,0,MATCH(D$2,Inputs!$D$2:$AG$2,0)),Inputs!$B$4:$B$150,$B30)/1000)</f>
        <v>0</v>
      </c>
      <c r="E30" s="11">
        <f>IF(E$3=0,"",SUMIFS(INDEX(Inputs!$D$4:$AG$150,0,MATCH(E$2,Inputs!$D$2:$AG$2,0)),Inputs!$B$4:$B$150,$B30)/1000)</f>
        <v>0</v>
      </c>
      <c r="F30" s="11">
        <f>IF(F$3=0,"",SUMIFS(INDEX(Inputs!$D$4:$AG$150,0,MATCH(F$2,Inputs!$D$2:$AG$2,0)),Inputs!$B$4:$B$150,$B30)/1000)</f>
        <v>0</v>
      </c>
      <c r="G30" s="11">
        <f>IF(G$3=0,"",SUMIFS(INDEX(Inputs!$D$4:$AG$150,0,MATCH(G$2,Inputs!$D$2:$AG$2,0)),Inputs!$B$4:$B$150,$B30)/1000)</f>
        <v>0</v>
      </c>
      <c r="H30" s="12">
        <f>IF(G30="","",G30)</f>
        <v>0</v>
      </c>
      <c r="I30" s="11">
        <f>IF(I$3=0,"",SUMIFS(INDEX(Inputs!$D$4:$AG$150,0,MATCH(I$2,Inputs!$D$2:$AG$2,0)),Inputs!$B$4:$B$150,$B30)/1000)</f>
        <v>0</v>
      </c>
      <c r="J30" s="11">
        <f>IF(J$3=0,"",SUMIFS(INDEX(Inputs!$D$4:$AG$150,0,MATCH(J$2,Inputs!$D$2:$AG$2,0)),Inputs!$B$4:$B$150,$B30)/1000)</f>
        <v>0</v>
      </c>
      <c r="K30" s="11">
        <f>IF(K$3=0,"",SUMIFS(INDEX(Inputs!$D$4:$AG$150,0,MATCH(K$2,Inputs!$D$2:$AG$2,0)),Inputs!$B$4:$B$150,$B30)/1000)</f>
        <v>0</v>
      </c>
      <c r="L30" s="11">
        <f>IF(L$3=0,"",SUMIFS(INDEX(Inputs!$D$4:$AG$150,0,MATCH(L$2,Inputs!$D$2:$AG$2,0)),Inputs!$B$4:$B$150,$B30)/1000)</f>
        <v>0</v>
      </c>
      <c r="M30" s="12">
        <f>IF(L30="","",L30)</f>
        <v>0</v>
      </c>
      <c r="N30" s="11">
        <f>IF(N$3=0,"",SUMIFS(INDEX(Inputs!$D$4:$AG$150,0,MATCH(N$2,Inputs!$D$2:$AG$2,0)),Inputs!$B$4:$B$150,$B30)/1000)</f>
        <v>0</v>
      </c>
      <c r="O30" s="11">
        <f>IF(O$3=0,"",SUMIFS(INDEX(Inputs!$D$4:$AG$150,0,MATCH(O$2,Inputs!$D$2:$AG$2,0)),Inputs!$B$4:$B$150,$B30)/1000)</f>
        <v>0</v>
      </c>
      <c r="P30" s="11">
        <f>IF(P$3=0,"",SUMIFS(INDEX(Inputs!$D$4:$AG$150,0,MATCH(P$2,Inputs!$D$2:$AG$2,0)),Inputs!$B$4:$B$150,$B30)/1000)</f>
        <v>0</v>
      </c>
      <c r="Q30" s="11">
        <f>IF(Q$3=0,"",SUMIFS(INDEX(Inputs!$D$4:$AG$150,0,MATCH(Q$2,Inputs!$D$2:$AG$2,0)),Inputs!$B$4:$B$150,$B30)/1000)</f>
        <v>0</v>
      </c>
      <c r="R30" s="12">
        <f>IF(Q30="","",Q30)</f>
        <v>0</v>
      </c>
      <c r="S30" s="11">
        <f>IF(S$3=0,"",SUMIFS(INDEX(Inputs!$D$4:$AG$150,0,MATCH(S$2,Inputs!$D$2:$AG$2,0)),Inputs!$B$4:$B$150,$B30)/1000)</f>
        <v>0</v>
      </c>
      <c r="T30" s="11">
        <f>IF(T$3=0,"",SUMIFS(INDEX(Inputs!$D$4:$AG$150,0,MATCH(T$2,Inputs!$D$2:$AG$2,0)),Inputs!$B$4:$B$150,$B30)/1000)</f>
        <v>0</v>
      </c>
      <c r="U30" s="11">
        <f>IF(U$3=0,"",SUMIFS(INDEX(Inputs!$D$4:$AG$150,0,MATCH(U$2,Inputs!$D$2:$AG$2,0)),Inputs!$B$4:$B$150,$B30)/1000)</f>
        <v>0</v>
      </c>
      <c r="V30" s="11">
        <f>IF(V$3=0,"",SUMIFS(INDEX(Inputs!$D$4:$AG$150,0,MATCH(V$2,Inputs!$D$2:$AG$2,0)),Inputs!$B$4:$B$150,$B30)/1000)</f>
        <v>0</v>
      </c>
      <c r="W30" s="12">
        <f>IF(V30="","",V30)</f>
        <v>0</v>
      </c>
      <c r="X30" s="11">
        <f>IF(X$3=0,"",SUMIFS(INDEX(Inputs!$D$4:$AG$150,0,MATCH(X$2,Inputs!$D$2:$AG$2,0)),Inputs!$B$4:$B$150,$B30)/1000)</f>
        <v>0</v>
      </c>
      <c r="Y30" s="11">
        <f>IF(Y$3=0,"",SUMIFS(INDEX(Inputs!$D$4:$AG$150,0,MATCH(Y$2,Inputs!$D$2:$AG$2,0)),Inputs!$B$4:$B$150,$B30)/1000)</f>
        <v>0</v>
      </c>
      <c r="Z30" s="11">
        <f>IF(Z$3=0,"",SUMIFS(INDEX(Inputs!$D$4:$AG$150,0,MATCH(Z$2,Inputs!$D$2:$AG$2,0)),Inputs!$B$4:$B$150,$B30)/1000)</f>
        <v>0</v>
      </c>
      <c r="AA30" s="11">
        <f>IF(AA$3=0,"",SUMIFS(INDEX(Inputs!$D$4:$AG$150,0,MATCH(AA$2,Inputs!$D$2:$AG$2,0)),Inputs!$B$4:$B$150,$B30)/1000)</f>
        <v>0</v>
      </c>
      <c r="AB30" s="12">
        <f>IF(AA30="","",AA30)</f>
        <v>0</v>
      </c>
      <c r="AC30" s="11">
        <f>IF(AC$3=0,"",SUMIFS(INDEX(Inputs!$D$4:$AG$150,0,MATCH(AC$2,Inputs!$D$2:$AG$2,0)),Inputs!$B$4:$B$150,$B30)/1000)</f>
        <v>0</v>
      </c>
      <c r="AD30" s="11">
        <f>IF(AD$3=0,"",SUMIFS(INDEX(Inputs!$D$4:$AG$150,0,MATCH(AD$2,Inputs!$D$2:$AG$2,0)),Inputs!$B$4:$B$150,$B30)/1000)</f>
        <v>0</v>
      </c>
      <c r="AE30" s="11" t="str">
        <f>IF(AE$3=0,"",SUMIFS(INDEX(Inputs!$D$4:$AG$150,0,MATCH(AE$2,Inputs!$D$2:$AG$2,0)),Inputs!$B$4:$B$150,$B30)/1000)</f>
        <v/>
      </c>
      <c r="AF30" s="11" t="str">
        <f>IF(AF$3=0,"",SUMIFS(INDEX(Inputs!$D$4:$AG$150,0,MATCH(AF$2,Inputs!$D$2:$AG$2,0)),Inputs!$B$4:$B$150,$B30)/1000)</f>
        <v/>
      </c>
      <c r="AG30" s="12" t="str">
        <f>IF(AF30="","",AF30)</f>
        <v/>
      </c>
    </row>
    <row r="31">
      <c r="B31" s="9" t="n">
        <v>26</v>
      </c>
      <c r="C31" s="14" t="inlineStr">
        <is>
          <t>Other current liabilities (non-debt)</t>
        </is>
      </c>
      <c r="D31" s="11">
        <f>IF(D$3=0,"",SUMIFS(INDEX(Inputs!$D$4:$AG$150,0,MATCH(D$2,Inputs!$D$2:$AG$2,0)),Inputs!$B$4:$B$150,$B31)/1000)</f>
        <v>0</v>
      </c>
      <c r="E31" s="11">
        <f>IF(E$3=0,"",SUMIFS(INDEX(Inputs!$D$4:$AG$150,0,MATCH(E$2,Inputs!$D$2:$AG$2,0)),Inputs!$B$4:$B$150,$B31)/1000)</f>
        <v>0</v>
      </c>
      <c r="F31" s="11">
        <f>IF(F$3=0,"",SUMIFS(INDEX(Inputs!$D$4:$AG$150,0,MATCH(F$2,Inputs!$D$2:$AG$2,0)),Inputs!$B$4:$B$150,$B31)/1000)</f>
        <v>0</v>
      </c>
      <c r="G31" s="11">
        <f>IF(G$3=0,"",SUMIFS(INDEX(Inputs!$D$4:$AG$150,0,MATCH(G$2,Inputs!$D$2:$AG$2,0)),Inputs!$B$4:$B$150,$B31)/1000)</f>
        <v>2200</v>
      </c>
      <c r="H31" s="12">
        <f>IF(G31="","",G31)</f>
        <v>2200</v>
      </c>
      <c r="I31" s="11">
        <f>IF(I$3=0,"",SUMIFS(INDEX(Inputs!$D$4:$AG$150,0,MATCH(I$2,Inputs!$D$2:$AG$2,0)),Inputs!$B$4:$B$150,$B31)/1000)</f>
        <v>2513</v>
      </c>
      <c r="J31" s="11">
        <f>IF(J$3=0,"",SUMIFS(INDEX(Inputs!$D$4:$AG$150,0,MATCH(J$2,Inputs!$D$2:$AG$2,0)),Inputs!$B$4:$B$150,$B31)/1000)</f>
        <v>2585</v>
      </c>
      <c r="K31" s="11">
        <f>IF(K$3=0,"",SUMIFS(INDEX(Inputs!$D$4:$AG$150,0,MATCH(K$2,Inputs!$D$2:$AG$2,0)),Inputs!$B$4:$B$150,$B31)/1000)</f>
        <v>3483</v>
      </c>
      <c r="L31" s="11">
        <f>IF(L$3=0,"",SUMIFS(INDEX(Inputs!$D$4:$AG$150,0,MATCH(L$2,Inputs!$D$2:$AG$2,0)),Inputs!$B$4:$B$150,$B31)/1000)</f>
        <v>2803</v>
      </c>
      <c r="M31" s="12">
        <f>IF(L31="","",L31)</f>
        <v>2803</v>
      </c>
      <c r="N31" s="11">
        <f>IF(N$3=0,"",SUMIFS(INDEX(Inputs!$D$4:$AG$150,0,MATCH(N$2,Inputs!$D$2:$AG$2,0)),Inputs!$B$4:$B$150,$B31)/1000)</f>
        <v>2780</v>
      </c>
      <c r="O31" s="11">
        <f>IF(O$3=0,"",SUMIFS(INDEX(Inputs!$D$4:$AG$150,0,MATCH(O$2,Inputs!$D$2:$AG$2,0)),Inputs!$B$4:$B$150,$B31)/1000)</f>
        <v>2176</v>
      </c>
      <c r="P31" s="11">
        <f>IF(P$3=0,"",SUMIFS(INDEX(Inputs!$D$4:$AG$150,0,MATCH(P$2,Inputs!$D$2:$AG$2,0)),Inputs!$B$4:$B$150,$B31)/1000)</f>
        <v>2368</v>
      </c>
      <c r="Q31" s="11">
        <f>IF(Q$3=0,"",SUMIFS(INDEX(Inputs!$D$4:$AG$150,0,MATCH(Q$2,Inputs!$D$2:$AG$2,0)),Inputs!$B$4:$B$150,$B31)/1000)</f>
        <v>1942</v>
      </c>
      <c r="R31" s="12">
        <f>IF(Q31="","",Q31)</f>
        <v>1942</v>
      </c>
      <c r="S31" s="11">
        <f>IF(S$3=0,"",SUMIFS(INDEX(Inputs!$D$4:$AG$150,0,MATCH(S$2,Inputs!$D$2:$AG$2,0)),Inputs!$B$4:$B$150,$B31)/1000)</f>
        <v>1874</v>
      </c>
      <c r="T31" s="11">
        <f>IF(T$3=0,"",SUMIFS(INDEX(Inputs!$D$4:$AG$150,0,MATCH(T$2,Inputs!$D$2:$AG$2,0)),Inputs!$B$4:$B$150,$B31)/1000)</f>
        <v>1664</v>
      </c>
      <c r="U31" s="11">
        <f>IF(U$3=0,"",SUMIFS(INDEX(Inputs!$D$4:$AG$150,0,MATCH(U$2,Inputs!$D$2:$AG$2,0)),Inputs!$B$4:$B$150,$B31)/1000)</f>
        <v>1733</v>
      </c>
      <c r="V31" s="11">
        <f>IF(V$3=0,"",SUMIFS(INDEX(Inputs!$D$4:$AG$150,0,MATCH(V$2,Inputs!$D$2:$AG$2,0)),Inputs!$B$4:$B$150,$B31)/1000)</f>
        <v>1875</v>
      </c>
      <c r="W31" s="12">
        <f>IF(V31="","",V31)</f>
        <v>1875</v>
      </c>
      <c r="X31" s="11">
        <f>IF(X$3=0,"",SUMIFS(INDEX(Inputs!$D$4:$AG$150,0,MATCH(X$2,Inputs!$D$2:$AG$2,0)),Inputs!$B$4:$B$150,$B31)/1000)</f>
        <v>1894</v>
      </c>
      <c r="Y31" s="11">
        <f>IF(Y$3=0,"",SUMIFS(INDEX(Inputs!$D$4:$AG$150,0,MATCH(Y$2,Inputs!$D$2:$AG$2,0)),Inputs!$B$4:$B$150,$B31)/1000)</f>
        <v>1572</v>
      </c>
      <c r="Z31" s="11">
        <f>IF(Z$3=0,"",SUMIFS(INDEX(Inputs!$D$4:$AG$150,0,MATCH(Z$2,Inputs!$D$2:$AG$2,0)),Inputs!$B$4:$B$150,$B31)/1000)</f>
        <v>1761</v>
      </c>
      <c r="AA31" s="11">
        <f>IF(AA$3=0,"",SUMIFS(INDEX(Inputs!$D$4:$AG$150,0,MATCH(AA$2,Inputs!$D$2:$AG$2,0)),Inputs!$B$4:$B$150,$B31)/1000)</f>
        <v>1908</v>
      </c>
      <c r="AB31" s="12">
        <f>IF(AA31="","",AA31)</f>
        <v>1908</v>
      </c>
      <c r="AC31" s="11">
        <f>IF(AC$3=0,"",SUMIFS(INDEX(Inputs!$D$4:$AG$150,0,MATCH(AC$2,Inputs!$D$2:$AG$2,0)),Inputs!$B$4:$B$150,$B31)/1000)</f>
        <v>3294</v>
      </c>
      <c r="AD31" s="11">
        <f>IF(AD$3=0,"",SUMIFS(INDEX(Inputs!$D$4:$AG$150,0,MATCH(AD$2,Inputs!$D$2:$AG$2,0)),Inputs!$B$4:$B$150,$B31)/1000)</f>
        <v>3011</v>
      </c>
      <c r="AE31" s="11" t="str">
        <f>IF(AE$3=0,"",SUMIFS(INDEX(Inputs!$D$4:$AG$150,0,MATCH(AE$2,Inputs!$D$2:$AG$2,0)),Inputs!$B$4:$B$150,$B31)/1000)</f>
        <v/>
      </c>
      <c r="AF31" s="11" t="str">
        <f>IF(AF$3=0,"",SUMIFS(INDEX(Inputs!$D$4:$AG$150,0,MATCH(AF$2,Inputs!$D$2:$AG$2,0)),Inputs!$B$4:$B$150,$B31)/1000)</f>
        <v/>
      </c>
      <c r="AG31" s="12" t="str">
        <f>IF(AF31="","",AF31)</f>
        <v/>
      </c>
    </row>
    <row r="32">
      <c r="B32" s="9" t="n">
        <v>27</v>
      </c>
      <c r="C32" s="14" t="inlineStr">
        <is>
          <t>Current portion of long-term debt</t>
        </is>
      </c>
      <c r="D32" s="11">
        <f>IF(D$3=0,"",SUMIFS(INDEX(Inputs!$D$4:$AG$150,0,MATCH(D$2,Inputs!$D$2:$AG$2,0)),Inputs!$B$4:$B$150,$B32)/1000)</f>
        <v>0</v>
      </c>
      <c r="E32" s="11">
        <f>IF(E$3=0,"",SUMIFS(INDEX(Inputs!$D$4:$AG$150,0,MATCH(E$2,Inputs!$D$2:$AG$2,0)),Inputs!$B$4:$B$150,$B32)/1000)</f>
        <v>0</v>
      </c>
      <c r="F32" s="11">
        <f>IF(F$3=0,"",SUMIFS(INDEX(Inputs!$D$4:$AG$150,0,MATCH(F$2,Inputs!$D$2:$AG$2,0)),Inputs!$B$4:$B$150,$B32)/1000)</f>
        <v>0</v>
      </c>
      <c r="G32" s="11">
        <f>IF(G$3=0,"",SUMIFS(INDEX(Inputs!$D$4:$AG$150,0,MATCH(G$2,Inputs!$D$2:$AG$2,0)),Inputs!$B$4:$B$150,$B32)/1000)</f>
        <v>3302</v>
      </c>
      <c r="H32" s="12">
        <f>IF(G32="","",G32)</f>
        <v>3302</v>
      </c>
      <c r="I32" s="11">
        <f>IF(I$3=0,"",SUMIFS(INDEX(Inputs!$D$4:$AG$150,0,MATCH(I$2,Inputs!$D$2:$AG$2,0)),Inputs!$B$4:$B$150,$B32)/1000)</f>
        <v>1271</v>
      </c>
      <c r="J32" s="11">
        <f>IF(J$3=0,"",SUMIFS(INDEX(Inputs!$D$4:$AG$150,0,MATCH(J$2,Inputs!$D$2:$AG$2,0)),Inputs!$B$4:$B$150,$B32)/1000)</f>
        <v>384</v>
      </c>
      <c r="K32" s="11">
        <f>IF(K$3=0,"",SUMIFS(INDEX(Inputs!$D$4:$AG$150,0,MATCH(K$2,Inputs!$D$2:$AG$2,0)),Inputs!$B$4:$B$150,$B32)/1000)</f>
        <v>874</v>
      </c>
      <c r="L32" s="11">
        <f>IF(L$3=0,"",SUMIFS(INDEX(Inputs!$D$4:$AG$150,0,MATCH(L$2,Inputs!$D$2:$AG$2,0)),Inputs!$B$4:$B$150,$B32)/1000)</f>
        <v>1302</v>
      </c>
      <c r="M32" s="12">
        <f>IF(L32="","",L32)</f>
        <v>1302</v>
      </c>
      <c r="N32" s="11">
        <f>IF(N$3=0,"",SUMIFS(INDEX(Inputs!$D$4:$AG$150,0,MATCH(N$2,Inputs!$D$2:$AG$2,0)),Inputs!$B$4:$B$150,$B32)/1000)</f>
        <v>866</v>
      </c>
      <c r="O32" s="11">
        <f>IF(O$3=0,"",SUMIFS(INDEX(Inputs!$D$4:$AG$150,0,MATCH(O$2,Inputs!$D$2:$AG$2,0)),Inputs!$B$4:$B$150,$B32)/1000)</f>
        <v>1045</v>
      </c>
      <c r="P32" s="11">
        <f>IF(P$3=0,"",SUMIFS(INDEX(Inputs!$D$4:$AG$150,0,MATCH(P$2,Inputs!$D$2:$AG$2,0)),Inputs!$B$4:$B$150,$B32)/1000)</f>
        <v>643</v>
      </c>
      <c r="Q32" s="11">
        <f>IF(Q$3=0,"",SUMIFS(INDEX(Inputs!$D$4:$AG$150,0,MATCH(Q$2,Inputs!$D$2:$AG$2,0)),Inputs!$B$4:$B$150,$B32)/1000)</f>
        <v>1765</v>
      </c>
      <c r="R32" s="12">
        <f>IF(Q32="","",Q32)</f>
        <v>1765</v>
      </c>
      <c r="S32" s="11">
        <f>IF(S$3=0,"",SUMIFS(INDEX(Inputs!$D$4:$AG$150,0,MATCH(S$2,Inputs!$D$2:$AG$2,0)),Inputs!$B$4:$B$150,$B32)/1000)</f>
        <v>1631</v>
      </c>
      <c r="T32" s="11">
        <f>IF(T$3=0,"",SUMIFS(INDEX(Inputs!$D$4:$AG$150,0,MATCH(T$2,Inputs!$D$2:$AG$2,0)),Inputs!$B$4:$B$150,$B32)/1000)</f>
        <v>1715</v>
      </c>
      <c r="U32" s="11">
        <f>IF(U$3=0,"",SUMIFS(INDEX(Inputs!$D$4:$AG$150,0,MATCH(U$2,Inputs!$D$2:$AG$2,0)),Inputs!$B$4:$B$150,$B32)/1000)</f>
        <v>1034</v>
      </c>
      <c r="V32" s="11">
        <f>IF(V$3=0,"",SUMIFS(INDEX(Inputs!$D$4:$AG$150,0,MATCH(V$2,Inputs!$D$2:$AG$2,0)),Inputs!$B$4:$B$150,$B32)/1000)</f>
        <v>1028</v>
      </c>
      <c r="W32" s="12">
        <f>IF(V32="","",V32)</f>
        <v>1028</v>
      </c>
      <c r="X32" s="11">
        <f>IF(X$3=0,"",SUMIFS(INDEX(Inputs!$D$4:$AG$150,0,MATCH(X$2,Inputs!$D$2:$AG$2,0)),Inputs!$B$4:$B$150,$B32)/1000)</f>
        <v>1037</v>
      </c>
      <c r="Y32" s="11">
        <f>IF(Y$3=0,"",SUMIFS(INDEX(Inputs!$D$4:$AG$150,0,MATCH(Y$2,Inputs!$D$2:$AG$2,0)),Inputs!$B$4:$B$150,$B32)/1000)</f>
        <v>1025</v>
      </c>
      <c r="Z32" s="11">
        <f>IF(Z$3=0,"",SUMIFS(INDEX(Inputs!$D$4:$AG$150,0,MATCH(Z$2,Inputs!$D$2:$AG$2,0)),Inputs!$B$4:$B$150,$B32)/1000)</f>
        <v>1768</v>
      </c>
      <c r="AA32" s="11">
        <f>IF(AA$3=0,"",SUMIFS(INDEX(Inputs!$D$4:$AG$150,0,MATCH(AA$2,Inputs!$D$2:$AG$2,0)),Inputs!$B$4:$B$150,$B32)/1000)</f>
        <v>1742</v>
      </c>
      <c r="AB32" s="12">
        <f>IF(AA32="","",AA32)</f>
        <v>1742</v>
      </c>
      <c r="AC32" s="11">
        <f>IF(AC$3=0,"",SUMIFS(INDEX(Inputs!$D$4:$AG$150,0,MATCH(AC$2,Inputs!$D$2:$AG$2,0)),Inputs!$B$4:$B$150,$B32)/1000)</f>
        <v>5472</v>
      </c>
      <c r="AD32" s="11">
        <f>IF(AD$3=0,"",SUMIFS(INDEX(Inputs!$D$4:$AG$150,0,MATCH(AD$2,Inputs!$D$2:$AG$2,0)),Inputs!$B$4:$B$150,$B32)/1000)</f>
        <v>5589</v>
      </c>
      <c r="AE32" s="11" t="str">
        <f>IF(AE$3=0,"",SUMIFS(INDEX(Inputs!$D$4:$AG$150,0,MATCH(AE$2,Inputs!$D$2:$AG$2,0)),Inputs!$B$4:$B$150,$B32)/1000)</f>
        <v/>
      </c>
      <c r="AF32" s="11" t="str">
        <f>IF(AF$3=0,"",SUMIFS(INDEX(Inputs!$D$4:$AG$150,0,MATCH(AF$2,Inputs!$D$2:$AG$2,0)),Inputs!$B$4:$B$150,$B32)/1000)</f>
        <v/>
      </c>
      <c r="AG32" s="12" t="str">
        <f>IF(AF32="","",AF32)</f>
        <v/>
      </c>
    </row>
    <row r="33">
      <c r="B33" s="9" t="n">
        <v>28</v>
      </c>
      <c r="C33" s="14" t="inlineStr">
        <is>
          <t>Short term debt (Revolving credit facility)</t>
        </is>
      </c>
      <c r="D33" s="11">
        <f>IF(D$3=0,"",SUMIFS(INDEX(Inputs!$D$4:$AG$150,0,MATCH(D$2,Inputs!$D$2:$AG$2,0)),Inputs!$B$4:$B$150,$B33)/1000)</f>
        <v>0</v>
      </c>
      <c r="E33" s="11">
        <f>IF(E$3=0,"",SUMIFS(INDEX(Inputs!$D$4:$AG$150,0,MATCH(E$2,Inputs!$D$2:$AG$2,0)),Inputs!$B$4:$B$150,$B33)/1000)</f>
        <v>0</v>
      </c>
      <c r="F33" s="11">
        <f>IF(F$3=0,"",SUMIFS(INDEX(Inputs!$D$4:$AG$150,0,MATCH(F$2,Inputs!$D$2:$AG$2,0)),Inputs!$B$4:$B$150,$B33)/1000)</f>
        <v>0</v>
      </c>
      <c r="G33" s="11">
        <f>IF(G$3=0,"",SUMIFS(INDEX(Inputs!$D$4:$AG$150,0,MATCH(G$2,Inputs!$D$2:$AG$2,0)),Inputs!$B$4:$B$150,$B33)/1000)</f>
        <v>0</v>
      </c>
      <c r="H33" s="12">
        <f>IF(G33="","",G33)</f>
        <v>0</v>
      </c>
      <c r="I33" s="11">
        <f>IF(I$3=0,"",SUMIFS(INDEX(Inputs!$D$4:$AG$150,0,MATCH(I$2,Inputs!$D$2:$AG$2,0)),Inputs!$B$4:$B$150,$B33)/1000)</f>
        <v>0</v>
      </c>
      <c r="J33" s="11">
        <f>IF(J$3=0,"",SUMIFS(INDEX(Inputs!$D$4:$AG$150,0,MATCH(J$2,Inputs!$D$2:$AG$2,0)),Inputs!$B$4:$B$150,$B33)/1000)</f>
        <v>0</v>
      </c>
      <c r="K33" s="11">
        <f>IF(K$3=0,"",SUMIFS(INDEX(Inputs!$D$4:$AG$150,0,MATCH(K$2,Inputs!$D$2:$AG$2,0)),Inputs!$B$4:$B$150,$B33)/1000)</f>
        <v>0</v>
      </c>
      <c r="L33" s="11">
        <f>IF(L$3=0,"",SUMIFS(INDEX(Inputs!$D$4:$AG$150,0,MATCH(L$2,Inputs!$D$2:$AG$2,0)),Inputs!$B$4:$B$150,$B33)/1000)</f>
        <v>0</v>
      </c>
      <c r="M33" s="12">
        <f>IF(L33="","",L33)</f>
        <v>0</v>
      </c>
      <c r="N33" s="11">
        <f>IF(N$3=0,"",SUMIFS(INDEX(Inputs!$D$4:$AG$150,0,MATCH(N$2,Inputs!$D$2:$AG$2,0)),Inputs!$B$4:$B$150,$B33)/1000)</f>
        <v>0</v>
      </c>
      <c r="O33" s="11">
        <f>IF(O$3=0,"",SUMIFS(INDEX(Inputs!$D$4:$AG$150,0,MATCH(O$2,Inputs!$D$2:$AG$2,0)),Inputs!$B$4:$B$150,$B33)/1000)</f>
        <v>0</v>
      </c>
      <c r="P33" s="11">
        <f>IF(P$3=0,"",SUMIFS(INDEX(Inputs!$D$4:$AG$150,0,MATCH(P$2,Inputs!$D$2:$AG$2,0)),Inputs!$B$4:$B$150,$B33)/1000)</f>
        <v>0</v>
      </c>
      <c r="Q33" s="11">
        <f>IF(Q$3=0,"",SUMIFS(INDEX(Inputs!$D$4:$AG$150,0,MATCH(Q$2,Inputs!$D$2:$AG$2,0)),Inputs!$B$4:$B$150,$B33)/1000)</f>
        <v>0</v>
      </c>
      <c r="R33" s="12">
        <f>IF(Q33="","",Q33)</f>
        <v>0</v>
      </c>
      <c r="S33" s="11">
        <f>IF(S$3=0,"",SUMIFS(INDEX(Inputs!$D$4:$AG$150,0,MATCH(S$2,Inputs!$D$2:$AG$2,0)),Inputs!$B$4:$B$150,$B33)/1000)</f>
        <v>0</v>
      </c>
      <c r="T33" s="11">
        <f>IF(T$3=0,"",SUMIFS(INDEX(Inputs!$D$4:$AG$150,0,MATCH(T$2,Inputs!$D$2:$AG$2,0)),Inputs!$B$4:$B$150,$B33)/1000)</f>
        <v>0</v>
      </c>
      <c r="U33" s="11">
        <f>IF(U$3=0,"",SUMIFS(INDEX(Inputs!$D$4:$AG$150,0,MATCH(U$2,Inputs!$D$2:$AG$2,0)),Inputs!$B$4:$B$150,$B33)/1000)</f>
        <v>0</v>
      </c>
      <c r="V33" s="11">
        <f>IF(V$3=0,"",SUMIFS(INDEX(Inputs!$D$4:$AG$150,0,MATCH(V$2,Inputs!$D$2:$AG$2,0)),Inputs!$B$4:$B$150,$B33)/1000)</f>
        <v>0</v>
      </c>
      <c r="W33" s="12">
        <f>IF(V33="","",V33)</f>
        <v>0</v>
      </c>
      <c r="X33" s="11">
        <f>IF(X$3=0,"",SUMIFS(INDEX(Inputs!$D$4:$AG$150,0,MATCH(X$2,Inputs!$D$2:$AG$2,0)),Inputs!$B$4:$B$150,$B33)/1000)</f>
        <v>0</v>
      </c>
      <c r="Y33" s="11">
        <f>IF(Y$3=0,"",SUMIFS(INDEX(Inputs!$D$4:$AG$150,0,MATCH(Y$2,Inputs!$D$2:$AG$2,0)),Inputs!$B$4:$B$150,$B33)/1000)</f>
        <v>0</v>
      </c>
      <c r="Z33" s="11">
        <f>IF(Z$3=0,"",SUMIFS(INDEX(Inputs!$D$4:$AG$150,0,MATCH(Z$2,Inputs!$D$2:$AG$2,0)),Inputs!$B$4:$B$150,$B33)/1000)</f>
        <v>0</v>
      </c>
      <c r="AA33" s="11">
        <f>IF(AA$3=0,"",SUMIFS(INDEX(Inputs!$D$4:$AG$150,0,MATCH(AA$2,Inputs!$D$2:$AG$2,0)),Inputs!$B$4:$B$150,$B33)/1000)</f>
        <v>0</v>
      </c>
      <c r="AB33" s="12">
        <f>IF(AA33="","",AA33)</f>
        <v>0</v>
      </c>
      <c r="AC33" s="11">
        <f>IF(AC$3=0,"",SUMIFS(INDEX(Inputs!$D$4:$AG$150,0,MATCH(AC$2,Inputs!$D$2:$AG$2,0)),Inputs!$B$4:$B$150,$B33)/1000)</f>
        <v>0</v>
      </c>
      <c r="AD33" s="11">
        <f>IF(AD$3=0,"",SUMIFS(INDEX(Inputs!$D$4:$AG$150,0,MATCH(AD$2,Inputs!$D$2:$AG$2,0)),Inputs!$B$4:$B$150,$B33)/1000)</f>
        <v>0</v>
      </c>
      <c r="AE33" s="11" t="str">
        <f>IF(AE$3=0,"",SUMIFS(INDEX(Inputs!$D$4:$AG$150,0,MATCH(AE$2,Inputs!$D$2:$AG$2,0)),Inputs!$B$4:$B$150,$B33)/1000)</f>
        <v/>
      </c>
      <c r="AF33" s="11" t="str">
        <f>IF(AF$3=0,"",SUMIFS(INDEX(Inputs!$D$4:$AG$150,0,MATCH(AF$2,Inputs!$D$2:$AG$2,0)),Inputs!$B$4:$B$150,$B33)/1000)</f>
        <v/>
      </c>
      <c r="AG33" s="12" t="str">
        <f>IF(AF33="","",AF33)</f>
        <v/>
      </c>
    </row>
    <row r="34">
      <c r="B34" s="9" t="n">
        <v>29</v>
      </c>
      <c r="C34" s="14" t="inlineStr">
        <is>
          <t>Short term operating leases</t>
        </is>
      </c>
      <c r="D34" s="11">
        <f>IF(D$3=0,"",SUMIFS(INDEX(Inputs!$D$4:$AG$150,0,MATCH(D$2,Inputs!$D$2:$AG$2,0)),Inputs!$B$4:$B$150,$B34)/1000)</f>
        <v>0</v>
      </c>
      <c r="E34" s="11">
        <f>IF(E$3=0,"",SUMIFS(INDEX(Inputs!$D$4:$AG$150,0,MATCH(E$2,Inputs!$D$2:$AG$2,0)),Inputs!$B$4:$B$150,$B34)/1000)</f>
        <v>0</v>
      </c>
      <c r="F34" s="11">
        <f>IF(F$3=0,"",SUMIFS(INDEX(Inputs!$D$4:$AG$150,0,MATCH(F$2,Inputs!$D$2:$AG$2,0)),Inputs!$B$4:$B$150,$B34)/1000)</f>
        <v>0</v>
      </c>
      <c r="G34" s="11">
        <f>IF(G$3=0,"",SUMIFS(INDEX(Inputs!$D$4:$AG$150,0,MATCH(G$2,Inputs!$D$2:$AG$2,0)),Inputs!$B$4:$B$150,$B34)/1000)</f>
        <v>0</v>
      </c>
      <c r="H34" s="12">
        <f>IF(G34="","",G34)</f>
        <v>0</v>
      </c>
      <c r="I34" s="11">
        <f>IF(I$3=0,"",SUMIFS(INDEX(Inputs!$D$4:$AG$150,0,MATCH(I$2,Inputs!$D$2:$AG$2,0)),Inputs!$B$4:$B$150,$B34)/1000)</f>
        <v>0</v>
      </c>
      <c r="J34" s="11">
        <f>IF(J$3=0,"",SUMIFS(INDEX(Inputs!$D$4:$AG$150,0,MATCH(J$2,Inputs!$D$2:$AG$2,0)),Inputs!$B$4:$B$150,$B34)/1000)</f>
        <v>0</v>
      </c>
      <c r="K34" s="11">
        <f>IF(K$3=0,"",SUMIFS(INDEX(Inputs!$D$4:$AG$150,0,MATCH(K$2,Inputs!$D$2:$AG$2,0)),Inputs!$B$4:$B$150,$B34)/1000)</f>
        <v>0</v>
      </c>
      <c r="L34" s="11">
        <f>IF(L$3=0,"",SUMIFS(INDEX(Inputs!$D$4:$AG$150,0,MATCH(L$2,Inputs!$D$2:$AG$2,0)),Inputs!$B$4:$B$150,$B34)/1000)</f>
        <v>0</v>
      </c>
      <c r="M34" s="12">
        <f>IF(L34="","",L34)</f>
        <v>0</v>
      </c>
      <c r="N34" s="11">
        <f>IF(N$3=0,"",SUMIFS(INDEX(Inputs!$D$4:$AG$150,0,MATCH(N$2,Inputs!$D$2:$AG$2,0)),Inputs!$B$4:$B$150,$B34)/1000)</f>
        <v>0</v>
      </c>
      <c r="O34" s="11">
        <f>IF(O$3=0,"",SUMIFS(INDEX(Inputs!$D$4:$AG$150,0,MATCH(O$2,Inputs!$D$2:$AG$2,0)),Inputs!$B$4:$B$150,$B34)/1000)</f>
        <v>0</v>
      </c>
      <c r="P34" s="11">
        <f>IF(P$3=0,"",SUMIFS(INDEX(Inputs!$D$4:$AG$150,0,MATCH(P$2,Inputs!$D$2:$AG$2,0)),Inputs!$B$4:$B$150,$B34)/1000)</f>
        <v>0</v>
      </c>
      <c r="Q34" s="11">
        <f>IF(Q$3=0,"",SUMIFS(INDEX(Inputs!$D$4:$AG$150,0,MATCH(Q$2,Inputs!$D$2:$AG$2,0)),Inputs!$B$4:$B$150,$B34)/1000)</f>
        <v>0</v>
      </c>
      <c r="R34" s="12">
        <f>IF(Q34="","",Q34)</f>
        <v>0</v>
      </c>
      <c r="S34" s="11">
        <f>IF(S$3=0,"",SUMIFS(INDEX(Inputs!$D$4:$AG$150,0,MATCH(S$2,Inputs!$D$2:$AG$2,0)),Inputs!$B$4:$B$150,$B34)/1000)</f>
        <v>0</v>
      </c>
      <c r="T34" s="11">
        <f>IF(T$3=0,"",SUMIFS(INDEX(Inputs!$D$4:$AG$150,0,MATCH(T$2,Inputs!$D$2:$AG$2,0)),Inputs!$B$4:$B$150,$B34)/1000)</f>
        <v>0</v>
      </c>
      <c r="U34" s="11">
        <f>IF(U$3=0,"",SUMIFS(INDEX(Inputs!$D$4:$AG$150,0,MATCH(U$2,Inputs!$D$2:$AG$2,0)),Inputs!$B$4:$B$150,$B34)/1000)</f>
        <v>0</v>
      </c>
      <c r="V34" s="11">
        <f>IF(V$3=0,"",SUMIFS(INDEX(Inputs!$D$4:$AG$150,0,MATCH(V$2,Inputs!$D$2:$AG$2,0)),Inputs!$B$4:$B$150,$B34)/1000)</f>
        <v>0</v>
      </c>
      <c r="W34" s="12">
        <f>IF(V34="","",V34)</f>
        <v>0</v>
      </c>
      <c r="X34" s="11">
        <f>IF(X$3=0,"",SUMIFS(INDEX(Inputs!$D$4:$AG$150,0,MATCH(X$2,Inputs!$D$2:$AG$2,0)),Inputs!$B$4:$B$150,$B34)/1000)</f>
        <v>0</v>
      </c>
      <c r="Y34" s="11">
        <f>IF(Y$3=0,"",SUMIFS(INDEX(Inputs!$D$4:$AG$150,0,MATCH(Y$2,Inputs!$D$2:$AG$2,0)),Inputs!$B$4:$B$150,$B34)/1000)</f>
        <v>0</v>
      </c>
      <c r="Z34" s="11">
        <f>IF(Z$3=0,"",SUMIFS(INDEX(Inputs!$D$4:$AG$150,0,MATCH(Z$2,Inputs!$D$2:$AG$2,0)),Inputs!$B$4:$B$150,$B34)/1000)</f>
        <v>0</v>
      </c>
      <c r="AA34" s="11">
        <f>IF(AA$3=0,"",SUMIFS(INDEX(Inputs!$D$4:$AG$150,0,MATCH(AA$2,Inputs!$D$2:$AG$2,0)),Inputs!$B$4:$B$150,$B34)/1000)</f>
        <v>0</v>
      </c>
      <c r="AB34" s="12">
        <f>IF(AA34="","",AA34)</f>
        <v>0</v>
      </c>
      <c r="AC34" s="11">
        <f>IF(AC$3=0,"",SUMIFS(INDEX(Inputs!$D$4:$AG$150,0,MATCH(AC$2,Inputs!$D$2:$AG$2,0)),Inputs!$B$4:$B$150,$B34)/1000)</f>
        <v>0</v>
      </c>
      <c r="AD34" s="11">
        <f>IF(AD$3=0,"",SUMIFS(INDEX(Inputs!$D$4:$AG$150,0,MATCH(AD$2,Inputs!$D$2:$AG$2,0)),Inputs!$B$4:$B$150,$B34)/1000)</f>
        <v>0</v>
      </c>
      <c r="AE34" s="11" t="str">
        <f>IF(AE$3=0,"",SUMIFS(INDEX(Inputs!$D$4:$AG$150,0,MATCH(AE$2,Inputs!$D$2:$AG$2,0)),Inputs!$B$4:$B$150,$B34)/1000)</f>
        <v/>
      </c>
      <c r="AF34" s="11" t="str">
        <f>IF(AF$3=0,"",SUMIFS(INDEX(Inputs!$D$4:$AG$150,0,MATCH(AF$2,Inputs!$D$2:$AG$2,0)),Inputs!$B$4:$B$150,$B34)/1000)</f>
        <v/>
      </c>
      <c r="AG34" s="12" t="str">
        <f>IF(AF34="","",AF34)</f>
        <v/>
      </c>
    </row>
    <row r="35">
      <c r="B35" s="9" t="n">
        <v>30</v>
      </c>
      <c r="C35" s="14" t="inlineStr">
        <is>
          <t>Long term debt</t>
        </is>
      </c>
      <c r="D35" s="11">
        <f>IF(D$3=0,"",SUMIFS(INDEX(Inputs!$D$4:$AG$150,0,MATCH(D$2,Inputs!$D$2:$AG$2,0)),Inputs!$B$4:$B$150,$B35)/1000)</f>
        <v>0</v>
      </c>
      <c r="E35" s="11">
        <f>IF(E$3=0,"",SUMIFS(INDEX(Inputs!$D$4:$AG$150,0,MATCH(E$2,Inputs!$D$2:$AG$2,0)),Inputs!$B$4:$B$150,$B35)/1000)</f>
        <v>0</v>
      </c>
      <c r="F35" s="11">
        <f>IF(F$3=0,"",SUMIFS(INDEX(Inputs!$D$4:$AG$150,0,MATCH(F$2,Inputs!$D$2:$AG$2,0)),Inputs!$B$4:$B$150,$B35)/1000)</f>
        <v>0</v>
      </c>
      <c r="G35" s="11">
        <f>IF(G$3=0,"",SUMIFS(INDEX(Inputs!$D$4:$AG$150,0,MATCH(G$2,Inputs!$D$2:$AG$2,0)),Inputs!$B$4:$B$150,$B35)/1000)</f>
        <v>4575</v>
      </c>
      <c r="H35" s="12">
        <f>IF(G35="","",G35)</f>
        <v>4575</v>
      </c>
      <c r="I35" s="11">
        <f>IF(I$3=0,"",SUMIFS(INDEX(Inputs!$D$4:$AG$150,0,MATCH(I$2,Inputs!$D$2:$AG$2,0)),Inputs!$B$4:$B$150,$B35)/1000)</f>
        <v>4548</v>
      </c>
      <c r="J35" s="11">
        <f>IF(J$3=0,"",SUMIFS(INDEX(Inputs!$D$4:$AG$150,0,MATCH(J$2,Inputs!$D$2:$AG$2,0)),Inputs!$B$4:$B$150,$B35)/1000)</f>
        <v>4507</v>
      </c>
      <c r="K35" s="11">
        <f>IF(K$3=0,"",SUMIFS(INDEX(Inputs!$D$4:$AG$150,0,MATCH(K$2,Inputs!$D$2:$AG$2,0)),Inputs!$B$4:$B$150,$B35)/1000)</f>
        <v>4480</v>
      </c>
      <c r="L35" s="11">
        <f>IF(L$3=0,"",SUMIFS(INDEX(Inputs!$D$4:$AG$150,0,MATCH(L$2,Inputs!$D$2:$AG$2,0)),Inputs!$B$4:$B$150,$B35)/1000)</f>
        <v>4466</v>
      </c>
      <c r="M35" s="12">
        <f>IF(L35="","",L35)</f>
        <v>4466</v>
      </c>
      <c r="N35" s="11">
        <f>IF(N$3=0,"",SUMIFS(INDEX(Inputs!$D$4:$AG$150,0,MATCH(N$2,Inputs!$D$2:$AG$2,0)),Inputs!$B$4:$B$150,$B35)/1000)</f>
        <v>5763</v>
      </c>
      <c r="O35" s="11">
        <f>IF(O$3=0,"",SUMIFS(INDEX(Inputs!$D$4:$AG$150,0,MATCH(O$2,Inputs!$D$2:$AG$2,0)),Inputs!$B$4:$B$150,$B35)/1000)</f>
        <v>6156</v>
      </c>
      <c r="P35" s="11">
        <f>IF(P$3=0,"",SUMIFS(INDEX(Inputs!$D$4:$AG$150,0,MATCH(P$2,Inputs!$D$2:$AG$2,0)),Inputs!$B$4:$B$150,$B35)/1000)</f>
        <v>7512</v>
      </c>
      <c r="Q35" s="11">
        <f>IF(Q$3=0,"",SUMIFS(INDEX(Inputs!$D$4:$AG$150,0,MATCH(Q$2,Inputs!$D$2:$AG$2,0)),Inputs!$B$4:$B$150,$B35)/1000)</f>
        <v>7496</v>
      </c>
      <c r="R35" s="12">
        <f>IF(Q35="","",Q35)</f>
        <v>7496</v>
      </c>
      <c r="S35" s="11">
        <f>IF(S$3=0,"",SUMIFS(INDEX(Inputs!$D$4:$AG$150,0,MATCH(S$2,Inputs!$D$2:$AG$2,0)),Inputs!$B$4:$B$150,$B35)/1000)</f>
        <v>8352</v>
      </c>
      <c r="T35" s="11">
        <f>IF(T$3=0,"",SUMIFS(INDEX(Inputs!$D$4:$AG$150,0,MATCH(T$2,Inputs!$D$2:$AG$2,0)),Inputs!$B$4:$B$150,$B35)/1000)</f>
        <v>7409</v>
      </c>
      <c r="U35" s="11">
        <f>IF(U$3=0,"",SUMIFS(INDEX(Inputs!$D$4:$AG$150,0,MATCH(U$2,Inputs!$D$2:$AG$2,0)),Inputs!$B$4:$B$150,$B35)/1000)</f>
        <v>7378</v>
      </c>
      <c r="V35" s="11">
        <f>IF(V$3=0,"",SUMIFS(INDEX(Inputs!$D$4:$AG$150,0,MATCH(V$2,Inputs!$D$2:$AG$2,0)),Inputs!$B$4:$B$150,$B35)/1000)</f>
        <v>7384</v>
      </c>
      <c r="W35" s="12">
        <f>IF(V35="","",V35)</f>
        <v>7384</v>
      </c>
      <c r="X35" s="11">
        <f>IF(X$3=0,"",SUMIFS(INDEX(Inputs!$D$4:$AG$150,0,MATCH(X$2,Inputs!$D$2:$AG$2,0)),Inputs!$B$4:$B$150,$B35)/1000)</f>
        <v>7321</v>
      </c>
      <c r="Y35" s="11">
        <f>IF(Y$3=0,"",SUMIFS(INDEX(Inputs!$D$4:$AG$150,0,MATCH(Y$2,Inputs!$D$2:$AG$2,0)),Inputs!$B$4:$B$150,$B35)/1000)</f>
        <v>7286</v>
      </c>
      <c r="Z35" s="11">
        <f>IF(Z$3=0,"",SUMIFS(INDEX(Inputs!$D$4:$AG$150,0,MATCH(Z$2,Inputs!$D$2:$AG$2,0)),Inputs!$B$4:$B$150,$B35)/1000)</f>
        <v>7269</v>
      </c>
      <c r="AA35" s="11">
        <f>IF(AA$3=0,"",SUMIFS(INDEX(Inputs!$D$4:$AG$150,0,MATCH(AA$2,Inputs!$D$2:$AG$2,0)),Inputs!$B$4:$B$150,$B35)/1000)</f>
        <v>7250</v>
      </c>
      <c r="AB35" s="12">
        <f>IF(AA35="","",AA35)</f>
        <v>7250</v>
      </c>
      <c r="AC35" s="11">
        <f>IF(AC$3=0,"",SUMIFS(INDEX(Inputs!$D$4:$AG$150,0,MATCH(AC$2,Inputs!$D$2:$AG$2,0)),Inputs!$B$4:$B$150,$B35)/1000)</f>
        <v>16994</v>
      </c>
      <c r="AD35" s="11">
        <f>IF(AD$3=0,"",SUMIFS(INDEX(Inputs!$D$4:$AG$150,0,MATCH(AD$2,Inputs!$D$2:$AG$2,0)),Inputs!$B$4:$B$150,$B35)/1000)</f>
        <v>19111</v>
      </c>
      <c r="AE35" s="11" t="str">
        <f>IF(AE$3=0,"",SUMIFS(INDEX(Inputs!$D$4:$AG$150,0,MATCH(AE$2,Inputs!$D$2:$AG$2,0)),Inputs!$B$4:$B$150,$B35)/1000)</f>
        <v/>
      </c>
      <c r="AF35" s="11" t="str">
        <f>IF(AF$3=0,"",SUMIFS(INDEX(Inputs!$D$4:$AG$150,0,MATCH(AF$2,Inputs!$D$2:$AG$2,0)),Inputs!$B$4:$B$150,$B35)/1000)</f>
        <v/>
      </c>
      <c r="AG35" s="12" t="str">
        <f>IF(AF35="","",AF35)</f>
        <v/>
      </c>
    </row>
    <row r="36">
      <c r="B36" s="9" t="n">
        <v>31</v>
      </c>
      <c r="C36" s="14" t="inlineStr">
        <is>
          <t>Long term operating leases</t>
        </is>
      </c>
      <c r="D36" s="11">
        <f>IF(D$3=0,"",SUMIFS(INDEX(Inputs!$D$4:$AG$150,0,MATCH(D$2,Inputs!$D$2:$AG$2,0)),Inputs!$B$4:$B$150,$B36)/1000)</f>
        <v>0</v>
      </c>
      <c r="E36" s="11">
        <f>IF(E$3=0,"",SUMIFS(INDEX(Inputs!$D$4:$AG$150,0,MATCH(E$2,Inputs!$D$2:$AG$2,0)),Inputs!$B$4:$B$150,$B36)/1000)</f>
        <v>0</v>
      </c>
      <c r="F36" s="11">
        <f>IF(F$3=0,"",SUMIFS(INDEX(Inputs!$D$4:$AG$150,0,MATCH(F$2,Inputs!$D$2:$AG$2,0)),Inputs!$B$4:$B$150,$B36)/1000)</f>
        <v>0</v>
      </c>
      <c r="G36" s="11">
        <f>IF(G$3=0,"",SUMIFS(INDEX(Inputs!$D$4:$AG$150,0,MATCH(G$2,Inputs!$D$2:$AG$2,0)),Inputs!$B$4:$B$150,$B36)/1000)</f>
        <v>0</v>
      </c>
      <c r="H36" s="12">
        <f>IF(G36="","",G36)</f>
        <v>0</v>
      </c>
      <c r="I36" s="11">
        <f>IF(I$3=0,"",SUMIFS(INDEX(Inputs!$D$4:$AG$150,0,MATCH(I$2,Inputs!$D$2:$AG$2,0)),Inputs!$B$4:$B$150,$B36)/1000)</f>
        <v>0</v>
      </c>
      <c r="J36" s="11">
        <f>IF(J$3=0,"",SUMIFS(INDEX(Inputs!$D$4:$AG$150,0,MATCH(J$2,Inputs!$D$2:$AG$2,0)),Inputs!$B$4:$B$150,$B36)/1000)</f>
        <v>0</v>
      </c>
      <c r="K36" s="11">
        <f>IF(K$3=0,"",SUMIFS(INDEX(Inputs!$D$4:$AG$150,0,MATCH(K$2,Inputs!$D$2:$AG$2,0)),Inputs!$B$4:$B$150,$B36)/1000)</f>
        <v>0</v>
      </c>
      <c r="L36" s="11">
        <f>IF(L$3=0,"",SUMIFS(INDEX(Inputs!$D$4:$AG$150,0,MATCH(L$2,Inputs!$D$2:$AG$2,0)),Inputs!$B$4:$B$150,$B36)/1000)</f>
        <v>0</v>
      </c>
      <c r="M36" s="12">
        <f>IF(L36="","",L36)</f>
        <v>0</v>
      </c>
      <c r="N36" s="11">
        <f>IF(N$3=0,"",SUMIFS(INDEX(Inputs!$D$4:$AG$150,0,MATCH(N$2,Inputs!$D$2:$AG$2,0)),Inputs!$B$4:$B$150,$B36)/1000)</f>
        <v>0</v>
      </c>
      <c r="O36" s="11">
        <f>IF(O$3=0,"",SUMIFS(INDEX(Inputs!$D$4:$AG$150,0,MATCH(O$2,Inputs!$D$2:$AG$2,0)),Inputs!$B$4:$B$150,$B36)/1000)</f>
        <v>0</v>
      </c>
      <c r="P36" s="11">
        <f>IF(P$3=0,"",SUMIFS(INDEX(Inputs!$D$4:$AG$150,0,MATCH(P$2,Inputs!$D$2:$AG$2,0)),Inputs!$B$4:$B$150,$B36)/1000)</f>
        <v>0</v>
      </c>
      <c r="Q36" s="11">
        <f>IF(Q$3=0,"",SUMIFS(INDEX(Inputs!$D$4:$AG$150,0,MATCH(Q$2,Inputs!$D$2:$AG$2,0)),Inputs!$B$4:$B$150,$B36)/1000)</f>
        <v>0</v>
      </c>
      <c r="R36" s="12">
        <f>IF(Q36="","",Q36)</f>
        <v>0</v>
      </c>
      <c r="S36" s="11">
        <f>IF(S$3=0,"",SUMIFS(INDEX(Inputs!$D$4:$AG$150,0,MATCH(S$2,Inputs!$D$2:$AG$2,0)),Inputs!$B$4:$B$150,$B36)/1000)</f>
        <v>0</v>
      </c>
      <c r="T36" s="11">
        <f>IF(T$3=0,"",SUMIFS(INDEX(Inputs!$D$4:$AG$150,0,MATCH(T$2,Inputs!$D$2:$AG$2,0)),Inputs!$B$4:$B$150,$B36)/1000)</f>
        <v>0</v>
      </c>
      <c r="U36" s="11">
        <f>IF(U$3=0,"",SUMIFS(INDEX(Inputs!$D$4:$AG$150,0,MATCH(U$2,Inputs!$D$2:$AG$2,0)),Inputs!$B$4:$B$150,$B36)/1000)</f>
        <v>0</v>
      </c>
      <c r="V36" s="11">
        <f>IF(V$3=0,"",SUMIFS(INDEX(Inputs!$D$4:$AG$150,0,MATCH(V$2,Inputs!$D$2:$AG$2,0)),Inputs!$B$4:$B$150,$B36)/1000)</f>
        <v>0</v>
      </c>
      <c r="W36" s="12">
        <f>IF(V36="","",V36)</f>
        <v>0</v>
      </c>
      <c r="X36" s="11">
        <f>IF(X$3=0,"",SUMIFS(INDEX(Inputs!$D$4:$AG$150,0,MATCH(X$2,Inputs!$D$2:$AG$2,0)),Inputs!$B$4:$B$150,$B36)/1000)</f>
        <v>0</v>
      </c>
      <c r="Y36" s="11">
        <f>IF(Y$3=0,"",SUMIFS(INDEX(Inputs!$D$4:$AG$150,0,MATCH(Y$2,Inputs!$D$2:$AG$2,0)),Inputs!$B$4:$B$150,$B36)/1000)</f>
        <v>0</v>
      </c>
      <c r="Z36" s="11">
        <f>IF(Z$3=0,"",SUMIFS(INDEX(Inputs!$D$4:$AG$150,0,MATCH(Z$2,Inputs!$D$2:$AG$2,0)),Inputs!$B$4:$B$150,$B36)/1000)</f>
        <v>0</v>
      </c>
      <c r="AA36" s="11">
        <f>IF(AA$3=0,"",SUMIFS(INDEX(Inputs!$D$4:$AG$150,0,MATCH(AA$2,Inputs!$D$2:$AG$2,0)),Inputs!$B$4:$B$150,$B36)/1000)</f>
        <v>0</v>
      </c>
      <c r="AB36" s="12">
        <f>IF(AA36="","",AA36)</f>
        <v>0</v>
      </c>
      <c r="AC36" s="11">
        <f>IF(AC$3=0,"",SUMIFS(INDEX(Inputs!$D$4:$AG$150,0,MATCH(AC$2,Inputs!$D$2:$AG$2,0)),Inputs!$B$4:$B$150,$B36)/1000)</f>
        <v>0</v>
      </c>
      <c r="AD36" s="11">
        <f>IF(AD$3=0,"",SUMIFS(INDEX(Inputs!$D$4:$AG$150,0,MATCH(AD$2,Inputs!$D$2:$AG$2,0)),Inputs!$B$4:$B$150,$B36)/1000)</f>
        <v>0</v>
      </c>
      <c r="AE36" s="11" t="str">
        <f>IF(AE$3=0,"",SUMIFS(INDEX(Inputs!$D$4:$AG$150,0,MATCH(AE$2,Inputs!$D$2:$AG$2,0)),Inputs!$B$4:$B$150,$B36)/1000)</f>
        <v/>
      </c>
      <c r="AF36" s="11" t="str">
        <f>IF(AF$3=0,"",SUMIFS(INDEX(Inputs!$D$4:$AG$150,0,MATCH(AF$2,Inputs!$D$2:$AG$2,0)),Inputs!$B$4:$B$150,$B36)/1000)</f>
        <v/>
      </c>
      <c r="AG36" s="12" t="str">
        <f>IF(AF36="","",AF36)</f>
        <v/>
      </c>
    </row>
    <row r="37">
      <c r="B37" s="9" t="n">
        <v>32</v>
      </c>
      <c r="C37" s="14" t="inlineStr">
        <is>
          <t>Convertible debt</t>
        </is>
      </c>
      <c r="D37" s="11">
        <f>IF(D$3=0,"",SUMIFS(INDEX(Inputs!$D$4:$AG$150,0,MATCH(D$2,Inputs!$D$2:$AG$2,0)),Inputs!$B$4:$B$150,$B37)/1000)</f>
        <v>0</v>
      </c>
      <c r="E37" s="11">
        <f>IF(E$3=0,"",SUMIFS(INDEX(Inputs!$D$4:$AG$150,0,MATCH(E$2,Inputs!$D$2:$AG$2,0)),Inputs!$B$4:$B$150,$B37)/1000)</f>
        <v>0</v>
      </c>
      <c r="F37" s="11">
        <f>IF(F$3=0,"",SUMIFS(INDEX(Inputs!$D$4:$AG$150,0,MATCH(F$2,Inputs!$D$2:$AG$2,0)),Inputs!$B$4:$B$150,$B37)/1000)</f>
        <v>0</v>
      </c>
      <c r="G37" s="11">
        <f>IF(G$3=0,"",SUMIFS(INDEX(Inputs!$D$4:$AG$150,0,MATCH(G$2,Inputs!$D$2:$AG$2,0)),Inputs!$B$4:$B$150,$B37)/1000)</f>
        <v>0</v>
      </c>
      <c r="H37" s="12">
        <f>IF(G37="","",G37)</f>
        <v>0</v>
      </c>
      <c r="I37" s="11">
        <f>IF(I$3=0,"",SUMIFS(INDEX(Inputs!$D$4:$AG$150,0,MATCH(I$2,Inputs!$D$2:$AG$2,0)),Inputs!$B$4:$B$150,$B37)/1000)</f>
        <v>0</v>
      </c>
      <c r="J37" s="11">
        <f>IF(J$3=0,"",SUMIFS(INDEX(Inputs!$D$4:$AG$150,0,MATCH(J$2,Inputs!$D$2:$AG$2,0)),Inputs!$B$4:$B$150,$B37)/1000)</f>
        <v>0</v>
      </c>
      <c r="K37" s="11">
        <f>IF(K$3=0,"",SUMIFS(INDEX(Inputs!$D$4:$AG$150,0,MATCH(K$2,Inputs!$D$2:$AG$2,0)),Inputs!$B$4:$B$150,$B37)/1000)</f>
        <v>0</v>
      </c>
      <c r="L37" s="11">
        <f>IF(L$3=0,"",SUMIFS(INDEX(Inputs!$D$4:$AG$150,0,MATCH(L$2,Inputs!$D$2:$AG$2,0)),Inputs!$B$4:$B$150,$B37)/1000)</f>
        <v>0</v>
      </c>
      <c r="M37" s="12">
        <f>IF(L37="","",L37)</f>
        <v>0</v>
      </c>
      <c r="N37" s="11">
        <f>IF(N$3=0,"",SUMIFS(INDEX(Inputs!$D$4:$AG$150,0,MATCH(N$2,Inputs!$D$2:$AG$2,0)),Inputs!$B$4:$B$150,$B37)/1000)</f>
        <v>0</v>
      </c>
      <c r="O37" s="11">
        <f>IF(O$3=0,"",SUMIFS(INDEX(Inputs!$D$4:$AG$150,0,MATCH(O$2,Inputs!$D$2:$AG$2,0)),Inputs!$B$4:$B$150,$B37)/1000)</f>
        <v>0</v>
      </c>
      <c r="P37" s="11">
        <f>IF(P$3=0,"",SUMIFS(INDEX(Inputs!$D$4:$AG$150,0,MATCH(P$2,Inputs!$D$2:$AG$2,0)),Inputs!$B$4:$B$150,$B37)/1000)</f>
        <v>0</v>
      </c>
      <c r="Q37" s="11">
        <f>IF(Q$3=0,"",SUMIFS(INDEX(Inputs!$D$4:$AG$150,0,MATCH(Q$2,Inputs!$D$2:$AG$2,0)),Inputs!$B$4:$B$150,$B37)/1000)</f>
        <v>0</v>
      </c>
      <c r="R37" s="12">
        <f>IF(Q37="","",Q37)</f>
        <v>0</v>
      </c>
      <c r="S37" s="11">
        <f>IF(S$3=0,"",SUMIFS(INDEX(Inputs!$D$4:$AG$150,0,MATCH(S$2,Inputs!$D$2:$AG$2,0)),Inputs!$B$4:$B$150,$B37)/1000)</f>
        <v>0</v>
      </c>
      <c r="T37" s="11">
        <f>IF(T$3=0,"",SUMIFS(INDEX(Inputs!$D$4:$AG$150,0,MATCH(T$2,Inputs!$D$2:$AG$2,0)),Inputs!$B$4:$B$150,$B37)/1000)</f>
        <v>0</v>
      </c>
      <c r="U37" s="11">
        <f>IF(U$3=0,"",SUMIFS(INDEX(Inputs!$D$4:$AG$150,0,MATCH(U$2,Inputs!$D$2:$AG$2,0)),Inputs!$B$4:$B$150,$B37)/1000)</f>
        <v>0</v>
      </c>
      <c r="V37" s="11">
        <f>IF(V$3=0,"",SUMIFS(INDEX(Inputs!$D$4:$AG$150,0,MATCH(V$2,Inputs!$D$2:$AG$2,0)),Inputs!$B$4:$B$150,$B37)/1000)</f>
        <v>0</v>
      </c>
      <c r="W37" s="12">
        <f>IF(V37="","",V37)</f>
        <v>0</v>
      </c>
      <c r="X37" s="11">
        <f>IF(X$3=0,"",SUMIFS(INDEX(Inputs!$D$4:$AG$150,0,MATCH(X$2,Inputs!$D$2:$AG$2,0)),Inputs!$B$4:$B$150,$B37)/1000)</f>
        <v>0</v>
      </c>
      <c r="Y37" s="11">
        <f>IF(Y$3=0,"",SUMIFS(INDEX(Inputs!$D$4:$AG$150,0,MATCH(Y$2,Inputs!$D$2:$AG$2,0)),Inputs!$B$4:$B$150,$B37)/1000)</f>
        <v>0</v>
      </c>
      <c r="Z37" s="11">
        <f>IF(Z$3=0,"",SUMIFS(INDEX(Inputs!$D$4:$AG$150,0,MATCH(Z$2,Inputs!$D$2:$AG$2,0)),Inputs!$B$4:$B$150,$B37)/1000)</f>
        <v>0</v>
      </c>
      <c r="AA37" s="11">
        <f>IF(AA$3=0,"",SUMIFS(INDEX(Inputs!$D$4:$AG$150,0,MATCH(AA$2,Inputs!$D$2:$AG$2,0)),Inputs!$B$4:$B$150,$B37)/1000)</f>
        <v>0</v>
      </c>
      <c r="AB37" s="12">
        <f>IF(AA37="","",AA37)</f>
        <v>0</v>
      </c>
      <c r="AC37" s="11">
        <f>IF(AC$3=0,"",SUMIFS(INDEX(Inputs!$D$4:$AG$150,0,MATCH(AC$2,Inputs!$D$2:$AG$2,0)),Inputs!$B$4:$B$150,$B37)/1000)</f>
        <v>0</v>
      </c>
      <c r="AD37" s="11">
        <f>IF(AD$3=0,"",SUMIFS(INDEX(Inputs!$D$4:$AG$150,0,MATCH(AD$2,Inputs!$D$2:$AG$2,0)),Inputs!$B$4:$B$150,$B37)/1000)</f>
        <v>0</v>
      </c>
      <c r="AE37" s="11" t="str">
        <f>IF(AE$3=0,"",SUMIFS(INDEX(Inputs!$D$4:$AG$150,0,MATCH(AE$2,Inputs!$D$2:$AG$2,0)),Inputs!$B$4:$B$150,$B37)/1000)</f>
        <v/>
      </c>
      <c r="AF37" s="11" t="str">
        <f>IF(AF$3=0,"",SUMIFS(INDEX(Inputs!$D$4:$AG$150,0,MATCH(AF$2,Inputs!$D$2:$AG$2,0)),Inputs!$B$4:$B$150,$B37)/1000)</f>
        <v/>
      </c>
      <c r="AG37" s="12" t="str">
        <f>IF(AF37="","",AF37)</f>
        <v/>
      </c>
    </row>
    <row r="38">
      <c r="B38" s="9" t="n">
        <v>33</v>
      </c>
      <c r="C38" s="14" t="inlineStr">
        <is>
          <t>Deferred income taxes</t>
        </is>
      </c>
      <c r="D38" s="11">
        <f>IF(D$3=0,"",SUMIFS(INDEX(Inputs!$D$4:$AG$150,0,MATCH(D$2,Inputs!$D$2:$AG$2,0)),Inputs!$B$4:$B$150,$B38)/1000)</f>
        <v>0</v>
      </c>
      <c r="E38" s="11">
        <f>IF(E$3=0,"",SUMIFS(INDEX(Inputs!$D$4:$AG$150,0,MATCH(E$2,Inputs!$D$2:$AG$2,0)),Inputs!$B$4:$B$150,$B38)/1000)</f>
        <v>0</v>
      </c>
      <c r="F38" s="11">
        <f>IF(F$3=0,"",SUMIFS(INDEX(Inputs!$D$4:$AG$150,0,MATCH(F$2,Inputs!$D$2:$AG$2,0)),Inputs!$B$4:$B$150,$B38)/1000)</f>
        <v>0</v>
      </c>
      <c r="G38" s="11">
        <f>IF(G$3=0,"",SUMIFS(INDEX(Inputs!$D$4:$AG$150,0,MATCH(G$2,Inputs!$D$2:$AG$2,0)),Inputs!$B$4:$B$150,$B38)/1000)</f>
        <v>0</v>
      </c>
      <c r="H38" s="12">
        <f>IF(G38="","",G38)</f>
        <v>0</v>
      </c>
      <c r="I38" s="11">
        <f>IF(I$3=0,"",SUMIFS(INDEX(Inputs!$D$4:$AG$150,0,MATCH(I$2,Inputs!$D$2:$AG$2,0)),Inputs!$B$4:$B$150,$B38)/1000)</f>
        <v>0</v>
      </c>
      <c r="J38" s="11">
        <f>IF(J$3=0,"",SUMIFS(INDEX(Inputs!$D$4:$AG$150,0,MATCH(J$2,Inputs!$D$2:$AG$2,0)),Inputs!$B$4:$B$150,$B38)/1000)</f>
        <v>0</v>
      </c>
      <c r="K38" s="11">
        <f>IF(K$3=0,"",SUMIFS(INDEX(Inputs!$D$4:$AG$150,0,MATCH(K$2,Inputs!$D$2:$AG$2,0)),Inputs!$B$4:$B$150,$B38)/1000)</f>
        <v>0</v>
      </c>
      <c r="L38" s="11">
        <f>IF(L$3=0,"",SUMIFS(INDEX(Inputs!$D$4:$AG$150,0,MATCH(L$2,Inputs!$D$2:$AG$2,0)),Inputs!$B$4:$B$150,$B38)/1000)</f>
        <v>0</v>
      </c>
      <c r="M38" s="12">
        <f>IF(L38="","",L38)</f>
        <v>0</v>
      </c>
      <c r="N38" s="11">
        <f>IF(N$3=0,"",SUMIFS(INDEX(Inputs!$D$4:$AG$150,0,MATCH(N$2,Inputs!$D$2:$AG$2,0)),Inputs!$B$4:$B$150,$B38)/1000)</f>
        <v>0</v>
      </c>
      <c r="O38" s="11">
        <f>IF(O$3=0,"",SUMIFS(INDEX(Inputs!$D$4:$AG$150,0,MATCH(O$2,Inputs!$D$2:$AG$2,0)),Inputs!$B$4:$B$150,$B38)/1000)</f>
        <v>0</v>
      </c>
      <c r="P38" s="11">
        <f>IF(P$3=0,"",SUMIFS(INDEX(Inputs!$D$4:$AG$150,0,MATCH(P$2,Inputs!$D$2:$AG$2,0)),Inputs!$B$4:$B$150,$B38)/1000)</f>
        <v>0</v>
      </c>
      <c r="Q38" s="11">
        <f>IF(Q$3=0,"",SUMIFS(INDEX(Inputs!$D$4:$AG$150,0,MATCH(Q$2,Inputs!$D$2:$AG$2,0)),Inputs!$B$4:$B$150,$B38)/1000)</f>
        <v>0</v>
      </c>
      <c r="R38" s="12">
        <f>IF(Q38="","",Q38)</f>
        <v>0</v>
      </c>
      <c r="S38" s="11">
        <f>IF(S$3=0,"",SUMIFS(INDEX(Inputs!$D$4:$AG$150,0,MATCH(S$2,Inputs!$D$2:$AG$2,0)),Inputs!$B$4:$B$150,$B38)/1000)</f>
        <v>0</v>
      </c>
      <c r="T38" s="11">
        <f>IF(T$3=0,"",SUMIFS(INDEX(Inputs!$D$4:$AG$150,0,MATCH(T$2,Inputs!$D$2:$AG$2,0)),Inputs!$B$4:$B$150,$B38)/1000)</f>
        <v>0</v>
      </c>
      <c r="U38" s="11">
        <f>IF(U$3=0,"",SUMIFS(INDEX(Inputs!$D$4:$AG$150,0,MATCH(U$2,Inputs!$D$2:$AG$2,0)),Inputs!$B$4:$B$150,$B38)/1000)</f>
        <v>0</v>
      </c>
      <c r="V38" s="11">
        <f>IF(V$3=0,"",SUMIFS(INDEX(Inputs!$D$4:$AG$150,0,MATCH(V$2,Inputs!$D$2:$AG$2,0)),Inputs!$B$4:$B$150,$B38)/1000)</f>
        <v>0</v>
      </c>
      <c r="W38" s="12">
        <f>IF(V38="","",V38)</f>
        <v>0</v>
      </c>
      <c r="X38" s="11">
        <f>IF(X$3=0,"",SUMIFS(INDEX(Inputs!$D$4:$AG$150,0,MATCH(X$2,Inputs!$D$2:$AG$2,0)),Inputs!$B$4:$B$150,$B38)/1000)</f>
        <v>0</v>
      </c>
      <c r="Y38" s="11">
        <f>IF(Y$3=0,"",SUMIFS(INDEX(Inputs!$D$4:$AG$150,0,MATCH(Y$2,Inputs!$D$2:$AG$2,0)),Inputs!$B$4:$B$150,$B38)/1000)</f>
        <v>0</v>
      </c>
      <c r="Z38" s="11">
        <f>IF(Z$3=0,"",SUMIFS(INDEX(Inputs!$D$4:$AG$150,0,MATCH(Z$2,Inputs!$D$2:$AG$2,0)),Inputs!$B$4:$B$150,$B38)/1000)</f>
        <v>0</v>
      </c>
      <c r="AA38" s="11">
        <f>IF(AA$3=0,"",SUMIFS(INDEX(Inputs!$D$4:$AG$150,0,MATCH(AA$2,Inputs!$D$2:$AG$2,0)),Inputs!$B$4:$B$150,$B38)/1000)</f>
        <v>0</v>
      </c>
      <c r="AB38" s="12">
        <f>IF(AA38="","",AA38)</f>
        <v>0</v>
      </c>
      <c r="AC38" s="11">
        <f>IF(AC$3=0,"",SUMIFS(INDEX(Inputs!$D$4:$AG$150,0,MATCH(AC$2,Inputs!$D$2:$AG$2,0)),Inputs!$B$4:$B$150,$B38)/1000)</f>
        <v>0</v>
      </c>
      <c r="AD38" s="11">
        <f>IF(AD$3=0,"",SUMIFS(INDEX(Inputs!$D$4:$AG$150,0,MATCH(AD$2,Inputs!$D$2:$AG$2,0)),Inputs!$B$4:$B$150,$B38)/1000)</f>
        <v>0</v>
      </c>
      <c r="AE38" s="11" t="str">
        <f>IF(AE$3=0,"",SUMIFS(INDEX(Inputs!$D$4:$AG$150,0,MATCH(AE$2,Inputs!$D$2:$AG$2,0)),Inputs!$B$4:$B$150,$B38)/1000)</f>
        <v/>
      </c>
      <c r="AF38" s="11" t="str">
        <f>IF(AF$3=0,"",SUMIFS(INDEX(Inputs!$D$4:$AG$150,0,MATCH(AF$2,Inputs!$D$2:$AG$2,0)),Inputs!$B$4:$B$150,$B38)/1000)</f>
        <v/>
      </c>
      <c r="AG38" s="12" t="str">
        <f>IF(AF38="","",AF38)</f>
        <v/>
      </c>
    </row>
    <row r="39">
      <c r="B39" s="9" t="n">
        <v>34</v>
      </c>
      <c r="C39" s="14" t="inlineStr">
        <is>
          <t>Other non-current liabilities</t>
        </is>
      </c>
      <c r="D39" s="11">
        <f>IF(D$3=0,"",SUMIFS(INDEX(Inputs!$D$4:$AG$150,0,MATCH(D$2,Inputs!$D$2:$AG$2,0)),Inputs!$B$4:$B$150,$B39)/1000)</f>
        <v>0</v>
      </c>
      <c r="E39" s="11">
        <f>IF(E$3=0,"",SUMIFS(INDEX(Inputs!$D$4:$AG$150,0,MATCH(E$2,Inputs!$D$2:$AG$2,0)),Inputs!$B$4:$B$150,$B39)/1000)</f>
        <v>0</v>
      </c>
      <c r="F39" s="11">
        <f>IF(F$3=0,"",SUMIFS(INDEX(Inputs!$D$4:$AG$150,0,MATCH(F$2,Inputs!$D$2:$AG$2,0)),Inputs!$B$4:$B$150,$B39)/1000)</f>
        <v>0</v>
      </c>
      <c r="G39" s="11">
        <f>IF(G$3=0,"",SUMIFS(INDEX(Inputs!$D$4:$AG$150,0,MATCH(G$2,Inputs!$D$2:$AG$2,0)),Inputs!$B$4:$B$150,$B39)/1000)</f>
        <v>23901</v>
      </c>
      <c r="H39" s="12">
        <f>IF(G39="","",G39)</f>
        <v>23901</v>
      </c>
      <c r="I39" s="11">
        <f>IF(I$3=0,"",SUMIFS(INDEX(Inputs!$D$4:$AG$150,0,MATCH(I$2,Inputs!$D$2:$AG$2,0)),Inputs!$B$4:$B$150,$B39)/1000)</f>
        <v>24359</v>
      </c>
      <c r="J39" s="11">
        <f>IF(J$3=0,"",SUMIFS(INDEX(Inputs!$D$4:$AG$150,0,MATCH(J$2,Inputs!$D$2:$AG$2,0)),Inputs!$B$4:$B$150,$B39)/1000)</f>
        <v>23559</v>
      </c>
      <c r="K39" s="11">
        <f>IF(K$3=0,"",SUMIFS(INDEX(Inputs!$D$4:$AG$150,0,MATCH(K$2,Inputs!$D$2:$AG$2,0)),Inputs!$B$4:$B$150,$B39)/1000)</f>
        <v>23080</v>
      </c>
      <c r="L39" s="11">
        <f>IF(L$3=0,"",SUMIFS(INDEX(Inputs!$D$4:$AG$150,0,MATCH(L$2,Inputs!$D$2:$AG$2,0)),Inputs!$B$4:$B$150,$B39)/1000)</f>
        <v>23232</v>
      </c>
      <c r="M39" s="12">
        <f>IF(L39="","",L39)</f>
        <v>23232</v>
      </c>
      <c r="N39" s="11">
        <f>IF(N$3=0,"",SUMIFS(INDEX(Inputs!$D$4:$AG$150,0,MATCH(N$2,Inputs!$D$2:$AG$2,0)),Inputs!$B$4:$B$150,$B39)/1000)</f>
        <v>23362</v>
      </c>
      <c r="O39" s="11">
        <f>IF(O$3=0,"",SUMIFS(INDEX(Inputs!$D$4:$AG$150,0,MATCH(O$2,Inputs!$D$2:$AG$2,0)),Inputs!$B$4:$B$150,$B39)/1000)</f>
        <v>23566</v>
      </c>
      <c r="P39" s="11">
        <f>IF(P$3=0,"",SUMIFS(INDEX(Inputs!$D$4:$AG$150,0,MATCH(P$2,Inputs!$D$2:$AG$2,0)),Inputs!$B$4:$B$150,$B39)/1000)</f>
        <v>24190</v>
      </c>
      <c r="Q39" s="11">
        <f>IF(Q$3=0,"",SUMIFS(INDEX(Inputs!$D$4:$AG$150,0,MATCH(Q$2,Inputs!$D$2:$AG$2,0)),Inputs!$B$4:$B$150,$B39)/1000)</f>
        <v>25657</v>
      </c>
      <c r="R39" s="12">
        <f>IF(Q39="","",Q39)</f>
        <v>25657</v>
      </c>
      <c r="S39" s="11">
        <f>IF(S$3=0,"",SUMIFS(INDEX(Inputs!$D$4:$AG$150,0,MATCH(S$2,Inputs!$D$2:$AG$2,0)),Inputs!$B$4:$B$150,$B39)/1000)</f>
        <v>26180</v>
      </c>
      <c r="T39" s="11">
        <f>IF(T$3=0,"",SUMIFS(INDEX(Inputs!$D$4:$AG$150,0,MATCH(T$2,Inputs!$D$2:$AG$2,0)),Inputs!$B$4:$B$150,$B39)/1000)</f>
        <v>26349</v>
      </c>
      <c r="U39" s="11">
        <f>IF(U$3=0,"",SUMIFS(INDEX(Inputs!$D$4:$AG$150,0,MATCH(U$2,Inputs!$D$2:$AG$2,0)),Inputs!$B$4:$B$150,$B39)/1000)</f>
        <v>26063</v>
      </c>
      <c r="V39" s="11">
        <f>IF(V$3=0,"",SUMIFS(INDEX(Inputs!$D$4:$AG$150,0,MATCH(V$2,Inputs!$D$2:$AG$2,0)),Inputs!$B$4:$B$150,$B39)/1000)</f>
        <v>25157</v>
      </c>
      <c r="W39" s="12">
        <f>IF(V39="","",V39)</f>
        <v>25157</v>
      </c>
      <c r="X39" s="11">
        <f>IF(X$3=0,"",SUMIFS(INDEX(Inputs!$D$4:$AG$150,0,MATCH(X$2,Inputs!$D$2:$AG$2,0)),Inputs!$B$4:$B$150,$B39)/1000)</f>
        <v>25052</v>
      </c>
      <c r="Y39" s="11">
        <f>IF(Y$3=0,"",SUMIFS(INDEX(Inputs!$D$4:$AG$150,0,MATCH(Y$2,Inputs!$D$2:$AG$2,0)),Inputs!$B$4:$B$150,$B39)/1000)</f>
        <v>25693</v>
      </c>
      <c r="Z39" s="11">
        <f>IF(Z$3=0,"",SUMIFS(INDEX(Inputs!$D$4:$AG$150,0,MATCH(Z$2,Inputs!$D$2:$AG$2,0)),Inputs!$B$4:$B$150,$B39)/1000)</f>
        <v>26745</v>
      </c>
      <c r="AA39" s="11">
        <f>IF(AA$3=0,"",SUMIFS(INDEX(Inputs!$D$4:$AG$150,0,MATCH(AA$2,Inputs!$D$2:$AG$2,0)),Inputs!$B$4:$B$150,$B39)/1000)</f>
        <v>27202</v>
      </c>
      <c r="AB39" s="12">
        <f>IF(AA39="","",AA39)</f>
        <v>27202</v>
      </c>
      <c r="AC39" s="11">
        <f>IF(AC$3=0,"",SUMIFS(INDEX(Inputs!$D$4:$AG$150,0,MATCH(AC$2,Inputs!$D$2:$AG$2,0)),Inputs!$B$4:$B$150,$B39)/1000)</f>
        <v>32882</v>
      </c>
      <c r="AD39" s="11">
        <f>IF(AD$3=0,"",SUMIFS(INDEX(Inputs!$D$4:$AG$150,0,MATCH(AD$2,Inputs!$D$2:$AG$2,0)),Inputs!$B$4:$B$150,$B39)/1000)</f>
        <v>33788</v>
      </c>
      <c r="AE39" s="11" t="str">
        <f>IF(AE$3=0,"",SUMIFS(INDEX(Inputs!$D$4:$AG$150,0,MATCH(AE$2,Inputs!$D$2:$AG$2,0)),Inputs!$B$4:$B$150,$B39)/1000)</f>
        <v/>
      </c>
      <c r="AF39" s="11" t="str">
        <f>IF(AF$3=0,"",SUMIFS(INDEX(Inputs!$D$4:$AG$150,0,MATCH(AF$2,Inputs!$D$2:$AG$2,0)),Inputs!$B$4:$B$150,$B39)/1000)</f>
        <v/>
      </c>
      <c r="AG39" s="12" t="str">
        <f>IF(AF39="","",AF39)</f>
        <v/>
      </c>
    </row>
    <row r="40">
      <c r="C40" s="3" t="n"/>
    </row>
    <row r="41">
      <c r="B41" s="9" t="n">
        <v>35</v>
      </c>
      <c r="C41" s="14" t="inlineStr">
        <is>
          <t>Minority interest</t>
        </is>
      </c>
      <c r="D41" s="11">
        <f>IF(D$3=0,"",SUMIFS(INDEX(Inputs!$D$4:$AG$150,0,MATCH(D$2,Inputs!$D$2:$AG$2,0)),Inputs!$B$4:$B$150,$B41)/1000)</f>
        <v>0</v>
      </c>
      <c r="E41" s="11">
        <f>IF(E$3=0,"",SUMIFS(INDEX(Inputs!$D$4:$AG$150,0,MATCH(E$2,Inputs!$D$2:$AG$2,0)),Inputs!$B$4:$B$150,$B41)/1000)</f>
        <v>0</v>
      </c>
      <c r="F41" s="11">
        <f>IF(F$3=0,"",SUMIFS(INDEX(Inputs!$D$4:$AG$150,0,MATCH(F$2,Inputs!$D$2:$AG$2,0)),Inputs!$B$4:$B$150,$B41)/1000)</f>
        <v>0</v>
      </c>
      <c r="G41" s="11">
        <f>IF(G$3=0,"",SUMIFS(INDEX(Inputs!$D$4:$AG$150,0,MATCH(G$2,Inputs!$D$2:$AG$2,0)),Inputs!$B$4:$B$150,$B41)/1000)</f>
        <v>395</v>
      </c>
      <c r="H41" s="12">
        <f>IF(G41="","",G41)</f>
        <v>395</v>
      </c>
      <c r="I41" s="11">
        <f>IF(I$3=0,"",SUMIFS(INDEX(Inputs!$D$4:$AG$150,0,MATCH(I$2,Inputs!$D$2:$AG$2,0)),Inputs!$B$4:$B$150,$B41)/1000)</f>
        <v>400</v>
      </c>
      <c r="J41" s="11">
        <f>IF(J$3=0,"",SUMIFS(INDEX(Inputs!$D$4:$AG$150,0,MATCH(J$2,Inputs!$D$2:$AG$2,0)),Inputs!$B$4:$B$150,$B41)/1000)</f>
        <v>389</v>
      </c>
      <c r="K41" s="11">
        <f>IF(K$3=0,"",SUMIFS(INDEX(Inputs!$D$4:$AG$150,0,MATCH(K$2,Inputs!$D$2:$AG$2,0)),Inputs!$B$4:$B$150,$B41)/1000)</f>
        <v>366</v>
      </c>
      <c r="L41" s="11">
        <f>IF(L$3=0,"",SUMIFS(INDEX(Inputs!$D$4:$AG$150,0,MATCH(L$2,Inputs!$D$2:$AG$2,0)),Inputs!$B$4:$B$150,$B41)/1000)</f>
        <v>354</v>
      </c>
      <c r="M41" s="12">
        <f>IF(L41="","",L41)</f>
        <v>354</v>
      </c>
      <c r="N41" s="11">
        <f>IF(N$3=0,"",SUMIFS(INDEX(Inputs!$D$4:$AG$150,0,MATCH(N$2,Inputs!$D$2:$AG$2,0)),Inputs!$B$4:$B$150,$B41)/1000)</f>
        <v>358</v>
      </c>
      <c r="O41" s="11">
        <f>IF(O$3=0,"",SUMIFS(INDEX(Inputs!$D$4:$AG$150,0,MATCH(O$2,Inputs!$D$2:$AG$2,0)),Inputs!$B$4:$B$150,$B41)/1000)</f>
        <v>356</v>
      </c>
      <c r="P41" s="11">
        <f>IF(P$3=0,"",SUMIFS(INDEX(Inputs!$D$4:$AG$150,0,MATCH(P$2,Inputs!$D$2:$AG$2,0)),Inputs!$B$4:$B$150,$B41)/1000)</f>
        <v>334</v>
      </c>
      <c r="Q41" s="11">
        <f>IF(Q$3=0,"",SUMIFS(INDEX(Inputs!$D$4:$AG$150,0,MATCH(Q$2,Inputs!$D$2:$AG$2,0)),Inputs!$B$4:$B$150,$B41)/1000)</f>
        <v>361</v>
      </c>
      <c r="R41" s="12">
        <f>IF(Q41="","",Q41)</f>
        <v>361</v>
      </c>
      <c r="S41" s="11">
        <f>IF(S$3=0,"",SUMIFS(INDEX(Inputs!$D$4:$AG$150,0,MATCH(S$2,Inputs!$D$2:$AG$2,0)),Inputs!$B$4:$B$150,$B41)/1000)</f>
        <v>361</v>
      </c>
      <c r="T41" s="11">
        <f>IF(T$3=0,"",SUMIFS(INDEX(Inputs!$D$4:$AG$150,0,MATCH(T$2,Inputs!$D$2:$AG$2,0)),Inputs!$B$4:$B$150,$B41)/1000)</f>
        <v>356</v>
      </c>
      <c r="U41" s="11">
        <f>IF(U$3=0,"",SUMIFS(INDEX(Inputs!$D$4:$AG$150,0,MATCH(U$2,Inputs!$D$2:$AG$2,0)),Inputs!$B$4:$B$150,$B41)/1000)</f>
        <v>371</v>
      </c>
      <c r="V41" s="11">
        <f>IF(V$3=0,"",SUMIFS(INDEX(Inputs!$D$4:$AG$150,0,MATCH(V$2,Inputs!$D$2:$AG$2,0)),Inputs!$B$4:$B$150,$B41)/1000)</f>
        <v>373</v>
      </c>
      <c r="W41" s="12">
        <f>IF(V41="","",V41)</f>
        <v>373</v>
      </c>
      <c r="X41" s="11">
        <f>IF(X$3=0,"",SUMIFS(INDEX(Inputs!$D$4:$AG$150,0,MATCH(X$2,Inputs!$D$2:$AG$2,0)),Inputs!$B$4:$B$150,$B41)/1000)</f>
        <v>378</v>
      </c>
      <c r="Y41" s="11">
        <f>IF(Y$3=0,"",SUMIFS(INDEX(Inputs!$D$4:$AG$150,0,MATCH(Y$2,Inputs!$D$2:$AG$2,0)),Inputs!$B$4:$B$150,$B41)/1000)</f>
        <v>357</v>
      </c>
      <c r="Z41" s="11">
        <f>IF(Z$3=0,"",SUMIFS(INDEX(Inputs!$D$4:$AG$150,0,MATCH(Z$2,Inputs!$D$2:$AG$2,0)),Inputs!$B$4:$B$150,$B41)/1000)</f>
        <v>342</v>
      </c>
      <c r="AA41" s="11">
        <f>IF(AA$3=0,"",SUMIFS(INDEX(Inputs!$D$4:$AG$150,0,MATCH(AA$2,Inputs!$D$2:$AG$2,0)),Inputs!$B$4:$B$150,$B41)/1000)</f>
        <v>336</v>
      </c>
      <c r="AB41" s="12">
        <f>IF(AA41="","",AA41)</f>
        <v>336</v>
      </c>
      <c r="AC41" s="11">
        <f>IF(AC$3=0,"",SUMIFS(INDEX(Inputs!$D$4:$AG$150,0,MATCH(AC$2,Inputs!$D$2:$AG$2,0)),Inputs!$B$4:$B$150,$B41)/1000)</f>
        <v>337</v>
      </c>
      <c r="AD41" s="11">
        <f>IF(AD$3=0,"",SUMIFS(INDEX(Inputs!$D$4:$AG$150,0,MATCH(AD$2,Inputs!$D$2:$AG$2,0)),Inputs!$B$4:$B$150,$B41)/1000)</f>
        <v>345</v>
      </c>
      <c r="AE41" s="11" t="str">
        <f>IF(AE$3=0,"",SUMIFS(INDEX(Inputs!$D$4:$AG$150,0,MATCH(AE$2,Inputs!$D$2:$AG$2,0)),Inputs!$B$4:$B$150,$B41)/1000)</f>
        <v/>
      </c>
      <c r="AF41" s="11" t="str">
        <f>IF(AF$3=0,"",SUMIFS(INDEX(Inputs!$D$4:$AG$150,0,MATCH(AF$2,Inputs!$D$2:$AG$2,0)),Inputs!$B$4:$B$150,$B41)/1000)</f>
        <v/>
      </c>
      <c r="AG41" s="12" t="str">
        <f>IF(AF41="","",AF41)</f>
        <v/>
      </c>
    </row>
    <row r="42">
      <c r="B42" s="9" t="n">
        <v>36</v>
      </c>
      <c r="C42" s="14" t="inlineStr">
        <is>
          <t>Convertible Preferred Stock</t>
        </is>
      </c>
      <c r="D42" s="11">
        <f>IF(D$3=0,"",SUMIFS(INDEX(Inputs!$D$4:$AG$150,0,MATCH(D$2,Inputs!$D$2:$AG$2,0)),Inputs!$B$4:$B$150,$B42)/1000)</f>
        <v>0</v>
      </c>
      <c r="E42" s="11">
        <f>IF(E$3=0,"",SUMIFS(INDEX(Inputs!$D$4:$AG$150,0,MATCH(E$2,Inputs!$D$2:$AG$2,0)),Inputs!$B$4:$B$150,$B42)/1000)</f>
        <v>0</v>
      </c>
      <c r="F42" s="11">
        <f>IF(F$3=0,"",SUMIFS(INDEX(Inputs!$D$4:$AG$150,0,MATCH(F$2,Inputs!$D$2:$AG$2,0)),Inputs!$B$4:$B$150,$B42)/1000)</f>
        <v>0</v>
      </c>
      <c r="G42" s="11">
        <f>IF(G$3=0,"",SUMIFS(INDEX(Inputs!$D$4:$AG$150,0,MATCH(G$2,Inputs!$D$2:$AG$2,0)),Inputs!$B$4:$B$150,$B42)/1000)</f>
        <v>0</v>
      </c>
      <c r="H42" s="12">
        <f>IF(G42="","",G42)</f>
        <v>0</v>
      </c>
      <c r="I42" s="11">
        <f>IF(I$3=0,"",SUMIFS(INDEX(Inputs!$D$4:$AG$150,0,MATCH(I$2,Inputs!$D$2:$AG$2,0)),Inputs!$B$4:$B$150,$B42)/1000)</f>
        <v>0</v>
      </c>
      <c r="J42" s="11">
        <f>IF(J$3=0,"",SUMIFS(INDEX(Inputs!$D$4:$AG$150,0,MATCH(J$2,Inputs!$D$2:$AG$2,0)),Inputs!$B$4:$B$150,$B42)/1000)</f>
        <v>0</v>
      </c>
      <c r="K42" s="11">
        <f>IF(K$3=0,"",SUMIFS(INDEX(Inputs!$D$4:$AG$150,0,MATCH(K$2,Inputs!$D$2:$AG$2,0)),Inputs!$B$4:$B$150,$B42)/1000)</f>
        <v>0</v>
      </c>
      <c r="L42" s="11">
        <f>IF(L$3=0,"",SUMIFS(INDEX(Inputs!$D$4:$AG$150,0,MATCH(L$2,Inputs!$D$2:$AG$2,0)),Inputs!$B$4:$B$150,$B42)/1000)</f>
        <v>0</v>
      </c>
      <c r="M42" s="12">
        <f>IF(L42="","",L42)</f>
        <v>0</v>
      </c>
      <c r="N42" s="11">
        <f>IF(N$3=0,"",SUMIFS(INDEX(Inputs!$D$4:$AG$150,0,MATCH(N$2,Inputs!$D$2:$AG$2,0)),Inputs!$B$4:$B$150,$B42)/1000)</f>
        <v>0</v>
      </c>
      <c r="O42" s="11">
        <f>IF(O$3=0,"",SUMIFS(INDEX(Inputs!$D$4:$AG$150,0,MATCH(O$2,Inputs!$D$2:$AG$2,0)),Inputs!$B$4:$B$150,$B42)/1000)</f>
        <v>0</v>
      </c>
      <c r="P42" s="11">
        <f>IF(P$3=0,"",SUMIFS(INDEX(Inputs!$D$4:$AG$150,0,MATCH(P$2,Inputs!$D$2:$AG$2,0)),Inputs!$B$4:$B$150,$B42)/1000)</f>
        <v>0</v>
      </c>
      <c r="Q42" s="11">
        <f>IF(Q$3=0,"",SUMIFS(INDEX(Inputs!$D$4:$AG$150,0,MATCH(Q$2,Inputs!$D$2:$AG$2,0)),Inputs!$B$4:$B$150,$B42)/1000)</f>
        <v>0</v>
      </c>
      <c r="R42" s="12">
        <f>IF(Q42="","",Q42)</f>
        <v>0</v>
      </c>
      <c r="S42" s="11">
        <f>IF(S$3=0,"",SUMIFS(INDEX(Inputs!$D$4:$AG$150,0,MATCH(S$2,Inputs!$D$2:$AG$2,0)),Inputs!$B$4:$B$150,$B42)/1000)</f>
        <v>0</v>
      </c>
      <c r="T42" s="11">
        <f>IF(T$3=0,"",SUMIFS(INDEX(Inputs!$D$4:$AG$150,0,MATCH(T$2,Inputs!$D$2:$AG$2,0)),Inputs!$B$4:$B$150,$B42)/1000)</f>
        <v>0</v>
      </c>
      <c r="U42" s="11">
        <f>IF(U$3=0,"",SUMIFS(INDEX(Inputs!$D$4:$AG$150,0,MATCH(U$2,Inputs!$D$2:$AG$2,0)),Inputs!$B$4:$B$150,$B42)/1000)</f>
        <v>0</v>
      </c>
      <c r="V42" s="11">
        <f>IF(V$3=0,"",SUMIFS(INDEX(Inputs!$D$4:$AG$150,0,MATCH(V$2,Inputs!$D$2:$AG$2,0)),Inputs!$B$4:$B$150,$B42)/1000)</f>
        <v>0</v>
      </c>
      <c r="W42" s="12">
        <f>IF(V42="","",V42)</f>
        <v>0</v>
      </c>
      <c r="X42" s="11">
        <f>IF(X$3=0,"",SUMIFS(INDEX(Inputs!$D$4:$AG$150,0,MATCH(X$2,Inputs!$D$2:$AG$2,0)),Inputs!$B$4:$B$150,$B42)/1000)</f>
        <v>0</v>
      </c>
      <c r="Y42" s="11">
        <f>IF(Y$3=0,"",SUMIFS(INDEX(Inputs!$D$4:$AG$150,0,MATCH(Y$2,Inputs!$D$2:$AG$2,0)),Inputs!$B$4:$B$150,$B42)/1000)</f>
        <v>0</v>
      </c>
      <c r="Z42" s="11">
        <f>IF(Z$3=0,"",SUMIFS(INDEX(Inputs!$D$4:$AG$150,0,MATCH(Z$2,Inputs!$D$2:$AG$2,0)),Inputs!$B$4:$B$150,$B42)/1000)</f>
        <v>0</v>
      </c>
      <c r="AA42" s="11">
        <f>IF(AA$3=0,"",SUMIFS(INDEX(Inputs!$D$4:$AG$150,0,MATCH(AA$2,Inputs!$D$2:$AG$2,0)),Inputs!$B$4:$B$150,$B42)/1000)</f>
        <v>0</v>
      </c>
      <c r="AB42" s="12">
        <f>IF(AA42="","",AA42)</f>
        <v>0</v>
      </c>
      <c r="AC42" s="11">
        <f>IF(AC$3=0,"",SUMIFS(INDEX(Inputs!$D$4:$AG$150,0,MATCH(AC$2,Inputs!$D$2:$AG$2,0)),Inputs!$B$4:$B$150,$B42)/1000)</f>
        <v>0</v>
      </c>
      <c r="AD42" s="11">
        <f>IF(AD$3=0,"",SUMIFS(INDEX(Inputs!$D$4:$AG$150,0,MATCH(AD$2,Inputs!$D$2:$AG$2,0)),Inputs!$B$4:$B$150,$B42)/1000)</f>
        <v>0</v>
      </c>
      <c r="AE42" s="11" t="str">
        <f>IF(AE$3=0,"",SUMIFS(INDEX(Inputs!$D$4:$AG$150,0,MATCH(AE$2,Inputs!$D$2:$AG$2,0)),Inputs!$B$4:$B$150,$B42)/1000)</f>
        <v/>
      </c>
      <c r="AF42" s="11" t="str">
        <f>IF(AF$3=0,"",SUMIFS(INDEX(Inputs!$D$4:$AG$150,0,MATCH(AF$2,Inputs!$D$2:$AG$2,0)),Inputs!$B$4:$B$150,$B42)/1000)</f>
        <v/>
      </c>
      <c r="AG42" s="12" t="str">
        <f>IF(AF42="","",AF42)</f>
        <v/>
      </c>
    </row>
    <row r="43">
      <c r="B43" s="9" t="n">
        <v>37</v>
      </c>
      <c r="C43" s="13" t="inlineStr">
        <is>
          <t>Common Stock and APIC</t>
        </is>
      </c>
      <c r="D43" s="11">
        <f>IF(D$3=0,"",SUMIFS(INDEX(Inputs!$D$4:$AG$150,0,MATCH(D$2,Inputs!$D$2:$AG$2,0)),Inputs!$B$4:$B$150,$B43)/1000)</f>
        <v>0</v>
      </c>
      <c r="E43" s="11">
        <f>IF(E$3=0,"",SUMIFS(INDEX(Inputs!$D$4:$AG$150,0,MATCH(E$2,Inputs!$D$2:$AG$2,0)),Inputs!$B$4:$B$150,$B43)/1000)</f>
        <v>0</v>
      </c>
      <c r="F43" s="11">
        <f>IF(F$3=0,"",SUMIFS(INDEX(Inputs!$D$4:$AG$150,0,MATCH(F$2,Inputs!$D$2:$AG$2,0)),Inputs!$B$4:$B$150,$B43)/1000)</f>
        <v>0</v>
      </c>
      <c r="G43" s="11">
        <f>IF(G$3=0,"",SUMIFS(INDEX(Inputs!$D$4:$AG$150,0,MATCH(G$2,Inputs!$D$2:$AG$2,0)),Inputs!$B$4:$B$150,$B43)/1000)</f>
        <v>0</v>
      </c>
      <c r="H43" s="12">
        <f>IF(G43="","",G43)</f>
        <v>0</v>
      </c>
      <c r="I43" s="11">
        <f>IF(I$3=0,"",SUMIFS(INDEX(Inputs!$D$4:$AG$150,0,MATCH(I$2,Inputs!$D$2:$AG$2,0)),Inputs!$B$4:$B$150,$B43)/1000)</f>
        <v>13212</v>
      </c>
      <c r="J43" s="11">
        <f>IF(J$3=0,"",SUMIFS(INDEX(Inputs!$D$4:$AG$150,0,MATCH(J$2,Inputs!$D$2:$AG$2,0)),Inputs!$B$4:$B$150,$B43)/1000)</f>
        <v>13241</v>
      </c>
      <c r="K43" s="11">
        <f>IF(K$3=0,"",SUMIFS(INDEX(Inputs!$D$4:$AG$150,0,MATCH(K$2,Inputs!$D$2:$AG$2,0)),Inputs!$B$4:$B$150,$B43)/1000)</f>
        <v>13255</v>
      </c>
      <c r="L43" s="11">
        <f>IF(L$3=0,"",SUMIFS(INDEX(Inputs!$D$4:$AG$150,0,MATCH(L$2,Inputs!$D$2:$AG$2,0)),Inputs!$B$4:$B$150,$B43)/1000)</f>
        <v>13274</v>
      </c>
      <c r="M43" s="12">
        <f>IF(L43="","",L43)</f>
        <v>13274</v>
      </c>
      <c r="N43" s="11">
        <f>IF(N$3=0,"",SUMIFS(INDEX(Inputs!$D$4:$AG$150,0,MATCH(N$2,Inputs!$D$2:$AG$2,0)),Inputs!$B$4:$B$150,$B43)/1000)</f>
        <v>13029</v>
      </c>
      <c r="O43" s="11">
        <f>IF(O$3=0,"",SUMIFS(INDEX(Inputs!$D$4:$AG$150,0,MATCH(O$2,Inputs!$D$2:$AG$2,0)),Inputs!$B$4:$B$150,$B43)/1000)</f>
        <v>12808</v>
      </c>
      <c r="P43" s="11">
        <f>IF(P$3=0,"",SUMIFS(INDEX(Inputs!$D$4:$AG$150,0,MATCH(P$2,Inputs!$D$2:$AG$2,0)),Inputs!$B$4:$B$150,$B43)/1000)</f>
        <v>12576</v>
      </c>
      <c r="Q43" s="11">
        <f>IF(Q$3=0,"",SUMIFS(INDEX(Inputs!$D$4:$AG$150,0,MATCH(Q$2,Inputs!$D$2:$AG$2,0)),Inputs!$B$4:$B$150,$B43)/1000)</f>
        <v>12355</v>
      </c>
      <c r="R43" s="12">
        <f>IF(Q43="","",Q43)</f>
        <v>12355</v>
      </c>
      <c r="S43" s="11">
        <f>IF(S$3=0,"",SUMIFS(INDEX(Inputs!$D$4:$AG$150,0,MATCH(S$2,Inputs!$D$2:$AG$2,0)),Inputs!$B$4:$B$150,$B43)/1000)</f>
        <v>11847</v>
      </c>
      <c r="T43" s="11">
        <f>IF(T$3=0,"",SUMIFS(INDEX(Inputs!$D$4:$AG$150,0,MATCH(T$2,Inputs!$D$2:$AG$2,0)),Inputs!$B$4:$B$150,$B43)/1000)</f>
        <v>11350</v>
      </c>
      <c r="U43" s="11">
        <f>IF(U$3=0,"",SUMIFS(INDEX(Inputs!$D$4:$AG$150,0,MATCH(U$2,Inputs!$D$2:$AG$2,0)),Inputs!$B$4:$B$150,$B43)/1000)</f>
        <v>11379</v>
      </c>
      <c r="V43" s="11">
        <f>IF(V$3=0,"",SUMIFS(INDEX(Inputs!$D$4:$AG$150,0,MATCH(V$2,Inputs!$D$2:$AG$2,0)),Inputs!$B$4:$B$150,$B43)/1000)</f>
        <v>11402</v>
      </c>
      <c r="W43" s="12">
        <f>IF(V43="","",V43)</f>
        <v>11402</v>
      </c>
      <c r="X43" s="11">
        <f>IF(X$3=0,"",SUMIFS(INDEX(Inputs!$D$4:$AG$150,0,MATCH(X$2,Inputs!$D$2:$AG$2,0)),Inputs!$B$4:$B$150,$B43)/1000)</f>
        <v>11203</v>
      </c>
      <c r="Y43" s="11">
        <f>IF(Y$3=0,"",SUMIFS(INDEX(Inputs!$D$4:$AG$150,0,MATCH(Y$2,Inputs!$D$2:$AG$2,0)),Inputs!$B$4:$B$150,$B43)/1000)</f>
        <v>10939</v>
      </c>
      <c r="Z43" s="11">
        <f>IF(Z$3=0,"",SUMIFS(INDEX(Inputs!$D$4:$AG$150,0,MATCH(Z$2,Inputs!$D$2:$AG$2,0)),Inputs!$B$4:$B$150,$B43)/1000)</f>
        <v>11022</v>
      </c>
      <c r="AA43" s="11">
        <f>IF(AA$3=0,"",SUMIFS(INDEX(Inputs!$D$4:$AG$150,0,MATCH(AA$2,Inputs!$D$2:$AG$2,0)),Inputs!$B$4:$B$150,$B43)/1000)</f>
        <v>11043</v>
      </c>
      <c r="AB43" s="12">
        <f>IF(AA43="","",AA43)</f>
        <v>11043</v>
      </c>
      <c r="AC43" s="11">
        <f>IF(AC$3=0,"",SUMIFS(INDEX(Inputs!$D$4:$AG$150,0,MATCH(AC$2,Inputs!$D$2:$AG$2,0)),Inputs!$B$4:$B$150,$B43)/1000)</f>
        <v>28574</v>
      </c>
      <c r="AD43" s="11">
        <f>IF(AD$3=0,"",SUMIFS(INDEX(Inputs!$D$4:$AG$150,0,MATCH(AD$2,Inputs!$D$2:$AG$2,0)),Inputs!$B$4:$B$150,$B43)/1000)</f>
        <v>26683</v>
      </c>
      <c r="AE43" s="11" t="str">
        <f>IF(AE$3=0,"",SUMIFS(INDEX(Inputs!$D$4:$AG$150,0,MATCH(AE$2,Inputs!$D$2:$AG$2,0)),Inputs!$B$4:$B$150,$B43)/1000)</f>
        <v/>
      </c>
      <c r="AF43" s="11" t="str">
        <f>IF(AF$3=0,"",SUMIFS(INDEX(Inputs!$D$4:$AG$150,0,MATCH(AF$2,Inputs!$D$2:$AG$2,0)),Inputs!$B$4:$B$150,$B43)/1000)</f>
        <v/>
      </c>
      <c r="AG43" s="12" t="str">
        <f>IF(AF43="","",AF43)</f>
        <v/>
      </c>
    </row>
    <row r="44">
      <c r="B44" s="9" t="n">
        <v>38</v>
      </c>
      <c r="C44" s="14" t="inlineStr">
        <is>
          <t>Treasury stock (contra account)</t>
        </is>
      </c>
      <c r="D44" s="11">
        <f>IF(D$3=0,"",SUMIFS(INDEX(Inputs!$D$4:$AG$150,0,MATCH(D$2,Inputs!$D$2:$AG$2,0)),Inputs!$B$4:$B$150,$B44)/1000)</f>
        <v>0</v>
      </c>
      <c r="E44" s="11">
        <f>IF(E$3=0,"",SUMIFS(INDEX(Inputs!$D$4:$AG$150,0,MATCH(E$2,Inputs!$D$2:$AG$2,0)),Inputs!$B$4:$B$150,$B44)/1000)</f>
        <v>0</v>
      </c>
      <c r="F44" s="11">
        <f>IF(F$3=0,"",SUMIFS(INDEX(Inputs!$D$4:$AG$150,0,MATCH(F$2,Inputs!$D$2:$AG$2,0)),Inputs!$B$4:$B$150,$B44)/1000)</f>
        <v>0</v>
      </c>
      <c r="G44" s="11">
        <f>IF(G$3=0,"",SUMIFS(INDEX(Inputs!$D$4:$AG$150,0,MATCH(G$2,Inputs!$D$2:$AG$2,0)),Inputs!$B$4:$B$150,$B44)/1000)</f>
        <v>0</v>
      </c>
      <c r="H44" s="12">
        <f>IF(G44="","",G44)</f>
        <v>0</v>
      </c>
      <c r="I44" s="11">
        <f>IF(I$3=0,"",SUMIFS(INDEX(Inputs!$D$4:$AG$150,0,MATCH(I$2,Inputs!$D$2:$AG$2,0)),Inputs!$B$4:$B$150,$B44)/1000)</f>
        <v>0</v>
      </c>
      <c r="J44" s="11">
        <f>IF(J$3=0,"",SUMIFS(INDEX(Inputs!$D$4:$AG$150,0,MATCH(J$2,Inputs!$D$2:$AG$2,0)),Inputs!$B$4:$B$150,$B44)/1000)</f>
        <v>0</v>
      </c>
      <c r="K44" s="11">
        <f>IF(K$3=0,"",SUMIFS(INDEX(Inputs!$D$4:$AG$150,0,MATCH(K$2,Inputs!$D$2:$AG$2,0)),Inputs!$B$4:$B$150,$B44)/1000)</f>
        <v>0</v>
      </c>
      <c r="L44" s="11">
        <f>IF(L$3=0,"",SUMIFS(INDEX(Inputs!$D$4:$AG$150,0,MATCH(L$2,Inputs!$D$2:$AG$2,0)),Inputs!$B$4:$B$150,$B44)/1000)</f>
        <v>0</v>
      </c>
      <c r="M44" s="12">
        <f>IF(L44="","",L44)</f>
        <v>0</v>
      </c>
      <c r="N44" s="11">
        <f>IF(N$3=0,"",SUMIFS(INDEX(Inputs!$D$4:$AG$150,0,MATCH(N$2,Inputs!$D$2:$AG$2,0)),Inputs!$B$4:$B$150,$B44)/1000)</f>
        <v>0</v>
      </c>
      <c r="O44" s="11">
        <f>IF(O$3=0,"",SUMIFS(INDEX(Inputs!$D$4:$AG$150,0,MATCH(O$2,Inputs!$D$2:$AG$2,0)),Inputs!$B$4:$B$150,$B44)/1000)</f>
        <v>0</v>
      </c>
      <c r="P44" s="11">
        <f>IF(P$3=0,"",SUMIFS(INDEX(Inputs!$D$4:$AG$150,0,MATCH(P$2,Inputs!$D$2:$AG$2,0)),Inputs!$B$4:$B$150,$B44)/1000)</f>
        <v>0</v>
      </c>
      <c r="Q44" s="11">
        <f>IF(Q$3=0,"",SUMIFS(INDEX(Inputs!$D$4:$AG$150,0,MATCH(Q$2,Inputs!$D$2:$AG$2,0)),Inputs!$B$4:$B$150,$B44)/1000)</f>
        <v>0</v>
      </c>
      <c r="R44" s="12">
        <f>IF(Q44="","",Q44)</f>
        <v>0</v>
      </c>
      <c r="S44" s="11">
        <f>IF(S$3=0,"",SUMIFS(INDEX(Inputs!$D$4:$AG$150,0,MATCH(S$2,Inputs!$D$2:$AG$2,0)),Inputs!$B$4:$B$150,$B44)/1000)</f>
        <v>0</v>
      </c>
      <c r="T44" s="11">
        <f>IF(T$3=0,"",SUMIFS(INDEX(Inputs!$D$4:$AG$150,0,MATCH(T$2,Inputs!$D$2:$AG$2,0)),Inputs!$B$4:$B$150,$B44)/1000)</f>
        <v>0</v>
      </c>
      <c r="U44" s="11">
        <f>IF(U$3=0,"",SUMIFS(INDEX(Inputs!$D$4:$AG$150,0,MATCH(U$2,Inputs!$D$2:$AG$2,0)),Inputs!$B$4:$B$150,$B44)/1000)</f>
        <v>0</v>
      </c>
      <c r="V44" s="11">
        <f>IF(V$3=0,"",SUMIFS(INDEX(Inputs!$D$4:$AG$150,0,MATCH(V$2,Inputs!$D$2:$AG$2,0)),Inputs!$B$4:$B$150,$B44)/1000)</f>
        <v>0</v>
      </c>
      <c r="W44" s="12">
        <f>IF(V44="","",V44)</f>
        <v>0</v>
      </c>
      <c r="X44" s="11">
        <f>IF(X$3=0,"",SUMIFS(INDEX(Inputs!$D$4:$AG$150,0,MATCH(X$2,Inputs!$D$2:$AG$2,0)),Inputs!$B$4:$B$150,$B44)/1000)</f>
        <v>0</v>
      </c>
      <c r="Y44" s="11">
        <f>IF(Y$3=0,"",SUMIFS(INDEX(Inputs!$D$4:$AG$150,0,MATCH(Y$2,Inputs!$D$2:$AG$2,0)),Inputs!$B$4:$B$150,$B44)/1000)</f>
        <v>0</v>
      </c>
      <c r="Z44" s="11">
        <f>IF(Z$3=0,"",SUMIFS(INDEX(Inputs!$D$4:$AG$150,0,MATCH(Z$2,Inputs!$D$2:$AG$2,0)),Inputs!$B$4:$B$150,$B44)/1000)</f>
        <v>0</v>
      </c>
      <c r="AA44" s="11">
        <f>IF(AA$3=0,"",SUMIFS(INDEX(Inputs!$D$4:$AG$150,0,MATCH(AA$2,Inputs!$D$2:$AG$2,0)),Inputs!$B$4:$B$150,$B44)/1000)</f>
        <v>0</v>
      </c>
      <c r="AB44" s="12">
        <f>IF(AA44="","",AA44)</f>
        <v>0</v>
      </c>
      <c r="AC44" s="11">
        <f>IF(AC$3=0,"",SUMIFS(INDEX(Inputs!$D$4:$AG$150,0,MATCH(AC$2,Inputs!$D$2:$AG$2,0)),Inputs!$B$4:$B$150,$B44)/1000)</f>
        <v>0</v>
      </c>
      <c r="AD44" s="11">
        <f>IF(AD$3=0,"",SUMIFS(INDEX(Inputs!$D$4:$AG$150,0,MATCH(AD$2,Inputs!$D$2:$AG$2,0)),Inputs!$B$4:$B$150,$B44)/1000)</f>
        <v>0</v>
      </c>
      <c r="AE44" s="11" t="str">
        <f>IF(AE$3=0,"",SUMIFS(INDEX(Inputs!$D$4:$AG$150,0,MATCH(AE$2,Inputs!$D$2:$AG$2,0)),Inputs!$B$4:$B$150,$B44)/1000)</f>
        <v/>
      </c>
      <c r="AF44" s="11" t="str">
        <f>IF(AF$3=0,"",SUMIFS(INDEX(Inputs!$D$4:$AG$150,0,MATCH(AF$2,Inputs!$D$2:$AG$2,0)),Inputs!$B$4:$B$150,$B44)/1000)</f>
        <v/>
      </c>
      <c r="AG44" s="12" t="str">
        <f>IF(AF44="","",AF44)</f>
        <v/>
      </c>
    </row>
    <row r="45">
      <c r="B45" s="9" t="n">
        <v>39</v>
      </c>
      <c r="C45" s="14" t="inlineStr">
        <is>
          <t>Comprehensive (accumulated) loss</t>
        </is>
      </c>
      <c r="D45" s="11">
        <f>IF(D$3=0,"",SUMIFS(INDEX(Inputs!$D$4:$AG$150,0,MATCH(D$2,Inputs!$D$2:$AG$2,0)),Inputs!$B$4:$B$150,$B45)/1000)</f>
        <v>0</v>
      </c>
      <c r="E45" s="11">
        <f>IF(E$3=0,"",SUMIFS(INDEX(Inputs!$D$4:$AG$150,0,MATCH(E$2,Inputs!$D$2:$AG$2,0)),Inputs!$B$4:$B$150,$B45)/1000)</f>
        <v>0</v>
      </c>
      <c r="F45" s="11">
        <f>IF(F$3=0,"",SUMIFS(INDEX(Inputs!$D$4:$AG$150,0,MATCH(F$2,Inputs!$D$2:$AG$2,0)),Inputs!$B$4:$B$150,$B45)/1000)</f>
        <v>0</v>
      </c>
      <c r="G45" s="11">
        <f>IF(G$3=0,"",SUMIFS(INDEX(Inputs!$D$4:$AG$150,0,MATCH(G$2,Inputs!$D$2:$AG$2,0)),Inputs!$B$4:$B$150,$B45)/1000)</f>
        <v>-31</v>
      </c>
      <c r="H45" s="12">
        <f>IF(G45="","",G45)</f>
        <v>-31</v>
      </c>
      <c r="I45" s="11">
        <f>IF(I$3=0,"",SUMIFS(INDEX(Inputs!$D$4:$AG$150,0,MATCH(I$2,Inputs!$D$2:$AG$2,0)),Inputs!$B$4:$B$150,$B45)/1000)</f>
        <v>-2016</v>
      </c>
      <c r="J45" s="11">
        <f>IF(J$3=0,"",SUMIFS(INDEX(Inputs!$D$4:$AG$150,0,MATCH(J$2,Inputs!$D$2:$AG$2,0)),Inputs!$B$4:$B$150,$B45)/1000)</f>
        <v>-1992</v>
      </c>
      <c r="K45" s="11">
        <f>IF(K$3=0,"",SUMIFS(INDEX(Inputs!$D$4:$AG$150,0,MATCH(K$2,Inputs!$D$2:$AG$2,0)),Inputs!$B$4:$B$150,$B45)/1000)</f>
        <v>-1969</v>
      </c>
      <c r="L45" s="11">
        <f>IF(L$3=0,"",SUMIFS(INDEX(Inputs!$D$4:$AG$150,0,MATCH(L$2,Inputs!$D$2:$AG$2,0)),Inputs!$B$4:$B$150,$B45)/1000)</f>
        <v>-1760</v>
      </c>
      <c r="M45" s="12">
        <f>IF(L45="","",L45)</f>
        <v>-1760</v>
      </c>
      <c r="N45" s="11">
        <f>IF(N$3=0,"",SUMIFS(INDEX(Inputs!$D$4:$AG$150,0,MATCH(N$2,Inputs!$D$2:$AG$2,0)),Inputs!$B$4:$B$150,$B45)/1000)</f>
        <v>-1808</v>
      </c>
      <c r="O45" s="11">
        <f>IF(O$3=0,"",SUMIFS(INDEX(Inputs!$D$4:$AG$150,0,MATCH(O$2,Inputs!$D$2:$AG$2,0)),Inputs!$B$4:$B$150,$B45)/1000)</f>
        <v>-1800</v>
      </c>
      <c r="P45" s="11">
        <f>IF(P$3=0,"",SUMIFS(INDEX(Inputs!$D$4:$AG$150,0,MATCH(P$2,Inputs!$D$2:$AG$2,0)),Inputs!$B$4:$B$150,$B45)/1000)</f>
        <v>-1797</v>
      </c>
      <c r="Q45" s="11">
        <f>IF(Q$3=0,"",SUMIFS(INDEX(Inputs!$D$4:$AG$150,0,MATCH(Q$2,Inputs!$D$2:$AG$2,0)),Inputs!$B$4:$B$150,$B45)/1000)</f>
        <v>-2191</v>
      </c>
      <c r="R45" s="12">
        <f>IF(Q45="","",Q45)</f>
        <v>-2191</v>
      </c>
      <c r="S45" s="11">
        <f>IF(S$3=0,"",SUMIFS(INDEX(Inputs!$D$4:$AG$150,0,MATCH(S$2,Inputs!$D$2:$AG$2,0)),Inputs!$B$4:$B$150,$B45)/1000)</f>
        <v>-2180</v>
      </c>
      <c r="T45" s="11">
        <f>IF(T$3=0,"",SUMIFS(INDEX(Inputs!$D$4:$AG$150,0,MATCH(T$2,Inputs!$D$2:$AG$2,0)),Inputs!$B$4:$B$150,$B45)/1000)</f>
        <v>-2161</v>
      </c>
      <c r="U45" s="11">
        <f>IF(U$3=0,"",SUMIFS(INDEX(Inputs!$D$4:$AG$150,0,MATCH(U$2,Inputs!$D$2:$AG$2,0)),Inputs!$B$4:$B$150,$B45)/1000)</f>
        <v>-2134</v>
      </c>
      <c r="V45" s="11">
        <f>IF(V$3=0,"",SUMIFS(INDEX(Inputs!$D$4:$AG$150,0,MATCH(V$2,Inputs!$D$2:$AG$2,0)),Inputs!$B$4:$B$150,$B45)/1000)</f>
        <v>-2302</v>
      </c>
      <c r="W45" s="12">
        <f>IF(V45="","",V45)</f>
        <v>-2302</v>
      </c>
      <c r="X45" s="11">
        <f>IF(X$3=0,"",SUMIFS(INDEX(Inputs!$D$4:$AG$150,0,MATCH(X$2,Inputs!$D$2:$AG$2,0)),Inputs!$B$4:$B$150,$B45)/1000)</f>
        <v>-2309</v>
      </c>
      <c r="Y45" s="11">
        <f>IF(Y$3=0,"",SUMIFS(INDEX(Inputs!$D$4:$AG$150,0,MATCH(Y$2,Inputs!$D$2:$AG$2,0)),Inputs!$B$4:$B$150,$B45)/1000)</f>
        <v>-2272</v>
      </c>
      <c r="Z45" s="11">
        <f>IF(Z$3=0,"",SUMIFS(INDEX(Inputs!$D$4:$AG$150,0,MATCH(Z$2,Inputs!$D$2:$AG$2,0)),Inputs!$B$4:$B$150,$B45)/1000)</f>
        <v>-2260</v>
      </c>
      <c r="AA45" s="11">
        <f>IF(AA$3=0,"",SUMIFS(INDEX(Inputs!$D$4:$AG$150,0,MATCH(AA$2,Inputs!$D$2:$AG$2,0)),Inputs!$B$4:$B$150,$B45)/1000)</f>
        <v>-2425</v>
      </c>
      <c r="AB45" s="12">
        <f>IF(AA45="","",AA45)</f>
        <v>-2425</v>
      </c>
      <c r="AC45" s="11">
        <f>IF(AC$3=0,"",SUMIFS(INDEX(Inputs!$D$4:$AG$150,0,MATCH(AC$2,Inputs!$D$2:$AG$2,0)),Inputs!$B$4:$B$150,$B45)/1000)</f>
        <v>-2425</v>
      </c>
      <c r="AD45" s="11">
        <f>IF(AD$3=0,"",SUMIFS(INDEX(Inputs!$D$4:$AG$150,0,MATCH(AD$2,Inputs!$D$2:$AG$2,0)),Inputs!$B$4:$B$150,$B45)/1000)</f>
        <v>-2398</v>
      </c>
      <c r="AE45" s="11" t="str">
        <f>IF(AE$3=0,"",SUMIFS(INDEX(Inputs!$D$4:$AG$150,0,MATCH(AE$2,Inputs!$D$2:$AG$2,0)),Inputs!$B$4:$B$150,$B45)/1000)</f>
        <v/>
      </c>
      <c r="AF45" s="11" t="str">
        <f>IF(AF$3=0,"",SUMIFS(INDEX(Inputs!$D$4:$AG$150,0,MATCH(AF$2,Inputs!$D$2:$AG$2,0)),Inputs!$B$4:$B$150,$B45)/1000)</f>
        <v/>
      </c>
      <c r="AG45" s="12" t="str">
        <f>IF(AF45="","",AF45)</f>
        <v/>
      </c>
    </row>
    <row r="46">
      <c r="B46" s="9" t="n">
        <v>40</v>
      </c>
      <c r="C46" s="14" t="inlineStr">
        <is>
          <t>Other equity account</t>
        </is>
      </c>
      <c r="D46" s="11">
        <f>IF(D$3=0,"",SUMIFS(INDEX(Inputs!$D$4:$AG$150,0,MATCH(D$2,Inputs!$D$2:$AG$2,0)),Inputs!$B$4:$B$150,$B46)/1000)</f>
        <v>0</v>
      </c>
      <c r="E46" s="11">
        <f>IF(E$3=0,"",SUMIFS(INDEX(Inputs!$D$4:$AG$150,0,MATCH(E$2,Inputs!$D$2:$AG$2,0)),Inputs!$B$4:$B$150,$B46)/1000)</f>
        <v>0</v>
      </c>
      <c r="F46" s="11">
        <f>IF(F$3=0,"",SUMIFS(INDEX(Inputs!$D$4:$AG$150,0,MATCH(F$2,Inputs!$D$2:$AG$2,0)),Inputs!$B$4:$B$150,$B46)/1000)</f>
        <v>0</v>
      </c>
      <c r="G46" s="11">
        <f>IF(G$3=0,"",SUMIFS(INDEX(Inputs!$D$4:$AG$150,0,MATCH(G$2,Inputs!$D$2:$AG$2,0)),Inputs!$B$4:$B$150,$B46)/1000)</f>
        <v>11250</v>
      </c>
      <c r="H46" s="12">
        <f>IF(G46="","",G46)</f>
        <v>11250</v>
      </c>
      <c r="I46" s="11">
        <f>IF(I$3=0,"",SUMIFS(INDEX(Inputs!$D$4:$AG$150,0,MATCH(I$2,Inputs!$D$2:$AG$2,0)),Inputs!$B$4:$B$150,$B46)/1000)</f>
        <v>0</v>
      </c>
      <c r="J46" s="11">
        <f>IF(J$3=0,"",SUMIFS(INDEX(Inputs!$D$4:$AG$150,0,MATCH(J$2,Inputs!$D$2:$AG$2,0)),Inputs!$B$4:$B$150,$B46)/1000)</f>
        <v>0</v>
      </c>
      <c r="K46" s="11">
        <f>IF(K$3=0,"",SUMIFS(INDEX(Inputs!$D$4:$AG$150,0,MATCH(K$2,Inputs!$D$2:$AG$2,0)),Inputs!$B$4:$B$150,$B46)/1000)</f>
        <v>0</v>
      </c>
      <c r="L46" s="11">
        <f>IF(L$3=0,"",SUMIFS(INDEX(Inputs!$D$4:$AG$150,0,MATCH(L$2,Inputs!$D$2:$AG$2,0)),Inputs!$B$4:$B$150,$B46)/1000)</f>
        <v>0</v>
      </c>
      <c r="M46" s="12">
        <f>IF(L46="","",L46)</f>
        <v>0</v>
      </c>
      <c r="N46" s="11">
        <f>IF(N$3=0,"",SUMIFS(INDEX(Inputs!$D$4:$AG$150,0,MATCH(N$2,Inputs!$D$2:$AG$2,0)),Inputs!$B$4:$B$150,$B46)/1000)</f>
        <v>0</v>
      </c>
      <c r="O46" s="11">
        <f>IF(O$3=0,"",SUMIFS(INDEX(Inputs!$D$4:$AG$150,0,MATCH(O$2,Inputs!$D$2:$AG$2,0)),Inputs!$B$4:$B$150,$B46)/1000)</f>
        <v>0</v>
      </c>
      <c r="P46" s="11">
        <f>IF(P$3=0,"",SUMIFS(INDEX(Inputs!$D$4:$AG$150,0,MATCH(P$2,Inputs!$D$2:$AG$2,0)),Inputs!$B$4:$B$150,$B46)/1000)</f>
        <v>0</v>
      </c>
      <c r="Q46" s="11">
        <f>IF(Q$3=0,"",SUMIFS(INDEX(Inputs!$D$4:$AG$150,0,MATCH(Q$2,Inputs!$D$2:$AG$2,0)),Inputs!$B$4:$B$150,$B46)/1000)</f>
        <v>0</v>
      </c>
      <c r="R46" s="12">
        <f>IF(Q46="","",Q46)</f>
        <v>0</v>
      </c>
      <c r="S46" s="11">
        <f>IF(S$3=0,"",SUMIFS(INDEX(Inputs!$D$4:$AG$150,0,MATCH(S$2,Inputs!$D$2:$AG$2,0)),Inputs!$B$4:$B$150,$B46)/1000)</f>
        <v>0</v>
      </c>
      <c r="T46" s="11">
        <f>IF(T$3=0,"",SUMIFS(INDEX(Inputs!$D$4:$AG$150,0,MATCH(T$2,Inputs!$D$2:$AG$2,0)),Inputs!$B$4:$B$150,$B46)/1000)</f>
        <v>0</v>
      </c>
      <c r="U46" s="11">
        <f>IF(U$3=0,"",SUMIFS(INDEX(Inputs!$D$4:$AG$150,0,MATCH(U$2,Inputs!$D$2:$AG$2,0)),Inputs!$B$4:$B$150,$B46)/1000)</f>
        <v>0</v>
      </c>
      <c r="V46" s="11">
        <f>IF(V$3=0,"",SUMIFS(INDEX(Inputs!$D$4:$AG$150,0,MATCH(V$2,Inputs!$D$2:$AG$2,0)),Inputs!$B$4:$B$150,$B46)/1000)</f>
        <v>0</v>
      </c>
      <c r="W46" s="12">
        <f>IF(V46="","",V46)</f>
        <v>0</v>
      </c>
      <c r="X46" s="11">
        <f>IF(X$3=0,"",SUMIFS(INDEX(Inputs!$D$4:$AG$150,0,MATCH(X$2,Inputs!$D$2:$AG$2,0)),Inputs!$B$4:$B$150,$B46)/1000)</f>
        <v>0</v>
      </c>
      <c r="Y46" s="11">
        <f>IF(Y$3=0,"",SUMIFS(INDEX(Inputs!$D$4:$AG$150,0,MATCH(Y$2,Inputs!$D$2:$AG$2,0)),Inputs!$B$4:$B$150,$B46)/1000)</f>
        <v>0</v>
      </c>
      <c r="Z46" s="11">
        <f>IF(Z$3=0,"",SUMIFS(INDEX(Inputs!$D$4:$AG$150,0,MATCH(Z$2,Inputs!$D$2:$AG$2,0)),Inputs!$B$4:$B$150,$B46)/1000)</f>
        <v>0</v>
      </c>
      <c r="AA46" s="11">
        <f>IF(AA$3=0,"",SUMIFS(INDEX(Inputs!$D$4:$AG$150,0,MATCH(AA$2,Inputs!$D$2:$AG$2,0)),Inputs!$B$4:$B$150,$B46)/1000)</f>
        <v>0</v>
      </c>
      <c r="AB46" s="12">
        <f>IF(AA46="","",AA46)</f>
        <v>0</v>
      </c>
      <c r="AC46" s="11">
        <f>IF(AC$3=0,"",SUMIFS(INDEX(Inputs!$D$4:$AG$150,0,MATCH(AC$2,Inputs!$D$2:$AG$2,0)),Inputs!$B$4:$B$150,$B46)/1000)</f>
        <v>0</v>
      </c>
      <c r="AD46" s="11">
        <f>IF(AD$3=0,"",SUMIFS(INDEX(Inputs!$D$4:$AG$150,0,MATCH(AD$2,Inputs!$D$2:$AG$2,0)),Inputs!$B$4:$B$150,$B46)/1000)</f>
        <v>0</v>
      </c>
      <c r="AE46" s="11" t="str">
        <f>IF(AE$3=0,"",SUMIFS(INDEX(Inputs!$D$4:$AG$150,0,MATCH(AE$2,Inputs!$D$2:$AG$2,0)),Inputs!$B$4:$B$150,$B46)/1000)</f>
        <v/>
      </c>
      <c r="AF46" s="11" t="str">
        <f>IF(AF$3=0,"",SUMIFS(INDEX(Inputs!$D$4:$AG$150,0,MATCH(AF$2,Inputs!$D$2:$AG$2,0)),Inputs!$B$4:$B$150,$B46)/1000)</f>
        <v/>
      </c>
      <c r="AG46" s="12" t="str">
        <f>IF(AF46="","",AF46)</f>
        <v/>
      </c>
    </row>
    <row r="47">
      <c r="B47" s="9" t="n">
        <v>41</v>
      </c>
      <c r="C47" s="15" t="inlineStr">
        <is>
          <t>Retained earnings</t>
        </is>
      </c>
      <c r="D47" s="11">
        <f>IF(D$3=0,"",SUMIFS(INDEX(Inputs!$D$4:$AG$150,0,MATCH(D$2,Inputs!$D$2:$AG$2,0)),Inputs!$B$4:$B$150,$B47)/1000)</f>
        <v>0</v>
      </c>
      <c r="E47" s="11">
        <f>IF(E$3=0,"",SUMIFS(INDEX(Inputs!$D$4:$AG$150,0,MATCH(E$2,Inputs!$D$2:$AG$2,0)),Inputs!$B$4:$B$150,$B47)/1000)</f>
        <v>0</v>
      </c>
      <c r="F47" s="11">
        <f>IF(F$3=0,"",SUMIFS(INDEX(Inputs!$D$4:$AG$150,0,MATCH(F$2,Inputs!$D$2:$AG$2,0)),Inputs!$B$4:$B$150,$B47)/1000)</f>
        <v>0</v>
      </c>
      <c r="G47" s="11">
        <f>IF(G$3=0,"",SUMIFS(INDEX(Inputs!$D$4:$AG$150,0,MATCH(G$2,Inputs!$D$2:$AG$2,0)),Inputs!$B$4:$B$150,$B47)/1000)</f>
        <v>0</v>
      </c>
      <c r="H47" s="12">
        <f>IF(G47="","",G47)</f>
        <v>0</v>
      </c>
      <c r="I47" s="11">
        <f>IF(I$3=0,"",SUMIFS(INDEX(Inputs!$D$4:$AG$150,0,MATCH(I$2,Inputs!$D$2:$AG$2,0)),Inputs!$B$4:$B$150,$B47)/1000)</f>
        <v>-91</v>
      </c>
      <c r="J47" s="11">
        <f>IF(J$3=0,"",SUMIFS(INDEX(Inputs!$D$4:$AG$150,0,MATCH(J$2,Inputs!$D$2:$AG$2,0)),Inputs!$B$4:$B$150,$B47)/1000)</f>
        <v>-249</v>
      </c>
      <c r="K47" s="11">
        <f>IF(K$3=0,"",SUMIFS(INDEX(Inputs!$D$4:$AG$150,0,MATCH(K$2,Inputs!$D$2:$AG$2,0)),Inputs!$B$4:$B$150,$B47)/1000)</f>
        <v>-483</v>
      </c>
      <c r="L47" s="11">
        <f>IF(L$3=0,"",SUMIFS(INDEX(Inputs!$D$4:$AG$150,0,MATCH(L$2,Inputs!$D$2:$AG$2,0)),Inputs!$B$4:$B$150,$B47)/1000)</f>
        <v>-496</v>
      </c>
      <c r="M47" s="12">
        <f>IF(L47="","",L47)</f>
        <v>-496</v>
      </c>
      <c r="N47" s="11">
        <f>IF(N$3=0,"",SUMIFS(INDEX(Inputs!$D$4:$AG$150,0,MATCH(N$2,Inputs!$D$2:$AG$2,0)),Inputs!$B$4:$B$150,$B47)/1000)</f>
        <v>-493</v>
      </c>
      <c r="O47" s="11">
        <f>IF(O$3=0,"",SUMIFS(INDEX(Inputs!$D$4:$AG$150,0,MATCH(O$2,Inputs!$D$2:$AG$2,0)),Inputs!$B$4:$B$150,$B47)/1000)</f>
        <v>248</v>
      </c>
      <c r="P47" s="11">
        <f>IF(P$3=0,"",SUMIFS(INDEX(Inputs!$D$4:$AG$150,0,MATCH(P$2,Inputs!$D$2:$AG$2,0)),Inputs!$B$4:$B$150,$B47)/1000)</f>
        <v>887</v>
      </c>
      <c r="Q47" s="11">
        <f>IF(Q$3=0,"",SUMIFS(INDEX(Inputs!$D$4:$AG$150,0,MATCH(Q$2,Inputs!$D$2:$AG$2,0)),Inputs!$B$4:$B$150,$B47)/1000)</f>
        <v>761</v>
      </c>
      <c r="R47" s="12">
        <f>IF(Q47="","",Q47)</f>
        <v>761</v>
      </c>
      <c r="S47" s="11">
        <f>IF(S$3=0,"",SUMIFS(INDEX(Inputs!$D$4:$AG$150,0,MATCH(S$2,Inputs!$D$2:$AG$2,0)),Inputs!$B$4:$B$150,$B47)/1000)</f>
        <v>1532</v>
      </c>
      <c r="T47" s="11">
        <f>IF(T$3=0,"",SUMIFS(INDEX(Inputs!$D$4:$AG$150,0,MATCH(T$2,Inputs!$D$2:$AG$2,0)),Inputs!$B$4:$B$150,$B47)/1000)</f>
        <v>2236</v>
      </c>
      <c r="U47" s="11">
        <f>IF(U$3=0,"",SUMIFS(INDEX(Inputs!$D$4:$AG$150,0,MATCH(U$2,Inputs!$D$2:$AG$2,0)),Inputs!$B$4:$B$150,$B47)/1000)</f>
        <v>3325</v>
      </c>
      <c r="V47" s="11">
        <f>IF(V$3=0,"",SUMIFS(INDEX(Inputs!$D$4:$AG$150,0,MATCH(V$2,Inputs!$D$2:$AG$2,0)),Inputs!$B$4:$B$150,$B47)/1000)</f>
        <v>4066</v>
      </c>
      <c r="W47" s="12">
        <f>IF(V47="","",V47)</f>
        <v>4066</v>
      </c>
      <c r="X47" s="11">
        <f>IF(X$3=0,"",SUMIFS(INDEX(Inputs!$D$4:$AG$150,0,MATCH(X$2,Inputs!$D$2:$AG$2,0)),Inputs!$B$4:$B$150,$B47)/1000)</f>
        <v>4062</v>
      </c>
      <c r="Y47" s="11">
        <f>IF(Y$3=0,"",SUMIFS(INDEX(Inputs!$D$4:$AG$150,0,MATCH(Y$2,Inputs!$D$2:$AG$2,0)),Inputs!$B$4:$B$150,$B47)/1000)</f>
        <v>4779</v>
      </c>
      <c r="Z47" s="11">
        <f>IF(Z$3=0,"",SUMIFS(INDEX(Inputs!$D$4:$AG$150,0,MATCH(Z$2,Inputs!$D$2:$AG$2,0)),Inputs!$B$4:$B$150,$B47)/1000)</f>
        <v>5588</v>
      </c>
      <c r="AA47" s="11">
        <f>IF(AA$3=0,"",SUMIFS(INDEX(Inputs!$D$4:$AG$150,0,MATCH(AA$2,Inputs!$D$2:$AG$2,0)),Inputs!$B$4:$B$150,$B47)/1000)</f>
        <v>5899</v>
      </c>
      <c r="AB47" s="12">
        <f>IF(AA47="","",AA47)</f>
        <v>5899</v>
      </c>
      <c r="AC47" s="11">
        <f>IF(AC$3=0,"",SUMIFS(INDEX(Inputs!$D$4:$AG$150,0,MATCH(AC$2,Inputs!$D$2:$AG$2,0)),Inputs!$B$4:$B$150,$B47)/1000)</f>
        <v>7334</v>
      </c>
      <c r="AD47" s="11">
        <f>IF(AD$3=0,"",SUMIFS(INDEX(Inputs!$D$4:$AG$150,0,MATCH(AD$2,Inputs!$D$2:$AG$2,0)),Inputs!$B$4:$B$150,$B47)/1000)</f>
        <v>7692</v>
      </c>
      <c r="AE47" s="11" t="str">
        <f>IF(AE$3=0,"",SUMIFS(INDEX(Inputs!$D$4:$AG$150,0,MATCH(AE$2,Inputs!$D$2:$AG$2,0)),Inputs!$B$4:$B$150,$B47)/1000)</f>
        <v/>
      </c>
      <c r="AF47" s="11" t="str">
        <f>IF(AF$3=0,"",SUMIFS(INDEX(Inputs!$D$4:$AG$150,0,MATCH(AF$2,Inputs!$D$2:$AG$2,0)),Inputs!$B$4:$B$150,$B47)/1000)</f>
        <v/>
      </c>
      <c r="AG47" s="12" t="str">
        <f>IF(AF47="","",AF47)</f>
        <v/>
      </c>
    </row>
    <row r="48"/>
    <row r="49" customFormat="1" s="3">
      <c r="C49" s="4" t="n"/>
      <c r="D49" s="16" t="n"/>
      <c r="E49" s="16" t="n"/>
      <c r="F49" s="16" t="n"/>
      <c r="G49" s="16" t="n"/>
      <c r="H49" s="12" t="n"/>
      <c r="I49" s="16" t="n"/>
      <c r="J49" s="16" t="n"/>
      <c r="K49" s="16" t="n"/>
      <c r="L49" s="16" t="n"/>
      <c r="M49" s="12" t="n"/>
      <c r="N49" s="16" t="n"/>
      <c r="O49" s="16" t="n"/>
      <c r="P49" s="16" t="n"/>
      <c r="Q49" s="16" t="n"/>
      <c r="R49" s="12" t="n"/>
      <c r="S49" s="16" t="n"/>
      <c r="T49" s="16" t="n"/>
      <c r="U49" s="16" t="n"/>
      <c r="V49" s="16" t="n"/>
      <c r="W49" s="12" t="n"/>
      <c r="X49" s="16" t="n"/>
      <c r="Y49" s="16" t="n"/>
      <c r="Z49" s="16" t="n"/>
      <c r="AA49" s="16" t="n"/>
      <c r="AC49" s="16" t="n"/>
      <c r="AD49" s="16" t="n"/>
      <c r="AE49" s="16" t="n"/>
      <c r="AF49" s="16" t="n"/>
    </row>
    <row r="50">
      <c r="B50" s="9" t="n">
        <v>44</v>
      </c>
      <c r="C50" s="10" t="inlineStr">
        <is>
          <t>Net income reported (lucro líquido reportado) — base do check de DRE [Model linha 4]</t>
        </is>
      </c>
      <c r="D50" s="11">
        <f>IF(SUMPRODUCT((Inputs!$B$4:$B$150=$B50)*ISNUMBER(INDEX(Inputs!$D$4:$AG$150,0,MATCH(D$2,Inputs!$D$2:$AG$2,0))))=0,"",SUMIFS(INDEX(Inputs!$D$4:$AG$150,0,MATCH(D$2,Inputs!$D$2:$AG$2,0)),Inputs!$B$4:$B$150,$B50)/1000)</f>
        <v>-793</v>
      </c>
      <c r="E50" s="11">
        <f>IF(SUMPRODUCT((Inputs!$B$4:$B$150=$B50)*ISNUMBER(INDEX(Inputs!$D$4:$AG$150,0,MATCH(E$2,Inputs!$D$2:$AG$2,0))))=0,"",SUMIFS(INDEX(Inputs!$D$4:$AG$150,0,MATCH(E$2,Inputs!$D$2:$AG$2,0)),Inputs!$B$4:$B$150,$B50)/1000)</f>
        <v>-61</v>
      </c>
      <c r="F50" s="11">
        <f>IF(SUMPRODUCT((Inputs!$B$4:$B$150=$B50)*ISNUMBER(INDEX(Inputs!$D$4:$AG$150,0,MATCH(F$2,Inputs!$D$2:$AG$2,0))))=0,"",SUMIFS(INDEX(Inputs!$D$4:$AG$150,0,MATCH(F$2,Inputs!$D$2:$AG$2,0)),Inputs!$B$4:$B$150,$B50)/1000)</f>
        <v>607</v>
      </c>
      <c r="G50" s="11">
        <f>IF(SUMPRODUCT((Inputs!$B$4:$B$150=$B50)*ISNUMBER(INDEX(Inputs!$D$4:$AG$150,0,MATCH(G$2,Inputs!$D$2:$AG$2,0))))=0,"",SUMIFS(INDEX(Inputs!$D$4:$AG$150,0,MATCH(G$2,Inputs!$D$2:$AG$2,0)),Inputs!$B$4:$B$150,$B50)/1000)</f>
        <v>42</v>
      </c>
      <c r="H50" s="12">
        <f>IF(COUNT(D50:G50)=4,SUM(D50:G50),"")</f>
        <v>-205</v>
      </c>
      <c r="I50" s="11">
        <f>IF(SUMPRODUCT((Inputs!$B$4:$B$150=$B50)*ISNUMBER(INDEX(Inputs!$D$4:$AG$150,0,MATCH(I$2,Inputs!$D$2:$AG$2,0))))=0,"",SUMIFS(INDEX(Inputs!$D$4:$AG$150,0,MATCH(I$2,Inputs!$D$2:$AG$2,0)),Inputs!$B$4:$B$150,$B50)/1000)</f>
        <v>106</v>
      </c>
      <c r="J50" s="11">
        <f>IF(SUMPRODUCT((Inputs!$B$4:$B$150=$B50)*ISNUMBER(INDEX(Inputs!$D$4:$AG$150,0,MATCH(J$2,Inputs!$D$2:$AG$2,0))))=0,"",SUMIFS(INDEX(Inputs!$D$4:$AG$150,0,MATCH(J$2,Inputs!$D$2:$AG$2,0)),Inputs!$B$4:$B$150,$B50)/1000)</f>
        <v>-111</v>
      </c>
      <c r="K50" s="11">
        <f>IF(SUMPRODUCT((Inputs!$B$4:$B$150=$B50)*ISNUMBER(INDEX(Inputs!$D$4:$AG$150,0,MATCH(K$2,Inputs!$D$2:$AG$2,0))))=0,"",SUMIFS(INDEX(Inputs!$D$4:$AG$150,0,MATCH(K$2,Inputs!$D$2:$AG$2,0)),Inputs!$B$4:$B$150,$B50)/1000)</f>
        <v>-188</v>
      </c>
      <c r="L50" s="11">
        <f>IF(SUMPRODUCT((Inputs!$B$4:$B$150=$B50)*ISNUMBER(INDEX(Inputs!$D$4:$AG$150,0,MATCH(L$2,Inputs!$D$2:$AG$2,0))))=0,"",SUMIFS(INDEX(Inputs!$D$4:$AG$150,0,MATCH(L$2,Inputs!$D$2:$AG$2,0)),Inputs!$B$4:$B$150,$B50)/1000)</f>
        <v>34</v>
      </c>
      <c r="M50" s="12">
        <f>IF(COUNT(I50:L50)=4,SUM(I50:L50),"")</f>
        <v>-159</v>
      </c>
      <c r="N50" s="11">
        <f>IF(SUMPRODUCT((Inputs!$B$4:$B$150=$B50)*ISNUMBER(INDEX(Inputs!$D$4:$AG$150,0,MATCH(N$2,Inputs!$D$2:$AG$2,0))))=0,"",SUMIFS(INDEX(Inputs!$D$4:$AG$150,0,MATCH(N$2,Inputs!$D$2:$AG$2,0)),Inputs!$B$4:$B$150,$B50)/1000)</f>
        <v>96</v>
      </c>
      <c r="O50" s="11">
        <f>IF(SUMPRODUCT((Inputs!$B$4:$B$150=$B50)*ISNUMBER(INDEX(Inputs!$D$4:$AG$150,0,MATCH(O$2,Inputs!$D$2:$AG$2,0))))=0,"",SUMIFS(INDEX(Inputs!$D$4:$AG$150,0,MATCH(O$2,Inputs!$D$2:$AG$2,0)),Inputs!$B$4:$B$150,$B50)/1000)</f>
        <v>833</v>
      </c>
      <c r="P50" s="11">
        <f>IF(SUMPRODUCT((Inputs!$B$4:$B$150=$B50)*ISNUMBER(INDEX(Inputs!$D$4:$AG$150,0,MATCH(P$2,Inputs!$D$2:$AG$2,0))))=0,"",SUMIFS(INDEX(Inputs!$D$4:$AG$150,0,MATCH(P$2,Inputs!$D$2:$AG$2,0)),Inputs!$B$4:$B$150,$B50)/1000)</f>
        <v>731</v>
      </c>
      <c r="Q50" s="11">
        <f>IF(SUMPRODUCT((Inputs!$B$4:$B$150=$B50)*ISNUMBER(INDEX(Inputs!$D$4:$AG$150,0,MATCH(Q$2,Inputs!$D$2:$AG$2,0))))=0,"",SUMIFS(INDEX(Inputs!$D$4:$AG$150,0,MATCH(Q$2,Inputs!$D$2:$AG$2,0)),Inputs!$B$4:$B$150,$B50)/1000)</f>
        <v>-37</v>
      </c>
      <c r="R50" s="12">
        <f>IF(COUNT(N50:Q50)=4,SUM(N50:Q50),"")</f>
        <v>1623</v>
      </c>
      <c r="S50" s="11">
        <f>IF(SUMPRODUCT((Inputs!$B$4:$B$150=$B50)*ISNUMBER(INDEX(Inputs!$D$4:$AG$150,0,MATCH(S$2,Inputs!$D$2:$AG$2,0))))=0,"",SUMIFS(INDEX(Inputs!$D$4:$AG$150,0,MATCH(S$2,Inputs!$D$2:$AG$2,0)),Inputs!$B$4:$B$150,$B50)/1000)</f>
        <v>883</v>
      </c>
      <c r="T50" s="11">
        <f>IF(SUMPRODUCT((Inputs!$B$4:$B$150=$B50)*ISNUMBER(INDEX(Inputs!$D$4:$AG$150,0,MATCH(T$2,Inputs!$D$2:$AG$2,0))))=0,"",SUMIFS(INDEX(Inputs!$D$4:$AG$150,0,MATCH(T$2,Inputs!$D$2:$AG$2,0)),Inputs!$B$4:$B$150,$B50)/1000)</f>
        <v>814</v>
      </c>
      <c r="U50" s="11">
        <f>IF(SUMPRODUCT((Inputs!$B$4:$B$150=$B50)*ISNUMBER(INDEX(Inputs!$D$4:$AG$150,0,MATCH(U$2,Inputs!$D$2:$AG$2,0))))=0,"",SUMIFS(INDEX(Inputs!$D$4:$AG$150,0,MATCH(U$2,Inputs!$D$2:$AG$2,0)),Inputs!$B$4:$B$150,$B50)/1000)</f>
        <v>1200</v>
      </c>
      <c r="V50" s="11">
        <f>IF(SUMPRODUCT((Inputs!$B$4:$B$150=$B50)*ISNUMBER(INDEX(Inputs!$D$4:$AG$150,0,MATCH(V$2,Inputs!$D$2:$AG$2,0))))=0,"",SUMIFS(INDEX(Inputs!$D$4:$AG$150,0,MATCH(V$2,Inputs!$D$2:$AG$2,0)),Inputs!$B$4:$B$150,$B50)/1000)</f>
        <v>852</v>
      </c>
      <c r="W50" s="12">
        <f>IF(COUNT(S50:V50)=4,SUM(S50:V50),"")</f>
        <v>3749</v>
      </c>
      <c r="X50" s="11">
        <f>IF(SUMPRODUCT((Inputs!$B$4:$B$150=$B50)*ISNUMBER(INDEX(Inputs!$D$4:$AG$150,0,MATCH(X$2,Inputs!$D$2:$AG$2,0))))=0,"",SUMIFS(INDEX(Inputs!$D$4:$AG$150,0,MATCH(X$2,Inputs!$D$2:$AG$2,0)),Inputs!$B$4:$B$150,$B50)/1000)</f>
        <v>118</v>
      </c>
      <c r="Y50" s="11">
        <f>IF(SUMPRODUCT((Inputs!$B$4:$B$150=$B50)*ISNUMBER(INDEX(Inputs!$D$4:$AG$150,0,MATCH(Y$2,Inputs!$D$2:$AG$2,0))))=0,"",SUMIFS(INDEX(Inputs!$D$4:$AG$150,0,MATCH(Y$2,Inputs!$D$2:$AG$2,0)),Inputs!$B$4:$B$150,$B50)/1000)</f>
        <v>839</v>
      </c>
      <c r="Z50" s="11">
        <f>IF(SUMPRODUCT((Inputs!$B$4:$B$150=$B50)*ISNUMBER(INDEX(Inputs!$D$4:$AG$150,0,MATCH(Z$2,Inputs!$D$2:$AG$2,0))))=0,"",SUMIFS(INDEX(Inputs!$D$4:$AG$150,0,MATCH(Z$2,Inputs!$D$2:$AG$2,0)),Inputs!$B$4:$B$150,$B50)/1000)</f>
        <v>930</v>
      </c>
      <c r="AA50" s="11">
        <f>IF(SUMPRODUCT((Inputs!$B$4:$B$150=$B50)*ISNUMBER(INDEX(Inputs!$D$4:$AG$150,0,MATCH(AA$2,Inputs!$D$2:$AG$2,0))))=0,"",SUMIFS(INDEX(Inputs!$D$4:$AG$150,0,MATCH(AA$2,Inputs!$D$2:$AG$2,0)),Inputs!$B$4:$B$150,$B50)/1000)</f>
        <v>432</v>
      </c>
      <c r="AB50" s="12">
        <f>IF(COUNT(X50:AA50)=4,SUM(X50:AA50),"")</f>
        <v>2319</v>
      </c>
      <c r="AC50" s="11">
        <f>IF(SUMPRODUCT((Inputs!$B$4:$B$150=$B50)*ISNUMBER(INDEX(Inputs!$D$4:$AG$150,0,MATCH(AC$2,Inputs!$D$2:$AG$2,0))))=0,"",SUMIFS(INDEX(Inputs!$D$4:$AG$150,0,MATCH(AC$2,Inputs!$D$2:$AG$2,0)),Inputs!$B$4:$B$150,$B50)/1000)</f>
        <v>1590</v>
      </c>
      <c r="AD50" s="11">
        <f>IF(SUMPRODUCT((Inputs!$B$4:$B$150=$B50)*ISNUMBER(INDEX(Inputs!$D$4:$AG$150,0,MATCH(AD$2,Inputs!$D$2:$AG$2,0))))=0,"",SUMIFS(INDEX(Inputs!$D$4:$AG$150,0,MATCH(AD$2,Inputs!$D$2:$AG$2,0)),Inputs!$B$4:$B$150,$B50)/1000)</f>
        <v>513</v>
      </c>
      <c r="AE50" s="11" t="str">
        <f>IF(SUMPRODUCT((Inputs!$B$4:$B$150=$B50)*ISNUMBER(INDEX(Inputs!$D$4:$AG$150,0,MATCH(AE$2,Inputs!$D$2:$AG$2,0))))=0,"",SUMIFS(INDEX(Inputs!$D$4:$AG$150,0,MATCH(AE$2,Inputs!$D$2:$AG$2,0)),Inputs!$B$4:$B$150,$B50)/1000)</f>
        <v/>
      </c>
      <c r="AF50" s="11" t="str">
        <f>IF(SUMPRODUCT((Inputs!$B$4:$B$150=$B50)*ISNUMBER(INDEX(Inputs!$D$4:$AG$150,0,MATCH(AF$2,Inputs!$D$2:$AG$2,0))))=0,"",SUMIFS(INDEX(Inputs!$D$4:$AG$150,0,MATCH(AF$2,Inputs!$D$2:$AG$2,0)),Inputs!$B$4:$B$150,$B50)/1000)</f>
        <v/>
      </c>
      <c r="AG50" s="12" t="str">
        <f>IF(COUNT(AC50:AF50)=4,SUM(AC50:AF50),"")</f>
        <v/>
      </c>
    </row>
    <row r="52">
      <c r="C52" t="inlineStr">
        <is>
          <t>Drivers de receita (memo) - codigos 45+ [Model, bloco abaixo da receita liquida]</t>
        </is>
      </c>
    </row>
    <row r="53">
      <c r="B53" s="9" t="n">
        <v>45</v>
      </c>
      <c r="C53" s="10" t="inlineStr">
        <is>
          <t>Mid-Atlantic - receita (USD)</t>
        </is>
      </c>
      <c r="D53" s="11">
        <f>IF(SUMPRODUCT((Inputs!$B$4:$B$150=$B53)*ISNUMBER(INDEX(Inputs!$D$4:$AG$150,0,MATCH(D$2,Inputs!$D$2:$AG$2,0))))=0,"",SUMIFS(INDEX(Inputs!$D$4:$AG$150,0,MATCH(D$2,Inputs!$D$2:$AG$2,0)),Inputs!$B$4:$B$150,$B53)/1000)</f>
        <v>1160</v>
      </c>
      <c r="E53" s="11">
        <f>IF(SUMPRODUCT((Inputs!$B$4:$B$150=$B53)*ISNUMBER(INDEX(Inputs!$D$4:$AG$150,0,MATCH(E$2,Inputs!$D$2:$AG$2,0))))=0,"",SUMIFS(INDEX(Inputs!$D$4:$AG$150,0,MATCH(E$2,Inputs!$D$2:$AG$2,0)),Inputs!$B$4:$B$150,$B53)/1000)</f>
        <v>1086</v>
      </c>
      <c r="F53" s="11">
        <f>IF(SUMPRODUCT((Inputs!$B$4:$B$150=$B53)*ISNUMBER(INDEX(Inputs!$D$4:$AG$150,0,MATCH(F$2,Inputs!$D$2:$AG$2,0))))=0,"",SUMIFS(INDEX(Inputs!$D$4:$AG$150,0,MATCH(F$2,Inputs!$D$2:$AG$2,0)),Inputs!$B$4:$B$150,$B53)/1000)</f>
        <v>1268</v>
      </c>
      <c r="G53" s="11">
        <f>IF(SUMPRODUCT((Inputs!$B$4:$B$150=$B53)*ISNUMBER(INDEX(Inputs!$D$4:$AG$150,0,MATCH(G$2,Inputs!$D$2:$AG$2,0))))=0,"",SUMIFS(INDEX(Inputs!$D$4:$AG$150,0,MATCH(G$2,Inputs!$D$2:$AG$2,0)),Inputs!$B$4:$B$150,$B53)/1000)</f>
        <v>1053</v>
      </c>
      <c r="H53" s="12">
        <f>IF(COUNT(D53:G53)=4,SUM(D53:G53),"")</f>
        <v>4567</v>
      </c>
      <c r="I53" s="11">
        <f>IF(SUMPRODUCT((Inputs!$B$4:$B$150=$B53)*ISNUMBER(INDEX(Inputs!$D$4:$AG$150,0,MATCH(I$2,Inputs!$D$2:$AG$2,0))))=0,"",SUMIFS(INDEX(Inputs!$D$4:$AG$150,0,MATCH(I$2,Inputs!$D$2:$AG$2,0)),Inputs!$B$4:$B$150,$B53)/1000)</f>
        <v>1104</v>
      </c>
      <c r="J53" s="11">
        <f>IF(SUMPRODUCT((Inputs!$B$4:$B$150=$B53)*ISNUMBER(INDEX(Inputs!$D$4:$AG$150,0,MATCH(J$2,Inputs!$D$2:$AG$2,0))))=0,"",SUMIFS(INDEX(Inputs!$D$4:$AG$150,0,MATCH(J$2,Inputs!$D$2:$AG$2,0)),Inputs!$B$4:$B$150,$B53)/1000)</f>
        <v>1200</v>
      </c>
      <c r="K53" s="11">
        <f>IF(SUMPRODUCT((Inputs!$B$4:$B$150=$B53)*ISNUMBER(INDEX(Inputs!$D$4:$AG$150,0,MATCH(K$2,Inputs!$D$2:$AG$2,0))))=0,"",SUMIFS(INDEX(Inputs!$D$4:$AG$150,0,MATCH(K$2,Inputs!$D$2:$AG$2,0)),Inputs!$B$4:$B$150,$B53)/1000)</f>
        <v>1658</v>
      </c>
      <c r="L53" s="11">
        <f>IF(SUMPRODUCT((Inputs!$B$4:$B$150=$B53)*ISNUMBER(INDEX(Inputs!$D$4:$AG$150,0,MATCH(L$2,Inputs!$D$2:$AG$2,0))))=0,"",SUMIFS(INDEX(Inputs!$D$4:$AG$150,0,MATCH(L$2,Inputs!$D$2:$AG$2,0)),Inputs!$B$4:$B$150,$B53)/1000)</f>
        <v>1195</v>
      </c>
      <c r="M53" s="12">
        <f>IF(COUNT(I53:L53)=4,SUM(I53:L53),"")</f>
        <v>5157</v>
      </c>
      <c r="N53" s="11">
        <f>IF(SUMPRODUCT((Inputs!$B$4:$B$150=$B53)*ISNUMBER(INDEX(Inputs!$D$4:$AG$150,0,MATCH(N$2,Inputs!$D$2:$AG$2,0))))=0,"",SUMIFS(INDEX(Inputs!$D$4:$AG$150,0,MATCH(N$2,Inputs!$D$2:$AG$2,0)),Inputs!$B$4:$B$150,$B53)/1000)</f>
        <v>1276</v>
      </c>
      <c r="O53" s="11">
        <f>IF(SUMPRODUCT((Inputs!$B$4:$B$150=$B53)*ISNUMBER(INDEX(Inputs!$D$4:$AG$150,0,MATCH(O$2,Inputs!$D$2:$AG$2,0))))=0,"",SUMIFS(INDEX(Inputs!$D$4:$AG$150,0,MATCH(O$2,Inputs!$D$2:$AG$2,0)),Inputs!$B$4:$B$150,$B53)/1000)</f>
        <v>1208</v>
      </c>
      <c r="P53" s="11">
        <f>IF(SUMPRODUCT((Inputs!$B$4:$B$150=$B53)*ISNUMBER(INDEX(Inputs!$D$4:$AG$150,0,MATCH(P$2,Inputs!$D$2:$AG$2,0))))=0,"",SUMIFS(INDEX(Inputs!$D$4:$AG$150,0,MATCH(P$2,Inputs!$D$2:$AG$2,0)),Inputs!$B$4:$B$150,$B53)/1000)</f>
        <v>1415</v>
      </c>
      <c r="Q53" s="11">
        <f>IF(SUMPRODUCT((Inputs!$B$4:$B$150=$B53)*ISNUMBER(INDEX(Inputs!$D$4:$AG$150,0,MATCH(Q$2,Inputs!$D$2:$AG$2,0))))=0,"",SUMIFS(INDEX(Inputs!$D$4:$AG$150,0,MATCH(Q$2,Inputs!$D$2:$AG$2,0)),Inputs!$B$4:$B$150,$B53)/1000)</f>
        <v>1239</v>
      </c>
      <c r="R53" s="12">
        <f>IF(COUNT(N53:Q53)=4,SUM(N53:Q53),"")</f>
        <v>5138</v>
      </c>
      <c r="S53" s="11">
        <f>IF(SUMPRODUCT((Inputs!$B$4:$B$150=$B53)*ISNUMBER(INDEX(Inputs!$D$4:$AG$150,0,MATCH(S$2,Inputs!$D$2:$AG$2,0))))=0,"",SUMIFS(INDEX(Inputs!$D$4:$AG$150,0,MATCH(S$2,Inputs!$D$2:$AG$2,0)),Inputs!$B$4:$B$150,$B53)/1000)</f>
        <v>1242</v>
      </c>
      <c r="T53" s="11">
        <f>IF(SUMPRODUCT((Inputs!$B$4:$B$150=$B53)*ISNUMBER(INDEX(Inputs!$D$4:$AG$150,0,MATCH(T$2,Inputs!$D$2:$AG$2,0))))=0,"",SUMIFS(INDEX(Inputs!$D$4:$AG$150,0,MATCH(T$2,Inputs!$D$2:$AG$2,0)),Inputs!$B$4:$B$150,$B53)/1000)</f>
        <v>1304</v>
      </c>
      <c r="U53" s="11">
        <f>IF(SUMPRODUCT((Inputs!$B$4:$B$150=$B53)*ISNUMBER(INDEX(Inputs!$D$4:$AG$150,0,MATCH(U$2,Inputs!$D$2:$AG$2,0))))=0,"",SUMIFS(INDEX(Inputs!$D$4:$AG$150,0,MATCH(U$2,Inputs!$D$2:$AG$2,0)),Inputs!$B$4:$B$150,$B53)/1000)</f>
        <v>1603</v>
      </c>
      <c r="V53" s="11">
        <f>IF(SUMPRODUCT((Inputs!$B$4:$B$150=$B53)*ISNUMBER(INDEX(Inputs!$D$4:$AG$150,0,MATCH(V$2,Inputs!$D$2:$AG$2,0))))=0,"",SUMIFS(INDEX(Inputs!$D$4:$AG$150,0,MATCH(V$2,Inputs!$D$2:$AG$2,0)),Inputs!$B$4:$B$150,$B53)/1000)</f>
        <v>1374</v>
      </c>
      <c r="W53" s="12">
        <f>IF(COUNT(S53:V53)=4,SUM(S53:V53),"")</f>
        <v>5523</v>
      </c>
      <c r="X53" s="11">
        <f>IF(SUMPRODUCT((Inputs!$B$4:$B$150=$B53)*ISNUMBER(INDEX(Inputs!$D$4:$AG$150,0,MATCH(X$2,Inputs!$D$2:$AG$2,0))))=0,"",SUMIFS(INDEX(Inputs!$D$4:$AG$150,0,MATCH(X$2,Inputs!$D$2:$AG$2,0)),Inputs!$B$4:$B$150,$B53)/1000)</f>
        <v>1665</v>
      </c>
      <c r="Y53" s="11">
        <f>IF(SUMPRODUCT((Inputs!$B$4:$B$150=$B53)*ISNUMBER(INDEX(Inputs!$D$4:$AG$150,0,MATCH(Y$2,Inputs!$D$2:$AG$2,0))))=0,"",SUMIFS(INDEX(Inputs!$D$4:$AG$150,0,MATCH(Y$2,Inputs!$D$2:$AG$2,0)),Inputs!$B$4:$B$150,$B53)/1000)</f>
        <v>1448</v>
      </c>
      <c r="Z53" s="11">
        <f>IF(SUMPRODUCT((Inputs!$B$4:$B$150=$B53)*ISNUMBER(INDEX(Inputs!$D$4:$AG$150,0,MATCH(Z$2,Inputs!$D$2:$AG$2,0))))=0,"",SUMIFS(INDEX(Inputs!$D$4:$AG$150,0,MATCH(Z$2,Inputs!$D$2:$AG$2,0)),Inputs!$B$4:$B$150,$B53)/1000)</f>
        <v>1763</v>
      </c>
      <c r="AA53" s="11">
        <f>IF(SUMPRODUCT((Inputs!$B$4:$B$150=$B53)*ISNUMBER(INDEX(Inputs!$D$4:$AG$150,0,MATCH(AA$2,Inputs!$D$2:$AG$2,0))))=0,"",SUMIFS(INDEX(Inputs!$D$4:$AG$150,0,MATCH(AA$2,Inputs!$D$2:$AG$2,0)),Inputs!$B$4:$B$150,$B53)/1000)</f>
        <v>1611</v>
      </c>
      <c r="AB53" s="12">
        <f>IF(COUNT(X53:AA53)=4,SUM(X53:AA53),"")</f>
        <v>6487</v>
      </c>
      <c r="AC53" s="11">
        <f>IF(SUMPRODUCT((Inputs!$B$4:$B$150=$B53)*ISNUMBER(INDEX(Inputs!$D$4:$AG$150,0,MATCH(AC$2,Inputs!$D$2:$AG$2,0))))=0,"",SUMIFS(INDEX(Inputs!$D$4:$AG$150,0,MATCH(AC$2,Inputs!$D$2:$AG$2,0)),Inputs!$B$4:$B$150,$B53)/1000)</f>
        <v>1847</v>
      </c>
      <c r="AD53" s="11">
        <f>IF(SUMPRODUCT((Inputs!$B$4:$B$150=$B53)*ISNUMBER(INDEX(Inputs!$D$4:$AG$150,0,MATCH(AD$2,Inputs!$D$2:$AG$2,0))))=0,"",SUMIFS(INDEX(Inputs!$D$4:$AG$150,0,MATCH(AD$2,Inputs!$D$2:$AG$2,0)),Inputs!$B$4:$B$150,$B53)/1000)</f>
        <v>1555</v>
      </c>
      <c r="AE53" s="11" t="str">
        <f>IF(SUMPRODUCT((Inputs!$B$4:$B$150=$B53)*ISNUMBER(INDEX(Inputs!$D$4:$AG$150,0,MATCH(AE$2,Inputs!$D$2:$AG$2,0))))=0,"",SUMIFS(INDEX(Inputs!$D$4:$AG$150,0,MATCH(AE$2,Inputs!$D$2:$AG$2,0)),Inputs!$B$4:$B$150,$B53)/1000)</f>
        <v/>
      </c>
      <c r="AF53" s="11" t="str">
        <f>IF(SUMPRODUCT((Inputs!$B$4:$B$150=$B53)*ISNUMBER(INDEX(Inputs!$D$4:$AG$150,0,MATCH(AF$2,Inputs!$D$2:$AG$2,0))))=0,"",SUMIFS(INDEX(Inputs!$D$4:$AG$150,0,MATCH(AF$2,Inputs!$D$2:$AG$2,0)),Inputs!$B$4:$B$150,$B53)/1000)</f>
        <v/>
      </c>
      <c r="AG53" s="12" t="str">
        <f>IF(COUNT(AC53:AF53)=4,SUM(AC53:AF53),"")</f>
        <v/>
      </c>
    </row>
    <row r="54">
      <c r="B54" s="9" t="n">
        <v>46</v>
      </c>
      <c r="C54" s="10" t="inlineStr">
        <is>
          <t>Midwest - receita (USD)</t>
        </is>
      </c>
      <c r="D54" s="11">
        <f>IF(SUMPRODUCT((Inputs!$B$4:$B$150=$B54)*ISNUMBER(INDEX(Inputs!$D$4:$AG$150,0,MATCH(D$2,Inputs!$D$2:$AG$2,0))))=0,"",SUMIFS(INDEX(Inputs!$D$4:$AG$150,0,MATCH(D$2,Inputs!$D$2:$AG$2,0)),Inputs!$B$4:$B$150,$B54)/1000)</f>
        <v>998</v>
      </c>
      <c r="E54" s="11">
        <f>IF(SUMPRODUCT((Inputs!$B$4:$B$150=$B54)*ISNUMBER(INDEX(Inputs!$D$4:$AG$150,0,MATCH(E$2,Inputs!$D$2:$AG$2,0))))=0,"",SUMIFS(INDEX(Inputs!$D$4:$AG$150,0,MATCH(E$2,Inputs!$D$2:$AG$2,0)),Inputs!$B$4:$B$150,$B54)/1000)</f>
        <v>962</v>
      </c>
      <c r="F54" s="11">
        <f>IF(SUMPRODUCT((Inputs!$B$4:$B$150=$B54)*ISNUMBER(INDEX(Inputs!$D$4:$AG$150,0,MATCH(F$2,Inputs!$D$2:$AG$2,0))))=0,"",SUMIFS(INDEX(Inputs!$D$4:$AG$150,0,MATCH(F$2,Inputs!$D$2:$AG$2,0)),Inputs!$B$4:$B$150,$B54)/1000)</f>
        <v>985</v>
      </c>
      <c r="G54" s="11">
        <f>IF(SUMPRODUCT((Inputs!$B$4:$B$150=$B54)*ISNUMBER(INDEX(Inputs!$D$4:$AG$150,0,MATCH(G$2,Inputs!$D$2:$AG$2,0))))=0,"",SUMIFS(INDEX(Inputs!$D$4:$AG$150,0,MATCH(G$2,Inputs!$D$2:$AG$2,0)),Inputs!$B$4:$B$150,$B54)/1000)</f>
        <v>1116</v>
      </c>
      <c r="H54" s="12">
        <f>IF(COUNT(D54:G54)=4,SUM(D54:G54),"")</f>
        <v>4061</v>
      </c>
      <c r="I54" s="11">
        <f>IF(SUMPRODUCT((Inputs!$B$4:$B$150=$B54)*ISNUMBER(INDEX(Inputs!$D$4:$AG$150,0,MATCH(I$2,Inputs!$D$2:$AG$2,0))))=0,"",SUMIFS(INDEX(Inputs!$D$4:$AG$150,0,MATCH(I$2,Inputs!$D$2:$AG$2,0)),Inputs!$B$4:$B$150,$B54)/1000)</f>
        <v>1197</v>
      </c>
      <c r="J54" s="11">
        <f>IF(SUMPRODUCT((Inputs!$B$4:$B$150=$B54)*ISNUMBER(INDEX(Inputs!$D$4:$AG$150,0,MATCH(J$2,Inputs!$D$2:$AG$2,0))))=0,"",SUMIFS(INDEX(Inputs!$D$4:$AG$150,0,MATCH(J$2,Inputs!$D$2:$AG$2,0)),Inputs!$B$4:$B$150,$B54)/1000)</f>
        <v>1102</v>
      </c>
      <c r="K54" s="11">
        <f>IF(SUMPRODUCT((Inputs!$B$4:$B$150=$B54)*ISNUMBER(INDEX(Inputs!$D$4:$AG$150,0,MATCH(K$2,Inputs!$D$2:$AG$2,0))))=0,"",SUMIFS(INDEX(Inputs!$D$4:$AG$150,0,MATCH(K$2,Inputs!$D$2:$AG$2,0)),Inputs!$B$4:$B$150,$B54)/1000)</f>
        <v>1049</v>
      </c>
      <c r="L54" s="11">
        <f>IF(SUMPRODUCT((Inputs!$B$4:$B$150=$B54)*ISNUMBER(INDEX(Inputs!$D$4:$AG$150,0,MATCH(L$2,Inputs!$D$2:$AG$2,0))))=0,"",SUMIFS(INDEX(Inputs!$D$4:$AG$150,0,MATCH(L$2,Inputs!$D$2:$AG$2,0)),Inputs!$B$4:$B$150,$B54)/1000)</f>
        <v>1309</v>
      </c>
      <c r="M54" s="12">
        <f>IF(COUNT(I54:L54)=4,SUM(I54:L54),"")</f>
        <v>4657</v>
      </c>
      <c r="N54" s="11">
        <f>IF(SUMPRODUCT((Inputs!$B$4:$B$150=$B54)*ISNUMBER(INDEX(Inputs!$D$4:$AG$150,0,MATCH(N$2,Inputs!$D$2:$AG$2,0))))=0,"",SUMIFS(INDEX(Inputs!$D$4:$AG$150,0,MATCH(N$2,Inputs!$D$2:$AG$2,0)),Inputs!$B$4:$B$150,$B54)/1000)</f>
        <v>1030</v>
      </c>
      <c r="O54" s="11">
        <f>IF(SUMPRODUCT((Inputs!$B$4:$B$150=$B54)*ISNUMBER(INDEX(Inputs!$D$4:$AG$150,0,MATCH(O$2,Inputs!$D$2:$AG$2,0))))=0,"",SUMIFS(INDEX(Inputs!$D$4:$AG$150,0,MATCH(O$2,Inputs!$D$2:$AG$2,0)),Inputs!$B$4:$B$150,$B54)/1000)</f>
        <v>1329</v>
      </c>
      <c r="P54" s="11">
        <f>IF(SUMPRODUCT((Inputs!$B$4:$B$150=$B54)*ISNUMBER(INDEX(Inputs!$D$4:$AG$150,0,MATCH(P$2,Inputs!$D$2:$AG$2,0))))=0,"",SUMIFS(INDEX(Inputs!$D$4:$AG$150,0,MATCH(P$2,Inputs!$D$2:$AG$2,0)),Inputs!$B$4:$B$150,$B54)/1000)</f>
        <v>1117</v>
      </c>
      <c r="Q54" s="11">
        <f>IF(SUMPRODUCT((Inputs!$B$4:$B$150=$B54)*ISNUMBER(INDEX(Inputs!$D$4:$AG$150,0,MATCH(Q$2,Inputs!$D$2:$AG$2,0))))=0,"",SUMIFS(INDEX(Inputs!$D$4:$AG$150,0,MATCH(Q$2,Inputs!$D$2:$AG$2,0)),Inputs!$B$4:$B$150,$B54)/1000)</f>
        <v>1182</v>
      </c>
      <c r="R54" s="12">
        <f>IF(COUNT(N54:Q54)=4,SUM(N54:Q54),"")</f>
        <v>4658</v>
      </c>
      <c r="S54" s="11">
        <f>IF(SUMPRODUCT((Inputs!$B$4:$B$150=$B54)*ISNUMBER(INDEX(Inputs!$D$4:$AG$150,0,MATCH(S$2,Inputs!$D$2:$AG$2,0))))=0,"",SUMIFS(INDEX(Inputs!$D$4:$AG$150,0,MATCH(S$2,Inputs!$D$2:$AG$2,0)),Inputs!$B$4:$B$150,$B54)/1000)</f>
        <v>1094</v>
      </c>
      <c r="T54" s="11">
        <f>IF(SUMPRODUCT((Inputs!$B$4:$B$150=$B54)*ISNUMBER(INDEX(Inputs!$D$4:$AG$150,0,MATCH(T$2,Inputs!$D$2:$AG$2,0))))=0,"",SUMIFS(INDEX(Inputs!$D$4:$AG$150,0,MATCH(T$2,Inputs!$D$2:$AG$2,0)),Inputs!$B$4:$B$150,$B54)/1000)</f>
        <v>1168</v>
      </c>
      <c r="U54" s="11">
        <f>IF(SUMPRODUCT((Inputs!$B$4:$B$150=$B54)*ISNUMBER(INDEX(Inputs!$D$4:$AG$150,0,MATCH(U$2,Inputs!$D$2:$AG$2,0))))=0,"",SUMIFS(INDEX(Inputs!$D$4:$AG$150,0,MATCH(U$2,Inputs!$D$2:$AG$2,0)),Inputs!$B$4:$B$150,$B54)/1000)</f>
        <v>1275</v>
      </c>
      <c r="V54" s="11">
        <f>IF(SUMPRODUCT((Inputs!$B$4:$B$150=$B54)*ISNUMBER(INDEX(Inputs!$D$4:$AG$150,0,MATCH(V$2,Inputs!$D$2:$AG$2,0))))=0,"",SUMIFS(INDEX(Inputs!$D$4:$AG$150,0,MATCH(V$2,Inputs!$D$2:$AG$2,0)),Inputs!$B$4:$B$150,$B54)/1000)</f>
        <v>1268</v>
      </c>
      <c r="W54" s="12">
        <f>IF(COUNT(S54:V54)=4,SUM(S54:V54),"")</f>
        <v>4805</v>
      </c>
      <c r="X54" s="11">
        <f>IF(SUMPRODUCT((Inputs!$B$4:$B$150=$B54)*ISNUMBER(INDEX(Inputs!$D$4:$AG$150,0,MATCH(X$2,Inputs!$D$2:$AG$2,0))))=0,"",SUMIFS(INDEX(Inputs!$D$4:$AG$150,0,MATCH(X$2,Inputs!$D$2:$AG$2,0)),Inputs!$B$4:$B$150,$B54)/1000)</f>
        <v>1404</v>
      </c>
      <c r="Y54" s="11">
        <f>IF(SUMPRODUCT((Inputs!$B$4:$B$150=$B54)*ISNUMBER(INDEX(Inputs!$D$4:$AG$150,0,MATCH(Y$2,Inputs!$D$2:$AG$2,0))))=0,"",SUMIFS(INDEX(Inputs!$D$4:$AG$150,0,MATCH(Y$2,Inputs!$D$2:$AG$2,0)),Inputs!$B$4:$B$150,$B54)/1000)</f>
        <v>1524</v>
      </c>
      <c r="Z54" s="11">
        <f>IF(SUMPRODUCT((Inputs!$B$4:$B$150=$B54)*ISNUMBER(INDEX(Inputs!$D$4:$AG$150,0,MATCH(Z$2,Inputs!$D$2:$AG$2,0))))=0,"",SUMIFS(INDEX(Inputs!$D$4:$AG$150,0,MATCH(Z$2,Inputs!$D$2:$AG$2,0)),Inputs!$B$4:$B$150,$B54)/1000)</f>
        <v>1390</v>
      </c>
      <c r="AA54" s="11">
        <f>IF(SUMPRODUCT((Inputs!$B$4:$B$150=$B54)*ISNUMBER(INDEX(Inputs!$D$4:$AG$150,0,MATCH(AA$2,Inputs!$D$2:$AG$2,0))))=0,"",SUMIFS(INDEX(Inputs!$D$4:$AG$150,0,MATCH(AA$2,Inputs!$D$2:$AG$2,0)),Inputs!$B$4:$B$150,$B54)/1000)</f>
        <v>1487</v>
      </c>
      <c r="AB54" s="12">
        <f>IF(COUNT(X54:AA54)=4,SUM(X54:AA54),"")</f>
        <v>5805</v>
      </c>
      <c r="AC54" s="11">
        <f>IF(SUMPRODUCT((Inputs!$B$4:$B$150=$B54)*ISNUMBER(INDEX(Inputs!$D$4:$AG$150,0,MATCH(AC$2,Inputs!$D$2:$AG$2,0))))=0,"",SUMIFS(INDEX(Inputs!$D$4:$AG$150,0,MATCH(AC$2,Inputs!$D$2:$AG$2,0)),Inputs!$B$4:$B$150,$B54)/1000)</f>
        <v>1732</v>
      </c>
      <c r="AD54" s="11">
        <f>IF(SUMPRODUCT((Inputs!$B$4:$B$150=$B54)*ISNUMBER(INDEX(Inputs!$D$4:$AG$150,0,MATCH(AD$2,Inputs!$D$2:$AG$2,0))))=0,"",SUMIFS(INDEX(Inputs!$D$4:$AG$150,0,MATCH(AD$2,Inputs!$D$2:$AG$2,0)),Inputs!$B$4:$B$150,$B54)/1000)</f>
        <v>1568</v>
      </c>
      <c r="AE54" s="11" t="str">
        <f>IF(SUMPRODUCT((Inputs!$B$4:$B$150=$B54)*ISNUMBER(INDEX(Inputs!$D$4:$AG$150,0,MATCH(AE$2,Inputs!$D$2:$AG$2,0))))=0,"",SUMIFS(INDEX(Inputs!$D$4:$AG$150,0,MATCH(AE$2,Inputs!$D$2:$AG$2,0)),Inputs!$B$4:$B$150,$B54)/1000)</f>
        <v/>
      </c>
      <c r="AF54" s="11" t="str">
        <f>IF(SUMPRODUCT((Inputs!$B$4:$B$150=$B54)*ISNUMBER(INDEX(Inputs!$D$4:$AG$150,0,MATCH(AF$2,Inputs!$D$2:$AG$2,0))))=0,"",SUMIFS(INDEX(Inputs!$D$4:$AG$150,0,MATCH(AF$2,Inputs!$D$2:$AG$2,0)),Inputs!$B$4:$B$150,$B54)/1000)</f>
        <v/>
      </c>
      <c r="AG54" s="12" t="str">
        <f>IF(COUNT(AC54:AF54)=4,SUM(AC54:AF54),"")</f>
        <v/>
      </c>
    </row>
    <row r="55">
      <c r="B55" s="9" t="n">
        <v>47</v>
      </c>
      <c r="C55" s="10" t="inlineStr">
        <is>
          <t>New York - receita (USD)</t>
        </is>
      </c>
      <c r="D55" s="11">
        <f>IF(SUMPRODUCT((Inputs!$B$4:$B$150=$B55)*ISNUMBER(INDEX(Inputs!$D$4:$AG$150,0,MATCH(D$2,Inputs!$D$2:$AG$2,0))))=0,"",SUMIFS(INDEX(Inputs!$D$4:$AG$150,0,MATCH(D$2,Inputs!$D$2:$AG$2,0)),Inputs!$B$4:$B$150,$B55)/1000)</f>
        <v>337</v>
      </c>
      <c r="E55" s="11">
        <f>IF(SUMPRODUCT((Inputs!$B$4:$B$150=$B55)*ISNUMBER(INDEX(Inputs!$D$4:$AG$150,0,MATCH(E$2,Inputs!$D$2:$AG$2,0))))=0,"",SUMIFS(INDEX(Inputs!$D$4:$AG$150,0,MATCH(E$2,Inputs!$D$2:$AG$2,0)),Inputs!$B$4:$B$150,$B55)/1000)</f>
        <v>381</v>
      </c>
      <c r="F55" s="11">
        <f>IF(SUMPRODUCT((Inputs!$B$4:$B$150=$B55)*ISNUMBER(INDEX(Inputs!$D$4:$AG$150,0,MATCH(F$2,Inputs!$D$2:$AG$2,0))))=0,"",SUMIFS(INDEX(Inputs!$D$4:$AG$150,0,MATCH(F$2,Inputs!$D$2:$AG$2,0)),Inputs!$B$4:$B$150,$B55)/1000)</f>
        <v>455</v>
      </c>
      <c r="G55" s="11">
        <f>IF(SUMPRODUCT((Inputs!$B$4:$B$150=$B55)*ISNUMBER(INDEX(Inputs!$D$4:$AG$150,0,MATCH(G$2,Inputs!$D$2:$AG$2,0))))=0,"",SUMIFS(INDEX(Inputs!$D$4:$AG$150,0,MATCH(G$2,Inputs!$D$2:$AG$2,0)),Inputs!$B$4:$B$150,$B55)/1000)</f>
        <v>402</v>
      </c>
      <c r="H55" s="12">
        <f>IF(COUNT(D55:G55)=4,SUM(D55:G55),"")</f>
        <v>1575</v>
      </c>
      <c r="I55" s="11">
        <f>IF(SUMPRODUCT((Inputs!$B$4:$B$150=$B55)*ISNUMBER(INDEX(Inputs!$D$4:$AG$150,0,MATCH(I$2,Inputs!$D$2:$AG$2,0))))=0,"",SUMIFS(INDEX(Inputs!$D$4:$AG$150,0,MATCH(I$2,Inputs!$D$2:$AG$2,0)),Inputs!$B$4:$B$150,$B55)/1000)</f>
        <v>359</v>
      </c>
      <c r="J55" s="11">
        <f>IF(SUMPRODUCT((Inputs!$B$4:$B$150=$B55)*ISNUMBER(INDEX(Inputs!$D$4:$AG$150,0,MATCH(J$2,Inputs!$D$2:$AG$2,0))))=0,"",SUMIFS(INDEX(Inputs!$D$4:$AG$150,0,MATCH(J$2,Inputs!$D$2:$AG$2,0)),Inputs!$B$4:$B$150,$B55)/1000)</f>
        <v>393</v>
      </c>
      <c r="K55" s="11">
        <f>IF(SUMPRODUCT((Inputs!$B$4:$B$150=$B55)*ISNUMBER(INDEX(Inputs!$D$4:$AG$150,0,MATCH(K$2,Inputs!$D$2:$AG$2,0))))=0,"",SUMIFS(INDEX(Inputs!$D$4:$AG$150,0,MATCH(K$2,Inputs!$D$2:$AG$2,0)),Inputs!$B$4:$B$150,$B55)/1000)</f>
        <v>426</v>
      </c>
      <c r="L55" s="11">
        <f>IF(SUMPRODUCT((Inputs!$B$4:$B$150=$B55)*ISNUMBER(INDEX(Inputs!$D$4:$AG$150,0,MATCH(L$2,Inputs!$D$2:$AG$2,0))))=0,"",SUMIFS(INDEX(Inputs!$D$4:$AG$150,0,MATCH(L$2,Inputs!$D$2:$AG$2,0)),Inputs!$B$4:$B$150,$B55)/1000)</f>
        <v>418</v>
      </c>
      <c r="M55" s="12">
        <f>IF(COUNT(I55:L55)=4,SUM(I55:L55),"")</f>
        <v>1596</v>
      </c>
      <c r="N55" s="11">
        <f>IF(SUMPRODUCT((Inputs!$B$4:$B$150=$B55)*ISNUMBER(INDEX(Inputs!$D$4:$AG$150,0,MATCH(N$2,Inputs!$D$2:$AG$2,0))))=0,"",SUMIFS(INDEX(Inputs!$D$4:$AG$150,0,MATCH(N$2,Inputs!$D$2:$AG$2,0)),Inputs!$B$4:$B$150,$B55)/1000)</f>
        <v>501</v>
      </c>
      <c r="O55" s="11">
        <f>IF(SUMPRODUCT((Inputs!$B$4:$B$150=$B55)*ISNUMBER(INDEX(Inputs!$D$4:$AG$150,0,MATCH(O$2,Inputs!$D$2:$AG$2,0))))=0,"",SUMIFS(INDEX(Inputs!$D$4:$AG$150,0,MATCH(O$2,Inputs!$D$2:$AG$2,0)),Inputs!$B$4:$B$150,$B55)/1000)</f>
        <v>468</v>
      </c>
      <c r="P55" s="11">
        <f>IF(SUMPRODUCT((Inputs!$B$4:$B$150=$B55)*ISNUMBER(INDEX(Inputs!$D$4:$AG$150,0,MATCH(P$2,Inputs!$D$2:$AG$2,0))))=0,"",SUMIFS(INDEX(Inputs!$D$4:$AG$150,0,MATCH(P$2,Inputs!$D$2:$AG$2,0)),Inputs!$B$4:$B$150,$B55)/1000)</f>
        <v>508</v>
      </c>
      <c r="Q55" s="11">
        <f>IF(SUMPRODUCT((Inputs!$B$4:$B$150=$B55)*ISNUMBER(INDEX(Inputs!$D$4:$AG$150,0,MATCH(Q$2,Inputs!$D$2:$AG$2,0))))=0,"",SUMIFS(INDEX(Inputs!$D$4:$AG$150,0,MATCH(Q$2,Inputs!$D$2:$AG$2,0)),Inputs!$B$4:$B$150,$B55)/1000)</f>
        <v>544</v>
      </c>
      <c r="R55" s="12">
        <f>IF(COUNT(N55:Q55)=4,SUM(N55:Q55),"")</f>
        <v>2021</v>
      </c>
      <c r="S55" s="11">
        <f>IF(SUMPRODUCT((Inputs!$B$4:$B$150=$B55)*ISNUMBER(INDEX(Inputs!$D$4:$AG$150,0,MATCH(S$2,Inputs!$D$2:$AG$2,0))))=0,"",SUMIFS(INDEX(Inputs!$D$4:$AG$150,0,MATCH(S$2,Inputs!$D$2:$AG$2,0)),Inputs!$B$4:$B$150,$B55)/1000)</f>
        <v>513</v>
      </c>
      <c r="T55" s="11">
        <f>IF(SUMPRODUCT((Inputs!$B$4:$B$150=$B55)*ISNUMBER(INDEX(Inputs!$D$4:$AG$150,0,MATCH(T$2,Inputs!$D$2:$AG$2,0))))=0,"",SUMIFS(INDEX(Inputs!$D$4:$AG$150,0,MATCH(T$2,Inputs!$D$2:$AG$2,0)),Inputs!$B$4:$B$150,$B55)/1000)</f>
        <v>514</v>
      </c>
      <c r="U55" s="11">
        <f>IF(SUMPRODUCT((Inputs!$B$4:$B$150=$B55)*ISNUMBER(INDEX(Inputs!$D$4:$AG$150,0,MATCH(U$2,Inputs!$D$2:$AG$2,0))))=0,"",SUMIFS(INDEX(Inputs!$D$4:$AG$150,0,MATCH(U$2,Inputs!$D$2:$AG$2,0)),Inputs!$B$4:$B$150,$B55)/1000)</f>
        <v>507</v>
      </c>
      <c r="V55" s="11">
        <f>IF(SUMPRODUCT((Inputs!$B$4:$B$150=$B55)*ISNUMBER(INDEX(Inputs!$D$4:$AG$150,0,MATCH(V$2,Inputs!$D$2:$AG$2,0))))=0,"",SUMIFS(INDEX(Inputs!$D$4:$AG$150,0,MATCH(V$2,Inputs!$D$2:$AG$2,0)),Inputs!$B$4:$B$150,$B55)/1000)</f>
        <v>516</v>
      </c>
      <c r="W55" s="12">
        <f>IF(COUNT(S55:V55)=4,SUM(S55:V55),"")</f>
        <v>2050</v>
      </c>
      <c r="X55" s="11">
        <f>IF(SUMPRODUCT((Inputs!$B$4:$B$150=$B55)*ISNUMBER(INDEX(Inputs!$D$4:$AG$150,0,MATCH(X$2,Inputs!$D$2:$AG$2,0))))=0,"",SUMIFS(INDEX(Inputs!$D$4:$AG$150,0,MATCH(X$2,Inputs!$D$2:$AG$2,0)),Inputs!$B$4:$B$150,$B55)/1000)</f>
        <v>562</v>
      </c>
      <c r="Y55" s="11">
        <f>IF(SUMPRODUCT((Inputs!$B$4:$B$150=$B55)*ISNUMBER(INDEX(Inputs!$D$4:$AG$150,0,MATCH(Y$2,Inputs!$D$2:$AG$2,0))))=0,"",SUMIFS(INDEX(Inputs!$D$4:$AG$150,0,MATCH(Y$2,Inputs!$D$2:$AG$2,0)),Inputs!$B$4:$B$150,$B55)/1000)</f>
        <v>535</v>
      </c>
      <c r="Z55" s="11">
        <f>IF(SUMPRODUCT((Inputs!$B$4:$B$150=$B55)*ISNUMBER(INDEX(Inputs!$D$4:$AG$150,0,MATCH(Z$2,Inputs!$D$2:$AG$2,0))))=0,"",SUMIFS(INDEX(Inputs!$D$4:$AG$150,0,MATCH(Z$2,Inputs!$D$2:$AG$2,0)),Inputs!$B$4:$B$150,$B55)/1000)</f>
        <v>558</v>
      </c>
      <c r="AA55" s="11">
        <f>IF(SUMPRODUCT((Inputs!$B$4:$B$150=$B55)*ISNUMBER(INDEX(Inputs!$D$4:$AG$150,0,MATCH(AA$2,Inputs!$D$2:$AG$2,0))))=0,"",SUMIFS(INDEX(Inputs!$D$4:$AG$150,0,MATCH(AA$2,Inputs!$D$2:$AG$2,0)),Inputs!$B$4:$B$150,$B55)/1000)</f>
        <v>535</v>
      </c>
      <c r="AB55" s="12">
        <f>IF(COUNT(X55:AA55)=4,SUM(X55:AA55),"")</f>
        <v>2190</v>
      </c>
      <c r="AC55" s="11">
        <f>IF(SUMPRODUCT((Inputs!$B$4:$B$150=$B55)*ISNUMBER(INDEX(Inputs!$D$4:$AG$150,0,MATCH(AC$2,Inputs!$D$2:$AG$2,0))))=0,"",SUMIFS(INDEX(Inputs!$D$4:$AG$150,0,MATCH(AC$2,Inputs!$D$2:$AG$2,0)),Inputs!$B$4:$B$150,$B55)/1000)</f>
        <v>569</v>
      </c>
      <c r="AD55" s="11">
        <f>IF(SUMPRODUCT((Inputs!$B$4:$B$150=$B55)*ISNUMBER(INDEX(Inputs!$D$4:$AG$150,0,MATCH(AD$2,Inputs!$D$2:$AG$2,0))))=0,"",SUMIFS(INDEX(Inputs!$D$4:$AG$150,0,MATCH(AD$2,Inputs!$D$2:$AG$2,0)),Inputs!$B$4:$B$150,$B55)/1000)</f>
        <v>564</v>
      </c>
      <c r="AE55" s="11" t="str">
        <f>IF(SUMPRODUCT((Inputs!$B$4:$B$150=$B55)*ISNUMBER(INDEX(Inputs!$D$4:$AG$150,0,MATCH(AE$2,Inputs!$D$2:$AG$2,0))))=0,"",SUMIFS(INDEX(Inputs!$D$4:$AG$150,0,MATCH(AE$2,Inputs!$D$2:$AG$2,0)),Inputs!$B$4:$B$150,$B55)/1000)</f>
        <v/>
      </c>
      <c r="AF55" s="11" t="str">
        <f>IF(SUMPRODUCT((Inputs!$B$4:$B$150=$B55)*ISNUMBER(INDEX(Inputs!$D$4:$AG$150,0,MATCH(AF$2,Inputs!$D$2:$AG$2,0))))=0,"",SUMIFS(INDEX(Inputs!$D$4:$AG$150,0,MATCH(AF$2,Inputs!$D$2:$AG$2,0)),Inputs!$B$4:$B$150,$B55)/1000)</f>
        <v/>
      </c>
      <c r="AG55" s="12" t="str">
        <f>IF(COUNT(AC55:AF55)=4,SUM(AC55:AF55),"")</f>
        <v/>
      </c>
    </row>
    <row r="56">
      <c r="B56" s="9" t="n">
        <v>48</v>
      </c>
      <c r="C56" s="10" t="inlineStr">
        <is>
          <t>ERCOT - receita (USD)</t>
        </is>
      </c>
      <c r="D56" s="11">
        <f>IF(SUMPRODUCT((Inputs!$B$4:$B$150=$B56)*ISNUMBER(INDEX(Inputs!$D$4:$AG$150,0,MATCH(D$2,Inputs!$D$2:$AG$2,0))))=0,"",SUMIFS(INDEX(Inputs!$D$4:$AG$150,0,MATCH(D$2,Inputs!$D$2:$AG$2,0)),Inputs!$B$4:$B$150,$B56)/1000)</f>
        <v>252</v>
      </c>
      <c r="E56" s="11">
        <f>IF(SUMPRODUCT((Inputs!$B$4:$B$150=$B56)*ISNUMBER(INDEX(Inputs!$D$4:$AG$150,0,MATCH(E$2,Inputs!$D$2:$AG$2,0))))=0,"",SUMIFS(INDEX(Inputs!$D$4:$AG$150,0,MATCH(E$2,Inputs!$D$2:$AG$2,0)),Inputs!$B$4:$B$150,$B56)/1000)</f>
        <v>271</v>
      </c>
      <c r="F56" s="11">
        <f>IF(SUMPRODUCT((Inputs!$B$4:$B$150=$B56)*ISNUMBER(INDEX(Inputs!$D$4:$AG$150,0,MATCH(F$2,Inputs!$D$2:$AG$2,0))))=0,"",SUMIFS(INDEX(Inputs!$D$4:$AG$150,0,MATCH(F$2,Inputs!$D$2:$AG$2,0)),Inputs!$B$4:$B$150,$B56)/1000)</f>
        <v>356</v>
      </c>
      <c r="G56" s="11">
        <f>IF(SUMPRODUCT((Inputs!$B$4:$B$150=$B56)*ISNUMBER(INDEX(Inputs!$D$4:$AG$150,0,MATCH(G$2,Inputs!$D$2:$AG$2,0))))=0,"",SUMIFS(INDEX(Inputs!$D$4:$AG$150,0,MATCH(G$2,Inputs!$D$2:$AG$2,0)),Inputs!$B$4:$B$150,$B56)/1000)</f>
        <v>293</v>
      </c>
      <c r="H56" s="12">
        <f>IF(COUNT(D56:G56)=4,SUM(D56:G56),"")</f>
        <v>1172</v>
      </c>
      <c r="I56" s="11">
        <f>IF(SUMPRODUCT((Inputs!$B$4:$B$150=$B56)*ISNUMBER(INDEX(Inputs!$D$4:$AG$150,0,MATCH(I$2,Inputs!$D$2:$AG$2,0))))=0,"",SUMIFS(INDEX(Inputs!$D$4:$AG$150,0,MATCH(I$2,Inputs!$D$2:$AG$2,0)),Inputs!$B$4:$B$150,$B56)/1000)</f>
        <v>235</v>
      </c>
      <c r="J56" s="11">
        <f>IF(SUMPRODUCT((Inputs!$B$4:$B$150=$B56)*ISNUMBER(INDEX(Inputs!$D$4:$AG$150,0,MATCH(J$2,Inputs!$D$2:$AG$2,0))))=0,"",SUMIFS(INDEX(Inputs!$D$4:$AG$150,0,MATCH(J$2,Inputs!$D$2:$AG$2,0)),Inputs!$B$4:$B$150,$B56)/1000)</f>
        <v>489</v>
      </c>
      <c r="K56" s="11">
        <f>IF(SUMPRODUCT((Inputs!$B$4:$B$150=$B56)*ISNUMBER(INDEX(Inputs!$D$4:$AG$150,0,MATCH(K$2,Inputs!$D$2:$AG$2,0))))=0,"",SUMIFS(INDEX(Inputs!$D$4:$AG$150,0,MATCH(K$2,Inputs!$D$2:$AG$2,0)),Inputs!$B$4:$B$150,$B56)/1000)</f>
        <v>496</v>
      </c>
      <c r="L56" s="11">
        <f>IF(SUMPRODUCT((Inputs!$B$4:$B$150=$B56)*ISNUMBER(INDEX(Inputs!$D$4:$AG$150,0,MATCH(L$2,Inputs!$D$2:$AG$2,0))))=0,"",SUMIFS(INDEX(Inputs!$D$4:$AG$150,0,MATCH(L$2,Inputs!$D$2:$AG$2,0)),Inputs!$B$4:$B$150,$B56)/1000)</f>
        <v>336</v>
      </c>
      <c r="M56" s="12">
        <f>IF(COUNT(I56:L56)=4,SUM(I56:L56),"")</f>
        <v>1556</v>
      </c>
      <c r="N56" s="11">
        <f>IF(SUMPRODUCT((Inputs!$B$4:$B$150=$B56)*ISNUMBER(INDEX(Inputs!$D$4:$AG$150,0,MATCH(N$2,Inputs!$D$2:$AG$2,0))))=0,"",SUMIFS(INDEX(Inputs!$D$4:$AG$150,0,MATCH(N$2,Inputs!$D$2:$AG$2,0)),Inputs!$B$4:$B$150,$B56)/1000)</f>
        <v>168</v>
      </c>
      <c r="O56" s="11">
        <f>IF(SUMPRODUCT((Inputs!$B$4:$B$150=$B56)*ISNUMBER(INDEX(Inputs!$D$4:$AG$150,0,MATCH(O$2,Inputs!$D$2:$AG$2,0))))=0,"",SUMIFS(INDEX(Inputs!$D$4:$AG$150,0,MATCH(O$2,Inputs!$D$2:$AG$2,0)),Inputs!$B$4:$B$150,$B56)/1000)</f>
        <v>327</v>
      </c>
      <c r="P56" s="11">
        <f>IF(SUMPRODUCT((Inputs!$B$4:$B$150=$B56)*ISNUMBER(INDEX(Inputs!$D$4:$AG$150,0,MATCH(P$2,Inputs!$D$2:$AG$2,0))))=0,"",SUMIFS(INDEX(Inputs!$D$4:$AG$150,0,MATCH(P$2,Inputs!$D$2:$AG$2,0)),Inputs!$B$4:$B$150,$B56)/1000)</f>
        <v>558</v>
      </c>
      <c r="Q56" s="11">
        <f>IF(SUMPRODUCT((Inputs!$B$4:$B$150=$B56)*ISNUMBER(INDEX(Inputs!$D$4:$AG$150,0,MATCH(Q$2,Inputs!$D$2:$AG$2,0))))=0,"",SUMIFS(INDEX(Inputs!$D$4:$AG$150,0,MATCH(Q$2,Inputs!$D$2:$AG$2,0)),Inputs!$B$4:$B$150,$B56)/1000)</f>
        <v>294</v>
      </c>
      <c r="R56" s="12">
        <f>IF(COUNT(N56:Q56)=4,SUM(N56:Q56),"")</f>
        <v>1347</v>
      </c>
      <c r="S56" s="11">
        <f>IF(SUMPRODUCT((Inputs!$B$4:$B$150=$B56)*ISNUMBER(INDEX(Inputs!$D$4:$AG$150,0,MATCH(S$2,Inputs!$D$2:$AG$2,0))))=0,"",SUMIFS(INDEX(Inputs!$D$4:$AG$150,0,MATCH(S$2,Inputs!$D$2:$AG$2,0)),Inputs!$B$4:$B$150,$B56)/1000)</f>
        <v>321</v>
      </c>
      <c r="T56" s="11">
        <f>IF(SUMPRODUCT((Inputs!$B$4:$B$150=$B56)*ISNUMBER(INDEX(Inputs!$D$4:$AG$150,0,MATCH(T$2,Inputs!$D$2:$AG$2,0))))=0,"",SUMIFS(INDEX(Inputs!$D$4:$AG$150,0,MATCH(T$2,Inputs!$D$2:$AG$2,0)),Inputs!$B$4:$B$150,$B56)/1000)</f>
        <v>357</v>
      </c>
      <c r="U56" s="11">
        <f>IF(SUMPRODUCT((Inputs!$B$4:$B$150=$B56)*ISNUMBER(INDEX(Inputs!$D$4:$AG$150,0,MATCH(U$2,Inputs!$D$2:$AG$2,0))))=0,"",SUMIFS(INDEX(Inputs!$D$4:$AG$150,0,MATCH(U$2,Inputs!$D$2:$AG$2,0)),Inputs!$B$4:$B$150,$B56)/1000)</f>
        <v>523</v>
      </c>
      <c r="V56" s="11">
        <f>IF(SUMPRODUCT((Inputs!$B$4:$B$150=$B56)*ISNUMBER(INDEX(Inputs!$D$4:$AG$150,0,MATCH(V$2,Inputs!$D$2:$AG$2,0))))=0,"",SUMIFS(INDEX(Inputs!$D$4:$AG$150,0,MATCH(V$2,Inputs!$D$2:$AG$2,0)),Inputs!$B$4:$B$150,$B56)/1000)</f>
        <v>349</v>
      </c>
      <c r="W56" s="12">
        <f>IF(COUNT(S56:V56)=4,SUM(S56:V56),"")</f>
        <v>1550</v>
      </c>
      <c r="X56" s="11">
        <f>IF(SUMPRODUCT((Inputs!$B$4:$B$150=$B56)*ISNUMBER(INDEX(Inputs!$D$4:$AG$150,0,MATCH(X$2,Inputs!$D$2:$AG$2,0))))=0,"",SUMIFS(INDEX(Inputs!$D$4:$AG$150,0,MATCH(X$2,Inputs!$D$2:$AG$2,0)),Inputs!$B$4:$B$150,$B56)/1000)</f>
        <v>398</v>
      </c>
      <c r="Y56" s="11">
        <f>IF(SUMPRODUCT((Inputs!$B$4:$B$150=$B56)*ISNUMBER(INDEX(Inputs!$D$4:$AG$150,0,MATCH(Y$2,Inputs!$D$2:$AG$2,0))))=0,"",SUMIFS(INDEX(Inputs!$D$4:$AG$150,0,MATCH(Y$2,Inputs!$D$2:$AG$2,0)),Inputs!$B$4:$B$150,$B56)/1000)</f>
        <v>464</v>
      </c>
      <c r="Z56" s="11">
        <f>IF(SUMPRODUCT((Inputs!$B$4:$B$150=$B56)*ISNUMBER(INDEX(Inputs!$D$4:$AG$150,0,MATCH(Z$2,Inputs!$D$2:$AG$2,0))))=0,"",SUMIFS(INDEX(Inputs!$D$4:$AG$150,0,MATCH(Z$2,Inputs!$D$2:$AG$2,0)),Inputs!$B$4:$B$150,$B56)/1000)</f>
        <v>628</v>
      </c>
      <c r="AA56" s="11">
        <f>IF(SUMPRODUCT((Inputs!$B$4:$B$150=$B56)*ISNUMBER(INDEX(Inputs!$D$4:$AG$150,0,MATCH(AA$2,Inputs!$D$2:$AG$2,0))))=0,"",SUMIFS(INDEX(Inputs!$D$4:$AG$150,0,MATCH(AA$2,Inputs!$D$2:$AG$2,0)),Inputs!$B$4:$B$150,$B56)/1000)</f>
        <v>415</v>
      </c>
      <c r="AB56" s="12">
        <f>IF(COUNT(X56:AA56)=4,SUM(X56:AA56),"")</f>
        <v>1905</v>
      </c>
      <c r="AC56" s="11">
        <f>IF(SUMPRODUCT((Inputs!$B$4:$B$150=$B56)*ISNUMBER(INDEX(Inputs!$D$4:$AG$150,0,MATCH(AC$2,Inputs!$D$2:$AG$2,0))))=0,"",SUMIFS(INDEX(Inputs!$D$4:$AG$150,0,MATCH(AC$2,Inputs!$D$2:$AG$2,0)),Inputs!$B$4:$B$150,$B56)/1000)</f>
        <v>370</v>
      </c>
      <c r="AD56" s="11">
        <f>IF(SUMPRODUCT((Inputs!$B$4:$B$150=$B56)*ISNUMBER(INDEX(Inputs!$D$4:$AG$150,0,MATCH(AD$2,Inputs!$D$2:$AG$2,0))))=0,"",SUMIFS(INDEX(Inputs!$D$4:$AG$150,0,MATCH(AD$2,Inputs!$D$2:$AG$2,0)),Inputs!$B$4:$B$150,$B56)/1000)</f>
        <v>446</v>
      </c>
      <c r="AE56" s="11" t="str">
        <f>IF(SUMPRODUCT((Inputs!$B$4:$B$150=$B56)*ISNUMBER(INDEX(Inputs!$D$4:$AG$150,0,MATCH(AE$2,Inputs!$D$2:$AG$2,0))))=0,"",SUMIFS(INDEX(Inputs!$D$4:$AG$150,0,MATCH(AE$2,Inputs!$D$2:$AG$2,0)),Inputs!$B$4:$B$150,$B56)/1000)</f>
        <v/>
      </c>
      <c r="AF56" s="11" t="str">
        <f>IF(SUMPRODUCT((Inputs!$B$4:$B$150=$B56)*ISNUMBER(INDEX(Inputs!$D$4:$AG$150,0,MATCH(AF$2,Inputs!$D$2:$AG$2,0))))=0,"",SUMIFS(INDEX(Inputs!$D$4:$AG$150,0,MATCH(AF$2,Inputs!$D$2:$AG$2,0)),Inputs!$B$4:$B$150,$B56)/1000)</f>
        <v/>
      </c>
      <c r="AG56" s="12" t="str">
        <f>IF(COUNT(AC56:AF56)=4,SUM(AC56:AF56),"")</f>
        <v/>
      </c>
    </row>
    <row r="57">
      <c r="B57" s="9" t="n">
        <v>49</v>
      </c>
      <c r="C57" s="10" t="inlineStr">
        <is>
          <t>Outras regiões - receita (USD)</t>
        </is>
      </c>
      <c r="D57" s="11">
        <f>IF(SUMPRODUCT((Inputs!$B$4:$B$150=$B57)*ISNUMBER(INDEX(Inputs!$D$4:$AG$150,0,MATCH(D$2,Inputs!$D$2:$AG$2,0))))=0,"",SUMIFS(INDEX(Inputs!$D$4:$AG$150,0,MATCH(D$2,Inputs!$D$2:$AG$2,0)),Inputs!$B$4:$B$150,$B57)/1000)</f>
        <v>1440</v>
      </c>
      <c r="E57" s="11">
        <f>IF(SUMPRODUCT((Inputs!$B$4:$B$150=$B57)*ISNUMBER(INDEX(Inputs!$D$4:$AG$150,0,MATCH(E$2,Inputs!$D$2:$AG$2,0))))=0,"",SUMIFS(INDEX(Inputs!$D$4:$AG$150,0,MATCH(E$2,Inputs!$D$2:$AG$2,0)),Inputs!$B$4:$B$150,$B57)/1000)</f>
        <v>1047</v>
      </c>
      <c r="F57" s="11">
        <f>IF(SUMPRODUCT((Inputs!$B$4:$B$150=$B57)*ISNUMBER(INDEX(Inputs!$D$4:$AG$150,0,MATCH(F$2,Inputs!$D$2:$AG$2,0))))=0,"",SUMIFS(INDEX(Inputs!$D$4:$AG$150,0,MATCH(F$2,Inputs!$D$2:$AG$2,0)),Inputs!$B$4:$B$150,$B57)/1000)</f>
        <v>1266</v>
      </c>
      <c r="G57" s="11">
        <f>IF(SUMPRODUCT((Inputs!$B$4:$B$150=$B57)*ISNUMBER(INDEX(Inputs!$D$4:$AG$150,0,MATCH(G$2,Inputs!$D$2:$AG$2,0))))=0,"",SUMIFS(INDEX(Inputs!$D$4:$AG$150,0,MATCH(G$2,Inputs!$D$2:$AG$2,0)),Inputs!$B$4:$B$150,$B57)/1000)</f>
        <v>1162</v>
      </c>
      <c r="H57" s="12">
        <f>IF(COUNT(D57:G57)=4,SUM(D57:G57),"")</f>
        <v>4915</v>
      </c>
      <c r="I57" s="11">
        <f>IF(SUMPRODUCT((Inputs!$B$4:$B$150=$B57)*ISNUMBER(INDEX(Inputs!$D$4:$AG$150,0,MATCH(I$2,Inputs!$D$2:$AG$2,0))))=0,"",SUMIFS(INDEX(Inputs!$D$4:$AG$150,0,MATCH(I$2,Inputs!$D$2:$AG$2,0)),Inputs!$B$4:$B$150,$B57)/1000)</f>
        <v>1933</v>
      </c>
      <c r="J57" s="11">
        <f>IF(SUMPRODUCT((Inputs!$B$4:$B$150=$B57)*ISNUMBER(INDEX(Inputs!$D$4:$AG$150,0,MATCH(J$2,Inputs!$D$2:$AG$2,0))))=0,"",SUMIFS(INDEX(Inputs!$D$4:$AG$150,0,MATCH(J$2,Inputs!$D$2:$AG$2,0)),Inputs!$B$4:$B$150,$B57)/1000)</f>
        <v>1321</v>
      </c>
      <c r="K57" s="11">
        <f>IF(SUMPRODUCT((Inputs!$B$4:$B$150=$B57)*ISNUMBER(INDEX(Inputs!$D$4:$AG$150,0,MATCH(K$2,Inputs!$D$2:$AG$2,0))))=0,"",SUMIFS(INDEX(Inputs!$D$4:$AG$150,0,MATCH(K$2,Inputs!$D$2:$AG$2,0)),Inputs!$B$4:$B$150,$B57)/1000)</f>
        <v>1926</v>
      </c>
      <c r="L57" s="11">
        <f>IF(SUMPRODUCT((Inputs!$B$4:$B$150=$B57)*ISNUMBER(INDEX(Inputs!$D$4:$AG$150,0,MATCH(L$2,Inputs!$D$2:$AG$2,0))))=0,"",SUMIFS(INDEX(Inputs!$D$4:$AG$150,0,MATCH(L$2,Inputs!$D$2:$AG$2,0)),Inputs!$B$4:$B$150,$B57)/1000)</f>
        <v>1537</v>
      </c>
      <c r="M57" s="12">
        <f>IF(COUNT(I57:L57)=4,SUM(I57:L57),"")</f>
        <v>6717</v>
      </c>
      <c r="N57" s="11">
        <f>IF(SUMPRODUCT((Inputs!$B$4:$B$150=$B57)*ISNUMBER(INDEX(Inputs!$D$4:$AG$150,0,MATCH(N$2,Inputs!$D$2:$AG$2,0))))=0,"",SUMIFS(INDEX(Inputs!$D$4:$AG$150,0,MATCH(N$2,Inputs!$D$2:$AG$2,0)),Inputs!$B$4:$B$150,$B57)/1000)</f>
        <v>1797</v>
      </c>
      <c r="O57" s="11">
        <f>IF(SUMPRODUCT((Inputs!$B$4:$B$150=$B57)*ISNUMBER(INDEX(Inputs!$D$4:$AG$150,0,MATCH(O$2,Inputs!$D$2:$AG$2,0))))=0,"",SUMIFS(INDEX(Inputs!$D$4:$AG$150,0,MATCH(O$2,Inputs!$D$2:$AG$2,0)),Inputs!$B$4:$B$150,$B57)/1000)</f>
        <v>1106</v>
      </c>
      <c r="P57" s="11">
        <f>IF(SUMPRODUCT((Inputs!$B$4:$B$150=$B57)*ISNUMBER(INDEX(Inputs!$D$4:$AG$150,0,MATCH(P$2,Inputs!$D$2:$AG$2,0))))=0,"",SUMIFS(INDEX(Inputs!$D$4:$AG$150,0,MATCH(P$2,Inputs!$D$2:$AG$2,0)),Inputs!$B$4:$B$150,$B57)/1000)</f>
        <v>1593</v>
      </c>
      <c r="Q57" s="11">
        <f>IF(SUMPRODUCT((Inputs!$B$4:$B$150=$B57)*ISNUMBER(INDEX(Inputs!$D$4:$AG$150,0,MATCH(Q$2,Inputs!$D$2:$AG$2,0))))=0,"",SUMIFS(INDEX(Inputs!$D$4:$AG$150,0,MATCH(Q$2,Inputs!$D$2:$AG$2,0)),Inputs!$B$4:$B$150,$B57)/1000)</f>
        <v>1353</v>
      </c>
      <c r="R57" s="12">
        <f>IF(COUNT(N57:Q57)=4,SUM(N57:Q57),"")</f>
        <v>5849</v>
      </c>
      <c r="S57" s="11">
        <f>IF(SUMPRODUCT((Inputs!$B$4:$B$150=$B57)*ISNUMBER(INDEX(Inputs!$D$4:$AG$150,0,MATCH(S$2,Inputs!$D$2:$AG$2,0))))=0,"",SUMIFS(INDEX(Inputs!$D$4:$AG$150,0,MATCH(S$2,Inputs!$D$2:$AG$2,0)),Inputs!$B$4:$B$150,$B57)/1000)</f>
        <v>1624</v>
      </c>
      <c r="T57" s="11">
        <f>IF(SUMPRODUCT((Inputs!$B$4:$B$150=$B57)*ISNUMBER(INDEX(Inputs!$D$4:$AG$150,0,MATCH(T$2,Inputs!$D$2:$AG$2,0))))=0,"",SUMIFS(INDEX(Inputs!$D$4:$AG$150,0,MATCH(T$2,Inputs!$D$2:$AG$2,0)),Inputs!$B$4:$B$150,$B57)/1000)</f>
        <v>1184</v>
      </c>
      <c r="U57" s="11">
        <f>IF(SUMPRODUCT((Inputs!$B$4:$B$150=$B57)*ISNUMBER(INDEX(Inputs!$D$4:$AG$150,0,MATCH(U$2,Inputs!$D$2:$AG$2,0))))=0,"",SUMIFS(INDEX(Inputs!$D$4:$AG$150,0,MATCH(U$2,Inputs!$D$2:$AG$2,0)),Inputs!$B$4:$B$150,$B57)/1000)</f>
        <v>1443</v>
      </c>
      <c r="V57" s="11">
        <f>IF(SUMPRODUCT((Inputs!$B$4:$B$150=$B57)*ISNUMBER(INDEX(Inputs!$D$4:$AG$150,0,MATCH(V$2,Inputs!$D$2:$AG$2,0))))=0,"",SUMIFS(INDEX(Inputs!$D$4:$AG$150,0,MATCH(V$2,Inputs!$D$2:$AG$2,0)),Inputs!$B$4:$B$150,$B57)/1000)</f>
        <v>1254</v>
      </c>
      <c r="W57" s="12">
        <f>IF(COUNT(S57:V57)=4,SUM(S57:V57),"")</f>
        <v>5505</v>
      </c>
      <c r="X57" s="11">
        <f>IF(SUMPRODUCT((Inputs!$B$4:$B$150=$B57)*ISNUMBER(INDEX(Inputs!$D$4:$AG$150,0,MATCH(X$2,Inputs!$D$2:$AG$2,0))))=0,"",SUMIFS(INDEX(Inputs!$D$4:$AG$150,0,MATCH(X$2,Inputs!$D$2:$AG$2,0)),Inputs!$B$4:$B$150,$B57)/1000)</f>
        <v>1556</v>
      </c>
      <c r="Y57" s="11">
        <f>IF(SUMPRODUCT((Inputs!$B$4:$B$150=$B57)*ISNUMBER(INDEX(Inputs!$D$4:$AG$150,0,MATCH(Y$2,Inputs!$D$2:$AG$2,0))))=0,"",SUMIFS(INDEX(Inputs!$D$4:$AG$150,0,MATCH(Y$2,Inputs!$D$2:$AG$2,0)),Inputs!$B$4:$B$150,$B57)/1000)</f>
        <v>1178</v>
      </c>
      <c r="Z57" s="11">
        <f>IF(SUMPRODUCT((Inputs!$B$4:$B$150=$B57)*ISNUMBER(INDEX(Inputs!$D$4:$AG$150,0,MATCH(Z$2,Inputs!$D$2:$AG$2,0))))=0,"",SUMIFS(INDEX(Inputs!$D$4:$AG$150,0,MATCH(Z$2,Inputs!$D$2:$AG$2,0)),Inputs!$B$4:$B$150,$B57)/1000)</f>
        <v>1543</v>
      </c>
      <c r="AA57" s="11">
        <f>IF(SUMPRODUCT((Inputs!$B$4:$B$150=$B57)*ISNUMBER(INDEX(Inputs!$D$4:$AG$150,0,MATCH(AA$2,Inputs!$D$2:$AG$2,0))))=0,"",SUMIFS(INDEX(Inputs!$D$4:$AG$150,0,MATCH(AA$2,Inputs!$D$2:$AG$2,0)),Inputs!$B$4:$B$150,$B57)/1000)</f>
        <v>1306</v>
      </c>
      <c r="AB57" s="12">
        <f>IF(COUNT(X57:AA57)=4,SUM(X57:AA57),"")</f>
        <v>5583</v>
      </c>
      <c r="AC57" s="11">
        <f>IF(SUMPRODUCT((Inputs!$B$4:$B$150=$B57)*ISNUMBER(INDEX(Inputs!$D$4:$AG$150,0,MATCH(AC$2,Inputs!$D$2:$AG$2,0))))=0,"",SUMIFS(INDEX(Inputs!$D$4:$AG$150,0,MATCH(AC$2,Inputs!$D$2:$AG$2,0)),Inputs!$B$4:$B$150,$B57)/1000)</f>
        <v>1487</v>
      </c>
      <c r="AD57" s="11">
        <f>IF(SUMPRODUCT((Inputs!$B$4:$B$150=$B57)*ISNUMBER(INDEX(Inputs!$D$4:$AG$150,0,MATCH(AD$2,Inputs!$D$2:$AG$2,0))))=0,"",SUMIFS(INDEX(Inputs!$D$4:$AG$150,0,MATCH(AD$2,Inputs!$D$2:$AG$2,0)),Inputs!$B$4:$B$150,$B57)/1000)</f>
        <v>964</v>
      </c>
      <c r="AE57" s="11" t="str">
        <f>IF(SUMPRODUCT((Inputs!$B$4:$B$150=$B57)*ISNUMBER(INDEX(Inputs!$D$4:$AG$150,0,MATCH(AE$2,Inputs!$D$2:$AG$2,0))))=0,"",SUMIFS(INDEX(Inputs!$D$4:$AG$150,0,MATCH(AE$2,Inputs!$D$2:$AG$2,0)),Inputs!$B$4:$B$150,$B57)/1000)</f>
        <v/>
      </c>
      <c r="AF57" s="11" t="str">
        <f>IF(SUMPRODUCT((Inputs!$B$4:$B$150=$B57)*ISNUMBER(INDEX(Inputs!$D$4:$AG$150,0,MATCH(AF$2,Inputs!$D$2:$AG$2,0))))=0,"",SUMIFS(INDEX(Inputs!$D$4:$AG$150,0,MATCH(AF$2,Inputs!$D$2:$AG$2,0)),Inputs!$B$4:$B$150,$B57)/1000)</f>
        <v/>
      </c>
      <c r="AG57" s="12" t="str">
        <f>IF(COUNT(AC57:AF57)=4,SUM(AC57:AF57),"")</f>
        <v/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380"/>
  <sheetViews>
    <sheetView showGridLines="0" zoomScaleNormal="100" workbookViewId="0">
      <pane xSplit="3" ySplit="11" topLeftCell="D270" activePane="bottomRight" state="frozen"/>
      <selection pane="topRight" activeCell="D1" sqref="D1"/>
      <selection pane="bottomLeft" activeCell="A12" sqref="A12"/>
      <selection pane="bottomRight" activeCell="O315" sqref="O315"/>
    </sheetView>
  </sheetViews>
  <sheetFormatPr baseColWidth="8" defaultColWidth="10.42578125" defaultRowHeight="12.75" outlineLevelRow="1"/>
  <cols>
    <col width="2" customWidth="1" style="3" min="1" max="1"/>
    <col width="8.85546875" customWidth="1" style="3" min="2" max="2"/>
    <col width="96.140625" customWidth="1" style="4" min="3" max="3"/>
    <col width="13" customWidth="1" style="4" min="4" max="24"/>
    <col width="12.7109375" customWidth="1" style="4" min="25" max="25"/>
    <col width="13" customWidth="1" style="4" min="26" max="27"/>
    <col width="12.7109375" customWidth="1" style="4" min="28" max="28"/>
    <col width="14" customWidth="1" style="4" min="29" max="29"/>
    <col width="15.140625" customWidth="1" style="4" min="30" max="30"/>
    <col width="12.42578125" customWidth="1" style="4" min="31" max="31"/>
    <col width="11.5703125" customWidth="1" style="4" min="32" max="32"/>
    <col width="12.42578125" customWidth="1" style="4" min="33" max="33"/>
    <col width="11.5703125" customWidth="1" style="4" min="34" max="34"/>
    <col width="12.7109375" customWidth="1" style="4" min="35" max="35"/>
    <col width="11.5703125" customWidth="1" style="4" min="36" max="37"/>
    <col width="11.28515625" customWidth="1" style="4" min="38" max="38"/>
    <col width="11.5703125" customWidth="1" style="4" min="39" max="39"/>
    <col width="12.7109375" customWidth="1" style="4" min="40" max="40"/>
    <col width="11.5703125" customWidth="1" style="4" min="41" max="42"/>
    <col width="11.28515625" customWidth="1" style="4" min="43" max="43"/>
    <col width="11.5703125" customWidth="1" style="4" min="44" max="44"/>
    <col width="12.7109375" customWidth="1" style="4" min="45" max="45"/>
    <col width="11.5703125" customWidth="1" style="4" min="46" max="47"/>
    <col width="11.28515625" customWidth="1" style="4" min="48" max="48"/>
    <col width="11.5703125" customWidth="1" style="4" min="49" max="49"/>
    <col width="12.7109375" customWidth="1" style="4" min="50" max="50"/>
    <col width="11.5703125" customWidth="1" style="4" min="51" max="52"/>
    <col width="11.28515625" customWidth="1" style="4" min="53" max="53"/>
    <col width="11.5703125" customWidth="1" style="4" min="54" max="54"/>
    <col width="12.7109375" customWidth="1" style="4" min="55" max="55"/>
    <col width="11.5703125" customWidth="1" style="4" min="56" max="57"/>
    <col width="11.28515625" customWidth="1" style="4" min="58" max="58"/>
    <col width="11.5703125" customWidth="1" style="4" min="59" max="59"/>
    <col width="12.7109375" customWidth="1" style="4" min="60" max="60"/>
    <col width="11.5703125" customWidth="1" style="4" min="61" max="62"/>
    <col width="11.28515625" customWidth="1" style="4" min="63" max="63"/>
    <col width="11.5703125" customWidth="1" style="4" min="64" max="64"/>
    <col width="12.7109375" customWidth="1" style="4" min="65" max="65"/>
    <col width="11.5703125" customWidth="1" style="4" min="66" max="67"/>
    <col width="11.28515625" customWidth="1" style="4" min="68" max="68"/>
    <col width="11.5703125" customWidth="1" style="4" min="69" max="69"/>
    <col width="12.7109375" customWidth="1" style="4" min="70" max="70"/>
    <col width="11.5703125" customWidth="1" style="4" min="71" max="72"/>
    <col width="11.28515625" customWidth="1" style="4" min="73" max="73"/>
    <col width="11.5703125" customWidth="1" style="4" min="74" max="74"/>
    <col width="12.7109375" customWidth="1" style="4" min="75" max="75"/>
    <col width="11.5703125" customWidth="1" style="4" min="76" max="77"/>
    <col width="11.28515625" customWidth="1" style="4" min="78" max="78"/>
    <col width="11.5703125" customWidth="1" style="4" min="79" max="79"/>
    <col width="12.7109375" customWidth="1" style="4" min="80" max="80"/>
    <col width="11.5703125" customWidth="1" style="4" min="81" max="82"/>
    <col width="11.28515625" customWidth="1" style="4" min="83" max="83"/>
    <col width="11.5703125" customWidth="1" style="4" min="84" max="84"/>
    <col width="12.7109375" customWidth="1" style="4" min="85" max="85"/>
    <col width="11.5703125" customWidth="1" style="4" min="86" max="87"/>
    <col width="11.28515625" customWidth="1" style="4" min="88" max="88"/>
    <col width="11.5703125" customWidth="1" style="4" min="89" max="89"/>
    <col width="12.7109375" customWidth="1" style="4" min="90" max="90"/>
    <col width="11.5703125" customWidth="1" style="4" min="91" max="92"/>
    <col width="11.28515625" customWidth="1" style="4" min="93" max="93"/>
    <col width="11.5703125" customWidth="1" style="4" min="94" max="94"/>
    <col width="12.7109375" customWidth="1" style="4" min="95" max="95"/>
    <col width="11.5703125" customWidth="1" style="4" min="96" max="97"/>
    <col width="11.28515625" customWidth="1" style="4" min="98" max="98"/>
    <col width="11.5703125" customWidth="1" style="4" min="99" max="99"/>
    <col width="12.7109375" customWidth="1" style="4" min="100" max="100"/>
    <col width="11.5703125" customWidth="1" style="4" min="101" max="102"/>
    <col width="11.28515625" customWidth="1" style="4" min="103" max="103"/>
    <col width="10.42578125" customWidth="1" style="4" min="104" max="106"/>
    <col width="10.42578125" customWidth="1" style="4" min="107" max="16384"/>
  </cols>
  <sheetData>
    <row r="1">
      <c r="C1" s="17" t="inlineStr">
        <is>
          <t>CHECKS</t>
        </is>
      </c>
      <c r="D1" s="12" t="n"/>
      <c r="E1" s="12" t="n"/>
      <c r="F1" s="12" t="n"/>
      <c r="G1" s="12" t="n"/>
      <c r="H1" s="12" t="n"/>
      <c r="I1" s="12">
        <f>IF(I2="","",SUM(I2,I3))</f>
        <v>0</v>
      </c>
      <c r="J1" s="12">
        <f>IF(J2="","",SUM(J2,J3))</f>
        <v>0</v>
      </c>
      <c r="K1" s="12">
        <f>IF(K2="","",SUM(K2,K3))</f>
        <v>0</v>
      </c>
      <c r="L1" s="12">
        <f>IF(L2="","",SUM(L2,L3))</f>
        <v>0</v>
      </c>
      <c r="M1" s="12">
        <f>IF(M2="","",SUM(M2,M3))</f>
        <v>0</v>
      </c>
      <c r="N1" s="12">
        <f>IF(N2="","",SUM(N2,N3))</f>
        <v>0</v>
      </c>
      <c r="O1" s="12">
        <f>IF(O2="","",SUM(O2,O3))</f>
        <v>0</v>
      </c>
      <c r="P1" s="12">
        <f>IF(P2="","",SUM(P2,P3))</f>
        <v>0</v>
      </c>
      <c r="Q1" s="12">
        <f>IF(Q2="","",SUM(Q2,Q3))</f>
        <v>0</v>
      </c>
      <c r="R1" s="12">
        <f>IF(R2="","",SUM(R2,R3))</f>
        <v>0</v>
      </c>
      <c r="S1" s="12">
        <f>IF(S2="","",SUM(S2,S3))</f>
        <v>0</v>
      </c>
      <c r="T1" s="12">
        <f>IF(T2="","",SUM(T2,T3))</f>
        <v>0</v>
      </c>
      <c r="U1" s="12">
        <f>IF(U2="","",SUM(U2,U3))</f>
        <v>0</v>
      </c>
      <c r="V1" s="12">
        <f>IF(V2="","",SUM(V2,V3))</f>
        <v>0</v>
      </c>
      <c r="W1" s="12">
        <f>IF(W2="","",SUM(W2,W3))</f>
        <v>0</v>
      </c>
      <c r="X1" s="12">
        <f>IF(X2="","",SUM(X2,X3))</f>
        <v>0</v>
      </c>
      <c r="Y1" s="12">
        <f>IF(Y2="","",SUM(Y2,Y3))</f>
        <v>0</v>
      </c>
      <c r="Z1" s="12">
        <f>IF(Z2="","",SUM(Z2,Z3))</f>
        <v>0</v>
      </c>
      <c r="AA1" s="12">
        <f>IF(AA2="","",SUM(AA2,AA3))</f>
        <v>0</v>
      </c>
      <c r="AB1" s="12">
        <f>IF(AB2="","",SUM(AB2,AB3))</f>
        <v>0</v>
      </c>
      <c r="AC1" s="12">
        <f>IF(AC2="","",SUM(AC2,AC3))</f>
        <v>0</v>
      </c>
      <c r="AD1" s="12">
        <f>IF(AD2="","",SUM(AD2,AD3))</f>
        <v>0</v>
      </c>
      <c r="AE1" s="12">
        <f>IF(AE2="","",SUM(AE2,AE3))</f>
        <v>0</v>
      </c>
      <c r="AF1" s="12">
        <f>IF(AF2="","",SUM(AF2,AF3))</f>
        <v>0</v>
      </c>
      <c r="AG1" s="12">
        <f>IF(AG2="","",SUM(AG2,AG3))</f>
        <v>0</v>
      </c>
      <c r="AH1" s="12">
        <f>IF(AH2="","",SUM(AH2,AH3))</f>
        <v>0</v>
      </c>
      <c r="AI1" s="12">
        <f>IF(AI2="","",SUM(AI2,AI3))</f>
        <v>0</v>
      </c>
      <c r="AJ1" s="12">
        <f>IF(AJ2="","",SUM(AJ2,AJ3))</f>
        <v>891.358429489427</v>
      </c>
      <c r="AK1" s="12">
        <f>IF(AK2="","",SUM(AK2,AK3))</f>
        <v>824.065616547759</v>
      </c>
      <c r="AL1" s="12">
        <f>IF(AL2="","",SUM(AL2,AL3))</f>
        <v>3818.42404603719</v>
      </c>
      <c r="AM1" s="12">
        <f>IF(AM2="","",SUM(AM2,AM3))</f>
        <v>1508.93279342183</v>
      </c>
      <c r="AN1" s="12">
        <f>IF(AN2="","",SUM(AN2,AN3))</f>
        <v>1018.07513773039</v>
      </c>
      <c r="AO1" s="12">
        <f>IF(AO2="","",SUM(AO2,AO3))</f>
        <v>1072.03369852845</v>
      </c>
      <c r="AP1" s="12">
        <f>IF(AP2="","",SUM(AP2,AP3))</f>
        <v>991.100865275767</v>
      </c>
      <c r="AQ1" s="12">
        <f>IF(AQ2="","",SUM(AQ2,AQ3))</f>
        <v>4590.14249495643</v>
      </c>
      <c r="AR1" s="12">
        <f>IF(AR2="","",SUM(AR2,AR3))</f>
        <v>1807.24358489642</v>
      </c>
      <c r="AS1" s="12">
        <f>IF(AS2="","",SUM(AS2,AS3))</f>
        <v>1219.3450693277</v>
      </c>
      <c r="AT1" s="12">
        <f>IF(AT2="","",SUM(AT2,AT3))</f>
        <v>1283.97105086754</v>
      </c>
      <c r="AU1" s="12">
        <f>IF(AU2="","",SUM(AU2,AU3))</f>
        <v>1187.03807655547</v>
      </c>
      <c r="AV1" s="12">
        <f>IF(AV2="","",SUM(AV2,AV3))</f>
        <v>5497.59778164714</v>
      </c>
      <c r="AW1" s="12">
        <f>IF(AW2="","",SUM(AW2,AW3))</f>
        <v>2155.49316959225</v>
      </c>
      <c r="AX1" s="12">
        <f>IF(AX2="","",SUM(AX2,AX3))</f>
        <v>1454.30864454417</v>
      </c>
      <c r="AY1" s="12">
        <f>IF(AY2="","",SUM(AY2,AY3))</f>
        <v>1531.38782908326</v>
      </c>
      <c r="AZ1" s="12">
        <f>IF(AZ2="","",SUM(AZ2,AZ3))</f>
        <v>1415.77620606571</v>
      </c>
      <c r="BA1" s="12">
        <f>IF(BA2="","",SUM(BA2,BA3))</f>
        <v>6556.96584928539</v>
      </c>
      <c r="BB1" s="12">
        <f>IF(BB2="","",SUM(BB2,BB3))</f>
        <v>2560.07177826494</v>
      </c>
      <c r="BC1" s="12">
        <f>IF(BC2="","",SUM(BC2,BC3))</f>
        <v>1727.27734437153</v>
      </c>
      <c r="BD1" s="12">
        <f>IF(BD2="","",SUM(BD2,BD3))</f>
        <v>1818.8240251098</v>
      </c>
      <c r="BE1" s="12">
        <f>IF(BE2="","",SUM(BE2,BE3))</f>
        <v>1681.5125005353</v>
      </c>
      <c r="BF1" s="12">
        <f>IF(BF2="","",SUM(BF2,BF3))</f>
        <v>7787.68564828157</v>
      </c>
      <c r="BG1" s="12" t="n"/>
      <c r="BH1" s="12" t="n"/>
      <c r="BI1" s="12" t="n"/>
      <c r="BJ1" s="12" t="n"/>
      <c r="BK1" s="12" t="n"/>
      <c r="BL1" s="12" t="n"/>
      <c r="BM1" s="12" t="n"/>
      <c r="BN1" s="12" t="n"/>
      <c r="BO1" s="12" t="n"/>
      <c r="BP1" s="12" t="n"/>
      <c r="BQ1" s="12" t="n"/>
      <c r="BR1" s="12" t="n"/>
      <c r="BS1" s="12" t="n"/>
      <c r="BT1" s="12" t="n"/>
      <c r="BU1" s="12" t="n"/>
      <c r="BV1" s="12" t="n"/>
      <c r="BW1" s="12" t="n"/>
      <c r="BX1" s="12" t="n"/>
      <c r="BY1" s="12" t="n"/>
      <c r="BZ1" s="12" t="n"/>
      <c r="CA1" s="12" t="n"/>
      <c r="CB1" s="12" t="n"/>
      <c r="CC1" s="12" t="n"/>
      <c r="CD1" s="12" t="n"/>
      <c r="CE1" s="12" t="n"/>
      <c r="CF1" s="12" t="n"/>
      <c r="CG1" s="12" t="n"/>
      <c r="CH1" s="12" t="n"/>
      <c r="CI1" s="12" t="n"/>
      <c r="CJ1" s="12" t="n"/>
      <c r="CK1" s="12" t="n"/>
      <c r="CL1" s="12" t="n"/>
      <c r="CM1" s="12" t="n"/>
      <c r="CN1" s="12" t="n"/>
      <c r="CO1" s="12" t="n"/>
      <c r="CP1" s="12" t="n"/>
      <c r="CQ1" s="12" t="n"/>
      <c r="CR1" s="12" t="n"/>
      <c r="CS1" s="12" t="n"/>
      <c r="CT1" s="12" t="n"/>
      <c r="CU1" s="12" t="n"/>
      <c r="CV1" s="12" t="n"/>
      <c r="CW1" s="12" t="n"/>
      <c r="CX1" s="12" t="n"/>
      <c r="CY1" s="12" t="n"/>
    </row>
    <row r="2">
      <c r="C2" s="18" t="inlineStr">
        <is>
          <t>BS</t>
        </is>
      </c>
      <c r="D2" s="12" t="n"/>
      <c r="E2" s="12" t="n"/>
      <c r="F2" s="12" t="n"/>
      <c r="G2" s="12" t="n"/>
      <c r="H2" s="12" t="n"/>
      <c r="I2" s="12">
        <f>IF(COUNT(I185,I261)&lt;2,"",ABS(I185-I261))</f>
        <v>0</v>
      </c>
      <c r="J2" s="12">
        <f>IF(COUNT(J185,J261)&lt;2,"",ABS(J185-J261))</f>
        <v>0</v>
      </c>
      <c r="K2" s="12">
        <f>IF(COUNT(K185,K261)&lt;2,"",ABS(K185-K261))</f>
        <v>0</v>
      </c>
      <c r="L2" s="12">
        <f>IF(COUNT(L185,L261)&lt;2,"",ABS(L185-L261))</f>
        <v>0</v>
      </c>
      <c r="M2" s="12">
        <f>IF(COUNT(M185,M261)&lt;2,"",ABS(M185-M261))</f>
        <v>0</v>
      </c>
      <c r="N2" s="12">
        <f>IF(COUNT(N185,N261)&lt;2,"",ABS(N185-N261))</f>
        <v>0</v>
      </c>
      <c r="O2" s="12">
        <f>IF(COUNT(O185,O261)&lt;2,"",ABS(O185-O261))</f>
        <v>0</v>
      </c>
      <c r="P2" s="12">
        <f>IF(COUNT(P185,P261)&lt;2,"",ABS(P185-P261))</f>
        <v>0</v>
      </c>
      <c r="Q2" s="12">
        <f>IF(COUNT(Q185,Q261)&lt;2,"",ABS(Q185-Q261))</f>
        <v>0</v>
      </c>
      <c r="R2" s="12">
        <f>IF(COUNT(R185,R261)&lt;2,"",ABS(R185-R261))</f>
        <v>0</v>
      </c>
      <c r="S2" s="12">
        <f>IF(COUNT(S185,S261)&lt;2,"",ABS(S185-S261))</f>
        <v>0</v>
      </c>
      <c r="T2" s="12">
        <f>IF(COUNT(T185,T261)&lt;2,"",ABS(T185-T261))</f>
        <v>0</v>
      </c>
      <c r="U2" s="12">
        <f>IF(COUNT(U185,U261)&lt;2,"",ABS(U185-U261))</f>
        <v>0</v>
      </c>
      <c r="V2" s="12">
        <f>IF(COUNT(V185,V261)&lt;2,"",ABS(V185-V261))</f>
        <v>0</v>
      </c>
      <c r="W2" s="12">
        <f>IF(COUNT(W185,W261)&lt;2,"",ABS(W185-W261))</f>
        <v>0</v>
      </c>
      <c r="X2" s="12">
        <f>IF(COUNT(X185,X261)&lt;2,"",ABS(X185-X261))</f>
        <v>0</v>
      </c>
      <c r="Y2" s="12">
        <f>IF(COUNT(Y185,Y261)&lt;2,"",ABS(Y185-Y261))</f>
        <v>0</v>
      </c>
      <c r="Z2" s="12">
        <f>IF(COUNT(Z185,Z261)&lt;2,"",ABS(Z185-Z261))</f>
        <v>0</v>
      </c>
      <c r="AA2" s="12">
        <f>IF(COUNT(AA185,AA261)&lt;2,"",ABS(AA185-AA261))</f>
        <v>0</v>
      </c>
      <c r="AB2" s="12">
        <f>IF(COUNT(AB185,AB261)&lt;2,"",ABS(AB185-AB261))</f>
        <v>0</v>
      </c>
      <c r="AC2" s="12">
        <f>IF(COUNT(AC185,AC261)&lt;2,"",ABS(AC185-AC261))</f>
        <v>0</v>
      </c>
      <c r="AD2" s="12">
        <f>IF(COUNT(AD185,AD261)&lt;2,"",ABS(AD185-AD261))</f>
        <v>0</v>
      </c>
      <c r="AE2" s="12">
        <f>IF(COUNT(AE185,AE261)&lt;2,"",ABS(AE185-AE261))</f>
        <v>0</v>
      </c>
      <c r="AF2" s="12">
        <f>IF(COUNT(AF185,AF261)&lt;2,"",ABS(AF185-AF261))</f>
        <v>0</v>
      </c>
      <c r="AG2" s="12">
        <f>IF(COUNT(AG185,AG261)&lt;2,"",ABS(AG185-AG261))</f>
        <v>0</v>
      </c>
      <c r="AH2" s="12">
        <f>IF(COUNT(AH185,AH261)&lt;2,"",ABS(AH185-AH261))</f>
        <v>0</v>
      </c>
      <c r="AI2" s="12">
        <f>IF(COUNT(AI185,AI261)&lt;2,"",ABS(AI185-AI261))</f>
        <v>0</v>
      </c>
      <c r="AJ2" s="12">
        <f>IF(COUNT(AJ185,AJ261)&lt;2,"",ABS(AJ185-AJ261))</f>
        <v>0</v>
      </c>
      <c r="AK2" s="12">
        <f>IF(COUNT(AK185,AK261)&lt;2,"",ABS(AK185-AK261))</f>
        <v>0</v>
      </c>
      <c r="AL2" s="12">
        <f>IF(COUNT(AL185,AL261)&lt;2,"",ABS(AL185-AL261))</f>
        <v>0</v>
      </c>
      <c r="AM2" s="12">
        <f>IF(COUNT(AM185,AM261)&lt;2,"",ABS(AM185-AM261))</f>
        <v>0</v>
      </c>
      <c r="AN2" s="12">
        <f>IF(COUNT(AN185,AN261)&lt;2,"",ABS(AN185-AN261))</f>
        <v>0</v>
      </c>
      <c r="AO2" s="12">
        <f>IF(COUNT(AO185,AO261)&lt;2,"",ABS(AO185-AO261))</f>
        <v>0</v>
      </c>
      <c r="AP2" s="12">
        <f>IF(COUNT(AP185,AP261)&lt;2,"",ABS(AP185-AP261))</f>
        <v>0</v>
      </c>
      <c r="AQ2" s="12">
        <f>IF(COUNT(AQ185,AQ261)&lt;2,"",ABS(AQ185-AQ261))</f>
        <v>0</v>
      </c>
      <c r="AR2" s="12">
        <f>IF(COUNT(AR185,AR261)&lt;2,"",ABS(AR185-AR261))</f>
        <v>0</v>
      </c>
      <c r="AS2" s="12">
        <f>IF(COUNT(AS185,AS261)&lt;2,"",ABS(AS185-AS261))</f>
        <v>0</v>
      </c>
      <c r="AT2" s="12">
        <f>IF(COUNT(AT185,AT261)&lt;2,"",ABS(AT185-AT261))</f>
        <v>0</v>
      </c>
      <c r="AU2" s="12">
        <f>IF(COUNT(AU185,AU261)&lt;2,"",ABS(AU185-AU261))</f>
        <v>0</v>
      </c>
      <c r="AV2" s="12">
        <f>IF(COUNT(AV185,AV261)&lt;2,"",ABS(AV185-AV261))</f>
        <v>0</v>
      </c>
      <c r="AW2" s="12">
        <f>IF(COUNT(AW185,AW261)&lt;2,"",ABS(AW185-AW261))</f>
        <v>0</v>
      </c>
      <c r="AX2" s="12">
        <f>IF(COUNT(AX185,AX261)&lt;2,"",ABS(AX185-AX261))</f>
        <v>0</v>
      </c>
      <c r="AY2" s="12">
        <f>IF(COUNT(AY185,AY261)&lt;2,"",ABS(AY185-AY261))</f>
        <v>0</v>
      </c>
      <c r="AZ2" s="12">
        <f>IF(COUNT(AZ185,AZ261)&lt;2,"",ABS(AZ185-AZ261))</f>
        <v>0</v>
      </c>
      <c r="BA2" s="12">
        <f>IF(COUNT(BA185,BA261)&lt;2,"",ABS(BA185-BA261))</f>
        <v>0</v>
      </c>
      <c r="BB2" s="12">
        <f>IF(COUNT(BB185,BB261)&lt;2,"",ABS(BB185-BB261))</f>
        <v>0</v>
      </c>
      <c r="BC2" s="12">
        <f>IF(COUNT(BC185,BC261)&lt;2,"",ABS(BC185-BC261))</f>
        <v>0</v>
      </c>
      <c r="BD2" s="12">
        <f>IF(COUNT(BD185,BD261)&lt;2,"",ABS(BD185-BD261))</f>
        <v>0</v>
      </c>
      <c r="BE2" s="12">
        <f>IF(COUNT(BE185,BE261)&lt;2,"",ABS(BE185-BE261))</f>
        <v>0</v>
      </c>
      <c r="BF2" s="12">
        <f>IF(COUNT(BF185,BF261)&lt;2,"",ABS(BF185-BF261))</f>
        <v>0</v>
      </c>
      <c r="BG2" s="12" t="n"/>
      <c r="BH2" s="12" t="n"/>
      <c r="BI2" s="12" t="n"/>
      <c r="BJ2" s="12" t="n"/>
      <c r="BK2" s="12" t="n"/>
      <c r="BL2" s="12" t="n"/>
      <c r="BM2" s="12" t="n"/>
      <c r="BN2" s="12" t="n"/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n"/>
      <c r="BZ2" s="12" t="n"/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  <c r="CO2" s="12" t="n"/>
      <c r="CP2" s="12" t="n"/>
      <c r="CQ2" s="12" t="n"/>
      <c r="CR2" s="12" t="n"/>
      <c r="CS2" s="12" t="n"/>
      <c r="CT2" s="12" t="n"/>
      <c r="CU2" s="12" t="n"/>
      <c r="CV2" s="12" t="n"/>
      <c r="CW2" s="12" t="n"/>
      <c r="CX2" s="12" t="n"/>
      <c r="CY2" s="12" t="n"/>
    </row>
    <row r="3">
      <c r="C3" s="18" t="inlineStr">
        <is>
          <t>IS</t>
        </is>
      </c>
      <c r="D3" s="12" t="n"/>
      <c r="E3" s="12" t="n"/>
      <c r="F3" s="12" t="n"/>
      <c r="G3" s="12" t="n"/>
      <c r="H3" s="12" t="n"/>
      <c r="I3" s="12">
        <f>IF(COUNT(I125,I4)&lt;2,"",ABS(I125-I4))</f>
        <v>0</v>
      </c>
      <c r="J3" s="12">
        <f>IF(COUNT(J125,J4)&lt;2,"",ABS(J125-J4))</f>
        <v>0</v>
      </c>
      <c r="K3" s="12">
        <f>IF(COUNT(K125,K4)&lt;2,"",ABS(K125-K4))</f>
        <v>0</v>
      </c>
      <c r="L3" s="12">
        <f>IF(COUNT(L125,L4)&lt;2,"",ABS(L125-L4))</f>
        <v>0</v>
      </c>
      <c r="M3" s="12">
        <f>IF(COUNT(M125,M4)&lt;2,"",ABS(M125-M4))</f>
        <v>0</v>
      </c>
      <c r="N3" s="12">
        <f>IF(COUNT(N125,N4)&lt;2,"",ABS(N125-N4))</f>
        <v>0</v>
      </c>
      <c r="O3" s="12">
        <f>IF(COUNT(O125,O4)&lt;2,"",ABS(O125-O4))</f>
        <v>0</v>
      </c>
      <c r="P3" s="12">
        <f>IF(COUNT(P125,P4)&lt;2,"",ABS(P125-P4))</f>
        <v>0</v>
      </c>
      <c r="Q3" s="12">
        <f>IF(COUNT(Q125,Q4)&lt;2,"",ABS(Q125-Q4))</f>
        <v>0</v>
      </c>
      <c r="R3" s="12">
        <f>IF(COUNT(R125,R4)&lt;2,"",ABS(R125-R4))</f>
        <v>0</v>
      </c>
      <c r="S3" s="12">
        <f>IF(COUNT(S125,S4)&lt;2,"",ABS(S125-S4))</f>
        <v>0</v>
      </c>
      <c r="T3" s="12">
        <f>IF(COUNT(T125,T4)&lt;2,"",ABS(T125-T4))</f>
        <v>0</v>
      </c>
      <c r="U3" s="12">
        <f>IF(COUNT(U125,U4)&lt;2,"",ABS(U125-U4))</f>
        <v>0</v>
      </c>
      <c r="V3" s="12">
        <f>IF(COUNT(V125,V4)&lt;2,"",ABS(V125-V4))</f>
        <v>0</v>
      </c>
      <c r="W3" s="12">
        <f>IF(COUNT(W125,W4)&lt;2,"",ABS(W125-W4))</f>
        <v>0</v>
      </c>
      <c r="X3" s="12">
        <f>IF(COUNT(X125,X4)&lt;2,"",ABS(X125-X4))</f>
        <v>0</v>
      </c>
      <c r="Y3" s="12">
        <f>IF(COUNT(Y125,Y4)&lt;2,"",ABS(Y125-Y4))</f>
        <v>0</v>
      </c>
      <c r="Z3" s="12">
        <f>IF(COUNT(Z125,Z4)&lt;2,"",ABS(Z125-Z4))</f>
        <v>0</v>
      </c>
      <c r="AA3" s="12">
        <f>IF(COUNT(AA125,AA4)&lt;2,"",ABS(AA125-AA4))</f>
        <v>0</v>
      </c>
      <c r="AB3" s="12">
        <f>IF(COUNT(AB125,AB4)&lt;2,"",ABS(AB125-AB4))</f>
        <v>0</v>
      </c>
      <c r="AC3" s="12">
        <f>IF(COUNT(AC125,AC4)&lt;2,"",ABS(AC125-AC4))</f>
        <v>0</v>
      </c>
      <c r="AD3" s="12">
        <f>IF(COUNT(AD125,AD4)&lt;2,"",ABS(AD125-AD4))</f>
        <v>0</v>
      </c>
      <c r="AE3" s="12">
        <f>IF(COUNT(AE125,AE4)&lt;2,"",ABS(AE125-AE4))</f>
        <v>0</v>
      </c>
      <c r="AF3" s="12">
        <f>IF(COUNT(AF125,AF4)&lt;2,"",ABS(AF125-AF4))</f>
        <v>0</v>
      </c>
      <c r="AG3" s="12">
        <f>IF(COUNT(AG125,AG4)&lt;2,"",ABS(AG125-AG4))</f>
        <v>0</v>
      </c>
      <c r="AH3" s="12">
        <f>IF(COUNT(AH125,AH4)&lt;2,"",ABS(AH125-AH4))</f>
        <v>0</v>
      </c>
      <c r="AI3" s="12">
        <f>IF(COUNT(AI125,AI4)&lt;2,"",ABS(AI125-AI4))</f>
        <v>0</v>
      </c>
      <c r="AJ3" s="12">
        <f>ABS(AJ125-AJ4)</f>
        <v>891.358429489427</v>
      </c>
      <c r="AK3" s="12">
        <f>ABS(AK125-AK4)</f>
        <v>824.065616547759</v>
      </c>
      <c r="AL3" s="12">
        <f>ABS(AL125-AL4)</f>
        <v>3818.42404603719</v>
      </c>
      <c r="AM3" s="12">
        <f>ABS(AM125-AM4)</f>
        <v>1508.93279342183</v>
      </c>
      <c r="AN3" s="12">
        <f>ABS(AN125-AN4)</f>
        <v>1018.07513773039</v>
      </c>
      <c r="AO3" s="12">
        <f>ABS(AO125-AO4)</f>
        <v>1072.03369852845</v>
      </c>
      <c r="AP3" s="12">
        <f>ABS(AP125-AP4)</f>
        <v>991.100865275767</v>
      </c>
      <c r="AQ3" s="12">
        <f>ABS(AQ125-AQ4)</f>
        <v>4590.14249495643</v>
      </c>
      <c r="AR3" s="12">
        <f>ABS(AR125-AR4)</f>
        <v>1807.24358489642</v>
      </c>
      <c r="AS3" s="12">
        <f>ABS(AS125-AS4)</f>
        <v>1219.3450693277</v>
      </c>
      <c r="AT3" s="12">
        <f>ABS(AT125-AT4)</f>
        <v>1283.97105086754</v>
      </c>
      <c r="AU3" s="12">
        <f>ABS(AU125-AU4)</f>
        <v>1187.03807655547</v>
      </c>
      <c r="AV3" s="12">
        <f>ABS(AV125-AV4)</f>
        <v>5497.59778164714</v>
      </c>
      <c r="AW3" s="12">
        <f>ABS(AW125-AW4)</f>
        <v>2155.49316959225</v>
      </c>
      <c r="AX3" s="12">
        <f>ABS(AX125-AX4)</f>
        <v>1454.30864454417</v>
      </c>
      <c r="AY3" s="12">
        <f>ABS(AY125-AY4)</f>
        <v>1531.38782908326</v>
      </c>
      <c r="AZ3" s="12">
        <f>ABS(AZ125-AZ4)</f>
        <v>1415.77620606571</v>
      </c>
      <c r="BA3" s="12">
        <f>ABS(BA125-BA4)</f>
        <v>6556.96584928539</v>
      </c>
      <c r="BB3" s="12">
        <f>ABS(BB125-BB4)</f>
        <v>2560.07177826494</v>
      </c>
      <c r="BC3" s="12">
        <f>ABS(BC125-BC4)</f>
        <v>1727.27734437153</v>
      </c>
      <c r="BD3" s="12">
        <f>ABS(BD125-BD4)</f>
        <v>1818.8240251098</v>
      </c>
      <c r="BE3" s="12">
        <f>ABS(BE125-BE4)</f>
        <v>1681.5125005353</v>
      </c>
      <c r="BF3" s="12">
        <f>ABS(BF125-BF4)</f>
        <v>7787.68564828157</v>
      </c>
      <c r="BG3" s="12" t="n"/>
      <c r="BH3" s="12" t="n"/>
      <c r="BI3" s="12" t="n"/>
      <c r="BJ3" s="12" t="n"/>
      <c r="BK3" s="12" t="n"/>
      <c r="BL3" s="12" t="n"/>
      <c r="BM3" s="12" t="n"/>
      <c r="BN3" s="12" t="n"/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n"/>
      <c r="BZ3" s="12" t="n"/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  <c r="CO3" s="12" t="n"/>
      <c r="CP3" s="12" t="n"/>
      <c r="CQ3" s="12" t="n"/>
      <c r="CR3" s="12" t="n"/>
      <c r="CS3" s="12" t="n"/>
      <c r="CT3" s="12" t="n"/>
      <c r="CU3" s="12" t="n"/>
      <c r="CV3" s="12" t="n"/>
      <c r="CW3" s="12" t="n"/>
      <c r="CX3" s="12" t="n"/>
      <c r="CY3" s="12" t="n"/>
    </row>
    <row r="4">
      <c r="C4" s="17" t="inlineStr">
        <is>
          <t>Net Income reportado (lucro líquido) — base do check de DRE</t>
        </is>
      </c>
      <c r="H4" s="11" t="n"/>
      <c r="I4">
        <f>IF(ISNUMBER('Inputs (2)'!D50),'Inputs (2)'!D50,"")</f>
        <v>-793</v>
      </c>
      <c r="J4">
        <f>IF(ISNUMBER('Inputs (2)'!E50),'Inputs (2)'!E50,"")</f>
        <v>-61</v>
      </c>
      <c r="K4">
        <f>IF(ISNUMBER('Inputs (2)'!F50),'Inputs (2)'!F50,"")</f>
        <v>607</v>
      </c>
      <c r="L4">
        <f>IF(ISNUMBER('Inputs (2)'!G50),'Inputs (2)'!G50,"")</f>
        <v>42</v>
      </c>
      <c r="M4" s="11">
        <f>IF(COUNT(I4:L4)=4,SUM(I4:L4),"")</f>
        <v>-205</v>
      </c>
      <c r="N4">
        <f>IF(ISNUMBER('Inputs (2)'!I50),'Inputs (2)'!I50,"")</f>
        <v>106</v>
      </c>
      <c r="O4">
        <f>IF(ISNUMBER('Inputs (2)'!J50),'Inputs (2)'!J50,"")</f>
        <v>-111</v>
      </c>
      <c r="P4">
        <f>IF(ISNUMBER('Inputs (2)'!K50),'Inputs (2)'!K50,"")</f>
        <v>-188</v>
      </c>
      <c r="Q4">
        <f>IF(ISNUMBER('Inputs (2)'!L50),'Inputs (2)'!L50,"")</f>
        <v>34</v>
      </c>
      <c r="R4" s="11">
        <f>IF(COUNT(N4:Q4)=4,SUM(N4:Q4),"")</f>
        <v>-159</v>
      </c>
      <c r="S4">
        <f>IF(ISNUMBER('Inputs (2)'!N50),'Inputs (2)'!N50,"")</f>
        <v>96</v>
      </c>
      <c r="T4">
        <f>IF(ISNUMBER('Inputs (2)'!O50),'Inputs (2)'!O50,"")</f>
        <v>833</v>
      </c>
      <c r="U4">
        <f>IF(ISNUMBER('Inputs (2)'!P50),'Inputs (2)'!P50,"")</f>
        <v>731</v>
      </c>
      <c r="V4">
        <f>IF(ISNUMBER('Inputs (2)'!Q50),'Inputs (2)'!Q50,"")</f>
        <v>-37</v>
      </c>
      <c r="W4" s="11">
        <f>IF(COUNT(S4:V4)=4,SUM(S4:V4),"")</f>
        <v>1623</v>
      </c>
      <c r="X4">
        <f>IF(ISNUMBER('Inputs (2)'!S50),'Inputs (2)'!S50,"")</f>
        <v>883</v>
      </c>
      <c r="Y4">
        <f>IF(ISNUMBER('Inputs (2)'!T50),'Inputs (2)'!T50,"")</f>
        <v>814</v>
      </c>
      <c r="Z4">
        <f>IF(ISNUMBER('Inputs (2)'!U50),'Inputs (2)'!U50,"")</f>
        <v>1200</v>
      </c>
      <c r="AA4">
        <f>IF(ISNUMBER('Inputs (2)'!V50),'Inputs (2)'!V50,"")</f>
        <v>852</v>
      </c>
      <c r="AB4" s="11">
        <f>IF(COUNT(X4:AA4)=4,SUM(X4:AA4),"")</f>
        <v>3749</v>
      </c>
      <c r="AC4">
        <f>IF(ISNUMBER('Inputs (2)'!X50),'Inputs (2)'!X50,"")</f>
        <v>118</v>
      </c>
      <c r="AD4">
        <f>IF(ISNUMBER('Inputs (2)'!Y50),'Inputs (2)'!Y50,"")</f>
        <v>839</v>
      </c>
      <c r="AE4">
        <f>IF(ISNUMBER('Inputs (2)'!Z50),'Inputs (2)'!Z50,"")</f>
        <v>930</v>
      </c>
      <c r="AF4">
        <f>IF(ISNUMBER('Inputs (2)'!AA50),'Inputs (2)'!AA50,"")</f>
        <v>432</v>
      </c>
      <c r="AG4" s="11">
        <f>IF(COUNT(AC4:AF4)=4,SUM(AC4:AF4),"")</f>
        <v>2319</v>
      </c>
      <c r="AH4" s="11">
        <f>IF(ISNUMBER('Inputs (2)'!AC50),'Inputs (2)'!AC50,"")</f>
        <v>1590</v>
      </c>
      <c r="AI4" s="11">
        <f>IF(ISNUMBER('Inputs (2)'!AD50),'Inputs (2)'!AD50,"")</f>
        <v>513</v>
      </c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  <c r="CL4" s="11" t="n"/>
      <c r="CM4" s="11" t="n"/>
      <c r="CN4" s="11" t="n"/>
      <c r="CO4" s="11" t="n"/>
      <c r="CP4" s="11" t="n"/>
      <c r="CQ4" s="11" t="n"/>
      <c r="CR4" s="11" t="n"/>
      <c r="CS4" s="11" t="n"/>
      <c r="CT4" s="11" t="n"/>
      <c r="CU4" s="11" t="n"/>
      <c r="CV4" s="11" t="n"/>
      <c r="CW4" s="11" t="n"/>
      <c r="CX4" s="11" t="n"/>
      <c r="CY4" s="11" t="n"/>
    </row>
    <row r="5">
      <c r="B5" s="19" t="n">
        <v>45930</v>
      </c>
      <c r="D5" s="20" t="n"/>
      <c r="E5" s="21" t="n"/>
      <c r="F5" s="21" t="n"/>
      <c r="G5" s="21" t="n"/>
      <c r="H5" s="266" t="n">
        <v>44196</v>
      </c>
      <c r="I5" s="20" t="n">
        <v>44286</v>
      </c>
      <c r="J5" s="21">
        <f>DATE(YEAR(I5),MONTH(I5)+3,DAY(I5)-1)</f>
        <v>44377.0</v>
      </c>
      <c r="K5" s="21">
        <f>DATE(YEAR(J5),MONTH(J5)+3,DAY(J5))</f>
        <v>44469.0</v>
      </c>
      <c r="L5" s="21">
        <f>DATE(YEAR(K5),MONTH(K5)+3,DAY(K5)+1)</f>
        <v>44561.0</v>
      </c>
      <c r="M5" s="22">
        <f>L5</f>
        <v>44561.0</v>
      </c>
      <c r="N5" s="21">
        <f>DATE(YEAR(M5),MONTH(M5)+3,DAY(M5))</f>
        <v>44651.0</v>
      </c>
      <c r="O5" s="21">
        <f>DATE(YEAR(N5),MONTH(N5)+3,DAY(N5)-1)</f>
        <v>44742.0</v>
      </c>
      <c r="P5" s="21">
        <f>DATE(YEAR(O5),MONTH(O5)+3,DAY(O5))</f>
        <v>44834.0</v>
      </c>
      <c r="Q5" s="21">
        <f>DATE(YEAR(P5),MONTH(P5)+3,DAY(P5)+1)</f>
        <v>44926.0</v>
      </c>
      <c r="R5" s="22">
        <f>Q5</f>
        <v>44926.0</v>
      </c>
      <c r="S5" s="21">
        <f>DATE(YEAR(R5),MONTH(R5)+3,DAY(R5))</f>
        <v>45016.0</v>
      </c>
      <c r="T5" s="21">
        <f>DATE(YEAR(S5),MONTH(S5)+3,DAY(S5))-1</f>
        <v>45107.0</v>
      </c>
      <c r="U5" s="21">
        <f>DATE(YEAR(T5),MONTH(T5)+3,DAY(T5))</f>
        <v>45199.0</v>
      </c>
      <c r="V5" s="21">
        <f>DATE(YEAR(U5),MONTH(U5)+3,DAY(U5))+1</f>
        <v>45291.0</v>
      </c>
      <c r="W5" s="22">
        <f>V5</f>
        <v>45291.0</v>
      </c>
      <c r="X5" s="21">
        <f>DATE(YEAR(W5),MONTH(W5)+3,DAY(W5))</f>
        <v>45382.0</v>
      </c>
      <c r="Y5" s="21">
        <f>DATE(YEAR(X5),MONTH(X5)+3,DAY(X5))-1</f>
        <v>45473.0</v>
      </c>
      <c r="Z5" s="21">
        <f>DATE(YEAR(Y5),MONTH(Y5)+3,DAY(Y5))</f>
        <v>45565.0</v>
      </c>
      <c r="AA5" s="21">
        <f>DATE(YEAR(Z5),MONTH(Z5)+3,DAY(Z5))+1</f>
        <v>45657.0</v>
      </c>
      <c r="AB5" s="22">
        <f>AA5</f>
        <v>45657.0</v>
      </c>
      <c r="AC5" s="21">
        <f>DATE(YEAR(AB5),MONTH(AB5)+3,DAY(AB5))</f>
        <v>45747.0</v>
      </c>
      <c r="AD5" s="21">
        <f>DATE(YEAR(AC5),MONTH(AC5)+3,DAY(AC5))-1</f>
        <v>45838.0</v>
      </c>
      <c r="AE5" s="21">
        <f>DATE(YEAR(AD5),MONTH(AD5)+3,DAY(AD5))</f>
        <v>45930.0</v>
      </c>
      <c r="AF5" s="21">
        <f>DATE(YEAR(AE5),MONTH(AE5)+3,DAY(AE5))+1</f>
        <v>46022.0</v>
      </c>
      <c r="AG5" s="22">
        <f>AF5</f>
        <v>46022.0</v>
      </c>
      <c r="AH5" s="21">
        <f>DATE(YEAR(AG5),MONTH(AG5)+3,DAY(AG5))</f>
        <v>46112.0</v>
      </c>
      <c r="AI5" s="21">
        <f>DATE(YEAR(AH5),MONTH(AH5)+3,DAY(AH5))-1</f>
        <v>46203.0</v>
      </c>
      <c r="AJ5" s="21">
        <f>DATE(YEAR(AI5),MONTH(AI5)+3,DAY(AI5))</f>
        <v>46295.0</v>
      </c>
      <c r="AK5" s="21">
        <f>DATE(YEAR(AJ5),MONTH(AJ5)+3,DAY(AJ5))+1</f>
        <v>46387.0</v>
      </c>
      <c r="AL5" s="22">
        <f>AK5</f>
        <v>46387.0</v>
      </c>
      <c r="AM5" s="21">
        <f>DATE(YEAR(AL5),MONTH(AL5)+3,DAY(AL5))</f>
        <v>46477.0</v>
      </c>
      <c r="AN5" s="21">
        <f>DATE(YEAR(AM5),MONTH(AM5)+3,DAY(AM5))-1</f>
        <v>46568.0</v>
      </c>
      <c r="AO5" s="21">
        <f>DATE(YEAR(AN5),MONTH(AN5)+3,DAY(AN5))</f>
        <v>46660.0</v>
      </c>
      <c r="AP5" s="21">
        <f>DATE(YEAR(AO5),MONTH(AO5)+3,DAY(AO5))+1</f>
        <v>46752.0</v>
      </c>
      <c r="AQ5" s="22">
        <f>AP5</f>
        <v>46752.0</v>
      </c>
      <c r="AR5" s="21">
        <f>DATE(YEAR(AQ5),MONTH(AQ5)+3,DAY(AQ5))</f>
        <v>46843.0</v>
      </c>
      <c r="AS5" s="21">
        <f>DATE(YEAR(AR5),MONTH(AR5)+3,DAY(AR5))-1</f>
        <v>46934.0</v>
      </c>
      <c r="AT5" s="21">
        <f>DATE(YEAR(AS5),MONTH(AS5)+3,DAY(AS5))</f>
        <v>47026.0</v>
      </c>
      <c r="AU5" s="21">
        <f>DATE(YEAR(AT5),MONTH(AT5)+3,DAY(AT5))+1</f>
        <v>47118.0</v>
      </c>
      <c r="AV5" s="22">
        <f>AU5</f>
        <v>47118.0</v>
      </c>
      <c r="AW5" s="21">
        <f>DATE(YEAR(AV5),MONTH(AV5)+3,DAY(AV5))</f>
        <v>47208.0</v>
      </c>
      <c r="AX5" s="21">
        <f>DATE(YEAR(AW5),MONTH(AW5)+3,DAY(AW5))-1</f>
        <v>47299.0</v>
      </c>
      <c r="AY5" s="21">
        <f>DATE(YEAR(AX5),MONTH(AX5)+3,DAY(AX5))</f>
        <v>47391.0</v>
      </c>
      <c r="AZ5" s="21">
        <f>DATE(YEAR(AY5),MONTH(AY5)+3,DAY(AY5))+1</f>
        <v>47483.0</v>
      </c>
      <c r="BA5" s="22">
        <f>AZ5</f>
        <v>47483.0</v>
      </c>
      <c r="BB5" s="21">
        <f>DATE(YEAR(BA5),MONTH(BA5)+3,DAY(BA5))</f>
        <v>47573.0</v>
      </c>
      <c r="BC5" s="21">
        <f>DATE(YEAR(BB5),MONTH(BB5)+3,DAY(BB5))-1</f>
        <v>47664.0</v>
      </c>
      <c r="BD5" s="21">
        <f>DATE(YEAR(BC5),MONTH(BC5)+3,DAY(BC5))</f>
        <v>47756.0</v>
      </c>
      <c r="BE5" s="21">
        <f>DATE(YEAR(BD5),MONTH(BD5)+3,DAY(BD5))+1</f>
        <v>47848.0</v>
      </c>
      <c r="BF5" s="22">
        <f>BE5</f>
        <v>47848.0</v>
      </c>
      <c r="BG5" s="21" t="n"/>
      <c r="BH5" s="21" t="n"/>
      <c r="BI5" s="21" t="n"/>
      <c r="BJ5" s="21" t="n"/>
      <c r="BK5" s="22" t="n"/>
      <c r="BL5" s="21" t="n"/>
      <c r="BM5" s="21" t="n"/>
      <c r="BN5" s="21" t="n"/>
      <c r="BO5" s="21" t="n"/>
      <c r="BP5" s="22" t="n"/>
      <c r="BQ5" s="21" t="n"/>
      <c r="BR5" s="21" t="n"/>
      <c r="BS5" s="21" t="n"/>
      <c r="BT5" s="21" t="n"/>
      <c r="BU5" s="22" t="n"/>
      <c r="BV5" s="21" t="n"/>
      <c r="BW5" s="21" t="n"/>
      <c r="BX5" s="21" t="n"/>
      <c r="BY5" s="21" t="n"/>
      <c r="BZ5" s="22" t="n"/>
      <c r="CA5" s="21" t="n"/>
      <c r="CB5" s="21" t="n"/>
      <c r="CC5" s="21" t="n"/>
      <c r="CD5" s="21" t="n"/>
      <c r="CE5" s="22" t="n"/>
      <c r="CF5" s="21" t="n"/>
      <c r="CG5" s="21" t="n"/>
      <c r="CH5" s="21" t="n"/>
      <c r="CI5" s="21" t="n"/>
      <c r="CJ5" s="22" t="n"/>
      <c r="CK5" s="21" t="n"/>
      <c r="CL5" s="21" t="n"/>
      <c r="CM5" s="21" t="n"/>
      <c r="CN5" s="21" t="n"/>
      <c r="CO5" s="22" t="n"/>
      <c r="CP5" s="21" t="n"/>
      <c r="CQ5" s="21" t="n"/>
      <c r="CR5" s="21" t="n"/>
      <c r="CS5" s="21" t="n"/>
      <c r="CT5" s="22" t="n"/>
      <c r="CU5" s="21" t="n"/>
      <c r="CV5" s="21" t="n"/>
      <c r="CW5" s="21" t="n"/>
      <c r="CX5" s="21" t="n"/>
      <c r="CY5" s="22" t="n"/>
    </row>
    <row r="6">
      <c r="B6" s="23" t="n"/>
      <c r="D6" s="24" t="n"/>
      <c r="E6" s="24" t="n"/>
      <c r="F6" s="24" t="n"/>
      <c r="G6" s="24" t="n"/>
      <c r="H6" s="24" t="n"/>
      <c r="I6" s="24">
        <f>YEAR(I5)</f>
        <v>2021</v>
      </c>
      <c r="J6" s="24">
        <f>YEAR(J5)</f>
        <v>2021</v>
      </c>
      <c r="K6" s="24">
        <f>YEAR(K5)</f>
        <v>2021</v>
      </c>
      <c r="L6" s="24">
        <f>YEAR(L5)</f>
        <v>2021</v>
      </c>
      <c r="M6" s="24">
        <f>YEAR(M5)</f>
        <v>2021</v>
      </c>
      <c r="N6" s="24">
        <f>YEAR(N5)</f>
        <v>2022</v>
      </c>
      <c r="O6" s="24">
        <f>YEAR(O5)</f>
        <v>2022</v>
      </c>
      <c r="P6" s="24">
        <f>YEAR(P5)</f>
        <v>2022</v>
      </c>
      <c r="Q6" s="24">
        <f>YEAR(Q5)</f>
        <v>2022</v>
      </c>
      <c r="R6" s="24">
        <f>YEAR(R5)</f>
        <v>2022</v>
      </c>
      <c r="S6" s="24">
        <f>YEAR(S5)</f>
        <v>2023</v>
      </c>
      <c r="T6" s="24">
        <f>YEAR(T5)</f>
        <v>2023</v>
      </c>
      <c r="U6" s="24">
        <f>YEAR(U5)</f>
        <v>2023</v>
      </c>
      <c r="V6" s="24">
        <f>YEAR(V5)</f>
        <v>2023</v>
      </c>
      <c r="W6" s="24">
        <f>YEAR(W5)</f>
        <v>2023</v>
      </c>
      <c r="X6" s="24">
        <f>YEAR(X5)</f>
        <v>2024</v>
      </c>
      <c r="Y6" s="24">
        <f>YEAR(Y5)</f>
        <v>2024</v>
      </c>
      <c r="Z6" s="24">
        <f>YEAR(Z5)</f>
        <v>2024</v>
      </c>
      <c r="AA6" s="24">
        <f>YEAR(AA5)</f>
        <v>2024</v>
      </c>
      <c r="AB6" s="24">
        <f>YEAR(AB5)</f>
        <v>2024</v>
      </c>
      <c r="AC6" s="24">
        <f>YEAR(AC5)</f>
        <v>2025</v>
      </c>
      <c r="AD6" s="24">
        <f>YEAR(AD5)</f>
        <v>2025</v>
      </c>
      <c r="AE6" s="24">
        <f>YEAR(AE5)</f>
        <v>2025</v>
      </c>
      <c r="AF6" s="24">
        <f>YEAR(AF5)</f>
        <v>2025</v>
      </c>
      <c r="AG6" s="24">
        <f>YEAR(AG5)</f>
        <v>2025</v>
      </c>
      <c r="AH6" s="24">
        <f>YEAR(AH5)</f>
        <v>2026</v>
      </c>
      <c r="AI6" s="24">
        <f>YEAR(AI5)</f>
        <v>2026</v>
      </c>
      <c r="AJ6" s="24">
        <f>YEAR(AJ5)</f>
        <v>2026</v>
      </c>
      <c r="AK6" s="24">
        <f>YEAR(AK5)</f>
        <v>2026</v>
      </c>
      <c r="AL6" s="24">
        <f>YEAR(AL5)</f>
        <v>2026</v>
      </c>
      <c r="AM6" s="24">
        <f>YEAR(AM5)</f>
        <v>2027</v>
      </c>
      <c r="AN6" s="24">
        <f>YEAR(AN5)</f>
        <v>2027</v>
      </c>
      <c r="AO6" s="24">
        <f>YEAR(AO5)</f>
        <v>2027</v>
      </c>
      <c r="AP6" s="24">
        <f>YEAR(AP5)</f>
        <v>2027</v>
      </c>
      <c r="AQ6" s="24">
        <f>YEAR(AQ5)</f>
        <v>2027</v>
      </c>
      <c r="AR6" s="24">
        <f>YEAR(AR5)</f>
        <v>2028</v>
      </c>
      <c r="AS6" s="24">
        <f>YEAR(AS5)</f>
        <v>2028</v>
      </c>
      <c r="AT6" s="24">
        <f>YEAR(AT5)</f>
        <v>2028</v>
      </c>
      <c r="AU6" s="24">
        <f>YEAR(AU5)</f>
        <v>2028</v>
      </c>
      <c r="AV6" s="24">
        <f>YEAR(AV5)</f>
        <v>2028</v>
      </c>
      <c r="AW6" s="24">
        <f>YEAR(AW5)</f>
        <v>2029</v>
      </c>
      <c r="AX6" s="24">
        <f>YEAR(AX5)</f>
        <v>2029</v>
      </c>
      <c r="AY6" s="24">
        <f>YEAR(AY5)</f>
        <v>2029</v>
      </c>
      <c r="AZ6" s="24">
        <f>YEAR(AZ5)</f>
        <v>2029</v>
      </c>
      <c r="BA6" s="24">
        <f>YEAR(BA5)</f>
        <v>2029</v>
      </c>
      <c r="BB6" s="24">
        <f>YEAR(BB5)</f>
        <v>2030</v>
      </c>
      <c r="BC6" s="24">
        <f>YEAR(BC5)</f>
        <v>2030</v>
      </c>
      <c r="BD6" s="24">
        <f>YEAR(BD5)</f>
        <v>2030</v>
      </c>
      <c r="BE6" s="24">
        <f>YEAR(BE5)</f>
        <v>2030</v>
      </c>
      <c r="BF6" s="24">
        <f>YEAR(BF5)</f>
        <v>2030</v>
      </c>
      <c r="BG6" s="24" t="n"/>
      <c r="BH6" s="24" t="n"/>
      <c r="BI6" s="24" t="n"/>
      <c r="BJ6" s="24" t="n"/>
      <c r="BK6" s="24" t="n"/>
      <c r="BL6" s="24" t="n"/>
      <c r="BM6" s="24" t="n"/>
      <c r="BN6" s="24" t="n"/>
      <c r="BO6" s="24" t="n"/>
      <c r="BP6" s="24" t="n"/>
      <c r="BQ6" s="24" t="n"/>
      <c r="BR6" s="24" t="n"/>
      <c r="BS6" s="24" t="n"/>
      <c r="BT6" s="24" t="n"/>
      <c r="BU6" s="24" t="n"/>
      <c r="BV6" s="24" t="n"/>
      <c r="BW6" s="24" t="n"/>
      <c r="BX6" s="24" t="n"/>
      <c r="BY6" s="24" t="n"/>
      <c r="BZ6" s="24" t="n"/>
      <c r="CA6" s="24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  <c r="CT6" s="24" t="n"/>
      <c r="CU6" s="24" t="n"/>
      <c r="CV6" s="24" t="n"/>
      <c r="CW6" s="24" t="n"/>
      <c r="CX6" s="24" t="n"/>
      <c r="CY6" s="24" t="n"/>
    </row>
    <row r="7">
      <c r="B7" s="4" t="n"/>
      <c r="D7" s="25" t="n"/>
      <c r="E7" s="25" t="n"/>
      <c r="F7" s="25" t="n"/>
      <c r="G7" s="25" t="n"/>
      <c r="H7" s="26" t="n">
        <v>2020</v>
      </c>
      <c r="I7" s="25" t="str">
        <f>"1Q"&amp;RIGHT(I6,2)</f>
        <v>1Q21</v>
      </c>
      <c r="J7" s="25" t="str">
        <f>"2Q"&amp;RIGHT(J6,2)</f>
        <v>2Q21</v>
      </c>
      <c r="K7" s="25" t="str">
        <f>"3Q"&amp;RIGHT(K6,2)</f>
        <v>3Q21</v>
      </c>
      <c r="L7" s="25" t="str">
        <f>"4Q"&amp;RIGHT(L6,2)</f>
        <v>4Q21</v>
      </c>
      <c r="M7" s="26">
        <f>H7+1</f>
        <v>2021</v>
      </c>
      <c r="N7" s="25" t="str">
        <f>"1Q"&amp;RIGHT(N6,2)</f>
        <v>1Q22</v>
      </c>
      <c r="O7" s="25" t="str">
        <f>"2Q"&amp;RIGHT(O6,2)</f>
        <v>2Q22</v>
      </c>
      <c r="P7" s="25" t="str">
        <f>"3Q"&amp;RIGHT(P6,2)</f>
        <v>3Q22</v>
      </c>
      <c r="Q7" s="25" t="str">
        <f>"4Q"&amp;RIGHT(Q6,2)</f>
        <v>4Q22</v>
      </c>
      <c r="R7" s="26">
        <f>M7+1</f>
        <v>2022</v>
      </c>
      <c r="S7" s="25" t="str">
        <f>"1Q"&amp;RIGHT(S6,2)</f>
        <v>1Q23</v>
      </c>
      <c r="T7" s="25" t="str">
        <f>"2Q"&amp;RIGHT(T6,2)</f>
        <v>2Q23</v>
      </c>
      <c r="U7" s="25" t="str">
        <f>"3Q"&amp;RIGHT(U6,2)</f>
        <v>3Q23</v>
      </c>
      <c r="V7" s="25" t="str">
        <f>"4Q"&amp;RIGHT(V6,2)</f>
        <v>4Q23</v>
      </c>
      <c r="W7" s="26">
        <f>R7+1</f>
        <v>2023</v>
      </c>
      <c r="X7" s="25" t="str">
        <f>"1Q"&amp;RIGHT(X6,2)</f>
        <v>1Q24</v>
      </c>
      <c r="Y7" s="25" t="str">
        <f>"2Q"&amp;RIGHT(Y6,2)</f>
        <v>2Q24</v>
      </c>
      <c r="Z7" s="25" t="str">
        <f>"3Q"&amp;RIGHT(Z6,2)</f>
        <v>3Q24</v>
      </c>
      <c r="AA7" s="25" t="str">
        <f>"4Q"&amp;RIGHT(AA6,2)</f>
        <v>4Q24</v>
      </c>
      <c r="AB7" s="26">
        <f>W7+1</f>
        <v>2024</v>
      </c>
      <c r="AC7" s="25" t="str">
        <f>"1Q"&amp;RIGHT(AC6,2)</f>
        <v>1Q25</v>
      </c>
      <c r="AD7" s="25" t="str">
        <f>"2Q"&amp;RIGHT(AD6,2)</f>
        <v>2Q25</v>
      </c>
      <c r="AE7" s="25" t="str">
        <f>"3Q"&amp;RIGHT(AE6,2)</f>
        <v>3Q25</v>
      </c>
      <c r="AF7" s="25" t="str">
        <f>"4Q"&amp;RIGHT(AF6,2)</f>
        <v>4Q25</v>
      </c>
      <c r="AG7" s="26">
        <f>AB7+1</f>
        <v>2025</v>
      </c>
      <c r="AH7" s="25" t="str">
        <f>"1Q"&amp;RIGHT(AH6,2)</f>
        <v>1Q26</v>
      </c>
      <c r="AI7" s="25" t="str">
        <f>"2Q"&amp;RIGHT(AI6,2)</f>
        <v>2Q26</v>
      </c>
      <c r="AJ7" s="25" t="str">
        <f>"3Q"&amp;RIGHT(AJ6,2)</f>
        <v>3Q26</v>
      </c>
      <c r="AK7" s="25" t="str">
        <f>"4Q"&amp;RIGHT(AK6,2)</f>
        <v>4Q26</v>
      </c>
      <c r="AL7" s="26">
        <f>AG7+1</f>
        <v>2026</v>
      </c>
      <c r="AM7" s="25" t="str">
        <f>"1Q"&amp;RIGHT(AM6,2)</f>
        <v>1Q27</v>
      </c>
      <c r="AN7" s="25" t="str">
        <f>"2Q"&amp;RIGHT(AN6,2)</f>
        <v>2Q27</v>
      </c>
      <c r="AO7" s="25" t="str">
        <f>"3Q"&amp;RIGHT(AO6,2)</f>
        <v>3Q27</v>
      </c>
      <c r="AP7" s="25" t="str">
        <f>"4Q"&amp;RIGHT(AP6,2)</f>
        <v>4Q27</v>
      </c>
      <c r="AQ7" s="26">
        <f>AL7+1</f>
        <v>2027</v>
      </c>
      <c r="AR7" s="25" t="str">
        <f>"1Q"&amp;RIGHT(AR6,2)</f>
        <v>1Q28</v>
      </c>
      <c r="AS7" s="25" t="str">
        <f>"2Q"&amp;RIGHT(AS6,2)</f>
        <v>2Q28</v>
      </c>
      <c r="AT7" s="25" t="str">
        <f>"3Q"&amp;RIGHT(AT6,2)</f>
        <v>3Q28</v>
      </c>
      <c r="AU7" s="25" t="str">
        <f>"4Q"&amp;RIGHT(AU6,2)</f>
        <v>4Q28</v>
      </c>
      <c r="AV7" s="26">
        <f>AQ7+1</f>
        <v>2028</v>
      </c>
      <c r="AW7" s="25" t="str">
        <f>"1Q"&amp;RIGHT(AW6,2)</f>
        <v>1Q29</v>
      </c>
      <c r="AX7" s="25" t="str">
        <f>"2Q"&amp;RIGHT(AX6,2)</f>
        <v>2Q29</v>
      </c>
      <c r="AY7" s="25" t="str">
        <f>"3Q"&amp;RIGHT(AY6,2)</f>
        <v>3Q29</v>
      </c>
      <c r="AZ7" s="25" t="str">
        <f>"4Q"&amp;RIGHT(AZ6,2)</f>
        <v>4Q29</v>
      </c>
      <c r="BA7" s="26">
        <f>AV7+1</f>
        <v>2029</v>
      </c>
      <c r="BB7" s="25" t="str">
        <f>"1Q"&amp;RIGHT(BB6,2)</f>
        <v>1Q30</v>
      </c>
      <c r="BC7" s="25" t="str">
        <f>"2Q"&amp;RIGHT(BC6,2)</f>
        <v>2Q30</v>
      </c>
      <c r="BD7" s="25" t="str">
        <f>"3Q"&amp;RIGHT(BD6,2)</f>
        <v>3Q30</v>
      </c>
      <c r="BE7" s="25" t="str">
        <f>"4Q"&amp;RIGHT(BE6,2)</f>
        <v>4Q30</v>
      </c>
      <c r="BF7" s="26">
        <f>BA7+1</f>
        <v>2030</v>
      </c>
      <c r="BG7" s="25" t="n"/>
      <c r="BH7" s="25" t="n"/>
      <c r="BI7" s="25" t="n"/>
      <c r="BJ7" s="25" t="n"/>
      <c r="BK7" s="26" t="n"/>
      <c r="BL7" s="25" t="n"/>
      <c r="BM7" s="25" t="n"/>
      <c r="BN7" s="25" t="n"/>
      <c r="BO7" s="25" t="n"/>
      <c r="BP7" s="26" t="n"/>
      <c r="BQ7" s="25" t="n"/>
      <c r="BR7" s="25" t="n"/>
      <c r="BS7" s="25" t="n"/>
      <c r="BT7" s="25" t="n"/>
      <c r="BU7" s="26" t="n"/>
      <c r="BV7" s="25" t="n"/>
      <c r="BW7" s="25" t="n"/>
      <c r="BX7" s="25" t="n"/>
      <c r="BY7" s="25" t="n"/>
      <c r="BZ7" s="26" t="n"/>
      <c r="CA7" s="25" t="n"/>
      <c r="CB7" s="25" t="n"/>
      <c r="CC7" s="25" t="n"/>
      <c r="CD7" s="25" t="n"/>
      <c r="CE7" s="26" t="n"/>
      <c r="CF7" s="25" t="n"/>
      <c r="CG7" s="25" t="n"/>
      <c r="CH7" s="25" t="n"/>
      <c r="CI7" s="25" t="n"/>
      <c r="CJ7" s="26" t="n"/>
      <c r="CK7" s="25" t="n"/>
      <c r="CL7" s="25" t="n"/>
      <c r="CM7" s="25" t="n"/>
      <c r="CN7" s="25" t="n"/>
      <c r="CO7" s="26" t="n"/>
      <c r="CP7" s="25" t="n"/>
      <c r="CQ7" s="25" t="n"/>
      <c r="CR7" s="25" t="n"/>
      <c r="CS7" s="25" t="n"/>
      <c r="CT7" s="26" t="n"/>
      <c r="CU7" s="25" t="n"/>
      <c r="CV7" s="25" t="n"/>
      <c r="CW7" s="25" t="n"/>
      <c r="CX7" s="25" t="n"/>
      <c r="CY7" s="26" t="n"/>
    </row>
    <row r="8">
      <c r="B8" s="4" t="n"/>
      <c r="C8" s="4" t="inlineStr">
        <is>
          <t>IPCA</t>
        </is>
      </c>
      <c r="D8" s="25" t="n"/>
      <c r="E8" s="25" t="n"/>
      <c r="F8" s="25" t="n"/>
      <c r="G8" s="25" t="n"/>
      <c r="H8" s="27" t="n"/>
      <c r="I8" s="25" t="n"/>
      <c r="J8" s="25" t="n"/>
      <c r="K8" s="25" t="n"/>
      <c r="L8" s="25" t="n"/>
      <c r="M8" s="27" t="n">
        <v>0.1006</v>
      </c>
      <c r="N8" s="25" t="n"/>
      <c r="O8" s="25" t="n"/>
      <c r="P8" s="25" t="n"/>
      <c r="Q8" s="25" t="n"/>
      <c r="R8" s="27" t="n">
        <v>0.0579</v>
      </c>
      <c r="S8" s="25" t="n"/>
      <c r="T8" s="25" t="n"/>
      <c r="U8" s="25" t="n"/>
      <c r="V8" s="25" t="n"/>
      <c r="W8" s="27" t="n">
        <v>0.0468</v>
      </c>
      <c r="X8" s="25" t="n"/>
      <c r="Y8" s="25" t="n"/>
      <c r="Z8" s="25" t="n"/>
      <c r="AA8" s="25" t="n"/>
      <c r="AB8" s="27" t="n">
        <v>0.0483</v>
      </c>
      <c r="AC8" s="25" t="n"/>
      <c r="AD8" s="25" t="n"/>
      <c r="AE8" s="25" t="n"/>
      <c r="AF8" s="25" t="n"/>
      <c r="AG8" s="27" t="n">
        <v>0.0468</v>
      </c>
      <c r="AH8" s="25" t="n"/>
      <c r="AI8" s="25" t="n"/>
      <c r="AJ8" s="25" t="n"/>
      <c r="AK8" s="25" t="n"/>
      <c r="AL8" s="28" t="n"/>
      <c r="AM8" s="25" t="n"/>
      <c r="AN8" s="25" t="n"/>
      <c r="AO8" s="25" t="n"/>
      <c r="AP8" s="25" t="n"/>
      <c r="AQ8" s="28" t="n"/>
      <c r="AR8" s="25" t="n"/>
      <c r="AS8" s="25" t="n"/>
      <c r="AT8" s="25" t="n"/>
      <c r="AU8" s="25" t="n"/>
      <c r="AV8" s="28" t="n"/>
      <c r="AW8" s="25" t="n"/>
      <c r="AX8" s="25" t="n"/>
      <c r="AY8" s="25" t="n"/>
      <c r="AZ8" s="25" t="n"/>
      <c r="BA8" s="28" t="n"/>
      <c r="BB8" s="25" t="n"/>
      <c r="BC8" s="25" t="n"/>
      <c r="BD8" s="25" t="n"/>
      <c r="BE8" s="25" t="n"/>
      <c r="BF8" s="28" t="n"/>
      <c r="BG8" s="25" t="n"/>
      <c r="BH8" s="25" t="n"/>
      <c r="BI8" s="25" t="n"/>
      <c r="BJ8" s="25" t="n"/>
      <c r="BK8" s="28" t="n"/>
      <c r="BL8" s="25" t="n"/>
      <c r="BM8" s="25" t="n"/>
      <c r="BN8" s="25" t="n"/>
      <c r="BO8" s="25" t="n"/>
      <c r="BP8" s="28" t="n"/>
      <c r="BQ8" s="25" t="n"/>
      <c r="BR8" s="25" t="n"/>
      <c r="BS8" s="25" t="n"/>
      <c r="BT8" s="25" t="n"/>
      <c r="BU8" s="28" t="n"/>
      <c r="BV8" s="25" t="n"/>
      <c r="BW8" s="25" t="n"/>
      <c r="BX8" s="25" t="n"/>
      <c r="BY8" s="25" t="n"/>
      <c r="BZ8" s="28" t="n"/>
      <c r="CA8" s="25" t="n"/>
      <c r="CB8" s="25" t="n"/>
      <c r="CC8" s="25" t="n"/>
      <c r="CD8" s="25" t="n"/>
      <c r="CE8" s="28" t="n"/>
      <c r="CF8" s="25" t="n"/>
      <c r="CG8" s="25" t="n"/>
      <c r="CH8" s="25" t="n"/>
      <c r="CI8" s="25" t="n"/>
      <c r="CJ8" s="28" t="n"/>
      <c r="CK8" s="25" t="n"/>
      <c r="CL8" s="25" t="n"/>
      <c r="CM8" s="25" t="n"/>
      <c r="CN8" s="25" t="n"/>
      <c r="CO8" s="28" t="n"/>
      <c r="CP8" s="25" t="n"/>
      <c r="CQ8" s="25" t="n"/>
      <c r="CR8" s="25" t="n"/>
      <c r="CS8" s="25" t="n"/>
      <c r="CT8" s="28" t="n"/>
      <c r="CU8" s="25" t="n"/>
      <c r="CV8" s="25" t="n"/>
      <c r="CW8" s="25" t="n"/>
      <c r="CX8" s="25" t="n"/>
      <c r="CY8" s="28" t="n"/>
    </row>
    <row r="9">
      <c r="B9" s="4" t="n"/>
      <c r="C9" s="4" t="inlineStr">
        <is>
          <t>GDP BRAZIL</t>
        </is>
      </c>
      <c r="D9" s="25" t="n"/>
      <c r="E9" s="25" t="n"/>
      <c r="F9" s="25" t="n"/>
      <c r="G9" s="25" t="n"/>
      <c r="H9" s="29" t="n"/>
      <c r="I9" s="25" t="n"/>
      <c r="J9" s="25" t="n"/>
      <c r="K9" s="25" t="n"/>
      <c r="L9" s="25" t="n"/>
      <c r="M9" s="29" t="n">
        <v>0.046</v>
      </c>
      <c r="N9" s="25" t="n"/>
      <c r="O9" s="25" t="n"/>
      <c r="P9" s="25" t="n"/>
      <c r="Q9" s="25" t="n"/>
      <c r="R9" s="29" t="n"/>
      <c r="S9" s="25" t="n"/>
      <c r="T9" s="25" t="n"/>
      <c r="U9" s="25" t="n"/>
      <c r="V9" s="25" t="n"/>
      <c r="W9" s="29" t="n"/>
      <c r="X9" s="25" t="n"/>
      <c r="Y9" s="25" t="n"/>
      <c r="Z9" s="25" t="n"/>
      <c r="AA9" s="25" t="n"/>
      <c r="AB9" s="29" t="n"/>
      <c r="AC9" s="25" t="n"/>
      <c r="AD9" s="25" t="n"/>
      <c r="AE9" s="25" t="n"/>
      <c r="AF9" s="25" t="n"/>
      <c r="AG9" s="29" t="n"/>
      <c r="AH9" s="25" t="n"/>
      <c r="AI9" s="25" t="n"/>
      <c r="AJ9" s="25" t="n"/>
      <c r="AK9" s="25" t="n"/>
      <c r="AL9" s="28" t="n"/>
      <c r="AM9" s="25" t="n"/>
      <c r="AN9" s="25" t="n"/>
      <c r="AO9" s="25" t="n"/>
      <c r="AP9" s="25" t="n"/>
      <c r="AQ9" s="28" t="n"/>
      <c r="AR9" s="25" t="n"/>
      <c r="AS9" s="25" t="n"/>
      <c r="AT9" s="25" t="n"/>
      <c r="AU9" s="25" t="n"/>
      <c r="AV9" s="28" t="n"/>
      <c r="AW9" s="25" t="n"/>
      <c r="AX9" s="25" t="n"/>
      <c r="AY9" s="25" t="n"/>
      <c r="AZ9" s="25" t="n"/>
      <c r="BA9" s="28" t="n"/>
      <c r="BB9" s="25" t="n"/>
      <c r="BC9" s="25" t="n"/>
      <c r="BD9" s="25" t="n"/>
      <c r="BE9" s="25" t="n"/>
      <c r="BF9" s="28" t="n"/>
      <c r="BG9" s="25" t="n"/>
      <c r="BH9" s="25" t="n"/>
      <c r="BI9" s="25" t="n"/>
      <c r="BJ9" s="25" t="n"/>
      <c r="BK9" s="28" t="n"/>
      <c r="BL9" s="25" t="n"/>
      <c r="BM9" s="25" t="n"/>
      <c r="BN9" s="25" t="n"/>
      <c r="BO9" s="25" t="n"/>
      <c r="BP9" s="28" t="n"/>
      <c r="BQ9" s="25" t="n"/>
      <c r="BR9" s="25" t="n"/>
      <c r="BS9" s="25" t="n"/>
      <c r="BT9" s="25" t="n"/>
      <c r="BU9" s="28" t="n"/>
      <c r="BV9" s="25" t="n"/>
      <c r="BW9" s="25" t="n"/>
      <c r="BX9" s="25" t="n"/>
      <c r="BY9" s="25" t="n"/>
      <c r="BZ9" s="28" t="n"/>
      <c r="CA9" s="25" t="n"/>
      <c r="CB9" s="25" t="n"/>
      <c r="CC9" s="25" t="n"/>
      <c r="CD9" s="25" t="n"/>
      <c r="CE9" s="28" t="n"/>
      <c r="CF9" s="25" t="n"/>
      <c r="CG9" s="25" t="n"/>
      <c r="CH9" s="25" t="n"/>
      <c r="CI9" s="25" t="n"/>
      <c r="CJ9" s="28" t="n"/>
      <c r="CK9" s="25" t="n"/>
      <c r="CL9" s="25" t="n"/>
      <c r="CM9" s="25" t="n"/>
      <c r="CN9" s="25" t="n"/>
      <c r="CO9" s="28" t="n"/>
      <c r="CP9" s="25" t="n"/>
      <c r="CQ9" s="25" t="n"/>
      <c r="CR9" s="25" t="n"/>
      <c r="CS9" s="25" t="n"/>
      <c r="CT9" s="28" t="n"/>
      <c r="CU9" s="25" t="n"/>
      <c r="CV9" s="25" t="n"/>
      <c r="CW9" s="25" t="n"/>
      <c r="CX9" s="25" t="n"/>
      <c r="CY9" s="28" t="n"/>
    </row>
    <row r="10">
      <c r="C10" s="4" t="inlineStr">
        <is>
          <t>CDI</t>
        </is>
      </c>
      <c r="H10" s="29" t="n"/>
      <c r="M10" s="29" t="n">
        <v>0.0442</v>
      </c>
      <c r="R10" s="29" t="n">
        <v>0.1239</v>
      </c>
      <c r="W10" s="29" t="n">
        <v>0.1304</v>
      </c>
      <c r="AB10" s="29" t="n">
        <v>0.1064</v>
      </c>
      <c r="AG10" s="29" t="n">
        <v>0.1464</v>
      </c>
    </row>
    <row r="11"/>
    <row r="12"/>
    <row r="13" customFormat="1" s="32">
      <c r="A13" s="30" t="n"/>
      <c r="B13" s="30" t="n"/>
      <c r="C13" s="31" t="inlineStr">
        <is>
          <t>Income Statement</t>
        </is>
      </c>
      <c r="D13" s="31" t="n"/>
      <c r="E13" s="31" t="n"/>
      <c r="F13" s="31" t="n"/>
      <c r="G13" s="31" t="n"/>
      <c r="H13" s="31" t="n"/>
      <c r="I13" s="31" t="str">
        <f>I7</f>
        <v>1Q21</v>
      </c>
      <c r="J13" s="31" t="str">
        <f>J7</f>
        <v>2Q21</v>
      </c>
      <c r="K13" s="31" t="str">
        <f>K7</f>
        <v>3Q21</v>
      </c>
      <c r="L13" s="31" t="str">
        <f>L7</f>
        <v>4Q21</v>
      </c>
      <c r="M13" s="31">
        <f>M7</f>
        <v>2021</v>
      </c>
      <c r="N13" s="31" t="str">
        <f>N7</f>
        <v>1Q22</v>
      </c>
      <c r="O13" s="31" t="str">
        <f>O7</f>
        <v>2Q22</v>
      </c>
      <c r="P13" s="31" t="str">
        <f>P7</f>
        <v>3Q22</v>
      </c>
      <c r="Q13" s="31" t="str">
        <f>Q7</f>
        <v>4Q22</v>
      </c>
      <c r="R13" s="31">
        <f>R7</f>
        <v>2022</v>
      </c>
      <c r="S13" s="31" t="str">
        <f>S7</f>
        <v>1Q23</v>
      </c>
      <c r="T13" s="31" t="str">
        <f>T7</f>
        <v>2Q23</v>
      </c>
      <c r="U13" s="31" t="str">
        <f>U7</f>
        <v>3Q23</v>
      </c>
      <c r="V13" s="31" t="str">
        <f>V7</f>
        <v>4Q23</v>
      </c>
      <c r="W13" s="31">
        <f>W7</f>
        <v>2023</v>
      </c>
      <c r="X13" s="31" t="str">
        <f>X7</f>
        <v>1Q24</v>
      </c>
      <c r="Y13" s="31" t="str">
        <f>Y7</f>
        <v>2Q24</v>
      </c>
      <c r="Z13" s="31" t="str">
        <f>Z7</f>
        <v>3Q24</v>
      </c>
      <c r="AA13" s="31" t="str">
        <f>AA7</f>
        <v>4Q24</v>
      </c>
      <c r="AB13" s="31">
        <f>AB7</f>
        <v>2024</v>
      </c>
      <c r="AC13" s="31" t="str">
        <f>AC7</f>
        <v>1Q25</v>
      </c>
      <c r="AD13" s="31" t="str">
        <f>AD7</f>
        <v>2Q25</v>
      </c>
      <c r="AE13" s="31" t="str">
        <f>AE7</f>
        <v>3Q25</v>
      </c>
      <c r="AF13" s="31" t="str">
        <f>AF7</f>
        <v>4Q25</v>
      </c>
      <c r="AG13" s="31">
        <f>AG7</f>
        <v>2025</v>
      </c>
      <c r="AH13" s="31" t="str">
        <f>AH7</f>
        <v>1Q26</v>
      </c>
      <c r="AI13" s="31" t="str">
        <f>AI7</f>
        <v>2Q26</v>
      </c>
      <c r="AJ13" s="31" t="str">
        <f>AJ7</f>
        <v>3Q26</v>
      </c>
      <c r="AK13" s="31" t="str">
        <f>AK7</f>
        <v>4Q26</v>
      </c>
      <c r="AL13" s="31">
        <f>AL7</f>
        <v>2026</v>
      </c>
      <c r="AM13" s="31" t="str">
        <f>AM7</f>
        <v>1Q27</v>
      </c>
      <c r="AN13" s="31" t="str">
        <f>AN7</f>
        <v>2Q27</v>
      </c>
      <c r="AO13" s="31" t="str">
        <f>AO7</f>
        <v>3Q27</v>
      </c>
      <c r="AP13" s="31" t="str">
        <f>AP7</f>
        <v>4Q27</v>
      </c>
      <c r="AQ13" s="31">
        <f>AQ7</f>
        <v>2027</v>
      </c>
      <c r="AR13" s="31" t="str">
        <f>AR7</f>
        <v>1Q28</v>
      </c>
      <c r="AS13" s="31" t="str">
        <f>AS7</f>
        <v>2Q28</v>
      </c>
      <c r="AT13" s="31" t="str">
        <f>AT7</f>
        <v>3Q28</v>
      </c>
      <c r="AU13" s="31" t="str">
        <f>AU7</f>
        <v>4Q28</v>
      </c>
      <c r="AV13" s="31">
        <f>AV7</f>
        <v>2028</v>
      </c>
      <c r="AW13" s="31" t="str">
        <f>AW7</f>
        <v>1Q29</v>
      </c>
      <c r="AX13" s="31" t="str">
        <f>AX7</f>
        <v>2Q29</v>
      </c>
      <c r="AY13" s="31" t="str">
        <f>AY7</f>
        <v>3Q29</v>
      </c>
      <c r="AZ13" s="31" t="str">
        <f>AZ7</f>
        <v>4Q29</v>
      </c>
      <c r="BA13" s="31">
        <f>BA7</f>
        <v>2029</v>
      </c>
      <c r="BB13" s="31" t="str">
        <f>BB7</f>
        <v>1Q30</v>
      </c>
      <c r="BC13" s="31" t="str">
        <f>BC7</f>
        <v>2Q30</v>
      </c>
      <c r="BD13" s="31" t="str">
        <f>BD7</f>
        <v>3Q30</v>
      </c>
      <c r="BE13" s="31" t="str">
        <f>BE7</f>
        <v>4Q30</v>
      </c>
      <c r="BF13" s="31">
        <f>BF7</f>
        <v>2030</v>
      </c>
      <c r="BG13" s="31" t="n"/>
      <c r="BH13" s="31" t="n"/>
      <c r="BI13" s="31" t="n"/>
      <c r="BJ13" s="31" t="n"/>
      <c r="BK13" s="31" t="n"/>
      <c r="BL13" s="31" t="n"/>
      <c r="BM13" s="31" t="n"/>
      <c r="BN13" s="31" t="n"/>
      <c r="BO13" s="31" t="n"/>
      <c r="BP13" s="31" t="n"/>
      <c r="BQ13" s="31" t="n"/>
      <c r="BR13" s="31" t="n"/>
      <c r="BS13" s="31" t="n"/>
      <c r="BT13" s="31" t="n"/>
      <c r="BU13" s="31" t="n"/>
      <c r="BV13" s="31" t="n"/>
      <c r="BW13" s="31" t="n"/>
      <c r="BX13" s="31" t="n"/>
      <c r="BY13" s="31" t="n"/>
      <c r="BZ13" s="31" t="n"/>
      <c r="CA13" s="31" t="n"/>
      <c r="CB13" s="31" t="n"/>
      <c r="CC13" s="31" t="n"/>
      <c r="CD13" s="31" t="n"/>
      <c r="CE13" s="31" t="n"/>
      <c r="CF13" s="31" t="n"/>
      <c r="CG13" s="31" t="n"/>
      <c r="CH13" s="31" t="n"/>
      <c r="CI13" s="31" t="n"/>
      <c r="CJ13" s="31" t="n"/>
      <c r="CK13" s="31" t="n"/>
      <c r="CL13" s="31" t="n"/>
      <c r="CM13" s="31" t="n"/>
      <c r="CN13" s="31" t="n"/>
      <c r="CO13" s="31" t="n"/>
      <c r="CP13" s="31" t="n"/>
      <c r="CQ13" s="31" t="n"/>
      <c r="CR13" s="31" t="n"/>
      <c r="CS13" s="31" t="n"/>
      <c r="CT13" s="31" t="n"/>
      <c r="CU13" s="31" t="n"/>
      <c r="CV13" s="31" t="n"/>
      <c r="CW13" s="31" t="n"/>
      <c r="CX13" s="31" t="n"/>
      <c r="CY13" s="31" t="n"/>
    </row>
    <row r="14">
      <c r="C14" s="17" t="n"/>
    </row>
    <row r="15" customFormat="1" s="32">
      <c r="A15" s="30" t="n"/>
      <c r="B15" s="3" t="n"/>
      <c r="C15" s="33" t="inlineStr">
        <is>
          <t>Net Revenues</t>
        </is>
      </c>
      <c r="D15" s="34" t="n"/>
      <c r="E15" s="34" t="n"/>
      <c r="F15" s="34" t="n"/>
      <c r="G15" s="34" t="n"/>
      <c r="H15" s="35" t="n"/>
      <c r="I15" s="34">
        <f>'Inputs (2)'!D4</f>
        <v>5559</v>
      </c>
      <c r="J15" s="34">
        <f>'Inputs (2)'!E4</f>
        <v>4153</v>
      </c>
      <c r="K15" s="34">
        <f>'Inputs (2)'!F4</f>
        <v>4406</v>
      </c>
      <c r="L15" s="34">
        <f>'Inputs (2)'!G4</f>
        <v>5532</v>
      </c>
      <c r="M15" s="35">
        <f>'Inputs (2)'!H4</f>
        <v>19650</v>
      </c>
      <c r="N15" s="34">
        <f>'Inputs (2)'!I4</f>
        <v>5591</v>
      </c>
      <c r="O15" s="34">
        <f>'Inputs (2)'!J4</f>
        <v>5465</v>
      </c>
      <c r="P15" s="34">
        <f>'Inputs (2)'!K4</f>
        <v>6051</v>
      </c>
      <c r="Q15" s="34">
        <f>'Inputs (2)'!L4</f>
        <v>7333</v>
      </c>
      <c r="R15" s="35">
        <f>'Inputs (2)'!M4</f>
        <v>24440</v>
      </c>
      <c r="S15" s="34">
        <f>'Inputs (2)'!N4</f>
        <v>7565</v>
      </c>
      <c r="T15" s="34">
        <f>'Inputs (2)'!O4</f>
        <v>5446</v>
      </c>
      <c r="U15" s="34">
        <f>'Inputs (2)'!P4</f>
        <v>6111</v>
      </c>
      <c r="V15" s="34">
        <f>'Inputs (2)'!Q4</f>
        <v>5796</v>
      </c>
      <c r="W15" s="35">
        <f>'Inputs (2)'!R4</f>
        <v>24918</v>
      </c>
      <c r="X15" s="34">
        <f>'Inputs (2)'!S4</f>
        <v>6161</v>
      </c>
      <c r="Y15" s="34">
        <f>'Inputs (2)'!T4</f>
        <v>5475</v>
      </c>
      <c r="Z15" s="34">
        <f>'Inputs (2)'!U4</f>
        <v>6550</v>
      </c>
      <c r="AA15" s="34">
        <f>'Inputs (2)'!V4</f>
        <v>5382</v>
      </c>
      <c r="AB15" s="35">
        <f>'Inputs (2)'!W4</f>
        <v>23568</v>
      </c>
      <c r="AC15" s="34">
        <f>'Inputs (2)'!X4</f>
        <v>6788</v>
      </c>
      <c r="AD15" s="34">
        <f>'Inputs (2)'!Y4</f>
        <v>6101</v>
      </c>
      <c r="AE15" s="34">
        <f>'Inputs (2)'!Z4</f>
        <v>6570</v>
      </c>
      <c r="AF15" s="34">
        <f>'Inputs (2)'!AA4</f>
        <v>6074</v>
      </c>
      <c r="AG15" s="35">
        <f>'Inputs (2)'!AB4</f>
        <v>25533</v>
      </c>
      <c r="AH15" s="35">
        <f>'Inputs (2)'!AC4</f>
        <v>11122</v>
      </c>
      <c r="AI15" s="35">
        <f>'Inputs (2)'!AD4</f>
        <v>7504</v>
      </c>
      <c r="AJ15" s="35">
        <f>AE15*(1+AJ16)</f>
        <v>7901.71626397957</v>
      </c>
      <c r="AK15" s="35">
        <f>AF15*(1+AK16)</f>
        <v>7305.178780428</v>
      </c>
      <c r="AL15" s="35">
        <f>SUM(AH15:AK15)</f>
        <v>33832.8950444076</v>
      </c>
      <c r="AM15" s="35">
        <f>AH15*(1+AM16)</f>
        <v>13376.3909114126</v>
      </c>
      <c r="AN15" s="35">
        <f>AI15*(1+AN16)</f>
        <v>9025.03483179646</v>
      </c>
      <c r="AO15" s="35">
        <f>AJ15*(1+AO16)</f>
        <v>9503.36680615515</v>
      </c>
      <c r="AP15" s="35">
        <f>AK15*(1+AP16)</f>
        <v>8785.91323905424</v>
      </c>
      <c r="AQ15" s="35">
        <f>SUM(AM15:AP15)</f>
        <v>40690.7057884185</v>
      </c>
      <c r="AR15" s="35">
        <f>AM15*(1+AR16)</f>
        <v>16020.857104508</v>
      </c>
      <c r="AS15" s="35">
        <f>AN15*(1+AS16)</f>
        <v>10809.2529861741</v>
      </c>
      <c r="AT15" s="35">
        <f>AO15*(1+AT16)</f>
        <v>11382.1495365567</v>
      </c>
      <c r="AU15" s="35">
        <f>AP15*(1+AU16)</f>
        <v>10522.8578820465</v>
      </c>
      <c r="AV15" s="35">
        <f>SUM(AR15:AU15)</f>
        <v>48735.1175092853</v>
      </c>
      <c r="AW15" s="35">
        <f>AR15*(1+AW16)</f>
        <v>19108.0208270651</v>
      </c>
      <c r="AX15" s="35">
        <f>AS15*(1+AX16)</f>
        <v>12892.158630309</v>
      </c>
      <c r="AY15" s="35">
        <f>AT15*(1+AY16)</f>
        <v>13575.4503633951</v>
      </c>
      <c r="AZ15" s="35">
        <f>AU15*(1+AZ16)</f>
        <v>12550.5761807096</v>
      </c>
      <c r="BA15" s="35">
        <f>SUM(AW15:AZ15)</f>
        <v>58126.2060014787</v>
      </c>
      <c r="BB15" s="35">
        <f>AW15*(1+BB16)</f>
        <v>22694.5302114419</v>
      </c>
      <c r="BC15" s="35">
        <f>AX15*(1+BC16)</f>
        <v>15311.9721908524</v>
      </c>
      <c r="BD15" s="35">
        <f>AY15*(1+BD16)</f>
        <v>16123.5154176521</v>
      </c>
      <c r="BE15" s="35">
        <f>AZ15*(1+BE16)</f>
        <v>14906.2758975371</v>
      </c>
      <c r="BF15" s="35">
        <f>SUM(BB15:BE15)</f>
        <v>69036.2937174834</v>
      </c>
      <c r="BG15" s="35" t="n"/>
      <c r="BH15" s="35" t="n"/>
      <c r="BI15" s="35" t="n"/>
      <c r="BJ15" s="35" t="n"/>
      <c r="BK15" s="35" t="n"/>
      <c r="BL15" s="35" t="n"/>
      <c r="BM15" s="35" t="n"/>
      <c r="BN15" s="35" t="n"/>
      <c r="BO15" s="35" t="n"/>
      <c r="BP15" s="35" t="n"/>
      <c r="BQ15" s="35" t="n"/>
      <c r="BR15" s="35" t="n"/>
      <c r="BS15" s="35" t="n"/>
      <c r="BT15" s="35" t="n"/>
      <c r="BU15" s="35" t="n"/>
      <c r="BV15" s="35" t="n"/>
      <c r="BW15" s="35" t="n"/>
      <c r="BX15" s="35" t="n"/>
      <c r="BY15" s="35" t="n"/>
      <c r="BZ15" s="35" t="n"/>
      <c r="CA15" s="35" t="n"/>
      <c r="CB15" s="35" t="n"/>
      <c r="CC15" s="35" t="n"/>
      <c r="CD15" s="35" t="n"/>
      <c r="CE15" s="35" t="n"/>
      <c r="CF15" s="35" t="n"/>
      <c r="CG15" s="35" t="n"/>
      <c r="CH15" s="35" t="n"/>
      <c r="CI15" s="35" t="n"/>
      <c r="CJ15" s="35" t="n"/>
      <c r="CK15" s="35" t="n"/>
      <c r="CL15" s="35" t="n"/>
      <c r="CM15" s="35" t="n"/>
      <c r="CN15" s="35" t="n"/>
      <c r="CO15" s="35" t="n"/>
      <c r="CP15" s="35" t="n"/>
      <c r="CQ15" s="35" t="n"/>
      <c r="CR15" s="35" t="n"/>
      <c r="CS15" s="35" t="n"/>
      <c r="CT15" s="35" t="n"/>
      <c r="CU15" s="35" t="n"/>
      <c r="CV15" s="35" t="n"/>
      <c r="CW15" s="35" t="n"/>
      <c r="CX15" s="35" t="n"/>
      <c r="CY15" s="35" t="n"/>
    </row>
    <row r="16" hidden="1" outlineLevel="1" customFormat="1" s="43">
      <c r="A16" s="36" t="n"/>
      <c r="B16" s="37" t="n"/>
      <c r="C16" s="38" t="inlineStr">
        <is>
          <t>% YoY</t>
        </is>
      </c>
      <c r="D16" s="39" t="n"/>
      <c r="E16" s="40" t="n"/>
      <c r="F16" s="40" t="n"/>
      <c r="G16" s="40" t="n"/>
      <c r="H16" s="39" t="n"/>
      <c r="I16" s="39" t="n"/>
      <c r="J16" s="40" t="n"/>
      <c r="K16" s="40" t="n"/>
      <c r="L16" s="40" t="n"/>
      <c r="M16" s="39" t="n"/>
      <c r="N16" s="40">
        <f>IFERROR(N15/I15-1,"")</f>
        <v>0.00575643101277201</v>
      </c>
      <c r="O16" s="40">
        <f>IFERROR(O15/J15-1,"")</f>
        <v>0.315916205152901</v>
      </c>
      <c r="P16" s="40">
        <f>IFERROR(P15/K15-1,"")</f>
        <v>0.373354516568316</v>
      </c>
      <c r="Q16" s="40">
        <f>IFERROR(Q15/L15-1,"")</f>
        <v>0.325560375994215</v>
      </c>
      <c r="R16" s="40">
        <f>IFERROR(R15/M15-1,"")</f>
        <v>0.243765903307888</v>
      </c>
      <c r="S16" s="40">
        <f>IFERROR(S15/N15-1,"")</f>
        <v>0.35306742979789</v>
      </c>
      <c r="T16" s="40">
        <f>IFERROR(T15/O15-1,"")</f>
        <v>-0.00347666971637695</v>
      </c>
      <c r="U16" s="40">
        <f>IFERROR(U15/P15-1,"")</f>
        <v>0.00991571641051059</v>
      </c>
      <c r="V16" s="40">
        <f>IFERROR(V15/Q15-1,"")</f>
        <v>-0.209600436383472</v>
      </c>
      <c r="W16" s="40">
        <f>IFERROR(W15/R15-1,"")</f>
        <v>0.0195581014729951</v>
      </c>
      <c r="X16" s="40">
        <f>IFERROR(X15/S15-1,"")</f>
        <v>-0.185591539986781</v>
      </c>
      <c r="Y16" s="40">
        <f>IFERROR(Y15/T15-1,"")</f>
        <v>0.00532500918105039</v>
      </c>
      <c r="Z16" s="40">
        <f>IFERROR(Z15/U15-1,"")</f>
        <v>0.0718376697758141</v>
      </c>
      <c r="AA16" s="40">
        <f>IFERROR(AA15/V15-1,"")</f>
        <v>-0.0714285714285714</v>
      </c>
      <c r="AB16" s="40">
        <f>IFERROR(AB15/W15-1,"")</f>
        <v>-0.0541777028653985</v>
      </c>
      <c r="AC16" s="40">
        <f>IFERROR(AC15/X15-1,"")</f>
        <v>0.101769193312774</v>
      </c>
      <c r="AD16" s="40">
        <f>IFERROR(AD15/Y15-1,"")</f>
        <v>0.114337899543379</v>
      </c>
      <c r="AE16" s="40">
        <f>IFERROR(AE15/Z15-1,"")</f>
        <v>0.00305343511450373</v>
      </c>
      <c r="AF16" s="41">
        <f>IFERROR(AF15/AA15-1,"")</f>
        <v>0.128576737272389</v>
      </c>
      <c r="AG16" s="40">
        <f>IFERROR(AG15/AB15-1,"")</f>
        <v>0.0833757637474542</v>
      </c>
      <c r="AH16" s="41">
        <f>IFERROR(AH15/AC15-1,"")</f>
        <v>0.638479670005893</v>
      </c>
      <c r="AI16" s="41">
        <f>IFERROR(AI15/AD15-1,"")</f>
        <v>0.229962301262088</v>
      </c>
      <c r="AJ16" s="41">
        <f>Control!$B$18</f>
        <v>0.202696539418505</v>
      </c>
      <c r="AK16" s="41">
        <f>Control!$B$18</f>
        <v>0.202696539418505</v>
      </c>
      <c r="AL16" s="42">
        <f>IFERROR(AL15/AG15-1,"")</f>
        <v>0.32506540729282</v>
      </c>
      <c r="AM16" s="41">
        <f>Control!$C$18</f>
        <v>0.202696539418505</v>
      </c>
      <c r="AN16" s="41">
        <f>Control!$C$18</f>
        <v>0.202696539418505</v>
      </c>
      <c r="AO16" s="41">
        <f>Control!$C$18</f>
        <v>0.202696539418505</v>
      </c>
      <c r="AP16" s="41">
        <f>Control!$C$18</f>
        <v>0.202696539418505</v>
      </c>
      <c r="AQ16" s="42">
        <f>IFERROR(AQ15/AL15-1,"")</f>
        <v>0.202696539418505</v>
      </c>
      <c r="AR16" s="41">
        <f>Control!$D$18</f>
        <v>0.197696539418505</v>
      </c>
      <c r="AS16" s="41">
        <f>Control!$D$18</f>
        <v>0.197696539418505</v>
      </c>
      <c r="AT16" s="41">
        <f>Control!$D$18</f>
        <v>0.197696539418505</v>
      </c>
      <c r="AU16" s="41">
        <f>Control!$D$18</f>
        <v>0.197696539418505</v>
      </c>
      <c r="AV16" s="42">
        <f>IFERROR(AV15/AQ15-1,"")</f>
        <v>0.197696539418504</v>
      </c>
      <c r="AW16" s="41">
        <f>Control!$E$18</f>
        <v>0.192696539418505</v>
      </c>
      <c r="AX16" s="41">
        <f>Control!$E$18</f>
        <v>0.192696539418505</v>
      </c>
      <c r="AY16" s="41">
        <f>Control!$E$18</f>
        <v>0.192696539418505</v>
      </c>
      <c r="AZ16" s="41">
        <f>Control!$E$18</f>
        <v>0.192696539418505</v>
      </c>
      <c r="BA16" s="42">
        <f>IFERROR(BA15/AV15-1,"")</f>
        <v>0.192696539418505</v>
      </c>
      <c r="BB16" s="41">
        <f>Control!$F$18</f>
        <v>0.187696539418505</v>
      </c>
      <c r="BC16" s="41">
        <f>Control!$F$18</f>
        <v>0.187696539418505</v>
      </c>
      <c r="BD16" s="41">
        <f>Control!$F$18</f>
        <v>0.187696539418505</v>
      </c>
      <c r="BE16" s="41">
        <f>Control!$F$18</f>
        <v>0.187696539418505</v>
      </c>
      <c r="BF16" s="42">
        <f>IFERROR(BF15/BA15-1,"")</f>
        <v>0.187696539418504</v>
      </c>
      <c r="BG16" s="41" t="n"/>
      <c r="BH16" s="41" t="n"/>
      <c r="BI16" s="41" t="n"/>
      <c r="BJ16" s="41" t="n"/>
      <c r="BK16" s="42" t="n"/>
      <c r="BL16" s="41" t="n"/>
      <c r="BM16" s="41" t="n"/>
      <c r="BN16" s="41" t="n"/>
      <c r="BO16" s="41" t="n"/>
      <c r="BP16" s="42" t="n"/>
      <c r="BQ16" s="41" t="n"/>
      <c r="BR16" s="41" t="n"/>
      <c r="BS16" s="41" t="n"/>
      <c r="BT16" s="41" t="n"/>
      <c r="BU16" s="42" t="n"/>
      <c r="BV16" s="41" t="n"/>
      <c r="BW16" s="41" t="n"/>
      <c r="BX16" s="41" t="n"/>
      <c r="BY16" s="41" t="n"/>
      <c r="BZ16" s="42" t="n"/>
      <c r="CA16" s="41" t="n"/>
      <c r="CB16" s="41" t="n"/>
      <c r="CC16" s="41" t="n"/>
      <c r="CD16" s="41" t="n"/>
      <c r="CE16" s="42" t="n"/>
      <c r="CF16" s="41" t="n"/>
      <c r="CG16" s="41" t="n"/>
      <c r="CH16" s="41" t="n"/>
      <c r="CI16" s="41" t="n"/>
      <c r="CJ16" s="42" t="n"/>
      <c r="CK16" s="41" t="n"/>
      <c r="CL16" s="41" t="n"/>
      <c r="CM16" s="41" t="n"/>
      <c r="CN16" s="41" t="n"/>
      <c r="CO16" s="42" t="n"/>
      <c r="CP16" s="41" t="n"/>
      <c r="CQ16" s="41" t="n"/>
      <c r="CR16" s="41" t="n"/>
      <c r="CS16" s="41" t="n"/>
      <c r="CT16" s="42" t="n"/>
      <c r="CU16" s="41" t="n"/>
      <c r="CV16" s="41" t="n"/>
      <c r="CW16" s="41" t="n"/>
      <c r="CX16" s="41" t="n"/>
      <c r="CY16" s="42" t="n"/>
    </row>
    <row r="17" hidden="1" outlineLevel="1" customFormat="1" s="43">
      <c r="A17" s="36" t="n"/>
      <c r="B17" s="37" t="n"/>
      <c r="C17" s="44" t="inlineStr">
        <is>
          <t>Check Receita</t>
        </is>
      </c>
      <c r="D17" s="39" t="n"/>
      <c r="E17" s="40" t="n"/>
      <c r="F17" s="40" t="n"/>
      <c r="G17" s="40" t="n"/>
      <c r="H17" s="39" t="n"/>
      <c r="I17" s="39" t="n"/>
      <c r="J17" s="40" t="n"/>
      <c r="K17" s="40" t="n"/>
      <c r="L17" s="40" t="n"/>
      <c r="M17" s="39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40" t="n"/>
      <c r="AE17" s="40" t="n"/>
      <c r="AF17" s="40" t="n"/>
      <c r="AG17" s="40" t="n"/>
      <c r="AH17" s="41" t="n"/>
      <c r="AI17" s="41" t="n"/>
      <c r="AJ17" s="41" t="n"/>
      <c r="AK17" s="41" t="n"/>
      <c r="AL17" s="42" t="n"/>
      <c r="AM17" s="41" t="n"/>
      <c r="AN17" s="41" t="n"/>
      <c r="AO17" s="41" t="n"/>
      <c r="AP17" s="41" t="n"/>
      <c r="AQ17" s="42" t="n"/>
      <c r="AR17" s="41" t="n"/>
      <c r="AS17" s="41" t="n"/>
      <c r="AT17" s="41" t="n"/>
      <c r="AU17" s="41" t="n"/>
      <c r="AV17" s="42" t="n"/>
      <c r="AW17" s="41" t="n"/>
      <c r="AX17" s="41" t="n"/>
      <c r="AY17" s="41" t="n"/>
      <c r="AZ17" s="41" t="n"/>
      <c r="BA17" s="42" t="n"/>
      <c r="BB17" s="41" t="n"/>
      <c r="BC17" s="41" t="n"/>
      <c r="BD17" s="41" t="n"/>
      <c r="BE17" s="41" t="n"/>
      <c r="BF17" s="42" t="n"/>
      <c r="BG17" s="41" t="n"/>
      <c r="BH17" s="41" t="n"/>
      <c r="BI17" s="41" t="n"/>
      <c r="BJ17" s="41" t="n"/>
      <c r="BK17" s="42" t="n"/>
      <c r="BL17" s="41" t="n"/>
      <c r="BM17" s="41" t="n"/>
      <c r="BN17" s="41" t="n"/>
      <c r="BO17" s="41" t="n"/>
      <c r="BP17" s="42" t="n"/>
      <c r="BQ17" s="41" t="n"/>
      <c r="BR17" s="41" t="n"/>
      <c r="BS17" s="41" t="n"/>
      <c r="BT17" s="41" t="n"/>
      <c r="BU17" s="42" t="n"/>
      <c r="BV17" s="41" t="n"/>
      <c r="BW17" s="41" t="n"/>
      <c r="BX17" s="41" t="n"/>
      <c r="BY17" s="41" t="n"/>
      <c r="BZ17" s="42" t="n"/>
      <c r="CA17" s="41" t="n"/>
      <c r="CB17" s="41" t="n"/>
      <c r="CC17" s="41" t="n"/>
      <c r="CD17" s="41" t="n"/>
      <c r="CE17" s="42" t="n"/>
      <c r="CF17" s="41" t="n"/>
      <c r="CG17" s="41" t="n"/>
      <c r="CH17" s="41" t="n"/>
      <c r="CI17" s="41" t="n"/>
      <c r="CJ17" s="42" t="n"/>
      <c r="CK17" s="41" t="n"/>
      <c r="CL17" s="41" t="n"/>
      <c r="CM17" s="41" t="n"/>
      <c r="CN17" s="41" t="n"/>
      <c r="CO17" s="42" t="n"/>
      <c r="CP17" s="41" t="n"/>
      <c r="CQ17" s="41" t="n"/>
      <c r="CR17" s="41" t="n"/>
      <c r="CS17" s="41" t="n"/>
      <c r="CT17" s="42" t="n"/>
      <c r="CU17" s="41" t="n"/>
      <c r="CV17" s="41" t="n"/>
      <c r="CW17" s="41" t="n"/>
      <c r="CX17" s="41" t="n"/>
      <c r="CY17" s="42" t="n"/>
    </row>
    <row r="18">
      <c r="C18" s="267" t="inlineStr">
        <is>
          <t>Segmentos - receita (USD milhões)</t>
        </is>
      </c>
      <c r="D18" s="267">
        <f>D7</f>
        <v>0</v>
      </c>
      <c r="E18" s="267">
        <f>E7</f>
        <v>0</v>
      </c>
      <c r="F18" s="267">
        <f>F7</f>
        <v>0</v>
      </c>
      <c r="G18" s="267">
        <f>G7</f>
        <v>0</v>
      </c>
      <c r="H18" s="267">
        <f>H7</f>
        <v>2020</v>
      </c>
      <c r="I18" s="267" t="str">
        <f>I7</f>
        <v>1Q21</v>
      </c>
      <c r="J18" s="267" t="str">
        <f>J7</f>
        <v>2Q21</v>
      </c>
      <c r="K18" s="267" t="str">
        <f>K7</f>
        <v>3Q21</v>
      </c>
      <c r="L18" s="267" t="str">
        <f>L7</f>
        <v>4Q21</v>
      </c>
      <c r="M18" s="267">
        <f>M7</f>
        <v>2021</v>
      </c>
      <c r="N18" s="267" t="str">
        <f>N7</f>
        <v>1Q22</v>
      </c>
      <c r="O18" s="267" t="str">
        <f>O7</f>
        <v>2Q22</v>
      </c>
      <c r="P18" s="267" t="str">
        <f>P7</f>
        <v>3Q22</v>
      </c>
      <c r="Q18" s="267" t="str">
        <f>Q7</f>
        <v>4Q22</v>
      </c>
      <c r="R18" s="267">
        <f>R7</f>
        <v>2022</v>
      </c>
      <c r="S18" s="267" t="str">
        <f>S7</f>
        <v>1Q23</v>
      </c>
      <c r="T18" s="267" t="str">
        <f>T7</f>
        <v>2Q23</v>
      </c>
      <c r="U18" s="267" t="str">
        <f>U7</f>
        <v>3Q23</v>
      </c>
      <c r="V18" s="267" t="str">
        <f>V7</f>
        <v>4Q23</v>
      </c>
      <c r="W18" s="267">
        <f>W7</f>
        <v>2023</v>
      </c>
      <c r="X18" s="267" t="str">
        <f>X7</f>
        <v>1Q24</v>
      </c>
      <c r="Y18" s="267" t="str">
        <f>Y7</f>
        <v>2Q24</v>
      </c>
      <c r="Z18" s="267" t="str">
        <f>Z7</f>
        <v>3Q24</v>
      </c>
      <c r="AA18" s="267" t="str">
        <f>AA7</f>
        <v>4Q24</v>
      </c>
      <c r="AB18" s="267">
        <f>AB7</f>
        <v>2024</v>
      </c>
      <c r="AC18" s="267" t="str">
        <f>AC7</f>
        <v>1Q25</v>
      </c>
      <c r="AD18" s="267" t="str">
        <f>AD7</f>
        <v>2Q25</v>
      </c>
      <c r="AE18" s="267" t="str">
        <f>AE7</f>
        <v>3Q25</v>
      </c>
      <c r="AF18" s="267" t="str">
        <f>AF7</f>
        <v>4Q25</v>
      </c>
      <c r="AG18" s="267">
        <f>AG7</f>
        <v>2025</v>
      </c>
      <c r="AH18" s="267" t="str">
        <f>AH7</f>
        <v>1Q26</v>
      </c>
      <c r="AI18" s="267" t="str">
        <f>AI7</f>
        <v>2Q26</v>
      </c>
    </row>
    <row r="19">
      <c r="C19" s="268" t="inlineStr">
        <is>
          <t xml:space="preserve">   Mid-Atlantic</t>
        </is>
      </c>
      <c r="D19" s="269" t="str">
        <f>IFERROR(INDEX('Inputs (2)'!$D$53:$AL$53,MATCH(D$7&amp;"",'Inputs (2)'!$D$2:$AL$2,0)),"")</f>
        <v/>
      </c>
      <c r="E19" s="269" t="str">
        <f>IFERROR(INDEX('Inputs (2)'!$D$53:$AL$53,MATCH(E$7&amp;"",'Inputs (2)'!$D$2:$AL$2,0)),"")</f>
        <v/>
      </c>
      <c r="F19" s="269" t="str">
        <f>IFERROR(INDEX('Inputs (2)'!$D$53:$AL$53,MATCH(F$7&amp;"",'Inputs (2)'!$D$2:$AL$2,0)),"")</f>
        <v/>
      </c>
      <c r="G19" s="269" t="str">
        <f>IFERROR(INDEX('Inputs (2)'!$D$53:$AL$53,MATCH(G$7&amp;"",'Inputs (2)'!$D$2:$AL$2,0)),"")</f>
        <v/>
      </c>
      <c r="H19" s="270" t="str">
        <f>IF(COUNT(D19:G19)=4,SUM(D19:G19),"")</f>
        <v/>
      </c>
      <c r="I19" s="269">
        <f>IFERROR(INDEX('Inputs (2)'!$D$53:$AL$53,MATCH(I$7&amp;"",'Inputs (2)'!$D$2:$AL$2,0)),"")</f>
        <v>1160</v>
      </c>
      <c r="J19" s="269">
        <f>IFERROR(INDEX('Inputs (2)'!$D$53:$AL$53,MATCH(J$7&amp;"",'Inputs (2)'!$D$2:$AL$2,0)),"")</f>
        <v>1086</v>
      </c>
      <c r="K19" s="269">
        <f>IFERROR(INDEX('Inputs (2)'!$D$53:$AL$53,MATCH(K$7&amp;"",'Inputs (2)'!$D$2:$AL$2,0)),"")</f>
        <v>1268</v>
      </c>
      <c r="L19" s="269">
        <f>IFERROR(INDEX('Inputs (2)'!$D$53:$AL$53,MATCH(L$7&amp;"",'Inputs (2)'!$D$2:$AL$2,0)),"")</f>
        <v>1053</v>
      </c>
      <c r="M19" s="270">
        <f>IF(COUNT(I19:L19)=4,SUM(I19:L19),"")</f>
        <v>4567</v>
      </c>
      <c r="N19" s="269">
        <f>IFERROR(INDEX('Inputs (2)'!$D$53:$AL$53,MATCH(N$7&amp;"",'Inputs (2)'!$D$2:$AL$2,0)),"")</f>
        <v>1104</v>
      </c>
      <c r="O19" s="269">
        <f>IFERROR(INDEX('Inputs (2)'!$D$53:$AL$53,MATCH(O$7&amp;"",'Inputs (2)'!$D$2:$AL$2,0)),"")</f>
        <v>1200</v>
      </c>
      <c r="P19" s="269">
        <f>IFERROR(INDEX('Inputs (2)'!$D$53:$AL$53,MATCH(P$7&amp;"",'Inputs (2)'!$D$2:$AL$2,0)),"")</f>
        <v>1658</v>
      </c>
      <c r="Q19" s="269">
        <f>IFERROR(INDEX('Inputs (2)'!$D$53:$AL$53,MATCH(Q$7&amp;"",'Inputs (2)'!$D$2:$AL$2,0)),"")</f>
        <v>1195</v>
      </c>
      <c r="R19" s="270">
        <f>IF(COUNT(N19:Q19)=4,SUM(N19:Q19),"")</f>
        <v>5157</v>
      </c>
      <c r="S19" s="269">
        <f>IFERROR(INDEX('Inputs (2)'!$D$53:$AL$53,MATCH(S$7&amp;"",'Inputs (2)'!$D$2:$AL$2,0)),"")</f>
        <v>1276</v>
      </c>
      <c r="T19" s="269">
        <f>IFERROR(INDEX('Inputs (2)'!$D$53:$AL$53,MATCH(T$7&amp;"",'Inputs (2)'!$D$2:$AL$2,0)),"")</f>
        <v>1208</v>
      </c>
      <c r="U19" s="269">
        <f>IFERROR(INDEX('Inputs (2)'!$D$53:$AL$53,MATCH(U$7&amp;"",'Inputs (2)'!$D$2:$AL$2,0)),"")</f>
        <v>1415</v>
      </c>
      <c r="V19" s="269">
        <f>IFERROR(INDEX('Inputs (2)'!$D$53:$AL$53,MATCH(V$7&amp;"",'Inputs (2)'!$D$2:$AL$2,0)),"")</f>
        <v>1239</v>
      </c>
      <c r="W19" s="270">
        <f>IF(COUNT(S19:V19)=4,SUM(S19:V19),"")</f>
        <v>5138</v>
      </c>
      <c r="X19" s="269">
        <f>IFERROR(INDEX('Inputs (2)'!$D$53:$AL$53,MATCH(X$7&amp;"",'Inputs (2)'!$D$2:$AL$2,0)),"")</f>
        <v>1242</v>
      </c>
      <c r="Y19" s="269">
        <f>IFERROR(INDEX('Inputs (2)'!$D$53:$AL$53,MATCH(Y$7&amp;"",'Inputs (2)'!$D$2:$AL$2,0)),"")</f>
        <v>1304</v>
      </c>
      <c r="Z19" s="269">
        <f>IFERROR(INDEX('Inputs (2)'!$D$53:$AL$53,MATCH(Z$7&amp;"",'Inputs (2)'!$D$2:$AL$2,0)),"")</f>
        <v>1603</v>
      </c>
      <c r="AA19" s="269">
        <f>IFERROR(INDEX('Inputs (2)'!$D$53:$AL$53,MATCH(AA$7&amp;"",'Inputs (2)'!$D$2:$AL$2,0)),"")</f>
        <v>1374</v>
      </c>
      <c r="AB19" s="270">
        <f>IF(COUNT(X19:AA19)=4,SUM(X19:AA19),"")</f>
        <v>5523</v>
      </c>
      <c r="AC19" s="269">
        <f>IFERROR(INDEX('Inputs (2)'!$D$53:$AL$53,MATCH(AC$7&amp;"",'Inputs (2)'!$D$2:$AL$2,0)),"")</f>
        <v>1665</v>
      </c>
      <c r="AD19" s="269">
        <f>IFERROR(INDEX('Inputs (2)'!$D$53:$AL$53,MATCH(AD$7&amp;"",'Inputs (2)'!$D$2:$AL$2,0)),"")</f>
        <v>1448</v>
      </c>
      <c r="AE19" s="269">
        <f>IFERROR(INDEX('Inputs (2)'!$D$53:$AL$53,MATCH(AE$7&amp;"",'Inputs (2)'!$D$2:$AL$2,0)),"")</f>
        <v>1763</v>
      </c>
      <c r="AF19" s="269">
        <f>IFERROR(INDEX('Inputs (2)'!$D$53:$AL$53,MATCH(AF$7&amp;"",'Inputs (2)'!$D$2:$AL$2,0)),"")</f>
        <v>1611</v>
      </c>
      <c r="AG19" s="270">
        <f>IF(COUNT(AC19:AF19)=4,SUM(AC19:AF19),"")</f>
        <v>6487</v>
      </c>
      <c r="AH19" s="270">
        <f>IFERROR(INDEX('Inputs (2)'!$D$53:$AL$53,MATCH(AH$7&amp;"",'Inputs (2)'!$D$2:$AL$2,0)),"")</f>
        <v>1847</v>
      </c>
      <c r="AI19" s="270">
        <f>IFERROR(INDEX('Inputs (2)'!$D$53:$AL$53,MATCH(AI$7&amp;"",'Inputs (2)'!$D$2:$AL$2,0)),"")</f>
        <v>1555</v>
      </c>
    </row>
    <row r="20">
      <c r="C20" s="268" t="inlineStr">
        <is>
          <t xml:space="preserve">   Midwest</t>
        </is>
      </c>
      <c r="D20" s="269" t="str">
        <f>IFERROR(INDEX('Inputs (2)'!$D$54:$AL$54,MATCH(D$7&amp;"",'Inputs (2)'!$D$2:$AL$2,0)),"")</f>
        <v/>
      </c>
      <c r="E20" s="269" t="str">
        <f>IFERROR(INDEX('Inputs (2)'!$D$54:$AL$54,MATCH(E$7&amp;"",'Inputs (2)'!$D$2:$AL$2,0)),"")</f>
        <v/>
      </c>
      <c r="F20" s="269" t="str">
        <f>IFERROR(INDEX('Inputs (2)'!$D$54:$AL$54,MATCH(F$7&amp;"",'Inputs (2)'!$D$2:$AL$2,0)),"")</f>
        <v/>
      </c>
      <c r="G20" s="269" t="str">
        <f>IFERROR(INDEX('Inputs (2)'!$D$54:$AL$54,MATCH(G$7&amp;"",'Inputs (2)'!$D$2:$AL$2,0)),"")</f>
        <v/>
      </c>
      <c r="H20" s="270" t="str">
        <f>IF(COUNT(D20:G20)=4,SUM(D20:G20),"")</f>
        <v/>
      </c>
      <c r="I20" s="269">
        <f>IFERROR(INDEX('Inputs (2)'!$D$54:$AL$54,MATCH(I$7&amp;"",'Inputs (2)'!$D$2:$AL$2,0)),"")</f>
        <v>998</v>
      </c>
      <c r="J20" s="269">
        <f>IFERROR(INDEX('Inputs (2)'!$D$54:$AL$54,MATCH(J$7&amp;"",'Inputs (2)'!$D$2:$AL$2,0)),"")</f>
        <v>962</v>
      </c>
      <c r="K20" s="269">
        <f>IFERROR(INDEX('Inputs (2)'!$D$54:$AL$54,MATCH(K$7&amp;"",'Inputs (2)'!$D$2:$AL$2,0)),"")</f>
        <v>985</v>
      </c>
      <c r="L20" s="269">
        <f>IFERROR(INDEX('Inputs (2)'!$D$54:$AL$54,MATCH(L$7&amp;"",'Inputs (2)'!$D$2:$AL$2,0)),"")</f>
        <v>1116</v>
      </c>
      <c r="M20" s="270">
        <f>IF(COUNT(I20:L20)=4,SUM(I20:L20),"")</f>
        <v>4061</v>
      </c>
      <c r="N20" s="269">
        <f>IFERROR(INDEX('Inputs (2)'!$D$54:$AL$54,MATCH(N$7&amp;"",'Inputs (2)'!$D$2:$AL$2,0)),"")</f>
        <v>1197</v>
      </c>
      <c r="O20" s="269">
        <f>IFERROR(INDEX('Inputs (2)'!$D$54:$AL$54,MATCH(O$7&amp;"",'Inputs (2)'!$D$2:$AL$2,0)),"")</f>
        <v>1102</v>
      </c>
      <c r="P20" s="269">
        <f>IFERROR(INDEX('Inputs (2)'!$D$54:$AL$54,MATCH(P$7&amp;"",'Inputs (2)'!$D$2:$AL$2,0)),"")</f>
        <v>1049</v>
      </c>
      <c r="Q20" s="269">
        <f>IFERROR(INDEX('Inputs (2)'!$D$54:$AL$54,MATCH(Q$7&amp;"",'Inputs (2)'!$D$2:$AL$2,0)),"")</f>
        <v>1309</v>
      </c>
      <c r="R20" s="270">
        <f>IF(COUNT(N20:Q20)=4,SUM(N20:Q20),"")</f>
        <v>4657</v>
      </c>
      <c r="S20" s="269">
        <f>IFERROR(INDEX('Inputs (2)'!$D$54:$AL$54,MATCH(S$7&amp;"",'Inputs (2)'!$D$2:$AL$2,0)),"")</f>
        <v>1030</v>
      </c>
      <c r="T20" s="269">
        <f>IFERROR(INDEX('Inputs (2)'!$D$54:$AL$54,MATCH(T$7&amp;"",'Inputs (2)'!$D$2:$AL$2,0)),"")</f>
        <v>1329</v>
      </c>
      <c r="U20" s="269">
        <f>IFERROR(INDEX('Inputs (2)'!$D$54:$AL$54,MATCH(U$7&amp;"",'Inputs (2)'!$D$2:$AL$2,0)),"")</f>
        <v>1117</v>
      </c>
      <c r="V20" s="269">
        <f>IFERROR(INDEX('Inputs (2)'!$D$54:$AL$54,MATCH(V$7&amp;"",'Inputs (2)'!$D$2:$AL$2,0)),"")</f>
        <v>1182</v>
      </c>
      <c r="W20" s="270">
        <f>IF(COUNT(S20:V20)=4,SUM(S20:V20),"")</f>
        <v>4658</v>
      </c>
      <c r="X20" s="269">
        <f>IFERROR(INDEX('Inputs (2)'!$D$54:$AL$54,MATCH(X$7&amp;"",'Inputs (2)'!$D$2:$AL$2,0)),"")</f>
        <v>1094</v>
      </c>
      <c r="Y20" s="269">
        <f>IFERROR(INDEX('Inputs (2)'!$D$54:$AL$54,MATCH(Y$7&amp;"",'Inputs (2)'!$D$2:$AL$2,0)),"")</f>
        <v>1168</v>
      </c>
      <c r="Z20" s="269">
        <f>IFERROR(INDEX('Inputs (2)'!$D$54:$AL$54,MATCH(Z$7&amp;"",'Inputs (2)'!$D$2:$AL$2,0)),"")</f>
        <v>1275</v>
      </c>
      <c r="AA20" s="269">
        <f>IFERROR(INDEX('Inputs (2)'!$D$54:$AL$54,MATCH(AA$7&amp;"",'Inputs (2)'!$D$2:$AL$2,0)),"")</f>
        <v>1268</v>
      </c>
      <c r="AB20" s="270">
        <f>IF(COUNT(X20:AA20)=4,SUM(X20:AA20),"")</f>
        <v>4805</v>
      </c>
      <c r="AC20" s="269">
        <f>IFERROR(INDEX('Inputs (2)'!$D$54:$AL$54,MATCH(AC$7&amp;"",'Inputs (2)'!$D$2:$AL$2,0)),"")</f>
        <v>1404</v>
      </c>
      <c r="AD20" s="269">
        <f>IFERROR(INDEX('Inputs (2)'!$D$54:$AL$54,MATCH(AD$7&amp;"",'Inputs (2)'!$D$2:$AL$2,0)),"")</f>
        <v>1524</v>
      </c>
      <c r="AE20" s="269">
        <f>IFERROR(INDEX('Inputs (2)'!$D$54:$AL$54,MATCH(AE$7&amp;"",'Inputs (2)'!$D$2:$AL$2,0)),"")</f>
        <v>1390</v>
      </c>
      <c r="AF20" s="269">
        <f>IFERROR(INDEX('Inputs (2)'!$D$54:$AL$54,MATCH(AF$7&amp;"",'Inputs (2)'!$D$2:$AL$2,0)),"")</f>
        <v>1487</v>
      </c>
      <c r="AG20" s="270">
        <f>IF(COUNT(AC20:AF20)=4,SUM(AC20:AF20),"")</f>
        <v>5805</v>
      </c>
      <c r="AH20" s="270">
        <f>IFERROR(INDEX('Inputs (2)'!$D$54:$AL$54,MATCH(AH$7&amp;"",'Inputs (2)'!$D$2:$AL$2,0)),"")</f>
        <v>1732</v>
      </c>
      <c r="AI20" s="270">
        <f>IFERROR(INDEX('Inputs (2)'!$D$54:$AL$54,MATCH(AI$7&amp;"",'Inputs (2)'!$D$2:$AL$2,0)),"")</f>
        <v>1568</v>
      </c>
    </row>
    <row r="21">
      <c r="C21" s="268" t="inlineStr">
        <is>
          <t xml:space="preserve">   New York</t>
        </is>
      </c>
      <c r="D21" s="269" t="str">
        <f>IFERROR(INDEX('Inputs (2)'!$D$55:$AL$55,MATCH(D$7&amp;"",'Inputs (2)'!$D$2:$AL$2,0)),"")</f>
        <v/>
      </c>
      <c r="E21" s="269" t="str">
        <f>IFERROR(INDEX('Inputs (2)'!$D$55:$AL$55,MATCH(E$7&amp;"",'Inputs (2)'!$D$2:$AL$2,0)),"")</f>
        <v/>
      </c>
      <c r="F21" s="269" t="str">
        <f>IFERROR(INDEX('Inputs (2)'!$D$55:$AL$55,MATCH(F$7&amp;"",'Inputs (2)'!$D$2:$AL$2,0)),"")</f>
        <v/>
      </c>
      <c r="G21" s="269" t="str">
        <f>IFERROR(INDEX('Inputs (2)'!$D$55:$AL$55,MATCH(G$7&amp;"",'Inputs (2)'!$D$2:$AL$2,0)),"")</f>
        <v/>
      </c>
      <c r="H21" s="270" t="str">
        <f>IF(COUNT(D21:G21)=4,SUM(D21:G21),"")</f>
        <v/>
      </c>
      <c r="I21" s="269">
        <f>IFERROR(INDEX('Inputs (2)'!$D$55:$AL$55,MATCH(I$7&amp;"",'Inputs (2)'!$D$2:$AL$2,0)),"")</f>
        <v>337</v>
      </c>
      <c r="J21" s="269">
        <f>IFERROR(INDEX('Inputs (2)'!$D$55:$AL$55,MATCH(J$7&amp;"",'Inputs (2)'!$D$2:$AL$2,0)),"")</f>
        <v>381</v>
      </c>
      <c r="K21" s="269">
        <f>IFERROR(INDEX('Inputs (2)'!$D$55:$AL$55,MATCH(K$7&amp;"",'Inputs (2)'!$D$2:$AL$2,0)),"")</f>
        <v>455</v>
      </c>
      <c r="L21" s="269">
        <f>IFERROR(INDEX('Inputs (2)'!$D$55:$AL$55,MATCH(L$7&amp;"",'Inputs (2)'!$D$2:$AL$2,0)),"")</f>
        <v>402</v>
      </c>
      <c r="M21" s="270">
        <f>IF(COUNT(I21:L21)=4,SUM(I21:L21),"")</f>
        <v>1575</v>
      </c>
      <c r="N21" s="269">
        <f>IFERROR(INDEX('Inputs (2)'!$D$55:$AL$55,MATCH(N$7&amp;"",'Inputs (2)'!$D$2:$AL$2,0)),"")</f>
        <v>359</v>
      </c>
      <c r="O21" s="269">
        <f>IFERROR(INDEX('Inputs (2)'!$D$55:$AL$55,MATCH(O$7&amp;"",'Inputs (2)'!$D$2:$AL$2,0)),"")</f>
        <v>393</v>
      </c>
      <c r="P21" s="269">
        <f>IFERROR(INDEX('Inputs (2)'!$D$55:$AL$55,MATCH(P$7&amp;"",'Inputs (2)'!$D$2:$AL$2,0)),"")</f>
        <v>426</v>
      </c>
      <c r="Q21" s="269">
        <f>IFERROR(INDEX('Inputs (2)'!$D$55:$AL$55,MATCH(Q$7&amp;"",'Inputs (2)'!$D$2:$AL$2,0)),"")</f>
        <v>418</v>
      </c>
      <c r="R21" s="270">
        <f>IF(COUNT(N21:Q21)=4,SUM(N21:Q21),"")</f>
        <v>1596</v>
      </c>
      <c r="S21" s="269">
        <f>IFERROR(INDEX('Inputs (2)'!$D$55:$AL$55,MATCH(S$7&amp;"",'Inputs (2)'!$D$2:$AL$2,0)),"")</f>
        <v>501</v>
      </c>
      <c r="T21" s="269">
        <f>IFERROR(INDEX('Inputs (2)'!$D$55:$AL$55,MATCH(T$7&amp;"",'Inputs (2)'!$D$2:$AL$2,0)),"")</f>
        <v>468</v>
      </c>
      <c r="U21" s="269">
        <f>IFERROR(INDEX('Inputs (2)'!$D$55:$AL$55,MATCH(U$7&amp;"",'Inputs (2)'!$D$2:$AL$2,0)),"")</f>
        <v>508</v>
      </c>
      <c r="V21" s="269">
        <f>IFERROR(INDEX('Inputs (2)'!$D$55:$AL$55,MATCH(V$7&amp;"",'Inputs (2)'!$D$2:$AL$2,0)),"")</f>
        <v>544</v>
      </c>
      <c r="W21" s="270">
        <f>IF(COUNT(S21:V21)=4,SUM(S21:V21),"")</f>
        <v>2021</v>
      </c>
      <c r="X21" s="269">
        <f>IFERROR(INDEX('Inputs (2)'!$D$55:$AL$55,MATCH(X$7&amp;"",'Inputs (2)'!$D$2:$AL$2,0)),"")</f>
        <v>513</v>
      </c>
      <c r="Y21" s="269">
        <f>IFERROR(INDEX('Inputs (2)'!$D$55:$AL$55,MATCH(Y$7&amp;"",'Inputs (2)'!$D$2:$AL$2,0)),"")</f>
        <v>514</v>
      </c>
      <c r="Z21" s="269">
        <f>IFERROR(INDEX('Inputs (2)'!$D$55:$AL$55,MATCH(Z$7&amp;"",'Inputs (2)'!$D$2:$AL$2,0)),"")</f>
        <v>507</v>
      </c>
      <c r="AA21" s="269">
        <f>IFERROR(INDEX('Inputs (2)'!$D$55:$AL$55,MATCH(AA$7&amp;"",'Inputs (2)'!$D$2:$AL$2,0)),"")</f>
        <v>516</v>
      </c>
      <c r="AB21" s="270">
        <f>IF(COUNT(X21:AA21)=4,SUM(X21:AA21),"")</f>
        <v>2050</v>
      </c>
      <c r="AC21" s="269">
        <f>IFERROR(INDEX('Inputs (2)'!$D$55:$AL$55,MATCH(AC$7&amp;"",'Inputs (2)'!$D$2:$AL$2,0)),"")</f>
        <v>562</v>
      </c>
      <c r="AD21" s="269">
        <f>IFERROR(INDEX('Inputs (2)'!$D$55:$AL$55,MATCH(AD$7&amp;"",'Inputs (2)'!$D$2:$AL$2,0)),"")</f>
        <v>535</v>
      </c>
      <c r="AE21" s="269">
        <f>IFERROR(INDEX('Inputs (2)'!$D$55:$AL$55,MATCH(AE$7&amp;"",'Inputs (2)'!$D$2:$AL$2,0)),"")</f>
        <v>558</v>
      </c>
      <c r="AF21" s="269">
        <f>IFERROR(INDEX('Inputs (2)'!$D$55:$AL$55,MATCH(AF$7&amp;"",'Inputs (2)'!$D$2:$AL$2,0)),"")</f>
        <v>535</v>
      </c>
      <c r="AG21" s="270">
        <f>IF(COUNT(AC21:AF21)=4,SUM(AC21:AF21),"")</f>
        <v>2190</v>
      </c>
      <c r="AH21" s="270">
        <f>IFERROR(INDEX('Inputs (2)'!$D$55:$AL$55,MATCH(AH$7&amp;"",'Inputs (2)'!$D$2:$AL$2,0)),"")</f>
        <v>569</v>
      </c>
      <c r="AI21" s="270">
        <f>IFERROR(INDEX('Inputs (2)'!$D$55:$AL$55,MATCH(AI$7&amp;"",'Inputs (2)'!$D$2:$AL$2,0)),"")</f>
        <v>564</v>
      </c>
    </row>
    <row r="22">
      <c r="C22" s="268" t="inlineStr">
        <is>
          <t xml:space="preserve">   ERCOT</t>
        </is>
      </c>
      <c r="D22" s="269" t="str">
        <f>IFERROR(INDEX('Inputs (2)'!$D$56:$AL$56,MATCH(D$7&amp;"",'Inputs (2)'!$D$2:$AL$2,0)),"")</f>
        <v/>
      </c>
      <c r="E22" s="269" t="str">
        <f>IFERROR(INDEX('Inputs (2)'!$D$56:$AL$56,MATCH(E$7&amp;"",'Inputs (2)'!$D$2:$AL$2,0)),"")</f>
        <v/>
      </c>
      <c r="F22" s="269" t="str">
        <f>IFERROR(INDEX('Inputs (2)'!$D$56:$AL$56,MATCH(F$7&amp;"",'Inputs (2)'!$D$2:$AL$2,0)),"")</f>
        <v/>
      </c>
      <c r="G22" s="269" t="str">
        <f>IFERROR(INDEX('Inputs (2)'!$D$56:$AL$56,MATCH(G$7&amp;"",'Inputs (2)'!$D$2:$AL$2,0)),"")</f>
        <v/>
      </c>
      <c r="H22" s="270" t="str">
        <f>IF(COUNT(D22:G22)=4,SUM(D22:G22),"")</f>
        <v/>
      </c>
      <c r="I22" s="269">
        <f>IFERROR(INDEX('Inputs (2)'!$D$56:$AL$56,MATCH(I$7&amp;"",'Inputs (2)'!$D$2:$AL$2,0)),"")</f>
        <v>252</v>
      </c>
      <c r="J22" s="269">
        <f>IFERROR(INDEX('Inputs (2)'!$D$56:$AL$56,MATCH(J$7&amp;"",'Inputs (2)'!$D$2:$AL$2,0)),"")</f>
        <v>271</v>
      </c>
      <c r="K22" s="269">
        <f>IFERROR(INDEX('Inputs (2)'!$D$56:$AL$56,MATCH(K$7&amp;"",'Inputs (2)'!$D$2:$AL$2,0)),"")</f>
        <v>356</v>
      </c>
      <c r="L22" s="269">
        <f>IFERROR(INDEX('Inputs (2)'!$D$56:$AL$56,MATCH(L$7&amp;"",'Inputs (2)'!$D$2:$AL$2,0)),"")</f>
        <v>293</v>
      </c>
      <c r="M22" s="270">
        <f>IF(COUNT(I22:L22)=4,SUM(I22:L22),"")</f>
        <v>1172</v>
      </c>
      <c r="N22" s="269">
        <f>IFERROR(INDEX('Inputs (2)'!$D$56:$AL$56,MATCH(N$7&amp;"",'Inputs (2)'!$D$2:$AL$2,0)),"")</f>
        <v>235</v>
      </c>
      <c r="O22" s="269">
        <f>IFERROR(INDEX('Inputs (2)'!$D$56:$AL$56,MATCH(O$7&amp;"",'Inputs (2)'!$D$2:$AL$2,0)),"")</f>
        <v>489</v>
      </c>
      <c r="P22" s="269">
        <f>IFERROR(INDEX('Inputs (2)'!$D$56:$AL$56,MATCH(P$7&amp;"",'Inputs (2)'!$D$2:$AL$2,0)),"")</f>
        <v>496</v>
      </c>
      <c r="Q22" s="269">
        <f>IFERROR(INDEX('Inputs (2)'!$D$56:$AL$56,MATCH(Q$7&amp;"",'Inputs (2)'!$D$2:$AL$2,0)),"")</f>
        <v>336</v>
      </c>
      <c r="R22" s="270">
        <f>IF(COUNT(N22:Q22)=4,SUM(N22:Q22),"")</f>
        <v>1556</v>
      </c>
      <c r="S22" s="269">
        <f>IFERROR(INDEX('Inputs (2)'!$D$56:$AL$56,MATCH(S$7&amp;"",'Inputs (2)'!$D$2:$AL$2,0)),"")</f>
        <v>168</v>
      </c>
      <c r="T22" s="269">
        <f>IFERROR(INDEX('Inputs (2)'!$D$56:$AL$56,MATCH(T$7&amp;"",'Inputs (2)'!$D$2:$AL$2,0)),"")</f>
        <v>327</v>
      </c>
      <c r="U22" s="269">
        <f>IFERROR(INDEX('Inputs (2)'!$D$56:$AL$56,MATCH(U$7&amp;"",'Inputs (2)'!$D$2:$AL$2,0)),"")</f>
        <v>558</v>
      </c>
      <c r="V22" s="269">
        <f>IFERROR(INDEX('Inputs (2)'!$D$56:$AL$56,MATCH(V$7&amp;"",'Inputs (2)'!$D$2:$AL$2,0)),"")</f>
        <v>294</v>
      </c>
      <c r="W22" s="270">
        <f>IF(COUNT(S22:V22)=4,SUM(S22:V22),"")</f>
        <v>1347</v>
      </c>
      <c r="X22" s="269">
        <f>IFERROR(INDEX('Inputs (2)'!$D$56:$AL$56,MATCH(X$7&amp;"",'Inputs (2)'!$D$2:$AL$2,0)),"")</f>
        <v>321</v>
      </c>
      <c r="Y22" s="269">
        <f>IFERROR(INDEX('Inputs (2)'!$D$56:$AL$56,MATCH(Y$7&amp;"",'Inputs (2)'!$D$2:$AL$2,0)),"")</f>
        <v>357</v>
      </c>
      <c r="Z22" s="269">
        <f>IFERROR(INDEX('Inputs (2)'!$D$56:$AL$56,MATCH(Z$7&amp;"",'Inputs (2)'!$D$2:$AL$2,0)),"")</f>
        <v>523</v>
      </c>
      <c r="AA22" s="269">
        <f>IFERROR(INDEX('Inputs (2)'!$D$56:$AL$56,MATCH(AA$7&amp;"",'Inputs (2)'!$D$2:$AL$2,0)),"")</f>
        <v>349</v>
      </c>
      <c r="AB22" s="270">
        <f>IF(COUNT(X22:AA22)=4,SUM(X22:AA22),"")</f>
        <v>1550</v>
      </c>
      <c r="AC22" s="269">
        <f>IFERROR(INDEX('Inputs (2)'!$D$56:$AL$56,MATCH(AC$7&amp;"",'Inputs (2)'!$D$2:$AL$2,0)),"")</f>
        <v>398</v>
      </c>
      <c r="AD22" s="269">
        <f>IFERROR(INDEX('Inputs (2)'!$D$56:$AL$56,MATCH(AD$7&amp;"",'Inputs (2)'!$D$2:$AL$2,0)),"")</f>
        <v>464</v>
      </c>
      <c r="AE22" s="269">
        <f>IFERROR(INDEX('Inputs (2)'!$D$56:$AL$56,MATCH(AE$7&amp;"",'Inputs (2)'!$D$2:$AL$2,0)),"")</f>
        <v>628</v>
      </c>
      <c r="AF22" s="269">
        <f>IFERROR(INDEX('Inputs (2)'!$D$56:$AL$56,MATCH(AF$7&amp;"",'Inputs (2)'!$D$2:$AL$2,0)),"")</f>
        <v>415</v>
      </c>
      <c r="AG22" s="270">
        <f>IF(COUNT(AC22:AF22)=4,SUM(AC22:AF22),"")</f>
        <v>1905</v>
      </c>
      <c r="AH22" s="270">
        <f>IFERROR(INDEX('Inputs (2)'!$D$56:$AL$56,MATCH(AH$7&amp;"",'Inputs (2)'!$D$2:$AL$2,0)),"")</f>
        <v>370</v>
      </c>
      <c r="AI22" s="270">
        <f>IFERROR(INDEX('Inputs (2)'!$D$56:$AL$56,MATCH(AI$7&amp;"",'Inputs (2)'!$D$2:$AL$2,0)),"")</f>
        <v>446</v>
      </c>
    </row>
    <row r="23">
      <c r="C23" s="268" t="inlineStr">
        <is>
          <t xml:space="preserve">   Outras regiões</t>
        </is>
      </c>
      <c r="D23" s="269" t="str">
        <f>IFERROR(INDEX('Inputs (2)'!$D$57:$AL$57,MATCH(D$7&amp;"",'Inputs (2)'!$D$2:$AL$2,0)),"")</f>
        <v/>
      </c>
      <c r="E23" s="269" t="str">
        <f>IFERROR(INDEX('Inputs (2)'!$D$57:$AL$57,MATCH(E$7&amp;"",'Inputs (2)'!$D$2:$AL$2,0)),"")</f>
        <v/>
      </c>
      <c r="F23" s="269" t="str">
        <f>IFERROR(INDEX('Inputs (2)'!$D$57:$AL$57,MATCH(F$7&amp;"",'Inputs (2)'!$D$2:$AL$2,0)),"")</f>
        <v/>
      </c>
      <c r="G23" s="269" t="str">
        <f>IFERROR(INDEX('Inputs (2)'!$D$57:$AL$57,MATCH(G$7&amp;"",'Inputs (2)'!$D$2:$AL$2,0)),"")</f>
        <v/>
      </c>
      <c r="H23" s="270" t="str">
        <f>IF(COUNT(D23:G23)=4,SUM(D23:G23),"")</f>
        <v/>
      </c>
      <c r="I23" s="269">
        <f>IFERROR(INDEX('Inputs (2)'!$D$57:$AL$57,MATCH(I$7&amp;"",'Inputs (2)'!$D$2:$AL$2,0)),"")</f>
        <v>1440</v>
      </c>
      <c r="J23" s="269">
        <f>IFERROR(INDEX('Inputs (2)'!$D$57:$AL$57,MATCH(J$7&amp;"",'Inputs (2)'!$D$2:$AL$2,0)),"")</f>
        <v>1047</v>
      </c>
      <c r="K23" s="269">
        <f>IFERROR(INDEX('Inputs (2)'!$D$57:$AL$57,MATCH(K$7&amp;"",'Inputs (2)'!$D$2:$AL$2,0)),"")</f>
        <v>1266</v>
      </c>
      <c r="L23" s="269">
        <f>IFERROR(INDEX('Inputs (2)'!$D$57:$AL$57,MATCH(L$7&amp;"",'Inputs (2)'!$D$2:$AL$2,0)),"")</f>
        <v>1162</v>
      </c>
      <c r="M23" s="270">
        <f>IF(COUNT(I23:L23)=4,SUM(I23:L23),"")</f>
        <v>4915</v>
      </c>
      <c r="N23" s="269">
        <f>IFERROR(INDEX('Inputs (2)'!$D$57:$AL$57,MATCH(N$7&amp;"",'Inputs (2)'!$D$2:$AL$2,0)),"")</f>
        <v>1933</v>
      </c>
      <c r="O23" s="269">
        <f>IFERROR(INDEX('Inputs (2)'!$D$57:$AL$57,MATCH(O$7&amp;"",'Inputs (2)'!$D$2:$AL$2,0)),"")</f>
        <v>1321</v>
      </c>
      <c r="P23" s="269">
        <f>IFERROR(INDEX('Inputs (2)'!$D$57:$AL$57,MATCH(P$7&amp;"",'Inputs (2)'!$D$2:$AL$2,0)),"")</f>
        <v>1926</v>
      </c>
      <c r="Q23" s="269">
        <f>IFERROR(INDEX('Inputs (2)'!$D$57:$AL$57,MATCH(Q$7&amp;"",'Inputs (2)'!$D$2:$AL$2,0)),"")</f>
        <v>1537</v>
      </c>
      <c r="R23" s="270">
        <f>IF(COUNT(N23:Q23)=4,SUM(N23:Q23),"")</f>
        <v>6717</v>
      </c>
      <c r="S23" s="269">
        <f>IFERROR(INDEX('Inputs (2)'!$D$57:$AL$57,MATCH(S$7&amp;"",'Inputs (2)'!$D$2:$AL$2,0)),"")</f>
        <v>1797</v>
      </c>
      <c r="T23" s="269">
        <f>IFERROR(INDEX('Inputs (2)'!$D$57:$AL$57,MATCH(T$7&amp;"",'Inputs (2)'!$D$2:$AL$2,0)),"")</f>
        <v>1106</v>
      </c>
      <c r="U23" s="269">
        <f>IFERROR(INDEX('Inputs (2)'!$D$57:$AL$57,MATCH(U$7&amp;"",'Inputs (2)'!$D$2:$AL$2,0)),"")</f>
        <v>1593</v>
      </c>
      <c r="V23" s="269">
        <f>IFERROR(INDEX('Inputs (2)'!$D$57:$AL$57,MATCH(V$7&amp;"",'Inputs (2)'!$D$2:$AL$2,0)),"")</f>
        <v>1353</v>
      </c>
      <c r="W23" s="270">
        <f>IF(COUNT(S23:V23)=4,SUM(S23:V23),"")</f>
        <v>5849</v>
      </c>
      <c r="X23" s="269">
        <f>IFERROR(INDEX('Inputs (2)'!$D$57:$AL$57,MATCH(X$7&amp;"",'Inputs (2)'!$D$2:$AL$2,0)),"")</f>
        <v>1624</v>
      </c>
      <c r="Y23" s="269">
        <f>IFERROR(INDEX('Inputs (2)'!$D$57:$AL$57,MATCH(Y$7&amp;"",'Inputs (2)'!$D$2:$AL$2,0)),"")</f>
        <v>1184</v>
      </c>
      <c r="Z23" s="269">
        <f>IFERROR(INDEX('Inputs (2)'!$D$57:$AL$57,MATCH(Z$7&amp;"",'Inputs (2)'!$D$2:$AL$2,0)),"")</f>
        <v>1443</v>
      </c>
      <c r="AA23" s="269">
        <f>IFERROR(INDEX('Inputs (2)'!$D$57:$AL$57,MATCH(AA$7&amp;"",'Inputs (2)'!$D$2:$AL$2,0)),"")</f>
        <v>1254</v>
      </c>
      <c r="AB23" s="270">
        <f>IF(COUNT(X23:AA23)=4,SUM(X23:AA23),"")</f>
        <v>5505</v>
      </c>
      <c r="AC23" s="269">
        <f>IFERROR(INDEX('Inputs (2)'!$D$57:$AL$57,MATCH(AC$7&amp;"",'Inputs (2)'!$D$2:$AL$2,0)),"")</f>
        <v>1556</v>
      </c>
      <c r="AD23" s="269">
        <f>IFERROR(INDEX('Inputs (2)'!$D$57:$AL$57,MATCH(AD$7&amp;"",'Inputs (2)'!$D$2:$AL$2,0)),"")</f>
        <v>1178</v>
      </c>
      <c r="AE23" s="269">
        <f>IFERROR(INDEX('Inputs (2)'!$D$57:$AL$57,MATCH(AE$7&amp;"",'Inputs (2)'!$D$2:$AL$2,0)),"")</f>
        <v>1543</v>
      </c>
      <c r="AF23" s="269">
        <f>IFERROR(INDEX('Inputs (2)'!$D$57:$AL$57,MATCH(AF$7&amp;"",'Inputs (2)'!$D$2:$AL$2,0)),"")</f>
        <v>1306</v>
      </c>
      <c r="AG23" s="270">
        <f>IF(COUNT(AC23:AF23)=4,SUM(AC23:AF23),"")</f>
        <v>5583</v>
      </c>
      <c r="AH23" s="270">
        <f>IFERROR(INDEX('Inputs (2)'!$D$57:$AL$57,MATCH(AH$7&amp;"",'Inputs (2)'!$D$2:$AL$2,0)),"")</f>
        <v>1487</v>
      </c>
      <c r="AI23" s="270">
        <f>IFERROR(INDEX('Inputs (2)'!$D$57:$AL$57,MATCH(AI$7&amp;"",'Inputs (2)'!$D$2:$AL$2,0)),"")</f>
        <v>964</v>
      </c>
    </row>
    <row r="24">
      <c r="C24" s="271" t="inlineStr">
        <is>
          <t>Receita (soma dos segmentos)</t>
        </is>
      </c>
      <c r="D24" s="269" t="str">
        <f>IF(COUNT(D19,D20,D21,D22,D23)=0,"",N(D19)+N(D20)+N(D21)+N(D22)+N(D23))</f>
        <v/>
      </c>
      <c r="E24" s="269" t="str">
        <f>IF(COUNT(E19,E20,E21,E22,E23)=0,"",N(E19)+N(E20)+N(E21)+N(E22)+N(E23))</f>
        <v/>
      </c>
      <c r="F24" s="269" t="str">
        <f>IF(COUNT(F19,F20,F21,F22,F23)=0,"",N(F19)+N(F20)+N(F21)+N(F22)+N(F23))</f>
        <v/>
      </c>
      <c r="G24" s="269" t="str">
        <f>IF(COUNT(G19,G20,G21,G22,G23)=0,"",N(G19)+N(G20)+N(G21)+N(G22)+N(G23))</f>
        <v/>
      </c>
      <c r="H24" s="270" t="str">
        <f>IF(COUNT(H19,H20,H21,H22,H23)=0,"",N(H19)+N(H20)+N(H21)+N(H22)+N(H23))</f>
        <v/>
      </c>
      <c r="I24" s="269">
        <f>IF(COUNT(I19,I20,I21,I22,I23)=0,"",N(I19)+N(I20)+N(I21)+N(I22)+N(I23))</f>
        <v>4187</v>
      </c>
      <c r="J24" s="269">
        <f>IF(COUNT(J19,J20,J21,J22,J23)=0,"",N(J19)+N(J20)+N(J21)+N(J22)+N(J23))</f>
        <v>3747</v>
      </c>
      <c r="K24" s="269">
        <f>IF(COUNT(K19,K20,K21,K22,K23)=0,"",N(K19)+N(K20)+N(K21)+N(K22)+N(K23))</f>
        <v>4330</v>
      </c>
      <c r="L24" s="269">
        <f>IF(COUNT(L19,L20,L21,L22,L23)=0,"",N(L19)+N(L20)+N(L21)+N(L22)+N(L23))</f>
        <v>4026</v>
      </c>
      <c r="M24" s="270">
        <f>IF(COUNT(M19,M20,M21,M22,M23)=0,"",N(M19)+N(M20)+N(M21)+N(M22)+N(M23))</f>
        <v>16290</v>
      </c>
      <c r="N24" s="269">
        <f>IF(COUNT(N19,N20,N21,N22,N23)=0,"",N(N19)+N(N20)+N(N21)+N(N22)+N(N23))</f>
        <v>4828</v>
      </c>
      <c r="O24" s="269">
        <f>IF(COUNT(O19,O20,O21,O22,O23)=0,"",N(O19)+N(O20)+N(O21)+N(O22)+N(O23))</f>
        <v>4505</v>
      </c>
      <c r="P24" s="269">
        <f>IF(COUNT(P19,P20,P21,P22,P23)=0,"",N(P19)+N(P20)+N(P21)+N(P22)+N(P23))</f>
        <v>5555</v>
      </c>
      <c r="Q24" s="269">
        <f>IF(COUNT(Q19,Q20,Q21,Q22,Q23)=0,"",N(Q19)+N(Q20)+N(Q21)+N(Q22)+N(Q23))</f>
        <v>4795</v>
      </c>
      <c r="R24" s="270">
        <f>IF(COUNT(R19,R20,R21,R22,R23)=0,"",N(R19)+N(R20)+N(R21)+N(R22)+N(R23))</f>
        <v>19683</v>
      </c>
      <c r="S24" s="269">
        <f>IF(COUNT(S19,S20,S21,S22,S23)=0,"",N(S19)+N(S20)+N(S21)+N(S22)+N(S23))</f>
        <v>4772</v>
      </c>
      <c r="T24" s="269">
        <f>IF(COUNT(T19,T20,T21,T22,T23)=0,"",N(T19)+N(T20)+N(T21)+N(T22)+N(T23))</f>
        <v>4438</v>
      </c>
      <c r="U24" s="269">
        <f>IF(COUNT(U19,U20,U21,U22,U23)=0,"",N(U19)+N(U20)+N(U21)+N(U22)+N(U23))</f>
        <v>5191</v>
      </c>
      <c r="V24" s="269">
        <f>IF(COUNT(V19,V20,V21,V22,V23)=0,"",N(V19)+N(V20)+N(V21)+N(V22)+N(V23))</f>
        <v>4612</v>
      </c>
      <c r="W24" s="270">
        <f>IF(COUNT(W19,W20,W21,W22,W23)=0,"",N(W19)+N(W20)+N(W21)+N(W22)+N(W23))</f>
        <v>19013</v>
      </c>
      <c r="X24" s="269">
        <f>IF(COUNT(X19,X20,X21,X22,X23)=0,"",N(X19)+N(X20)+N(X21)+N(X22)+N(X23))</f>
        <v>4794</v>
      </c>
      <c r="Y24" s="269">
        <f>IF(COUNT(Y19,Y20,Y21,Y22,Y23)=0,"",N(Y19)+N(Y20)+N(Y21)+N(Y22)+N(Y23))</f>
        <v>4527</v>
      </c>
      <c r="Z24" s="269">
        <f>IF(COUNT(Z19,Z20,Z21,Z22,Z23)=0,"",N(Z19)+N(Z20)+N(Z21)+N(Z22)+N(Z23))</f>
        <v>5351</v>
      </c>
      <c r="AA24" s="269">
        <f>IF(COUNT(AA19,AA20,AA21,AA22,AA23)=0,"",N(AA19)+N(AA20)+N(AA21)+N(AA22)+N(AA23))</f>
        <v>4761</v>
      </c>
      <c r="AB24" s="270">
        <f>IF(COUNT(AB19,AB20,AB21,AB22,AB23)=0,"",N(AB19)+N(AB20)+N(AB21)+N(AB22)+N(AB23))</f>
        <v>19433</v>
      </c>
      <c r="AC24" s="269">
        <f>IF(COUNT(AC19,AC20,AC21,AC22,AC23)=0,"",N(AC19)+N(AC20)+N(AC21)+N(AC22)+N(AC23))</f>
        <v>5585</v>
      </c>
      <c r="AD24" s="269">
        <f>IF(COUNT(AD19,AD20,AD21,AD22,AD23)=0,"",N(AD19)+N(AD20)+N(AD21)+N(AD22)+N(AD23))</f>
        <v>5149</v>
      </c>
      <c r="AE24" s="269">
        <f>IF(COUNT(AE19,AE20,AE21,AE22,AE23)=0,"",N(AE19)+N(AE20)+N(AE21)+N(AE22)+N(AE23))</f>
        <v>5882</v>
      </c>
      <c r="AF24" s="269">
        <f>IF(COUNT(AF19,AF20,AF21,AF22,AF23)=0,"",N(AF19)+N(AF20)+N(AF21)+N(AF22)+N(AF23))</f>
        <v>5354</v>
      </c>
      <c r="AG24" s="270">
        <f>IF(COUNT(AG19,AG20,AG21,AG22,AG23)=0,"",N(AG19)+N(AG20)+N(AG21)+N(AG22)+N(AG23))</f>
        <v>21970</v>
      </c>
      <c r="AH24" s="270">
        <f>IF(COUNT(AH19,AH20,AH21,AH22,AH23)=0,"",N(AH19)+N(AH20)+N(AH21)+N(AH22)+N(AH23))</f>
        <v>6005</v>
      </c>
      <c r="AI24" s="270">
        <f>IF(COUNT(AI19,AI20,AI21,AI22,AI23)=0,"",N(AI19)+N(AI20)+N(AI21)+N(AI22)+N(AI23))</f>
        <v>5097</v>
      </c>
    </row>
    <row r="25">
      <c r="C25" s="268" t="inlineStr">
        <is>
          <t>Receita não alocada aos segmentos (linha 15 - soma)</t>
        </is>
      </c>
      <c r="D25" s="269" t="str">
        <f>IF(COUNT(D24)=0,"",ROUND(D15-D24,1))</f>
        <v/>
      </c>
      <c r="E25" s="269" t="str">
        <f>IF(COUNT(E24)=0,"",ROUND(E15-E24,1))</f>
        <v/>
      </c>
      <c r="F25" s="269" t="str">
        <f>IF(COUNT(F24)=0,"",ROUND(F15-F24,1))</f>
        <v/>
      </c>
      <c r="G25" s="269" t="str">
        <f>IF(COUNT(G24)=0,"",ROUND(G15-G24,1))</f>
        <v/>
      </c>
      <c r="H25" s="270" t="str">
        <f>IF(COUNT(H24)=0,"",ROUND(H15-H24,1))</f>
        <v/>
      </c>
      <c r="I25" s="269">
        <f>IF(COUNT(I24)=0,"",ROUND(I15-I24,1))</f>
        <v>1372</v>
      </c>
      <c r="J25" s="269">
        <f>IF(COUNT(J24)=0,"",ROUND(J15-J24,1))</f>
        <v>406</v>
      </c>
      <c r="K25" s="269">
        <f>IF(COUNT(K24)=0,"",ROUND(K15-K24,1))</f>
        <v>76</v>
      </c>
      <c r="L25" s="269">
        <f>IF(COUNT(L24)=0,"",ROUND(L15-L24,1))</f>
        <v>1506</v>
      </c>
      <c r="M25" s="270">
        <f>IF(COUNT(M24)=0,"",ROUND(M15-M24,1))</f>
        <v>3360</v>
      </c>
      <c r="N25" s="269">
        <f>IF(COUNT(N24)=0,"",ROUND(N15-N24,1))</f>
        <v>763</v>
      </c>
      <c r="O25" s="269">
        <f>IF(COUNT(O24)=0,"",ROUND(O15-O24,1))</f>
        <v>960</v>
      </c>
      <c r="P25" s="269">
        <f>IF(COUNT(P24)=0,"",ROUND(P15-P24,1))</f>
        <v>496</v>
      </c>
      <c r="Q25" s="269">
        <f>IF(COUNT(Q24)=0,"",ROUND(Q15-Q24,1))</f>
        <v>2538</v>
      </c>
      <c r="R25" s="270">
        <f>IF(COUNT(R24)=0,"",ROUND(R15-R24,1))</f>
        <v>4757</v>
      </c>
      <c r="S25" s="269">
        <f>IF(COUNT(S24)=0,"",ROUND(S15-S24,1))</f>
        <v>2793</v>
      </c>
      <c r="T25" s="269">
        <f>IF(COUNT(T24)=0,"",ROUND(T15-T24,1))</f>
        <v>1008</v>
      </c>
      <c r="U25" s="269">
        <f>IF(COUNT(U24)=0,"",ROUND(U15-U24,1))</f>
        <v>920</v>
      </c>
      <c r="V25" s="269">
        <f>IF(COUNT(V24)=0,"",ROUND(V15-V24,1))</f>
        <v>1184</v>
      </c>
      <c r="W25" s="270">
        <f>IF(COUNT(W24)=0,"",ROUND(W15-W24,1))</f>
        <v>5905</v>
      </c>
      <c r="X25" s="269">
        <f>IF(COUNT(X24)=0,"",ROUND(X15-X24,1))</f>
        <v>1367</v>
      </c>
      <c r="Y25" s="269">
        <f>IF(COUNT(Y24)=0,"",ROUND(Y15-Y24,1))</f>
        <v>948</v>
      </c>
      <c r="Z25" s="269">
        <f>IF(COUNT(Z24)=0,"",ROUND(Z15-Z24,1))</f>
        <v>1199</v>
      </c>
      <c r="AA25" s="269">
        <f>IF(COUNT(AA24)=0,"",ROUND(AA15-AA24,1))</f>
        <v>621</v>
      </c>
      <c r="AB25" s="270">
        <f>IF(COUNT(AB24)=0,"",ROUND(AB15-AB24,1))</f>
        <v>4135</v>
      </c>
      <c r="AC25" s="269">
        <f>IF(COUNT(AC24)=0,"",ROUND(AC15-AC24,1))</f>
        <v>1203</v>
      </c>
      <c r="AD25" s="269">
        <f>IF(COUNT(AD24)=0,"",ROUND(AD15-AD24,1))</f>
        <v>952</v>
      </c>
      <c r="AE25" s="269">
        <f>IF(COUNT(AE24)=0,"",ROUND(AE15-AE24,1))</f>
        <v>688</v>
      </c>
      <c r="AF25" s="269">
        <f>IF(COUNT(AF24)=0,"",ROUND(AF15-AF24,1))</f>
        <v>720</v>
      </c>
      <c r="AG25" s="270">
        <f>IF(COUNT(AG24)=0,"",ROUND(AG15-AG24,1))</f>
        <v>3563</v>
      </c>
      <c r="AH25" s="270">
        <f>IF(COUNT(AH24)=0,"",ROUND(AH15-AH24,1))</f>
        <v>5117</v>
      </c>
      <c r="AI25" s="270">
        <f>IF(COUNT(AI24)=0,"",ROUND(AI15-AI24,1))</f>
        <v>2407</v>
      </c>
    </row>
    <row r="26">
      <c r="C26" s="268" t="inlineStr">
        <is>
          <t xml:space="preserve">   % YoY Mid-Atlantic</t>
        </is>
      </c>
      <c r="D26" s="272" t="str">
        <f>""</f>
        <v/>
      </c>
      <c r="E26" s="272" t="str">
        <f>""</f>
        <v/>
      </c>
      <c r="F26" s="272" t="str">
        <f>""</f>
        <v/>
      </c>
      <c r="G26" s="272" t="str">
        <f>""</f>
        <v/>
      </c>
      <c r="H26" s="273" t="str">
        <f>""</f>
        <v/>
      </c>
      <c r="I26" s="272" t="str">
        <f>IFERROR(I19/D19-1,"")</f>
        <v/>
      </c>
      <c r="J26" s="272" t="str">
        <f>IFERROR(J19/E19-1,"")</f>
        <v/>
      </c>
      <c r="K26" s="272" t="str">
        <f>IFERROR(K19/F19-1,"")</f>
        <v/>
      </c>
      <c r="L26" s="272" t="str">
        <f>IFERROR(L19/G19-1,"")</f>
        <v/>
      </c>
      <c r="M26" s="273" t="str">
        <f>IFERROR(M19/H19-1,"")</f>
        <v/>
      </c>
      <c r="N26" s="272">
        <f>IFERROR(N19/I19-1,"")</f>
        <v>-0.0482758620689655</v>
      </c>
      <c r="O26" s="272">
        <f>IFERROR(O19/J19-1,"")</f>
        <v>0.104972375690608</v>
      </c>
      <c r="P26" s="272">
        <f>IFERROR(P19/K19-1,"")</f>
        <v>0.307570977917981</v>
      </c>
      <c r="Q26" s="272">
        <f>IFERROR(Q19/L19-1,"")</f>
        <v>0.134852801519468</v>
      </c>
      <c r="R26" s="273">
        <f>IFERROR(R19/M19-1,"")</f>
        <v>0.129187650536457</v>
      </c>
      <c r="S26" s="272">
        <f>IFERROR(S19/N19-1,"")</f>
        <v>0.155797101449275</v>
      </c>
      <c r="T26" s="272">
        <f>IFERROR(T19/O19-1,"")</f>
        <v>0.0066666666666666</v>
      </c>
      <c r="U26" s="272">
        <f>IFERROR(U19/P19-1,"")</f>
        <v>-0.146562123039807</v>
      </c>
      <c r="V26" s="272">
        <f>IFERROR(V19/Q19-1,"")</f>
        <v>0.0368200836820083</v>
      </c>
      <c r="W26" s="273">
        <f>IFERROR(W19/R19-1,"")</f>
        <v>-0.00368431258483615</v>
      </c>
      <c r="X26" s="272">
        <f>IFERROR(X19/S19-1,"")</f>
        <v>-0.0266457680250783</v>
      </c>
      <c r="Y26" s="272">
        <f>IFERROR(Y19/T19-1,"")</f>
        <v>0.0794701986754967</v>
      </c>
      <c r="Z26" s="272">
        <f>IFERROR(Z19/U19-1,"")</f>
        <v>0.132862190812721</v>
      </c>
      <c r="AA26" s="272">
        <f>IFERROR(AA19/V19-1,"")</f>
        <v>0.108958837772397</v>
      </c>
      <c r="AB26" s="273">
        <f>IFERROR(AB19/W19-1,"")</f>
        <v>0.0749318801089918</v>
      </c>
      <c r="AC26" s="272">
        <f>IFERROR(AC19/X19-1,"")</f>
        <v>0.340579710144928</v>
      </c>
      <c r="AD26" s="272">
        <f>IFERROR(AD19/Y19-1,"")</f>
        <v>0.110429447852761</v>
      </c>
      <c r="AE26" s="272">
        <f>IFERROR(AE19/Z19-1,"")</f>
        <v>0.0998128509045539</v>
      </c>
      <c r="AF26" s="272">
        <f>IFERROR(AF19/AA19-1,"")</f>
        <v>0.172489082969432</v>
      </c>
      <c r="AG26" s="273">
        <f>IFERROR(AG19/AB19-1,"")</f>
        <v>0.174542820930654</v>
      </c>
      <c r="AH26" s="273">
        <f>IFERROR(AH19/AC19-1,"")</f>
        <v>0.109309309309309</v>
      </c>
      <c r="AI26" s="273">
        <f>IFERROR(AI19/AD19-1,"")</f>
        <v>0.0738950276243093</v>
      </c>
    </row>
    <row r="27">
      <c r="C27" s="268" t="inlineStr">
        <is>
          <t xml:space="preserve">   % YoY Midwest</t>
        </is>
      </c>
      <c r="D27" s="272" t="str">
        <f>""</f>
        <v/>
      </c>
      <c r="E27" s="272" t="str">
        <f>""</f>
        <v/>
      </c>
      <c r="F27" s="272" t="str">
        <f>""</f>
        <v/>
      </c>
      <c r="G27" s="272" t="str">
        <f>""</f>
        <v/>
      </c>
      <c r="H27" s="273" t="str">
        <f>""</f>
        <v/>
      </c>
      <c r="I27" s="272" t="str">
        <f>IFERROR(I20/D20-1,"")</f>
        <v/>
      </c>
      <c r="J27" s="272" t="str">
        <f>IFERROR(J20/E20-1,"")</f>
        <v/>
      </c>
      <c r="K27" s="272" t="str">
        <f>IFERROR(K20/F20-1,"")</f>
        <v/>
      </c>
      <c r="L27" s="272" t="str">
        <f>IFERROR(L20/G20-1,"")</f>
        <v/>
      </c>
      <c r="M27" s="273" t="str">
        <f>IFERROR(M20/H20-1,"")</f>
        <v/>
      </c>
      <c r="N27" s="272">
        <f>IFERROR(N20/I20-1,"")</f>
        <v>0.19939879759519</v>
      </c>
      <c r="O27" s="272">
        <f>IFERROR(O20/J20-1,"")</f>
        <v>0.145530145530145</v>
      </c>
      <c r="P27" s="272">
        <f>IFERROR(P20/K20-1,"")</f>
        <v>0.0649746192893401</v>
      </c>
      <c r="Q27" s="272">
        <f>IFERROR(Q20/L20-1,"")</f>
        <v>0.172939068100358</v>
      </c>
      <c r="R27" s="273">
        <f>IFERROR(R20/M20-1,"")</f>
        <v>0.146761881310022</v>
      </c>
      <c r="S27" s="272">
        <f>IFERROR(S20/N20-1,"")</f>
        <v>-0.139515455304929</v>
      </c>
      <c r="T27" s="272">
        <f>IFERROR(T20/O20-1,"")</f>
        <v>0.205989110707804</v>
      </c>
      <c r="U27" s="272">
        <f>IFERROR(U20/P20-1,"")</f>
        <v>0.0648236415633938</v>
      </c>
      <c r="V27" s="272">
        <f>IFERROR(V20/Q20-1,"")</f>
        <v>-0.0970206264323912</v>
      </c>
      <c r="W27" s="273">
        <f>IFERROR(W20/R20-1,"")</f>
        <v>0.000214730513205863</v>
      </c>
      <c r="X27" s="272">
        <f>IFERROR(X20/S20-1,"")</f>
        <v>0.062135922330097</v>
      </c>
      <c r="Y27" s="272">
        <f>IFERROR(Y20/T20-1,"")</f>
        <v>-0.121143717080512</v>
      </c>
      <c r="Z27" s="272">
        <f>IFERROR(Z20/U20-1,"")</f>
        <v>0.141450313339302</v>
      </c>
      <c r="AA27" s="272">
        <f>IFERROR(AA20/V20-1,"")</f>
        <v>0.0727580372250423</v>
      </c>
      <c r="AB27" s="273">
        <f>IFERROR(AB20/W20-1,"")</f>
        <v>0.031558608844998</v>
      </c>
      <c r="AC27" s="272">
        <f>IFERROR(AC20/X20-1,"")</f>
        <v>0.283363802559415</v>
      </c>
      <c r="AD27" s="272">
        <f>IFERROR(AD20/Y20-1,"")</f>
        <v>0.304794520547945</v>
      </c>
      <c r="AE27" s="272">
        <f>IFERROR(AE20/Z20-1,"")</f>
        <v>0.0901960784313725</v>
      </c>
      <c r="AF27" s="272">
        <f>IFERROR(AF20/AA20-1,"")</f>
        <v>0.172712933753943</v>
      </c>
      <c r="AG27" s="273">
        <f>IFERROR(AG20/AB20-1,"")</f>
        <v>0.208116545265349</v>
      </c>
      <c r="AH27" s="273">
        <f>IFERROR(AH20/AC20-1,"")</f>
        <v>0.233618233618234</v>
      </c>
      <c r="AI27" s="273">
        <f>IFERROR(AI20/AD20-1,"")</f>
        <v>0.0288713910761156</v>
      </c>
    </row>
    <row r="28">
      <c r="C28" s="268" t="inlineStr">
        <is>
          <t xml:space="preserve">   % YoY New York</t>
        </is>
      </c>
      <c r="D28" s="272" t="str">
        <f>""</f>
        <v/>
      </c>
      <c r="E28" s="272" t="str">
        <f>""</f>
        <v/>
      </c>
      <c r="F28" s="272" t="str">
        <f>""</f>
        <v/>
      </c>
      <c r="G28" s="272" t="str">
        <f>""</f>
        <v/>
      </c>
      <c r="H28" s="273" t="str">
        <f>""</f>
        <v/>
      </c>
      <c r="I28" s="272" t="str">
        <f>IFERROR(I21/D21-1,"")</f>
        <v/>
      </c>
      <c r="J28" s="272" t="str">
        <f>IFERROR(J21/E21-1,"")</f>
        <v/>
      </c>
      <c r="K28" s="272" t="str">
        <f>IFERROR(K21/F21-1,"")</f>
        <v/>
      </c>
      <c r="L28" s="272" t="str">
        <f>IFERROR(L21/G21-1,"")</f>
        <v/>
      </c>
      <c r="M28" s="273" t="str">
        <f>IFERROR(M21/H21-1,"")</f>
        <v/>
      </c>
      <c r="N28" s="272">
        <f>IFERROR(N21/I21-1,"")</f>
        <v>0.0652818991097923</v>
      </c>
      <c r="O28" s="272">
        <f>IFERROR(O21/J21-1,"")</f>
        <v>0.0314960629921259</v>
      </c>
      <c r="P28" s="272">
        <f>IFERROR(P21/K21-1,"")</f>
        <v>-0.0637362637362637</v>
      </c>
      <c r="Q28" s="272">
        <f>IFERROR(Q21/L21-1,"")</f>
        <v>0.0398009950248757</v>
      </c>
      <c r="R28" s="273">
        <f>IFERROR(R21/M21-1,"")</f>
        <v>0.0133333333333334</v>
      </c>
      <c r="S28" s="272">
        <f>IFERROR(S21/N21-1,"")</f>
        <v>0.395543175487465</v>
      </c>
      <c r="T28" s="272">
        <f>IFERROR(T21/O21-1,"")</f>
        <v>0.190839694656489</v>
      </c>
      <c r="U28" s="272">
        <f>IFERROR(U21/P21-1,"")</f>
        <v>0.192488262910798</v>
      </c>
      <c r="V28" s="272">
        <f>IFERROR(V21/Q21-1,"")</f>
        <v>0.301435406698565</v>
      </c>
      <c r="W28" s="273">
        <f>IFERROR(W21/R21-1,"")</f>
        <v>0.266290726817043</v>
      </c>
      <c r="X28" s="272">
        <f>IFERROR(X21/S21-1,"")</f>
        <v>0.0239520958083832</v>
      </c>
      <c r="Y28" s="272">
        <f>IFERROR(Y21/T21-1,"")</f>
        <v>0.0982905982905984</v>
      </c>
      <c r="Z28" s="272">
        <f>IFERROR(Z21/U21-1,"")</f>
        <v>-0.00196850393700787</v>
      </c>
      <c r="AA28" s="272">
        <f>IFERROR(AA21/V21-1,"")</f>
        <v>-0.0514705882352942</v>
      </c>
      <c r="AB28" s="273">
        <f>IFERROR(AB21/W21-1,"")</f>
        <v>0.0143493320138546</v>
      </c>
      <c r="AC28" s="272">
        <f>IFERROR(AC21/X21-1,"")</f>
        <v>0.0955165692007798</v>
      </c>
      <c r="AD28" s="272">
        <f>IFERROR(AD21/Y21-1,"")</f>
        <v>0.0408560311284047</v>
      </c>
      <c r="AE28" s="272">
        <f>IFERROR(AE21/Z21-1,"")</f>
        <v>0.100591715976331</v>
      </c>
      <c r="AF28" s="272">
        <f>IFERROR(AF21/AA21-1,"")</f>
        <v>0.0368217054263567</v>
      </c>
      <c r="AG28" s="273">
        <f>IFERROR(AG21/AB21-1,"")</f>
        <v>0.0682926829268293</v>
      </c>
      <c r="AH28" s="273">
        <f>IFERROR(AH21/AC21-1,"")</f>
        <v>0.0124555160142348</v>
      </c>
      <c r="AI28" s="273">
        <f>IFERROR(AI21/AD21-1,"")</f>
        <v>0.0542056074766355</v>
      </c>
    </row>
    <row r="29"/>
    <row r="30"/>
    <row r="31"/>
    <row r="32"/>
    <row r="33"/>
    <row r="34"/>
    <row r="35"/>
    <row r="36"/>
    <row r="37"/>
    <row r="38"/>
    <row r="39"/>
    <row r="40" hidden="1" outlineLevel="1" customFormat="1" s="43">
      <c r="A40" s="36" t="n"/>
      <c r="B40" s="37" t="n"/>
      <c r="C40" s="45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F40" s="39" t="n"/>
      <c r="AG40" s="39" t="n"/>
      <c r="AH40" s="39" t="n"/>
      <c r="AI40" s="39" t="n"/>
      <c r="AJ40" s="39" t="n"/>
      <c r="AK40" s="39" t="n"/>
      <c r="AL40" s="39" t="n"/>
      <c r="AM40" s="39" t="n"/>
      <c r="AN40" s="39" t="n"/>
      <c r="AO40" s="39" t="n"/>
      <c r="AP40" s="39" t="n"/>
      <c r="AQ40" s="39" t="n"/>
      <c r="AR40" s="39" t="n"/>
      <c r="AS40" s="39" t="n"/>
      <c r="AT40" s="39" t="n"/>
      <c r="AU40" s="39" t="n"/>
      <c r="AV40" s="39" t="n"/>
      <c r="AW40" s="39" t="n"/>
      <c r="AX40" s="39" t="n"/>
      <c r="AY40" s="39" t="n"/>
      <c r="AZ40" s="39" t="n"/>
      <c r="BA40" s="39" t="n"/>
      <c r="BB40" s="39" t="n"/>
      <c r="BC40" s="39" t="n"/>
      <c r="BD40" s="39" t="n"/>
      <c r="BE40" s="39" t="n"/>
      <c r="BF40" s="39" t="n"/>
      <c r="BG40" s="39" t="n"/>
      <c r="BH40" s="39" t="n"/>
      <c r="BI40" s="39" t="n"/>
      <c r="BJ40" s="39" t="n"/>
      <c r="BK40" s="39" t="n"/>
      <c r="BL40" s="39" t="n"/>
      <c r="BM40" s="39" t="n"/>
      <c r="BN40" s="39" t="n"/>
      <c r="BO40" s="39" t="n"/>
      <c r="BP40" s="39" t="n"/>
      <c r="BQ40" s="39" t="n"/>
      <c r="BR40" s="39" t="n"/>
      <c r="BS40" s="39" t="n"/>
      <c r="BT40" s="39" t="n"/>
      <c r="BU40" s="39" t="n"/>
      <c r="BV40" s="39" t="n"/>
      <c r="BW40" s="39" t="n"/>
      <c r="BX40" s="39" t="n"/>
      <c r="BY40" s="39" t="n"/>
      <c r="BZ40" s="39" t="n"/>
      <c r="CA40" s="39" t="n"/>
      <c r="CB40" s="39" t="n"/>
      <c r="CC40" s="39" t="n"/>
      <c r="CD40" s="39" t="n"/>
      <c r="CE40" s="39" t="n"/>
      <c r="CF40" s="39" t="n"/>
      <c r="CG40" s="39" t="n"/>
      <c r="CH40" s="39" t="n"/>
      <c r="CI40" s="39" t="n"/>
      <c r="CJ40" s="39" t="n"/>
      <c r="CK40" s="39" t="n"/>
      <c r="CL40" s="39" t="n"/>
      <c r="CM40" s="39" t="n"/>
      <c r="CN40" s="39" t="n"/>
      <c r="CO40" s="39" t="n"/>
      <c r="CP40" s="39" t="n"/>
      <c r="CQ40" s="39" t="n"/>
      <c r="CR40" s="39" t="n"/>
      <c r="CS40" s="39" t="n"/>
      <c r="CT40" s="39" t="n"/>
      <c r="CU40" s="39" t="n"/>
      <c r="CV40" s="39" t="n"/>
      <c r="CW40" s="39" t="n"/>
      <c r="CX40" s="39" t="n"/>
      <c r="CY40" s="39" t="n"/>
    </row>
    <row r="41" hidden="1" outlineLevel="1" customFormat="1" s="43">
      <c r="A41" s="36" t="n"/>
      <c r="B41" s="37" t="n"/>
      <c r="C41" s="45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F41" s="39" t="n"/>
      <c r="AG41" s="39" t="n"/>
      <c r="AH41" s="39" t="n"/>
      <c r="AI41" s="39" t="n"/>
      <c r="AJ41" s="39" t="n"/>
      <c r="AK41" s="39" t="n"/>
      <c r="AL41" s="39" t="n"/>
      <c r="AM41" s="39" t="n"/>
      <c r="AN41" s="39" t="n"/>
      <c r="AO41" s="39" t="n"/>
      <c r="AP41" s="39" t="n"/>
      <c r="AQ41" s="39" t="n"/>
      <c r="AR41" s="39" t="n"/>
      <c r="AS41" s="39" t="n"/>
      <c r="AT41" s="39" t="n"/>
      <c r="AU41" s="39" t="n"/>
      <c r="AV41" s="39" t="n"/>
      <c r="AW41" s="39" t="n"/>
      <c r="AX41" s="39" t="n"/>
      <c r="AY41" s="39" t="n"/>
      <c r="AZ41" s="39" t="n"/>
      <c r="BA41" s="39" t="n"/>
      <c r="BB41" s="39" t="n"/>
      <c r="BC41" s="39" t="n"/>
      <c r="BD41" s="39" t="n"/>
      <c r="BE41" s="39" t="n"/>
      <c r="BF41" s="39" t="n"/>
      <c r="BG41" s="39" t="n"/>
      <c r="BH41" s="39" t="n"/>
      <c r="BI41" s="39" t="n"/>
      <c r="BJ41" s="39" t="n"/>
      <c r="BK41" s="39" t="n"/>
      <c r="BL41" s="39" t="n"/>
      <c r="BM41" s="39" t="n"/>
      <c r="BN41" s="39" t="n"/>
      <c r="BO41" s="39" t="n"/>
      <c r="BP41" s="39" t="n"/>
      <c r="BQ41" s="39" t="n"/>
      <c r="BR41" s="39" t="n"/>
      <c r="BS41" s="39" t="n"/>
      <c r="BT41" s="39" t="n"/>
      <c r="BU41" s="39" t="n"/>
      <c r="BV41" s="39" t="n"/>
      <c r="BW41" s="39" t="n"/>
      <c r="BX41" s="39" t="n"/>
      <c r="BY41" s="39" t="n"/>
      <c r="BZ41" s="39" t="n"/>
      <c r="CA41" s="39" t="n"/>
      <c r="CB41" s="39" t="n"/>
      <c r="CC41" s="39" t="n"/>
      <c r="CD41" s="39" t="n"/>
      <c r="CE41" s="39" t="n"/>
      <c r="CF41" s="39" t="n"/>
      <c r="CG41" s="39" t="n"/>
      <c r="CH41" s="39" t="n"/>
      <c r="CI41" s="39" t="n"/>
      <c r="CJ41" s="39" t="n"/>
      <c r="CK41" s="39" t="n"/>
      <c r="CL41" s="39" t="n"/>
      <c r="CM41" s="39" t="n"/>
      <c r="CN41" s="39" t="n"/>
      <c r="CO41" s="39" t="n"/>
      <c r="CP41" s="39" t="n"/>
      <c r="CQ41" s="39" t="n"/>
      <c r="CR41" s="39" t="n"/>
      <c r="CS41" s="39" t="n"/>
      <c r="CT41" s="39" t="n"/>
      <c r="CU41" s="39" t="n"/>
      <c r="CV41" s="39" t="n"/>
      <c r="CW41" s="39" t="n"/>
      <c r="CX41" s="39" t="n"/>
      <c r="CY41" s="39" t="n"/>
    </row>
    <row r="42" collapsed="1">
      <c r="C42" s="13" t="inlineStr">
        <is>
          <t>COGS (cash)</t>
        </is>
      </c>
      <c r="D42" s="46" t="n"/>
      <c r="E42" s="46" t="n"/>
      <c r="F42" s="46" t="n"/>
      <c r="G42" s="46" t="n"/>
      <c r="H42" s="12" t="n"/>
      <c r="I42" s="46">
        <f>'Inputs (2)'!D5</f>
        <v>0</v>
      </c>
      <c r="J42" s="46">
        <f>'Inputs (2)'!E5</f>
        <v>0</v>
      </c>
      <c r="K42" s="46">
        <f>'Inputs (2)'!F5</f>
        <v>0</v>
      </c>
      <c r="L42" s="46">
        <f>'Inputs (2)'!G5</f>
        <v>0</v>
      </c>
      <c r="M42" s="12">
        <f>'Inputs (2)'!H5</f>
        <v>0</v>
      </c>
      <c r="N42" s="46">
        <f>'Inputs (2)'!I5</f>
        <v>0</v>
      </c>
      <c r="O42" s="46">
        <f>'Inputs (2)'!J5</f>
        <v>0</v>
      </c>
      <c r="P42" s="46">
        <f>'Inputs (2)'!K5</f>
        <v>0</v>
      </c>
      <c r="Q42" s="46">
        <f>'Inputs (2)'!L5</f>
        <v>0</v>
      </c>
      <c r="R42" s="12">
        <f>'Inputs (2)'!M5</f>
        <v>0</v>
      </c>
      <c r="S42" s="46">
        <f>'Inputs (2)'!N5</f>
        <v>0</v>
      </c>
      <c r="T42" s="46">
        <f>'Inputs (2)'!O5</f>
        <v>0</v>
      </c>
      <c r="U42" s="46">
        <f>'Inputs (2)'!P5</f>
        <v>0</v>
      </c>
      <c r="V42" s="46">
        <f>'Inputs (2)'!Q5</f>
        <v>0</v>
      </c>
      <c r="W42" s="12">
        <f>'Inputs (2)'!R5</f>
        <v>0</v>
      </c>
      <c r="X42" s="46">
        <f>'Inputs (2)'!S5</f>
        <v>0</v>
      </c>
      <c r="Y42" s="46">
        <f>'Inputs (2)'!T5</f>
        <v>0</v>
      </c>
      <c r="Z42" s="46">
        <f>'Inputs (2)'!U5</f>
        <v>0</v>
      </c>
      <c r="AA42" s="46">
        <f>'Inputs (2)'!V5</f>
        <v>0</v>
      </c>
      <c r="AB42" s="12">
        <f>'Inputs (2)'!W5</f>
        <v>0</v>
      </c>
      <c r="AC42" s="46">
        <f>'Inputs (2)'!X5</f>
        <v>0</v>
      </c>
      <c r="AD42" s="46">
        <f>'Inputs (2)'!Y5</f>
        <v>0</v>
      </c>
      <c r="AE42" s="46">
        <f>'Inputs (2)'!Z5</f>
        <v>0</v>
      </c>
      <c r="AF42" s="46">
        <f>'Inputs (2)'!AA5</f>
        <v>0</v>
      </c>
      <c r="AG42" s="12">
        <f>'Inputs (2)'!AB5</f>
        <v>0</v>
      </c>
      <c r="AH42" s="12">
        <f>'Inputs (2)'!AC5</f>
        <v>0</v>
      </c>
      <c r="AI42" s="12">
        <f>'Inputs (2)'!AD5</f>
        <v>0</v>
      </c>
      <c r="AJ42" s="12">
        <f>-(1-AJ43)*AJ15</f>
        <v>0</v>
      </c>
      <c r="AK42" s="12">
        <f>-(1-AK43)*AK15</f>
        <v>0</v>
      </c>
      <c r="AL42" s="12">
        <f>SUM(AH42:AK42)</f>
        <v>0</v>
      </c>
      <c r="AM42" s="12">
        <f>-(1-AM43)*AM15</f>
        <v>0</v>
      </c>
      <c r="AN42" s="12">
        <f>-(1-AN43)*AN15</f>
        <v>0</v>
      </c>
      <c r="AO42" s="12">
        <f>-(1-AO43)*AO15</f>
        <v>0</v>
      </c>
      <c r="AP42" s="12">
        <f>-(1-AP43)*AP15</f>
        <v>0</v>
      </c>
      <c r="AQ42" s="12">
        <f>SUM(AM42:AP42)</f>
        <v>0</v>
      </c>
      <c r="AR42" s="12">
        <f>-(1-AR43)*AR15</f>
        <v>0</v>
      </c>
      <c r="AS42" s="12">
        <f>-(1-AS43)*AS15</f>
        <v>0</v>
      </c>
      <c r="AT42" s="12">
        <f>-(1-AT43)*AT15</f>
        <v>0</v>
      </c>
      <c r="AU42" s="12">
        <f>-(1-AU43)*AU15</f>
        <v>0</v>
      </c>
      <c r="AV42" s="12">
        <f>SUM(AR42:AU42)</f>
        <v>0</v>
      </c>
      <c r="AW42" s="12">
        <f>-(1-AW43)*AW15</f>
        <v>0</v>
      </c>
      <c r="AX42" s="12">
        <f>-(1-AX43)*AX15</f>
        <v>0</v>
      </c>
      <c r="AY42" s="12">
        <f>-(1-AY43)*AY15</f>
        <v>0</v>
      </c>
      <c r="AZ42" s="12">
        <f>-(1-AZ43)*AZ15</f>
        <v>0</v>
      </c>
      <c r="BA42" s="12">
        <f>SUM(AW42:AZ42)</f>
        <v>0</v>
      </c>
      <c r="BB42" s="12">
        <f>-(1-BB43)*BB15</f>
        <v>0</v>
      </c>
      <c r="BC42" s="12">
        <f>-(1-BC43)*BC15</f>
        <v>0</v>
      </c>
      <c r="BD42" s="12">
        <f>-(1-BD43)*BD15</f>
        <v>0</v>
      </c>
      <c r="BE42" s="12">
        <f>-(1-BE43)*BE15</f>
        <v>0</v>
      </c>
      <c r="BF42" s="12">
        <f>SUM(BB42:BE42)</f>
        <v>0</v>
      </c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  <c r="BP42" s="12" t="n"/>
      <c r="BQ42" s="12" t="n"/>
      <c r="BR42" s="12" t="n"/>
      <c r="BS42" s="12" t="n"/>
      <c r="BT42" s="12" t="n"/>
      <c r="BU42" s="12" t="n"/>
      <c r="BV42" s="12" t="n"/>
      <c r="BW42" s="12" t="n"/>
      <c r="BX42" s="12" t="n"/>
      <c r="BY42" s="12" t="n"/>
      <c r="BZ42" s="12" t="n"/>
      <c r="CA42" s="12" t="n"/>
      <c r="CB42" s="12" t="n"/>
      <c r="CC42" s="12" t="n"/>
      <c r="CD42" s="12" t="n"/>
      <c r="CE42" s="12" t="n"/>
      <c r="CF42" s="12" t="n"/>
      <c r="CG42" s="12" t="n"/>
      <c r="CH42" s="12" t="n"/>
      <c r="CI42" s="12" t="n"/>
      <c r="CJ42" s="12" t="n"/>
      <c r="CK42" s="12" t="n"/>
      <c r="CL42" s="12" t="n"/>
      <c r="CM42" s="12" t="n"/>
      <c r="CN42" s="12" t="n"/>
      <c r="CO42" s="12" t="n"/>
      <c r="CP42" s="12" t="n"/>
      <c r="CQ42" s="12" t="n"/>
      <c r="CR42" s="12" t="n"/>
      <c r="CS42" s="12" t="n"/>
      <c r="CT42" s="12" t="n"/>
      <c r="CU42" s="12" t="n"/>
      <c r="CV42" s="12" t="n"/>
      <c r="CW42" s="12" t="n"/>
      <c r="CX42" s="12" t="n"/>
      <c r="CY42" s="12" t="n"/>
    </row>
    <row r="43" hidden="1" outlineLevel="1" customFormat="1" s="3">
      <c r="C43" s="47" t="inlineStr">
        <is>
          <t>% Gross Margin</t>
        </is>
      </c>
      <c r="D43" s="48" t="n"/>
      <c r="E43" s="48" t="n"/>
      <c r="F43" s="48" t="n"/>
      <c r="G43" s="48" t="n"/>
      <c r="H43" s="48" t="n"/>
      <c r="I43" s="48">
        <f>IFERROR((I15+I42)/I$15,"")</f>
        <v>1</v>
      </c>
      <c r="J43" s="48">
        <f>IFERROR((J15+J42)/J$15,"")</f>
        <v>1</v>
      </c>
      <c r="K43" s="48">
        <f>IFERROR((K15+K42)/K$15,"")</f>
        <v>1</v>
      </c>
      <c r="L43" s="48">
        <f>IFERROR((L15+L42)/L$15,"")</f>
        <v>1</v>
      </c>
      <c r="M43" s="48">
        <f>IFERROR((M15+M42)/M$15,"")</f>
        <v>1</v>
      </c>
      <c r="N43" s="48">
        <f>IFERROR((N15+N42)/N$15,"")</f>
        <v>1</v>
      </c>
      <c r="O43" s="48">
        <f>IFERROR((O15+O42)/O$15,"")</f>
        <v>1</v>
      </c>
      <c r="P43" s="48">
        <f>IFERROR((P15+P42)/P$15,"")</f>
        <v>1</v>
      </c>
      <c r="Q43" s="48">
        <f>IFERROR((Q15+Q42)/Q$15,"")</f>
        <v>1</v>
      </c>
      <c r="R43" s="48">
        <f>IFERROR((R15+R42)/R$15,"")</f>
        <v>1</v>
      </c>
      <c r="S43" s="48">
        <f>IFERROR((S15+S42)/S$15,"")</f>
        <v>1</v>
      </c>
      <c r="T43" s="48">
        <f>IFERROR((T15+T42)/T$15,"")</f>
        <v>1</v>
      </c>
      <c r="U43" s="48">
        <f>IFERROR((U15+U42)/U$15,"")</f>
        <v>1</v>
      </c>
      <c r="V43" s="48">
        <f>IFERROR((V15+V42)/V$15,"")</f>
        <v>1</v>
      </c>
      <c r="W43" s="48">
        <f>IFERROR((W15+W42)/W$15,"")</f>
        <v>1</v>
      </c>
      <c r="X43" s="48">
        <f>IFERROR((X15+X42)/X$15,"")</f>
        <v>1</v>
      </c>
      <c r="Y43" s="48">
        <f>IFERROR((Y15+Y42)/Y$15,"")</f>
        <v>1</v>
      </c>
      <c r="Z43" s="48">
        <f>IFERROR((Z15+Z42)/Z$15,"")</f>
        <v>1</v>
      </c>
      <c r="AA43" s="48">
        <f>IFERROR((AA15+AA42)/AA$15,"")</f>
        <v>1</v>
      </c>
      <c r="AB43" s="48">
        <f>IFERROR((AB15+AB42)/AB$15,"")</f>
        <v>1</v>
      </c>
      <c r="AC43" s="48">
        <f>IFERROR((AC15+AC42)/AC$15,"")</f>
        <v>1</v>
      </c>
      <c r="AD43" s="48">
        <f>IFERROR((AD15+AD42)/AD$15,"")</f>
        <v>1</v>
      </c>
      <c r="AE43" s="48">
        <f>IFERROR((AE15+AE42)/AE$15,"")</f>
        <v>1</v>
      </c>
      <c r="AF43" s="41">
        <f>IFERROR((AF15+AF42)/AF$15,"")</f>
        <v>1</v>
      </c>
      <c r="AG43" s="48">
        <f>IFERROR((AG15+AG42)/AG$15,"")</f>
        <v>1</v>
      </c>
      <c r="AH43" s="49">
        <f>IFERROR((AH15+AH42)/AH$15,"")</f>
        <v>1</v>
      </c>
      <c r="AI43" s="49">
        <f>IFERROR((AI15+AI42)/AI$15,"")</f>
        <v>1</v>
      </c>
      <c r="AJ43" s="49">
        <f>Control!$B$19</f>
        <v>1</v>
      </c>
      <c r="AK43" s="49">
        <f>Control!$B$19</f>
        <v>1</v>
      </c>
      <c r="AL43" s="48">
        <f>IFERROR((AL15+AL42)/AL$15,"")</f>
        <v>1</v>
      </c>
      <c r="AM43" s="49">
        <f>Control!$C$19</f>
        <v>1</v>
      </c>
      <c r="AN43" s="49">
        <f>Control!$C$19</f>
        <v>1</v>
      </c>
      <c r="AO43" s="49">
        <f>Control!$C$19</f>
        <v>1</v>
      </c>
      <c r="AP43" s="49">
        <f>Control!$C$19</f>
        <v>1</v>
      </c>
      <c r="AQ43" s="48">
        <f>IFERROR((AQ15+AQ42)/AQ$15,"")</f>
        <v>1</v>
      </c>
      <c r="AR43" s="49">
        <f>Control!$D$19</f>
        <v>1</v>
      </c>
      <c r="AS43" s="49">
        <f>Control!$D$19</f>
        <v>1</v>
      </c>
      <c r="AT43" s="49">
        <f>Control!$D$19</f>
        <v>1</v>
      </c>
      <c r="AU43" s="49">
        <f>Control!$D$19</f>
        <v>1</v>
      </c>
      <c r="AV43" s="48">
        <f>IFERROR((AV15+AV42)/AV$15,"")</f>
        <v>1</v>
      </c>
      <c r="AW43" s="49">
        <f>Control!$E$19</f>
        <v>1</v>
      </c>
      <c r="AX43" s="49">
        <f>Control!$E$19</f>
        <v>1</v>
      </c>
      <c r="AY43" s="49">
        <f>Control!$E$19</f>
        <v>1</v>
      </c>
      <c r="AZ43" s="49">
        <f>Control!$E$19</f>
        <v>1</v>
      </c>
      <c r="BA43" s="48">
        <f>IFERROR((BA15+BA42)/BA$15,"")</f>
        <v>1</v>
      </c>
      <c r="BB43" s="49">
        <f>Control!$F$19</f>
        <v>1</v>
      </c>
      <c r="BC43" s="49">
        <f>Control!$F$19</f>
        <v>1</v>
      </c>
      <c r="BD43" s="49">
        <f>Control!$F$19</f>
        <v>1</v>
      </c>
      <c r="BE43" s="49">
        <f>Control!$F$19</f>
        <v>1</v>
      </c>
      <c r="BF43" s="48">
        <f>IFERROR((BF15+BF42)/BF$15,"")</f>
        <v>1</v>
      </c>
      <c r="BG43" s="49" t="n"/>
      <c r="BH43" s="49" t="n"/>
      <c r="BI43" s="49" t="n"/>
      <c r="BJ43" s="49" t="n"/>
      <c r="BK43" s="48" t="n"/>
      <c r="BL43" s="49" t="n"/>
      <c r="BM43" s="49" t="n"/>
      <c r="BN43" s="49" t="n"/>
      <c r="BO43" s="49" t="n"/>
      <c r="BP43" s="48" t="n"/>
      <c r="BQ43" s="49" t="n"/>
      <c r="BR43" s="49" t="n"/>
      <c r="BS43" s="49" t="n"/>
      <c r="BT43" s="49" t="n"/>
      <c r="BU43" s="48" t="n"/>
      <c r="BV43" s="49" t="n"/>
      <c r="BW43" s="49" t="n"/>
      <c r="BX43" s="49" t="n"/>
      <c r="BY43" s="49" t="n"/>
      <c r="BZ43" s="48" t="n"/>
      <c r="CA43" s="49" t="n"/>
      <c r="CB43" s="49" t="n"/>
      <c r="CC43" s="49" t="n"/>
      <c r="CD43" s="49" t="n"/>
      <c r="CE43" s="48" t="n"/>
      <c r="CF43" s="49" t="n"/>
      <c r="CG43" s="49" t="n"/>
      <c r="CH43" s="49" t="n"/>
      <c r="CI43" s="49" t="n"/>
      <c r="CJ43" s="48" t="n"/>
      <c r="CK43" s="49" t="n"/>
      <c r="CL43" s="49" t="n"/>
      <c r="CM43" s="49" t="n"/>
      <c r="CN43" s="49" t="n"/>
      <c r="CO43" s="48" t="n"/>
      <c r="CP43" s="49" t="n"/>
      <c r="CQ43" s="49" t="n"/>
      <c r="CR43" s="49" t="n"/>
      <c r="CS43" s="49" t="n"/>
      <c r="CT43" s="48" t="n"/>
      <c r="CU43" s="49" t="n"/>
      <c r="CV43" s="49" t="n"/>
      <c r="CW43" s="49" t="n"/>
      <c r="CX43" s="49" t="n"/>
      <c r="CY43" s="48" t="n"/>
    </row>
    <row r="44" hidden="1" outlineLevel="1">
      <c r="C44" s="50" t="n"/>
      <c r="D44" s="50" t="n"/>
      <c r="E44" s="50" t="n"/>
      <c r="F44" s="50" t="n"/>
      <c r="G44" s="50" t="n"/>
      <c r="H44" s="5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  <c r="AA44" s="50" t="n"/>
      <c r="AB44" s="50" t="n"/>
      <c r="AC44" s="50" t="n"/>
      <c r="AD44" s="50" t="n"/>
      <c r="AE44" s="50" t="n"/>
      <c r="AF44" s="50" t="n"/>
      <c r="AG44" s="50" t="n"/>
      <c r="AH44" s="50" t="n"/>
      <c r="AI44" s="50" t="n"/>
      <c r="AJ44" s="50" t="n"/>
      <c r="AK44" s="50" t="n"/>
      <c r="AL44" s="50" t="n"/>
      <c r="AM44" s="50" t="n"/>
      <c r="AN44" s="50" t="n"/>
      <c r="AO44" s="50" t="n"/>
      <c r="AP44" s="50" t="n"/>
      <c r="AQ44" s="50" t="n"/>
      <c r="AR44" s="50" t="n"/>
      <c r="AS44" s="50" t="n"/>
      <c r="AT44" s="50" t="n"/>
      <c r="AU44" s="50" t="n"/>
      <c r="AV44" s="50" t="n"/>
      <c r="AW44" s="50" t="n"/>
      <c r="AX44" s="50" t="n"/>
      <c r="AY44" s="50" t="n"/>
      <c r="AZ44" s="50" t="n"/>
      <c r="BA44" s="50" t="n"/>
      <c r="BB44" s="50" t="n"/>
      <c r="BC44" s="50" t="n"/>
      <c r="BD44" s="50" t="n"/>
      <c r="BE44" s="50" t="n"/>
      <c r="BF44" s="50" t="n"/>
      <c r="BG44" s="50" t="n"/>
      <c r="BH44" s="50" t="n"/>
      <c r="BI44" s="50" t="n"/>
      <c r="BJ44" s="50" t="n"/>
      <c r="BK44" s="50" t="n"/>
      <c r="BL44" s="50" t="n"/>
      <c r="BM44" s="50" t="n"/>
      <c r="BN44" s="50" t="n"/>
      <c r="BO44" s="50" t="n"/>
      <c r="BP44" s="50" t="n"/>
      <c r="BQ44" s="50" t="n"/>
      <c r="BR44" s="50" t="n"/>
      <c r="BS44" s="50" t="n"/>
      <c r="BT44" s="50" t="n"/>
      <c r="BU44" s="50" t="n"/>
      <c r="BV44" s="50" t="n"/>
      <c r="BW44" s="50" t="n"/>
      <c r="BX44" s="50" t="n"/>
      <c r="BY44" s="50" t="n"/>
      <c r="BZ44" s="50" t="n"/>
      <c r="CA44" s="50" t="n"/>
      <c r="CB44" s="50" t="n"/>
      <c r="CC44" s="50" t="n"/>
      <c r="CD44" s="50" t="n"/>
      <c r="CE44" s="50" t="n"/>
      <c r="CF44" s="50" t="n"/>
      <c r="CG44" s="50" t="n"/>
      <c r="CH44" s="50" t="n"/>
      <c r="CI44" s="50" t="n"/>
      <c r="CJ44" s="50" t="n"/>
      <c r="CK44" s="50" t="n"/>
      <c r="CL44" s="50" t="n"/>
      <c r="CM44" s="50" t="n"/>
      <c r="CN44" s="50" t="n"/>
      <c r="CO44" s="50" t="n"/>
      <c r="CP44" s="50" t="n"/>
      <c r="CQ44" s="50" t="n"/>
      <c r="CR44" s="50" t="n"/>
      <c r="CS44" s="50" t="n"/>
      <c r="CT44" s="50" t="n"/>
      <c r="CU44" s="50" t="n"/>
      <c r="CV44" s="50" t="n"/>
      <c r="CW44" s="50" t="n"/>
      <c r="CX44" s="50" t="n"/>
      <c r="CY44" s="50" t="n"/>
    </row>
    <row r="45" hidden="1" outlineLevel="1">
      <c r="C45" s="50" t="n"/>
      <c r="D45" s="50" t="n"/>
      <c r="E45" s="50" t="n"/>
      <c r="F45" s="50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  <c r="AA45" s="50" t="n"/>
      <c r="AB45" s="50" t="n"/>
      <c r="AC45" s="50" t="n"/>
      <c r="AD45" s="50" t="n"/>
      <c r="AE45" s="50" t="n"/>
      <c r="AF45" s="50" t="n"/>
      <c r="AG45" s="50" t="n"/>
      <c r="AH45" s="50" t="n"/>
      <c r="AI45" s="50" t="n"/>
      <c r="AJ45" s="50" t="n"/>
      <c r="AK45" s="50" t="n"/>
      <c r="AL45" s="50" t="n"/>
      <c r="AM45" s="50" t="n"/>
      <c r="AN45" s="50" t="n"/>
      <c r="AO45" s="50" t="n"/>
      <c r="AP45" s="50" t="n"/>
      <c r="AQ45" s="50" t="n"/>
      <c r="AR45" s="50" t="n"/>
      <c r="AS45" s="50" t="n"/>
      <c r="AT45" s="50" t="n"/>
      <c r="AU45" s="50" t="n"/>
      <c r="AV45" s="50" t="n"/>
      <c r="AW45" s="50" t="n"/>
      <c r="AX45" s="50" t="n"/>
      <c r="AY45" s="50" t="n"/>
      <c r="AZ45" s="50" t="n"/>
      <c r="BA45" s="50" t="n"/>
      <c r="BB45" s="50" t="n"/>
      <c r="BC45" s="50" t="n"/>
      <c r="BD45" s="50" t="n"/>
      <c r="BE45" s="50" t="n"/>
      <c r="BF45" s="50" t="n"/>
      <c r="BG45" s="50" t="n"/>
      <c r="BH45" s="50" t="n"/>
      <c r="BI45" s="50" t="n"/>
      <c r="BJ45" s="50" t="n"/>
      <c r="BK45" s="50" t="n"/>
      <c r="BL45" s="50" t="n"/>
      <c r="BM45" s="50" t="n"/>
      <c r="BN45" s="50" t="n"/>
      <c r="BO45" s="50" t="n"/>
      <c r="BP45" s="50" t="n"/>
      <c r="BQ45" s="50" t="n"/>
      <c r="BR45" s="50" t="n"/>
      <c r="BS45" s="50" t="n"/>
      <c r="BT45" s="50" t="n"/>
      <c r="BU45" s="50" t="n"/>
      <c r="BV45" s="50" t="n"/>
      <c r="BW45" s="50" t="n"/>
      <c r="BX45" s="50" t="n"/>
      <c r="BY45" s="50" t="n"/>
      <c r="BZ45" s="50" t="n"/>
      <c r="CA45" s="50" t="n"/>
      <c r="CB45" s="50" t="n"/>
      <c r="CC45" s="50" t="n"/>
      <c r="CD45" s="50" t="n"/>
      <c r="CE45" s="50" t="n"/>
      <c r="CF45" s="50" t="n"/>
      <c r="CG45" s="50" t="n"/>
      <c r="CH45" s="50" t="n"/>
      <c r="CI45" s="50" t="n"/>
      <c r="CJ45" s="50" t="n"/>
      <c r="CK45" s="50" t="n"/>
      <c r="CL45" s="50" t="n"/>
      <c r="CM45" s="50" t="n"/>
      <c r="CN45" s="50" t="n"/>
      <c r="CO45" s="50" t="n"/>
      <c r="CP45" s="50" t="n"/>
      <c r="CQ45" s="50" t="n"/>
      <c r="CR45" s="50" t="n"/>
      <c r="CS45" s="50" t="n"/>
      <c r="CT45" s="50" t="n"/>
      <c r="CU45" s="50" t="n"/>
      <c r="CV45" s="50" t="n"/>
      <c r="CW45" s="50" t="n"/>
      <c r="CX45" s="50" t="n"/>
      <c r="CY45" s="50" t="n"/>
    </row>
    <row r="46" collapsed="1">
      <c r="C46" s="13" t="inlineStr">
        <is>
          <t>SG&amp;A and Other (cash)</t>
        </is>
      </c>
      <c r="D46" s="46" t="n"/>
      <c r="E46" s="46" t="n"/>
      <c r="F46" s="46" t="n"/>
      <c r="G46" s="46" t="n"/>
      <c r="H46" s="12" t="n"/>
      <c r="I46" s="46">
        <f>'Inputs (2)'!D6</f>
        <v>-5255</v>
      </c>
      <c r="J46" s="46">
        <f>'Inputs (2)'!E6</f>
        <v>-3121</v>
      </c>
      <c r="K46" s="46">
        <f>'Inputs (2)'!F6</f>
        <v>-2135</v>
      </c>
      <c r="L46" s="46">
        <f>'Inputs (2)'!G6</f>
        <v>-4945</v>
      </c>
      <c r="M46" s="12">
        <f>'Inputs (2)'!H6</f>
        <v>-15456</v>
      </c>
      <c r="N46" s="46">
        <f>'Inputs (2)'!I6</f>
        <v>-4554</v>
      </c>
      <c r="O46" s="46">
        <f>'Inputs (2)'!J6</f>
        <v>-4588</v>
      </c>
      <c r="P46" s="46">
        <f>'Inputs (2)'!K6</f>
        <v>-5489</v>
      </c>
      <c r="Q46" s="46">
        <f>'Inputs (2)'!L6</f>
        <v>-6888</v>
      </c>
      <c r="R46" s="12">
        <f>'Inputs (2)'!M6</f>
        <v>-21519</v>
      </c>
      <c r="S46" s="46">
        <f>'Inputs (2)'!N6</f>
        <v>-6929</v>
      </c>
      <c r="T46" s="46">
        <f>'Inputs (2)'!O6</f>
        <v>-4163</v>
      </c>
      <c r="U46" s="46">
        <f>'Inputs (2)'!P6</f>
        <v>-4513</v>
      </c>
      <c r="V46" s="46">
        <f>'Inputs (2)'!Q6</f>
        <v>-5189</v>
      </c>
      <c r="W46" s="12">
        <f>'Inputs (2)'!R6</f>
        <v>-20794</v>
      </c>
      <c r="X46" s="46">
        <f>'Inputs (2)'!S6</f>
        <v>-4654</v>
      </c>
      <c r="Y46" s="46">
        <f>'Inputs (2)'!T6</f>
        <v>-3681</v>
      </c>
      <c r="Z46" s="46">
        <f>'Inputs (2)'!U6</f>
        <v>-4422</v>
      </c>
      <c r="AA46" s="46">
        <f>'Inputs (2)'!V6</f>
        <v>-3759</v>
      </c>
      <c r="AB46" s="12">
        <f>'Inputs (2)'!W6</f>
        <v>-16516</v>
      </c>
      <c r="AC46" s="46">
        <f>'Inputs (2)'!X6</f>
        <v>-5697</v>
      </c>
      <c r="AD46" s="46">
        <f>'Inputs (2)'!Y6</f>
        <v>-4490</v>
      </c>
      <c r="AE46" s="46">
        <f>'Inputs (2)'!Z6</f>
        <v>-4839</v>
      </c>
      <c r="AF46" s="46">
        <f>'Inputs (2)'!AA6</f>
        <v>-4820</v>
      </c>
      <c r="AG46" s="12">
        <f>'Inputs (2)'!AB6</f>
        <v>-19846</v>
      </c>
      <c r="AH46" s="12">
        <f>'Inputs (2)'!AC6</f>
        <v>-7588</v>
      </c>
      <c r="AI46" s="12">
        <f>'Inputs (2)'!AD6</f>
        <v>-5758</v>
      </c>
      <c r="AJ46" s="12">
        <f>-AJ15*AJ47</f>
        <v>-5998.55043337744</v>
      </c>
      <c r="AK46" s="12">
        <f>-AK15*AK47</f>
        <v>-5545.69183140557</v>
      </c>
      <c r="AL46" s="12">
        <f>SUM(AH46:AK46)</f>
        <v>-24890.242264783</v>
      </c>
      <c r="AM46" s="12">
        <f>-AM15*AM47</f>
        <v>-10154.6237321193</v>
      </c>
      <c r="AN46" s="12">
        <f>-AN15*AN47</f>
        <v>-6851.31239757448</v>
      </c>
      <c r="AO46" s="12">
        <f>-AO15*AO47</f>
        <v>-7214.43584775042</v>
      </c>
      <c r="AP46" s="12">
        <f>-AP15*AP47</f>
        <v>-6669.78437431294</v>
      </c>
      <c r="AQ46" s="12">
        <f>SUM(AM46:AP46)</f>
        <v>-30890.1563517572</v>
      </c>
      <c r="AR46" s="12">
        <f>-AR15*AR47</f>
        <v>-12162.1577030563</v>
      </c>
      <c r="AS46" s="12">
        <f>-AS15*AS47</f>
        <v>-8205.79314905005</v>
      </c>
      <c r="AT46" s="12">
        <f>-AT15*AT47</f>
        <v>-8640.70484870748</v>
      </c>
      <c r="AU46" s="12">
        <f>-AU15*AU47</f>
        <v>-7988.37766378223</v>
      </c>
      <c r="AV46" s="12">
        <f>SUM(AR46:AU46)</f>
        <v>-36997.0333645961</v>
      </c>
      <c r="AW46" s="12">
        <f>-AW15*AW47</f>
        <v>-14505.7634042974</v>
      </c>
      <c r="AX46" s="12">
        <f>-AX15*AX47</f>
        <v>-9787.02109205607</v>
      </c>
      <c r="AY46" s="12">
        <f>-AY15*AY47</f>
        <v>-10305.7387711901</v>
      </c>
      <c r="AZ46" s="12">
        <f>-AZ15*AZ47</f>
        <v>-9527.71039516114</v>
      </c>
      <c r="BA46" s="12">
        <f>SUM(AW46:AZ46)</f>
        <v>-44126.2336627047</v>
      </c>
      <c r="BB46" s="12">
        <f>-BB15*BB47</f>
        <v>-17228.4449969076</v>
      </c>
      <c r="BC46" s="12">
        <f>-BC15*BC47</f>
        <v>-11624.0110822509</v>
      </c>
      <c r="BD46" s="12">
        <f>-BD15*BD47</f>
        <v>-12240.0902746936</v>
      </c>
      <c r="BE46" s="12">
        <f>-BE15*BE47</f>
        <v>-11316.0286649146</v>
      </c>
      <c r="BF46" s="12">
        <f>SUM(BB46:BE46)</f>
        <v>-52408.5750187667</v>
      </c>
      <c r="BG46" s="12" t="n"/>
      <c r="BH46" s="12" t="n"/>
      <c r="BI46" s="12" t="n"/>
      <c r="BJ46" s="12" t="n"/>
      <c r="BK46" s="12" t="n"/>
      <c r="BL46" s="12" t="n"/>
      <c r="BM46" s="12" t="n"/>
      <c r="BN46" s="12" t="n"/>
      <c r="BO46" s="12" t="n"/>
      <c r="BP46" s="12" t="n"/>
      <c r="BQ46" s="12" t="n"/>
      <c r="BR46" s="12" t="n"/>
      <c r="BS46" s="12" t="n"/>
      <c r="BT46" s="12" t="n"/>
      <c r="BU46" s="12" t="n"/>
      <c r="BV46" s="12" t="n"/>
      <c r="BW46" s="12" t="n"/>
      <c r="BX46" s="12" t="n"/>
      <c r="BY46" s="12" t="n"/>
      <c r="BZ46" s="12" t="n"/>
      <c r="CA46" s="12" t="n"/>
      <c r="CB46" s="12" t="n"/>
      <c r="CC46" s="12" t="n"/>
      <c r="CD46" s="12" t="n"/>
      <c r="CE46" s="12" t="n"/>
      <c r="CF46" s="12" t="n"/>
      <c r="CG46" s="12" t="n"/>
      <c r="CH46" s="12" t="n"/>
      <c r="CI46" s="12" t="n"/>
      <c r="CJ46" s="12" t="n"/>
      <c r="CK46" s="12" t="n"/>
      <c r="CL46" s="12" t="n"/>
      <c r="CM46" s="12" t="n"/>
      <c r="CN46" s="12" t="n"/>
      <c r="CO46" s="12" t="n"/>
      <c r="CP46" s="12" t="n"/>
      <c r="CQ46" s="12" t="n"/>
      <c r="CR46" s="12" t="n"/>
      <c r="CS46" s="12" t="n"/>
      <c r="CT46" s="12" t="n"/>
      <c r="CU46" s="12" t="n"/>
      <c r="CV46" s="12" t="n"/>
      <c r="CW46" s="12" t="n"/>
      <c r="CX46" s="12" t="n"/>
      <c r="CY46" s="12" t="n"/>
    </row>
    <row r="47" hidden="1" outlineLevel="1">
      <c r="C47" s="38" t="inlineStr">
        <is>
          <t>% SG&amp;A and Other Margin</t>
        </is>
      </c>
      <c r="D47" s="51" t="n"/>
      <c r="E47" s="51" t="n"/>
      <c r="F47" s="51" t="n"/>
      <c r="G47" s="51" t="n"/>
      <c r="H47" s="51" t="n"/>
      <c r="I47" s="51">
        <f>IFERROR(-(I46/I$15),"")</f>
        <v>0.945313905378665</v>
      </c>
      <c r="J47" s="51">
        <f>IFERROR(-(J46/J$15),"")</f>
        <v>0.751504936190706</v>
      </c>
      <c r="K47" s="51">
        <f>IFERROR(-(K46/K$15),"")</f>
        <v>0.484566500226963</v>
      </c>
      <c r="L47" s="51">
        <f>IFERROR(-(L46/L$15),"")</f>
        <v>0.893890093998554</v>
      </c>
      <c r="M47" s="51">
        <f>IFERROR(-(M46/M$15),"")</f>
        <v>0.786564885496183</v>
      </c>
      <c r="N47" s="51">
        <f>IFERROR(-(N46/N$15),"")</f>
        <v>0.814523341083885</v>
      </c>
      <c r="O47" s="51">
        <f>IFERROR(-(O46/O$15),"")</f>
        <v>0.839524245196706</v>
      </c>
      <c r="P47" s="51">
        <f>IFERROR(-(P46/P$15),"")</f>
        <v>0.90712278962155</v>
      </c>
      <c r="Q47" s="51">
        <f>IFERROR(-(Q46/Q$15),"")</f>
        <v>0.939315423428338</v>
      </c>
      <c r="R47" s="51">
        <f>IFERROR(-(R46/R$15),"")</f>
        <v>0.880482815057283</v>
      </c>
      <c r="S47" s="51">
        <f>IFERROR(-(S46/S$15),"")</f>
        <v>0.915928618638467</v>
      </c>
      <c r="T47" s="51">
        <f>IFERROR(-(T46/T$15),"")</f>
        <v>0.764414248990085</v>
      </c>
      <c r="U47" s="51">
        <f>IFERROR(-(U46/U$15),"")</f>
        <v>0.738504336442481</v>
      </c>
      <c r="V47" s="51">
        <f>IFERROR(-(V46/V$15),"")</f>
        <v>0.895272601794341</v>
      </c>
      <c r="W47" s="51">
        <f>IFERROR(-(W46/W$15),"")</f>
        <v>0.834497150654146</v>
      </c>
      <c r="X47" s="51">
        <f>IFERROR(-(X46/X$15),"")</f>
        <v>0.755396851160526</v>
      </c>
      <c r="Y47" s="51">
        <f>IFERROR(-(Y46/Y$15),"")</f>
        <v>0.672328767123288</v>
      </c>
      <c r="Z47" s="51">
        <f>IFERROR(-(Z46/Z$15),"")</f>
        <v>0.675114503816794</v>
      </c>
      <c r="AA47" s="51">
        <f>IFERROR(-(AA46/AA$15),"")</f>
        <v>0.698439241917503</v>
      </c>
      <c r="AB47" s="51">
        <f>IFERROR(-(AB46/AB$15),"")</f>
        <v>0.700780719619824</v>
      </c>
      <c r="AC47" s="51">
        <f>IFERROR(-(AC46/AC$15),"")</f>
        <v>0.839275191514437</v>
      </c>
      <c r="AD47" s="51">
        <f>IFERROR(-(AD46/AD$15),"")</f>
        <v>0.735944927061138</v>
      </c>
      <c r="AE47" s="51">
        <f>IFERROR(-(AE46/AE$15),"")</f>
        <v>0.736529680365297</v>
      </c>
      <c r="AF47" s="41">
        <f>IFERROR(-(AF46/AF$15),"")</f>
        <v>0.793546262759302</v>
      </c>
      <c r="AG47" s="51">
        <f>IFERROR(-(AG46/AG$15),"")</f>
        <v>0.777268632749775</v>
      </c>
      <c r="AH47" s="52">
        <f>IFERROR(-(AH46/AH$15),"")</f>
        <v>0.682251393634239</v>
      </c>
      <c r="AI47" s="52">
        <f>IFERROR(-(AI46/AI$15),"")</f>
        <v>0.767324093816631</v>
      </c>
      <c r="AJ47" s="52">
        <f>Control!$B$20</f>
        <v>0.759145258191841</v>
      </c>
      <c r="AK47" s="52">
        <f>Control!$B$20</f>
        <v>0.759145258191841</v>
      </c>
      <c r="AL47" s="51">
        <f>IFERROR(-(AL46/AL$15),"")</f>
        <v>0.735681715446259</v>
      </c>
      <c r="AM47" s="52">
        <f>Control!$C$20</f>
        <v>0.759145258191841</v>
      </c>
      <c r="AN47" s="52">
        <f>Control!$C$20</f>
        <v>0.759145258191841</v>
      </c>
      <c r="AO47" s="52">
        <f>Control!$C$20</f>
        <v>0.759145258191841</v>
      </c>
      <c r="AP47" s="52">
        <f>Control!$C$20</f>
        <v>0.759145258191841</v>
      </c>
      <c r="AQ47" s="51">
        <f>IFERROR(-(AQ46/AQ$15),"")</f>
        <v>0.75914525819184</v>
      </c>
      <c r="AR47" s="52">
        <f>Control!$D$20</f>
        <v>0.759145258191841</v>
      </c>
      <c r="AS47" s="52">
        <f>Control!$D$20</f>
        <v>0.759145258191841</v>
      </c>
      <c r="AT47" s="52">
        <f>Control!$D$20</f>
        <v>0.759145258191841</v>
      </c>
      <c r="AU47" s="52">
        <f>Control!$D$20</f>
        <v>0.759145258191841</v>
      </c>
      <c r="AV47" s="51">
        <f>IFERROR(-(AV46/AV$15),"")</f>
        <v>0.759145258191841</v>
      </c>
      <c r="AW47" s="52">
        <f>Control!$E$20</f>
        <v>0.759145258191841</v>
      </c>
      <c r="AX47" s="52">
        <f>Control!$E$20</f>
        <v>0.759145258191841</v>
      </c>
      <c r="AY47" s="52">
        <f>Control!$E$20</f>
        <v>0.759145258191841</v>
      </c>
      <c r="AZ47" s="52">
        <f>Control!$E$20</f>
        <v>0.759145258191841</v>
      </c>
      <c r="BA47" s="51">
        <f>IFERROR(-(BA46/BA$15),"")</f>
        <v>0.759145258191841</v>
      </c>
      <c r="BB47" s="52">
        <f>Control!$F$20</f>
        <v>0.759145258191841</v>
      </c>
      <c r="BC47" s="52">
        <f>Control!$F$20</f>
        <v>0.759145258191841</v>
      </c>
      <c r="BD47" s="52">
        <f>Control!$F$20</f>
        <v>0.759145258191841</v>
      </c>
      <c r="BE47" s="52">
        <f>Control!$F$20</f>
        <v>0.759145258191841</v>
      </c>
      <c r="BF47" s="51">
        <f>IFERROR(-(BF46/BF$15),"")</f>
        <v>0.759145258191841</v>
      </c>
      <c r="BG47" s="52" t="n"/>
      <c r="BH47" s="52" t="n"/>
      <c r="BI47" s="52" t="n"/>
      <c r="BJ47" s="52" t="n"/>
      <c r="BK47" s="51" t="n"/>
      <c r="BL47" s="52" t="n"/>
      <c r="BM47" s="52" t="n"/>
      <c r="BN47" s="52" t="n"/>
      <c r="BO47" s="52" t="n"/>
      <c r="BP47" s="51" t="n"/>
      <c r="BQ47" s="52" t="n"/>
      <c r="BR47" s="52" t="n"/>
      <c r="BS47" s="52" t="n"/>
      <c r="BT47" s="52" t="n"/>
      <c r="BU47" s="51" t="n"/>
      <c r="BV47" s="52" t="n"/>
      <c r="BW47" s="52" t="n"/>
      <c r="BX47" s="52" t="n"/>
      <c r="BY47" s="52" t="n"/>
      <c r="BZ47" s="51" t="n"/>
      <c r="CA47" s="52" t="n"/>
      <c r="CB47" s="52" t="n"/>
      <c r="CC47" s="52" t="n"/>
      <c r="CD47" s="52" t="n"/>
      <c r="CE47" s="51" t="n"/>
      <c r="CF47" s="52" t="n"/>
      <c r="CG47" s="52" t="n"/>
      <c r="CH47" s="52" t="n"/>
      <c r="CI47" s="52" t="n"/>
      <c r="CJ47" s="51" t="n"/>
      <c r="CK47" s="52" t="n"/>
      <c r="CL47" s="52" t="n"/>
      <c r="CM47" s="52" t="n"/>
      <c r="CN47" s="52" t="n"/>
      <c r="CO47" s="51" t="n"/>
      <c r="CP47" s="52" t="n"/>
      <c r="CQ47" s="52" t="n"/>
      <c r="CR47" s="52" t="n"/>
      <c r="CS47" s="52" t="n"/>
      <c r="CT47" s="51" t="n"/>
      <c r="CU47" s="52" t="n"/>
      <c r="CV47" s="52" t="n"/>
      <c r="CW47" s="52" t="n"/>
      <c r="CX47" s="52" t="n"/>
      <c r="CY47" s="51" t="n"/>
    </row>
    <row r="48" hidden="1" outlineLevel="1">
      <c r="C48" s="50" t="n"/>
      <c r="D48" s="50" t="n"/>
      <c r="E48" s="50" t="n"/>
      <c r="F48" s="50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  <c r="AA48" s="50" t="n"/>
      <c r="AB48" s="50" t="n"/>
      <c r="AC48" s="50" t="n"/>
      <c r="AD48" s="50" t="n"/>
      <c r="AE48" s="50" t="n"/>
      <c r="AF48" s="50" t="n"/>
      <c r="AG48" s="50" t="n"/>
      <c r="AH48" s="50" t="n"/>
      <c r="AI48" s="50" t="n"/>
      <c r="AJ48" s="50" t="n"/>
      <c r="AK48" s="50" t="n"/>
      <c r="AL48" s="50" t="n"/>
      <c r="AM48" s="50" t="n"/>
      <c r="AN48" s="50" t="n"/>
      <c r="AO48" s="50" t="n"/>
      <c r="AP48" s="50" t="n"/>
      <c r="AQ48" s="50" t="n"/>
      <c r="AR48" s="50" t="n"/>
      <c r="AS48" s="50" t="n"/>
      <c r="AT48" s="50" t="n"/>
      <c r="AU48" s="50" t="n"/>
      <c r="AV48" s="50" t="n"/>
      <c r="AW48" s="50" t="n"/>
      <c r="AX48" s="50" t="n"/>
      <c r="AY48" s="50" t="n"/>
      <c r="AZ48" s="50" t="n"/>
      <c r="BA48" s="50" t="n"/>
      <c r="BB48" s="50" t="n"/>
      <c r="BC48" s="50" t="n"/>
      <c r="BD48" s="50" t="n"/>
      <c r="BE48" s="50" t="n"/>
      <c r="BF48" s="50" t="n"/>
      <c r="BG48" s="50" t="n"/>
      <c r="BH48" s="50" t="n"/>
      <c r="BI48" s="50" t="n"/>
      <c r="BJ48" s="50" t="n"/>
      <c r="BK48" s="50" t="n"/>
      <c r="BL48" s="50" t="n"/>
      <c r="BM48" s="50" t="n"/>
      <c r="BN48" s="50" t="n"/>
      <c r="BO48" s="50" t="n"/>
      <c r="BP48" s="50" t="n"/>
      <c r="BQ48" s="50" t="n"/>
      <c r="BR48" s="50" t="n"/>
      <c r="BS48" s="50" t="n"/>
      <c r="BT48" s="50" t="n"/>
      <c r="BU48" s="50" t="n"/>
      <c r="BV48" s="50" t="n"/>
      <c r="BW48" s="50" t="n"/>
      <c r="BX48" s="50" t="n"/>
      <c r="BY48" s="50" t="n"/>
      <c r="BZ48" s="50" t="n"/>
      <c r="CA48" s="50" t="n"/>
      <c r="CB48" s="50" t="n"/>
      <c r="CC48" s="50" t="n"/>
      <c r="CD48" s="50" t="n"/>
      <c r="CE48" s="50" t="n"/>
      <c r="CF48" s="50" t="n"/>
      <c r="CG48" s="50" t="n"/>
      <c r="CH48" s="50" t="n"/>
      <c r="CI48" s="50" t="n"/>
      <c r="CJ48" s="50" t="n"/>
      <c r="CK48" s="50" t="n"/>
      <c r="CL48" s="50" t="n"/>
      <c r="CM48" s="50" t="n"/>
      <c r="CN48" s="50" t="n"/>
      <c r="CO48" s="50" t="n"/>
      <c r="CP48" s="50" t="n"/>
      <c r="CQ48" s="50" t="n"/>
      <c r="CR48" s="50" t="n"/>
      <c r="CS48" s="50" t="n"/>
      <c r="CT48" s="50" t="n"/>
      <c r="CU48" s="50" t="n"/>
      <c r="CV48" s="50" t="n"/>
      <c r="CW48" s="50" t="n"/>
      <c r="CX48" s="50" t="n"/>
      <c r="CY48" s="50" t="n"/>
    </row>
    <row r="49" hidden="1" outlineLevel="1">
      <c r="C49" s="50" t="inlineStr">
        <is>
          <t>Com Vendas</t>
        </is>
      </c>
      <c r="D49" s="11" t="n"/>
      <c r="E49" s="11" t="n"/>
      <c r="F49" s="11" t="n"/>
      <c r="G49" s="11" t="n"/>
      <c r="H49" s="50" t="n"/>
      <c r="I49" s="11" t="n"/>
      <c r="J49" s="11" t="n"/>
      <c r="K49" s="11" t="n"/>
      <c r="L49" s="11" t="n"/>
      <c r="M49" s="50" t="n"/>
      <c r="N49" s="11" t="n"/>
      <c r="O49" s="11" t="n"/>
      <c r="P49" s="11" t="n"/>
      <c r="Q49" s="11" t="n"/>
      <c r="R49" s="50" t="n"/>
      <c r="S49" s="11" t="n"/>
      <c r="T49" s="11" t="n"/>
      <c r="U49" s="11" t="n"/>
      <c r="V49" s="11" t="n"/>
      <c r="W49" s="50" t="n"/>
      <c r="X49" s="11" t="n"/>
      <c r="Y49" s="11" t="n"/>
      <c r="Z49" s="11" t="n"/>
      <c r="AA49" s="11" t="n"/>
      <c r="AB49" s="50" t="n"/>
      <c r="AC49" s="11" t="n"/>
      <c r="AD49" s="11" t="n"/>
      <c r="AE49" s="11" t="n"/>
      <c r="AF49" s="11" t="n"/>
      <c r="AG49" s="50" t="n"/>
      <c r="AH49" s="50" t="n"/>
      <c r="AI49" s="50" t="n"/>
      <c r="AJ49" s="50" t="n"/>
      <c r="AK49" s="50" t="n"/>
      <c r="AL49" s="50" t="n"/>
      <c r="AM49" s="50" t="n"/>
      <c r="AN49" s="50" t="n"/>
      <c r="AO49" s="50" t="n"/>
      <c r="AP49" s="50" t="n"/>
      <c r="AQ49" s="50" t="n"/>
      <c r="AR49" s="50" t="n"/>
      <c r="AS49" s="50" t="n"/>
      <c r="AT49" s="50" t="n"/>
      <c r="AU49" s="50" t="n"/>
      <c r="AV49" s="50" t="n"/>
      <c r="AW49" s="50" t="n"/>
      <c r="AX49" s="50" t="n"/>
      <c r="AY49" s="50" t="n"/>
      <c r="AZ49" s="50" t="n"/>
      <c r="BA49" s="50" t="n"/>
      <c r="BB49" s="50" t="n"/>
      <c r="BC49" s="50" t="n"/>
      <c r="BD49" s="50" t="n"/>
      <c r="BE49" s="50" t="n"/>
      <c r="BF49" s="50" t="n"/>
      <c r="BG49" s="50" t="n"/>
      <c r="BH49" s="50" t="n"/>
      <c r="BI49" s="50" t="n"/>
      <c r="BJ49" s="50" t="n"/>
      <c r="BK49" s="50" t="n"/>
      <c r="BL49" s="50" t="n"/>
      <c r="BM49" s="50" t="n"/>
      <c r="BN49" s="50" t="n"/>
      <c r="BO49" s="50" t="n"/>
      <c r="BP49" s="50" t="n"/>
      <c r="BQ49" s="50" t="n"/>
      <c r="BR49" s="50" t="n"/>
      <c r="BS49" s="50" t="n"/>
      <c r="BT49" s="50" t="n"/>
      <c r="BU49" s="50" t="n"/>
      <c r="BV49" s="50" t="n"/>
      <c r="BW49" s="50" t="n"/>
      <c r="BX49" s="50" t="n"/>
      <c r="BY49" s="50" t="n"/>
      <c r="BZ49" s="50" t="n"/>
      <c r="CA49" s="50" t="n"/>
      <c r="CB49" s="50" t="n"/>
      <c r="CC49" s="50" t="n"/>
      <c r="CD49" s="50" t="n"/>
      <c r="CE49" s="50" t="n"/>
      <c r="CF49" s="50" t="n"/>
      <c r="CG49" s="50" t="n"/>
      <c r="CH49" s="50" t="n"/>
      <c r="CI49" s="50" t="n"/>
      <c r="CJ49" s="50" t="n"/>
      <c r="CK49" s="50" t="n"/>
      <c r="CL49" s="50" t="n"/>
      <c r="CM49" s="50" t="n"/>
      <c r="CN49" s="50" t="n"/>
      <c r="CO49" s="50" t="n"/>
      <c r="CP49" s="50" t="n"/>
      <c r="CQ49" s="50" t="n"/>
      <c r="CR49" s="50" t="n"/>
      <c r="CS49" s="50" t="n"/>
      <c r="CT49" s="50" t="n"/>
      <c r="CU49" s="50" t="n"/>
      <c r="CV49" s="50" t="n"/>
      <c r="CW49" s="50" t="n"/>
      <c r="CX49" s="50" t="n"/>
      <c r="CY49" s="50" t="n"/>
    </row>
    <row r="50" hidden="1" outlineLevel="1">
      <c r="C50" s="50" t="inlineStr">
        <is>
          <t>Gerais &amp; Administrativas</t>
        </is>
      </c>
      <c r="D50" s="11" t="n"/>
      <c r="E50" s="11" t="n"/>
      <c r="F50" s="11" t="n"/>
      <c r="G50" s="11" t="n"/>
      <c r="H50" s="50" t="n"/>
      <c r="I50" s="11" t="n"/>
      <c r="J50" s="11" t="n"/>
      <c r="K50" s="11" t="n"/>
      <c r="L50" s="11" t="n"/>
      <c r="M50" s="50" t="n"/>
      <c r="N50" s="11" t="n"/>
      <c r="O50" s="11" t="n"/>
      <c r="P50" s="11" t="n"/>
      <c r="Q50" s="11" t="n"/>
      <c r="R50" s="50" t="n"/>
      <c r="S50" s="11" t="n"/>
      <c r="T50" s="11" t="n"/>
      <c r="U50" s="11" t="n"/>
      <c r="V50" s="11" t="n"/>
      <c r="W50" s="50" t="n"/>
      <c r="X50" s="11" t="n"/>
      <c r="Y50" s="11" t="n"/>
      <c r="Z50" s="11" t="n"/>
      <c r="AA50" s="11" t="n"/>
      <c r="AB50" s="50" t="n"/>
      <c r="AC50" s="11" t="n"/>
      <c r="AD50" s="11" t="n"/>
      <c r="AE50" s="11" t="n"/>
      <c r="AF50" s="11" t="n"/>
      <c r="AG50" s="50" t="n"/>
      <c r="AH50" s="50" t="n"/>
      <c r="AI50" s="50" t="n"/>
      <c r="AJ50" s="50" t="n"/>
      <c r="AK50" s="50" t="n"/>
      <c r="AL50" s="50" t="n"/>
      <c r="AM50" s="50" t="n"/>
      <c r="AN50" s="50" t="n"/>
      <c r="AO50" s="50" t="n"/>
      <c r="AP50" s="50" t="n"/>
      <c r="AQ50" s="50" t="n"/>
      <c r="AR50" s="50" t="n"/>
      <c r="AS50" s="50" t="n"/>
      <c r="AT50" s="50" t="n"/>
      <c r="AU50" s="50" t="n"/>
      <c r="AV50" s="50" t="n"/>
      <c r="AW50" s="50" t="n"/>
      <c r="AX50" s="50" t="n"/>
      <c r="AY50" s="50" t="n"/>
      <c r="AZ50" s="50" t="n"/>
      <c r="BA50" s="50" t="n"/>
      <c r="BB50" s="50" t="n"/>
      <c r="BC50" s="50" t="n"/>
      <c r="BD50" s="50" t="n"/>
      <c r="BE50" s="50" t="n"/>
      <c r="BF50" s="50" t="n"/>
      <c r="BG50" s="50" t="n"/>
      <c r="BH50" s="50" t="n"/>
      <c r="BI50" s="50" t="n"/>
      <c r="BJ50" s="50" t="n"/>
      <c r="BK50" s="50" t="n"/>
      <c r="BL50" s="50" t="n"/>
      <c r="BM50" s="50" t="n"/>
      <c r="BN50" s="50" t="n"/>
      <c r="BO50" s="50" t="n"/>
      <c r="BP50" s="50" t="n"/>
      <c r="BQ50" s="50" t="n"/>
      <c r="BR50" s="50" t="n"/>
      <c r="BS50" s="50" t="n"/>
      <c r="BT50" s="50" t="n"/>
      <c r="BU50" s="50" t="n"/>
      <c r="BV50" s="50" t="n"/>
      <c r="BW50" s="50" t="n"/>
      <c r="BX50" s="50" t="n"/>
      <c r="BY50" s="50" t="n"/>
      <c r="BZ50" s="50" t="n"/>
      <c r="CA50" s="50" t="n"/>
      <c r="CB50" s="50" t="n"/>
      <c r="CC50" s="50" t="n"/>
      <c r="CD50" s="50" t="n"/>
      <c r="CE50" s="50" t="n"/>
      <c r="CF50" s="50" t="n"/>
      <c r="CG50" s="50" t="n"/>
      <c r="CH50" s="50" t="n"/>
      <c r="CI50" s="50" t="n"/>
      <c r="CJ50" s="50" t="n"/>
      <c r="CK50" s="50" t="n"/>
      <c r="CL50" s="50" t="n"/>
      <c r="CM50" s="50" t="n"/>
      <c r="CN50" s="50" t="n"/>
      <c r="CO50" s="50" t="n"/>
      <c r="CP50" s="50" t="n"/>
      <c r="CQ50" s="50" t="n"/>
      <c r="CR50" s="50" t="n"/>
      <c r="CS50" s="50" t="n"/>
      <c r="CT50" s="50" t="n"/>
      <c r="CU50" s="50" t="n"/>
      <c r="CV50" s="50" t="n"/>
      <c r="CW50" s="50" t="n"/>
      <c r="CX50" s="50" t="n"/>
      <c r="CY50" s="50" t="n"/>
    </row>
    <row r="51" hidden="1" outlineLevel="1">
      <c r="C51" s="50" t="inlineStr">
        <is>
          <t>Outras Receitas (Despesas) Operacionais, Líquidas</t>
        </is>
      </c>
      <c r="D51" s="11" t="n"/>
      <c r="E51" s="11" t="n"/>
      <c r="F51" s="11" t="n"/>
      <c r="G51" s="11" t="n"/>
      <c r="H51" s="50" t="n"/>
      <c r="I51" s="11" t="n"/>
      <c r="J51" s="11" t="n"/>
      <c r="K51" s="11" t="n"/>
      <c r="L51" s="11" t="n"/>
      <c r="M51" s="50" t="n"/>
      <c r="N51" s="11" t="n"/>
      <c r="O51" s="11" t="n"/>
      <c r="P51" s="11" t="n"/>
      <c r="Q51" s="11" t="n"/>
      <c r="R51" s="50" t="n"/>
      <c r="S51" s="11" t="n"/>
      <c r="T51" s="11" t="n"/>
      <c r="U51" s="11" t="n"/>
      <c r="V51" s="11" t="n"/>
      <c r="W51" s="50" t="n"/>
      <c r="X51" s="11" t="n"/>
      <c r="Y51" s="11" t="n"/>
      <c r="Z51" s="11" t="n"/>
      <c r="AA51" s="11" t="n"/>
      <c r="AB51" s="50" t="n"/>
      <c r="AC51" s="11" t="n"/>
      <c r="AD51" s="11" t="n"/>
      <c r="AE51" s="11" t="n"/>
      <c r="AF51" s="11" t="n"/>
      <c r="AG51" s="50" t="n"/>
      <c r="AH51" s="50" t="n"/>
      <c r="AI51" s="50" t="n"/>
      <c r="AJ51" s="50" t="n"/>
      <c r="AK51" s="50" t="n"/>
      <c r="AL51" s="50" t="n"/>
      <c r="AM51" s="50" t="n"/>
      <c r="AN51" s="50" t="n"/>
      <c r="AO51" s="50" t="n"/>
      <c r="AP51" s="50" t="n"/>
      <c r="AQ51" s="50" t="n"/>
      <c r="AR51" s="50" t="n"/>
      <c r="AS51" s="50" t="n"/>
      <c r="AT51" s="50" t="n"/>
      <c r="AU51" s="50" t="n"/>
      <c r="AV51" s="50" t="n"/>
      <c r="AW51" s="50" t="n"/>
      <c r="AX51" s="50" t="n"/>
      <c r="AY51" s="50" t="n"/>
      <c r="AZ51" s="50" t="n"/>
      <c r="BA51" s="50" t="n"/>
      <c r="BB51" s="50" t="n"/>
      <c r="BC51" s="50" t="n"/>
      <c r="BD51" s="50" t="n"/>
      <c r="BE51" s="50" t="n"/>
      <c r="BF51" s="50" t="n"/>
      <c r="BG51" s="50" t="n"/>
      <c r="BH51" s="50" t="n"/>
      <c r="BI51" s="50" t="n"/>
      <c r="BJ51" s="50" t="n"/>
      <c r="BK51" s="50" t="n"/>
      <c r="BL51" s="50" t="n"/>
      <c r="BM51" s="50" t="n"/>
      <c r="BN51" s="50" t="n"/>
      <c r="BO51" s="50" t="n"/>
      <c r="BP51" s="50" t="n"/>
      <c r="BQ51" s="50" t="n"/>
      <c r="BR51" s="50" t="n"/>
      <c r="BS51" s="50" t="n"/>
      <c r="BT51" s="50" t="n"/>
      <c r="BU51" s="50" t="n"/>
      <c r="BV51" s="50" t="n"/>
      <c r="BW51" s="50" t="n"/>
      <c r="BX51" s="50" t="n"/>
      <c r="BY51" s="50" t="n"/>
      <c r="BZ51" s="50" t="n"/>
      <c r="CA51" s="50" t="n"/>
      <c r="CB51" s="50" t="n"/>
      <c r="CC51" s="50" t="n"/>
      <c r="CD51" s="50" t="n"/>
      <c r="CE51" s="50" t="n"/>
      <c r="CF51" s="50" t="n"/>
      <c r="CG51" s="50" t="n"/>
      <c r="CH51" s="50" t="n"/>
      <c r="CI51" s="50" t="n"/>
      <c r="CJ51" s="50" t="n"/>
      <c r="CK51" s="50" t="n"/>
      <c r="CL51" s="50" t="n"/>
      <c r="CM51" s="50" t="n"/>
      <c r="CN51" s="50" t="n"/>
      <c r="CO51" s="50" t="n"/>
      <c r="CP51" s="50" t="n"/>
      <c r="CQ51" s="50" t="n"/>
      <c r="CR51" s="50" t="n"/>
      <c r="CS51" s="50" t="n"/>
      <c r="CT51" s="50" t="n"/>
      <c r="CU51" s="50" t="n"/>
      <c r="CV51" s="50" t="n"/>
      <c r="CW51" s="50" t="n"/>
      <c r="CX51" s="50" t="n"/>
      <c r="CY51" s="50" t="n"/>
    </row>
    <row r="52" hidden="1" outlineLevel="1">
      <c r="C52" s="50" t="n"/>
      <c r="D52" s="50" t="n"/>
      <c r="E52" s="50" t="n"/>
      <c r="F52" s="50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  <c r="AA52" s="50" t="n"/>
      <c r="AB52" s="50" t="n"/>
      <c r="AC52" s="50" t="n"/>
      <c r="AD52" s="50" t="n"/>
      <c r="AE52" s="50" t="n"/>
      <c r="AF52" s="50" t="n"/>
      <c r="AG52" s="50" t="n"/>
      <c r="AH52" s="50" t="n"/>
      <c r="AI52" s="50" t="n"/>
      <c r="AJ52" s="50" t="n"/>
      <c r="AK52" s="50" t="n"/>
      <c r="AL52" s="50" t="n"/>
      <c r="AM52" s="50" t="n"/>
      <c r="AN52" s="50" t="n"/>
      <c r="AO52" s="50" t="n"/>
      <c r="AP52" s="50" t="n"/>
      <c r="AQ52" s="50" t="n"/>
      <c r="AR52" s="50" t="n"/>
      <c r="AS52" s="50" t="n"/>
      <c r="AT52" s="50" t="n"/>
      <c r="AU52" s="50" t="n"/>
      <c r="AV52" s="50" t="n"/>
      <c r="AW52" s="50" t="n"/>
      <c r="AX52" s="50" t="n"/>
      <c r="AY52" s="50" t="n"/>
      <c r="AZ52" s="50" t="n"/>
      <c r="BA52" s="50" t="n"/>
      <c r="BB52" s="50" t="n"/>
      <c r="BC52" s="50" t="n"/>
      <c r="BD52" s="50" t="n"/>
      <c r="BE52" s="50" t="n"/>
      <c r="BF52" s="50" t="n"/>
      <c r="BG52" s="50" t="n"/>
      <c r="BH52" s="50" t="n"/>
      <c r="BI52" s="50" t="n"/>
      <c r="BJ52" s="50" t="n"/>
      <c r="BK52" s="50" t="n"/>
      <c r="BL52" s="50" t="n"/>
      <c r="BM52" s="50" t="n"/>
      <c r="BN52" s="50" t="n"/>
      <c r="BO52" s="50" t="n"/>
      <c r="BP52" s="50" t="n"/>
      <c r="BQ52" s="50" t="n"/>
      <c r="BR52" s="50" t="n"/>
      <c r="BS52" s="50" t="n"/>
      <c r="BT52" s="50" t="n"/>
      <c r="BU52" s="50" t="n"/>
      <c r="BV52" s="50" t="n"/>
      <c r="BW52" s="50" t="n"/>
      <c r="BX52" s="50" t="n"/>
      <c r="BY52" s="50" t="n"/>
      <c r="BZ52" s="50" t="n"/>
      <c r="CA52" s="50" t="n"/>
      <c r="CB52" s="50" t="n"/>
      <c r="CC52" s="50" t="n"/>
      <c r="CD52" s="50" t="n"/>
      <c r="CE52" s="50" t="n"/>
      <c r="CF52" s="50" t="n"/>
      <c r="CG52" s="50" t="n"/>
      <c r="CH52" s="50" t="n"/>
      <c r="CI52" s="50" t="n"/>
      <c r="CJ52" s="50" t="n"/>
      <c r="CK52" s="50" t="n"/>
      <c r="CL52" s="50" t="n"/>
      <c r="CM52" s="50" t="n"/>
      <c r="CN52" s="50" t="n"/>
      <c r="CO52" s="50" t="n"/>
      <c r="CP52" s="50" t="n"/>
      <c r="CQ52" s="50" t="n"/>
      <c r="CR52" s="50" t="n"/>
      <c r="CS52" s="50" t="n"/>
      <c r="CT52" s="50" t="n"/>
      <c r="CU52" s="50" t="n"/>
      <c r="CV52" s="50" t="n"/>
      <c r="CW52" s="50" t="n"/>
      <c r="CX52" s="50" t="n"/>
      <c r="CY52" s="50" t="n"/>
    </row>
    <row r="53" hidden="1" outlineLevel="1">
      <c r="C53" s="50" t="inlineStr">
        <is>
          <t>Com Vendas (%)</t>
        </is>
      </c>
      <c r="D53" s="50" t="n"/>
      <c r="E53" s="50" t="n"/>
      <c r="F53" s="5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  <c r="AA53" s="50" t="n"/>
      <c r="AB53" s="50" t="n"/>
      <c r="AC53" s="50" t="n"/>
      <c r="AD53" s="50" t="n"/>
      <c r="AE53" s="50" t="n"/>
      <c r="AF53" s="50" t="n"/>
      <c r="AG53" s="50" t="n"/>
      <c r="AH53" s="50" t="n"/>
      <c r="AI53" s="50" t="n"/>
      <c r="AJ53" s="50" t="n"/>
      <c r="AK53" s="50" t="n"/>
      <c r="AL53" s="50" t="n"/>
      <c r="AM53" s="50" t="n"/>
      <c r="AN53" s="50" t="n"/>
      <c r="AO53" s="50" t="n"/>
      <c r="AP53" s="50" t="n"/>
      <c r="AQ53" s="50" t="n"/>
      <c r="AR53" s="50" t="n"/>
      <c r="AS53" s="50" t="n"/>
      <c r="AT53" s="50" t="n"/>
      <c r="AU53" s="50" t="n"/>
      <c r="AV53" s="50" t="n"/>
      <c r="AW53" s="50" t="n"/>
      <c r="AX53" s="50" t="n"/>
      <c r="AY53" s="50" t="n"/>
      <c r="AZ53" s="50" t="n"/>
      <c r="BA53" s="50" t="n"/>
      <c r="BB53" s="50" t="n"/>
      <c r="BC53" s="50" t="n"/>
      <c r="BD53" s="50" t="n"/>
      <c r="BE53" s="50" t="n"/>
      <c r="BF53" s="50" t="n"/>
      <c r="BG53" s="50" t="n"/>
      <c r="BH53" s="50" t="n"/>
      <c r="BI53" s="50" t="n"/>
      <c r="BJ53" s="50" t="n"/>
      <c r="BK53" s="50" t="n"/>
      <c r="BL53" s="50" t="n"/>
      <c r="BM53" s="50" t="n"/>
      <c r="BN53" s="50" t="n"/>
      <c r="BO53" s="50" t="n"/>
      <c r="BP53" s="50" t="n"/>
      <c r="BQ53" s="50" t="n"/>
      <c r="BR53" s="50" t="n"/>
      <c r="BS53" s="50" t="n"/>
      <c r="BT53" s="50" t="n"/>
      <c r="BU53" s="50" t="n"/>
      <c r="BV53" s="50" t="n"/>
      <c r="BW53" s="50" t="n"/>
      <c r="BX53" s="50" t="n"/>
      <c r="BY53" s="50" t="n"/>
      <c r="BZ53" s="50" t="n"/>
      <c r="CA53" s="50" t="n"/>
      <c r="CB53" s="50" t="n"/>
      <c r="CC53" s="50" t="n"/>
      <c r="CD53" s="50" t="n"/>
      <c r="CE53" s="50" t="n"/>
      <c r="CF53" s="50" t="n"/>
      <c r="CG53" s="50" t="n"/>
      <c r="CH53" s="50" t="n"/>
      <c r="CI53" s="50" t="n"/>
      <c r="CJ53" s="50" t="n"/>
      <c r="CK53" s="50" t="n"/>
      <c r="CL53" s="50" t="n"/>
      <c r="CM53" s="50" t="n"/>
      <c r="CN53" s="50" t="n"/>
      <c r="CO53" s="50" t="n"/>
      <c r="CP53" s="50" t="n"/>
      <c r="CQ53" s="50" t="n"/>
      <c r="CR53" s="50" t="n"/>
      <c r="CS53" s="50" t="n"/>
      <c r="CT53" s="50" t="n"/>
      <c r="CU53" s="50" t="n"/>
      <c r="CV53" s="50" t="n"/>
      <c r="CW53" s="50" t="n"/>
      <c r="CX53" s="50" t="n"/>
      <c r="CY53" s="50" t="n"/>
    </row>
    <row r="54" hidden="1" outlineLevel="1">
      <c r="C54" s="50" t="inlineStr">
        <is>
          <t>Gerais &amp; Administrativas (%)</t>
        </is>
      </c>
      <c r="D54" s="50" t="n"/>
      <c r="E54" s="50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  <c r="AA54" s="50" t="n"/>
      <c r="AB54" s="50" t="n"/>
      <c r="AC54" s="50" t="n"/>
      <c r="AD54" s="50" t="n"/>
      <c r="AE54" s="50" t="n"/>
      <c r="AF54" s="50" t="n"/>
      <c r="AG54" s="50" t="n"/>
      <c r="AH54" s="50" t="n"/>
      <c r="AI54" s="50" t="n"/>
      <c r="AJ54" s="50" t="n"/>
      <c r="AK54" s="50" t="n"/>
      <c r="AL54" s="50" t="n"/>
      <c r="AM54" s="50" t="n"/>
      <c r="AN54" s="50" t="n"/>
      <c r="AO54" s="50" t="n"/>
      <c r="AP54" s="50" t="n"/>
      <c r="AQ54" s="50" t="n"/>
      <c r="AR54" s="50" t="n"/>
      <c r="AS54" s="50" t="n"/>
      <c r="AT54" s="50" t="n"/>
      <c r="AU54" s="50" t="n"/>
      <c r="AV54" s="50" t="n"/>
      <c r="AW54" s="50" t="n"/>
      <c r="AX54" s="50" t="n"/>
      <c r="AY54" s="50" t="n"/>
      <c r="AZ54" s="50" t="n"/>
      <c r="BA54" s="50" t="n"/>
      <c r="BB54" s="50" t="n"/>
      <c r="BC54" s="50" t="n"/>
      <c r="BD54" s="50" t="n"/>
      <c r="BE54" s="50" t="n"/>
      <c r="BF54" s="50" t="n"/>
      <c r="BG54" s="50" t="n"/>
      <c r="BH54" s="50" t="n"/>
      <c r="BI54" s="50" t="n"/>
      <c r="BJ54" s="50" t="n"/>
      <c r="BK54" s="50" t="n"/>
      <c r="BL54" s="50" t="n"/>
      <c r="BM54" s="50" t="n"/>
      <c r="BN54" s="50" t="n"/>
      <c r="BO54" s="50" t="n"/>
      <c r="BP54" s="50" t="n"/>
      <c r="BQ54" s="50" t="n"/>
      <c r="BR54" s="50" t="n"/>
      <c r="BS54" s="50" t="n"/>
      <c r="BT54" s="50" t="n"/>
      <c r="BU54" s="50" t="n"/>
      <c r="BV54" s="50" t="n"/>
      <c r="BW54" s="50" t="n"/>
      <c r="BX54" s="50" t="n"/>
      <c r="BY54" s="50" t="n"/>
      <c r="BZ54" s="50" t="n"/>
      <c r="CA54" s="50" t="n"/>
      <c r="CB54" s="50" t="n"/>
      <c r="CC54" s="50" t="n"/>
      <c r="CD54" s="50" t="n"/>
      <c r="CE54" s="50" t="n"/>
      <c r="CF54" s="50" t="n"/>
      <c r="CG54" s="50" t="n"/>
      <c r="CH54" s="50" t="n"/>
      <c r="CI54" s="50" t="n"/>
      <c r="CJ54" s="50" t="n"/>
      <c r="CK54" s="50" t="n"/>
      <c r="CL54" s="50" t="n"/>
      <c r="CM54" s="50" t="n"/>
      <c r="CN54" s="50" t="n"/>
      <c r="CO54" s="50" t="n"/>
      <c r="CP54" s="50" t="n"/>
      <c r="CQ54" s="50" t="n"/>
      <c r="CR54" s="50" t="n"/>
      <c r="CS54" s="50" t="n"/>
      <c r="CT54" s="50" t="n"/>
      <c r="CU54" s="50" t="n"/>
      <c r="CV54" s="50" t="n"/>
      <c r="CW54" s="50" t="n"/>
      <c r="CX54" s="50" t="n"/>
      <c r="CY54" s="50" t="n"/>
    </row>
    <row r="55" hidden="1" outlineLevel="1">
      <c r="C55" s="50" t="inlineStr">
        <is>
          <t>Outras Receitas (Despesas) Operacionais, Líquidas (%)</t>
        </is>
      </c>
      <c r="D55" s="50" t="n"/>
      <c r="E55" s="50" t="n"/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  <c r="AA55" s="50" t="n"/>
      <c r="AB55" s="50" t="n"/>
      <c r="AC55" s="50" t="n"/>
      <c r="AD55" s="50" t="n"/>
      <c r="AE55" s="50" t="n"/>
      <c r="AF55" s="50" t="n"/>
      <c r="AG55" s="50" t="n"/>
      <c r="AH55" s="50" t="n"/>
      <c r="AI55" s="50" t="n"/>
      <c r="AJ55" s="50" t="n"/>
      <c r="AK55" s="50" t="n"/>
      <c r="AL55" s="50" t="n"/>
      <c r="AM55" s="50" t="n"/>
      <c r="AN55" s="50" t="n"/>
      <c r="AO55" s="50" t="n"/>
      <c r="AP55" s="50" t="n"/>
      <c r="AQ55" s="50" t="n"/>
      <c r="AR55" s="50" t="n"/>
      <c r="AS55" s="50" t="n"/>
      <c r="AT55" s="50" t="n"/>
      <c r="AU55" s="50" t="n"/>
      <c r="AV55" s="50" t="n"/>
      <c r="AW55" s="50" t="n"/>
      <c r="AX55" s="50" t="n"/>
      <c r="AY55" s="50" t="n"/>
      <c r="AZ55" s="50" t="n"/>
      <c r="BA55" s="50" t="n"/>
      <c r="BB55" s="50" t="n"/>
      <c r="BC55" s="50" t="n"/>
      <c r="BD55" s="50" t="n"/>
      <c r="BE55" s="50" t="n"/>
      <c r="BF55" s="50" t="n"/>
      <c r="BG55" s="50" t="n"/>
      <c r="BH55" s="50" t="n"/>
      <c r="BI55" s="50" t="n"/>
      <c r="BJ55" s="50" t="n"/>
      <c r="BK55" s="50" t="n"/>
      <c r="BL55" s="50" t="n"/>
      <c r="BM55" s="50" t="n"/>
      <c r="BN55" s="50" t="n"/>
      <c r="BO55" s="50" t="n"/>
      <c r="BP55" s="50" t="n"/>
      <c r="BQ55" s="50" t="n"/>
      <c r="BR55" s="50" t="n"/>
      <c r="BS55" s="50" t="n"/>
      <c r="BT55" s="50" t="n"/>
      <c r="BU55" s="50" t="n"/>
      <c r="BV55" s="50" t="n"/>
      <c r="BW55" s="50" t="n"/>
      <c r="BX55" s="50" t="n"/>
      <c r="BY55" s="50" t="n"/>
      <c r="BZ55" s="50" t="n"/>
      <c r="CA55" s="50" t="n"/>
      <c r="CB55" s="50" t="n"/>
      <c r="CC55" s="50" t="n"/>
      <c r="CD55" s="50" t="n"/>
      <c r="CE55" s="50" t="n"/>
      <c r="CF55" s="50" t="n"/>
      <c r="CG55" s="50" t="n"/>
      <c r="CH55" s="50" t="n"/>
      <c r="CI55" s="50" t="n"/>
      <c r="CJ55" s="50" t="n"/>
      <c r="CK55" s="50" t="n"/>
      <c r="CL55" s="50" t="n"/>
      <c r="CM55" s="50" t="n"/>
      <c r="CN55" s="50" t="n"/>
      <c r="CO55" s="50" t="n"/>
      <c r="CP55" s="50" t="n"/>
      <c r="CQ55" s="50" t="n"/>
      <c r="CR55" s="50" t="n"/>
      <c r="CS55" s="50" t="n"/>
      <c r="CT55" s="50" t="n"/>
      <c r="CU55" s="50" t="n"/>
      <c r="CV55" s="50" t="n"/>
      <c r="CW55" s="50" t="n"/>
      <c r="CX55" s="50" t="n"/>
      <c r="CY55" s="50" t="n"/>
    </row>
    <row r="56" hidden="1" outlineLevel="1">
      <c r="C56" s="50" t="n"/>
      <c r="D56" s="50" t="n"/>
      <c r="E56" s="50" t="n"/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  <c r="AA56" s="50" t="n"/>
      <c r="AB56" s="50" t="n"/>
      <c r="AC56" s="50" t="n"/>
      <c r="AD56" s="50" t="n"/>
      <c r="AE56" s="50" t="n"/>
      <c r="AF56" s="50" t="n"/>
      <c r="AG56" s="50" t="n"/>
      <c r="AH56" s="50" t="n"/>
      <c r="AI56" s="50" t="n"/>
      <c r="AJ56" s="50" t="n"/>
      <c r="AK56" s="50" t="n"/>
      <c r="AL56" s="50" t="n"/>
      <c r="AM56" s="50" t="n"/>
      <c r="AN56" s="50" t="n"/>
      <c r="AO56" s="50" t="n"/>
      <c r="AP56" s="50" t="n"/>
      <c r="AQ56" s="50" t="n"/>
      <c r="AR56" s="50" t="n"/>
      <c r="AS56" s="50" t="n"/>
      <c r="AT56" s="50" t="n"/>
      <c r="AU56" s="50" t="n"/>
      <c r="AV56" s="50" t="n"/>
      <c r="AW56" s="50" t="n"/>
      <c r="AX56" s="50" t="n"/>
      <c r="AY56" s="50" t="n"/>
      <c r="AZ56" s="50" t="n"/>
      <c r="BA56" s="50" t="n"/>
      <c r="BB56" s="50" t="n"/>
      <c r="BC56" s="50" t="n"/>
      <c r="BD56" s="50" t="n"/>
      <c r="BE56" s="50" t="n"/>
      <c r="BF56" s="50" t="n"/>
      <c r="BG56" s="50" t="n"/>
      <c r="BH56" s="50" t="n"/>
      <c r="BI56" s="50" t="n"/>
      <c r="BJ56" s="50" t="n"/>
      <c r="BK56" s="50" t="n"/>
      <c r="BL56" s="50" t="n"/>
      <c r="BM56" s="50" t="n"/>
      <c r="BN56" s="50" t="n"/>
      <c r="BO56" s="50" t="n"/>
      <c r="BP56" s="50" t="n"/>
      <c r="BQ56" s="50" t="n"/>
      <c r="BR56" s="50" t="n"/>
      <c r="BS56" s="50" t="n"/>
      <c r="BT56" s="50" t="n"/>
      <c r="BU56" s="50" t="n"/>
      <c r="BV56" s="50" t="n"/>
      <c r="BW56" s="50" t="n"/>
      <c r="BX56" s="50" t="n"/>
      <c r="BY56" s="50" t="n"/>
      <c r="BZ56" s="50" t="n"/>
      <c r="CA56" s="50" t="n"/>
      <c r="CB56" s="50" t="n"/>
      <c r="CC56" s="50" t="n"/>
      <c r="CD56" s="50" t="n"/>
      <c r="CE56" s="50" t="n"/>
      <c r="CF56" s="50" t="n"/>
      <c r="CG56" s="50" t="n"/>
      <c r="CH56" s="50" t="n"/>
      <c r="CI56" s="50" t="n"/>
      <c r="CJ56" s="50" t="n"/>
      <c r="CK56" s="50" t="n"/>
      <c r="CL56" s="50" t="n"/>
      <c r="CM56" s="50" t="n"/>
      <c r="CN56" s="50" t="n"/>
      <c r="CO56" s="50" t="n"/>
      <c r="CP56" s="50" t="n"/>
      <c r="CQ56" s="50" t="n"/>
      <c r="CR56" s="50" t="n"/>
      <c r="CS56" s="50" t="n"/>
      <c r="CT56" s="50" t="n"/>
      <c r="CU56" s="50" t="n"/>
      <c r="CV56" s="50" t="n"/>
      <c r="CW56" s="50" t="n"/>
      <c r="CX56" s="50" t="n"/>
      <c r="CY56" s="50" t="n"/>
    </row>
    <row r="57" collapsed="1" customFormat="1" s="32">
      <c r="A57" s="30" t="n"/>
      <c r="B57" s="3" t="n"/>
      <c r="C57" s="33" t="inlineStr">
        <is>
          <t>EBITDA</t>
        </is>
      </c>
      <c r="D57" s="35" t="n"/>
      <c r="E57" s="35" t="n"/>
      <c r="F57" s="35" t="n"/>
      <c r="G57" s="35" t="n"/>
      <c r="H57" s="35" t="n"/>
      <c r="I57" s="35">
        <f>SUM(I15,I42,I46)</f>
        <v>304</v>
      </c>
      <c r="J57" s="35">
        <f>SUM(J15,J42,J46)</f>
        <v>1032</v>
      </c>
      <c r="K57" s="35">
        <f>SUM(K15,K42,K46)</f>
        <v>2271</v>
      </c>
      <c r="L57" s="35">
        <f>SUM(L15,L42,L46)</f>
        <v>587</v>
      </c>
      <c r="M57" s="35">
        <f>SUM(I57:L57)</f>
        <v>4194</v>
      </c>
      <c r="N57" s="35">
        <f>SUM(N15,N42,N46)</f>
        <v>1037</v>
      </c>
      <c r="O57" s="35">
        <f>SUM(O15,O42,O46)</f>
        <v>877</v>
      </c>
      <c r="P57" s="35">
        <f>SUM(P15,P42,P46)</f>
        <v>562</v>
      </c>
      <c r="Q57" s="35">
        <f>SUM(Q15,Q42,Q46)</f>
        <v>445</v>
      </c>
      <c r="R57" s="35">
        <f>SUM(N57:Q57)</f>
        <v>2921</v>
      </c>
      <c r="S57" s="35">
        <f>SUM(S15,S42,S46)</f>
        <v>636</v>
      </c>
      <c r="T57" s="35">
        <f>SUM(T15,T42,T46)</f>
        <v>1283</v>
      </c>
      <c r="U57" s="35">
        <f>SUM(U15,U42,U46)</f>
        <v>1598</v>
      </c>
      <c r="V57" s="35">
        <f>SUM(V15,V42,V46)</f>
        <v>607</v>
      </c>
      <c r="W57" s="35">
        <f>SUM(S57:V57)</f>
        <v>4124</v>
      </c>
      <c r="X57" s="35">
        <f>SUM(X15,X42,X46)</f>
        <v>1507</v>
      </c>
      <c r="Y57" s="35">
        <f>SUM(Y15,Y42,Y46)</f>
        <v>1794</v>
      </c>
      <c r="Z57" s="35">
        <f>SUM(Z15,Z42,Z46)</f>
        <v>2128</v>
      </c>
      <c r="AA57" s="35">
        <f>SUM(AA15,AA42,AA46)</f>
        <v>1623</v>
      </c>
      <c r="AB57" s="35">
        <f>SUM(X57:AA57)</f>
        <v>7052</v>
      </c>
      <c r="AC57" s="35">
        <f>SUM(AC15,AC42,AC46)</f>
        <v>1091</v>
      </c>
      <c r="AD57" s="35">
        <f>SUM(AD15,AD42,AD46)</f>
        <v>1611</v>
      </c>
      <c r="AE57" s="35">
        <f>SUM(AE15,AE42,AE46)</f>
        <v>1731</v>
      </c>
      <c r="AF57" s="35">
        <f>SUM(AF15,AF42,AF46)</f>
        <v>1254</v>
      </c>
      <c r="AG57" s="35">
        <f>SUM(AC57:AF57)</f>
        <v>5687</v>
      </c>
      <c r="AH57" s="35">
        <f>SUM(AH15,AH42,AH46)</f>
        <v>3534</v>
      </c>
      <c r="AI57" s="35">
        <f>SUM(AI15,AI42,AI46)</f>
        <v>1746</v>
      </c>
      <c r="AJ57" s="35">
        <f>SUM(AJ15,AJ42,AJ46)</f>
        <v>1903.16583060213</v>
      </c>
      <c r="AK57" s="35">
        <f>SUM(AK15,AK42,AK46)</f>
        <v>1759.48694902243</v>
      </c>
      <c r="AL57" s="35">
        <f>SUM(AH57:AK57)</f>
        <v>8942.65277962457</v>
      </c>
      <c r="AM57" s="35">
        <f>SUM(AM15,AM42,AM46)</f>
        <v>3221.76717929329</v>
      </c>
      <c r="AN57" s="35">
        <f>SUM(AN15,AN42,AN46)</f>
        <v>2173.72243422198</v>
      </c>
      <c r="AO57" s="35">
        <f>SUM(AO15,AO42,AO46)</f>
        <v>2288.93095840473</v>
      </c>
      <c r="AP57" s="35">
        <f>SUM(AP15,AP42,AP46)</f>
        <v>2116.1288647413</v>
      </c>
      <c r="AQ57" s="35">
        <f>SUM(AM57:AP57)</f>
        <v>9800.54943666131</v>
      </c>
      <c r="AR57" s="35">
        <f>SUM(AR15,AR42,AR46)</f>
        <v>3858.6994014517</v>
      </c>
      <c r="AS57" s="35">
        <f>SUM(AS15,AS42,AS46)</f>
        <v>2603.45983712404</v>
      </c>
      <c r="AT57" s="35">
        <f>SUM(AT15,AT42,AT46)</f>
        <v>2741.44468784923</v>
      </c>
      <c r="AU57" s="35">
        <f>SUM(AU15,AU42,AU46)</f>
        <v>2534.48021826426</v>
      </c>
      <c r="AV57" s="35">
        <f>SUM(AR57:AU57)</f>
        <v>11738.0841446892</v>
      </c>
      <c r="AW57" s="35">
        <f>SUM(AW15,AW42,AW46)</f>
        <v>4602.25742276769</v>
      </c>
      <c r="AX57" s="35">
        <f>SUM(AX15,AX42,AX46)</f>
        <v>3105.1375382529</v>
      </c>
      <c r="AY57" s="35">
        <f>SUM(AY15,AY42,AY46)</f>
        <v>3269.71159220502</v>
      </c>
      <c r="AZ57" s="35">
        <f>SUM(AZ15,AZ42,AZ46)</f>
        <v>3022.86578554844</v>
      </c>
      <c r="BA57" s="35">
        <f>SUM(AW57:AZ57)</f>
        <v>13999.9723387741</v>
      </c>
      <c r="BB57" s="35">
        <f>SUM(BB15,BB42,BB46)</f>
        <v>5466.08521453431</v>
      </c>
      <c r="BC57" s="35">
        <f>SUM(BC15,BC42,BC46)</f>
        <v>3687.96110860146</v>
      </c>
      <c r="BD57" s="35">
        <f>SUM(BD15,BD42,BD46)</f>
        <v>3883.42514295847</v>
      </c>
      <c r="BE57" s="35">
        <f>SUM(BE15,BE42,BE46)</f>
        <v>3590.24723262249</v>
      </c>
      <c r="BF57" s="35">
        <f>SUM(BB57:BE57)</f>
        <v>16627.7186987167</v>
      </c>
      <c r="BG57" s="35" t="n"/>
      <c r="BH57" s="35" t="n"/>
      <c r="BI57" s="35" t="n"/>
      <c r="BJ57" s="35" t="n"/>
      <c r="BK57" s="35" t="n"/>
      <c r="BL57" s="35" t="n"/>
      <c r="BM57" s="35" t="n"/>
      <c r="BN57" s="35" t="n"/>
      <c r="BO57" s="35" t="n"/>
      <c r="BP57" s="35" t="n"/>
      <c r="BQ57" s="35" t="n"/>
      <c r="BR57" s="35" t="n"/>
      <c r="BS57" s="35" t="n"/>
      <c r="BT57" s="35" t="n"/>
      <c r="BU57" s="35" t="n"/>
      <c r="BV57" s="35" t="n"/>
      <c r="BW57" s="35" t="n"/>
      <c r="BX57" s="35" t="n"/>
      <c r="BY57" s="35" t="n"/>
      <c r="BZ57" s="35" t="n"/>
      <c r="CA57" s="35" t="n"/>
      <c r="CB57" s="35" t="n"/>
      <c r="CC57" s="35" t="n"/>
      <c r="CD57" s="35" t="n"/>
      <c r="CE57" s="35" t="n"/>
      <c r="CF57" s="35" t="n"/>
      <c r="CG57" s="35" t="n"/>
      <c r="CH57" s="35" t="n"/>
      <c r="CI57" s="35" t="n"/>
      <c r="CJ57" s="35" t="n"/>
      <c r="CK57" s="35" t="n"/>
      <c r="CL57" s="35" t="n"/>
      <c r="CM57" s="35" t="n"/>
      <c r="CN57" s="35" t="n"/>
      <c r="CO57" s="35" t="n"/>
      <c r="CP57" s="35" t="n"/>
      <c r="CQ57" s="35" t="n"/>
      <c r="CR57" s="35" t="n"/>
      <c r="CS57" s="35" t="n"/>
      <c r="CT57" s="35" t="n"/>
      <c r="CU57" s="35" t="n"/>
      <c r="CV57" s="35" t="n"/>
      <c r="CW57" s="35" t="n"/>
      <c r="CX57" s="35" t="n"/>
      <c r="CY57" s="35" t="n"/>
    </row>
    <row r="58" ht="13.5" customHeight="1">
      <c r="C58" s="13" t="inlineStr">
        <is>
          <t>D&amp;A</t>
        </is>
      </c>
      <c r="D58" s="46" t="n"/>
      <c r="E58" s="46" t="n"/>
      <c r="F58" s="46" t="n"/>
      <c r="G58" s="46" t="n"/>
      <c r="H58" s="12" t="n"/>
      <c r="I58" s="46">
        <f>'Inputs (2)'!D7</f>
        <v>-1346</v>
      </c>
      <c r="J58" s="46">
        <f>'Inputs (2)'!E7</f>
        <v>-1340</v>
      </c>
      <c r="K58" s="46">
        <f>'Inputs (2)'!F7</f>
        <v>-1265</v>
      </c>
      <c r="L58" s="46">
        <f>'Inputs (2)'!G7</f>
        <v>-589</v>
      </c>
      <c r="M58" s="12">
        <f>'Inputs (2)'!H7</f>
        <v>-4540</v>
      </c>
      <c r="N58" s="46">
        <f>'Inputs (2)'!I7</f>
        <v>-602</v>
      </c>
      <c r="O58" s="46">
        <f>'Inputs (2)'!J7</f>
        <v>-605</v>
      </c>
      <c r="P58" s="46">
        <f>'Inputs (2)'!K7</f>
        <v>-603</v>
      </c>
      <c r="Q58" s="46">
        <f>'Inputs (2)'!L7</f>
        <v>-617</v>
      </c>
      <c r="R58" s="12">
        <f>'Inputs (2)'!M7</f>
        <v>-2427</v>
      </c>
      <c r="S58" s="46">
        <f>'Inputs (2)'!N7</f>
        <v>-605</v>
      </c>
      <c r="T58" s="46">
        <f>'Inputs (2)'!O7</f>
        <v>-614</v>
      </c>
      <c r="U58" s="46">
        <f>'Inputs (2)'!P7</f>
        <v>-621</v>
      </c>
      <c r="V58" s="46">
        <f>'Inputs (2)'!Q7</f>
        <v>-674</v>
      </c>
      <c r="W58" s="12">
        <f>'Inputs (2)'!R7</f>
        <v>-2514</v>
      </c>
      <c r="X58" s="46">
        <f>'Inputs (2)'!S7</f>
        <v>-694</v>
      </c>
      <c r="Y58" s="46">
        <f>'Inputs (2)'!T7</f>
        <v>-694</v>
      </c>
      <c r="Z58" s="46">
        <f>'Inputs (2)'!U7</f>
        <v>-661</v>
      </c>
      <c r="AA58" s="46">
        <f>'Inputs (2)'!V7</f>
        <v>-651</v>
      </c>
      <c r="AB58" s="12">
        <f>'Inputs (2)'!W7</f>
        <v>-2700</v>
      </c>
      <c r="AC58" s="46">
        <f>'Inputs (2)'!X7</f>
        <v>-640</v>
      </c>
      <c r="AD58" s="46">
        <f>'Inputs (2)'!Y7</f>
        <v>-660</v>
      </c>
      <c r="AE58" s="46">
        <f>'Inputs (2)'!Z7</f>
        <v>-645</v>
      </c>
      <c r="AF58" s="46">
        <f>'Inputs (2)'!AA7</f>
        <v>-656</v>
      </c>
      <c r="AG58" s="12">
        <f>'Inputs (2)'!AB7</f>
        <v>-2601</v>
      </c>
      <c r="AH58" s="12">
        <f>'Inputs (2)'!AC7</f>
        <v>-1202</v>
      </c>
      <c r="AI58" s="12">
        <f>'Inputs (2)'!AD7</f>
        <v>-1166</v>
      </c>
      <c r="AJ58" s="12">
        <f>-AJ59*AJ15</f>
        <v>-885.118298016032</v>
      </c>
      <c r="AK58" s="12">
        <f>-AK59*AK15</f>
        <v>-818.296581757896</v>
      </c>
      <c r="AL58" s="12">
        <f>SUM(AH58:AK58)</f>
        <v>-4071.41487977393</v>
      </c>
      <c r="AM58" s="12">
        <f>-AM59*AM15</f>
        <v>-1498.36921012699</v>
      </c>
      <c r="AN58" s="12">
        <f>-AN59*AN15</f>
        <v>-1010.94790080857</v>
      </c>
      <c r="AO58" s="12">
        <f>-AO59*AO15</f>
        <v>-1064.52871399988</v>
      </c>
      <c r="AP58" s="12">
        <f>-AP59*AP15</f>
        <v>-984.162467098213</v>
      </c>
      <c r="AQ58" s="12">
        <f>SUM(AM58:AP58)</f>
        <v>-4558.00829203365</v>
      </c>
      <c r="AR58" s="12">
        <f>-AR59*AR15</f>
        <v>-1794.59161774033</v>
      </c>
      <c r="AS58" s="12">
        <f>-AS59*AS15</f>
        <v>-1210.80880233083</v>
      </c>
      <c r="AT58" s="12">
        <f>-AT59*AT15</f>
        <v>-1274.98235686928</v>
      </c>
      <c r="AU58" s="12">
        <f>-AU59*AU15</f>
        <v>-1178.72798106911</v>
      </c>
      <c r="AV58" s="12">
        <f>SUM(AR58:AU58)</f>
        <v>-5459.11075800955</v>
      </c>
      <c r="AW58" s="12">
        <f>-AW59*AW15</f>
        <v>-2140.40321214835</v>
      </c>
      <c r="AX58" s="12">
        <f>-AX59*AX15</f>
        <v>-1444.12746843744</v>
      </c>
      <c r="AY58" s="12">
        <f>-AY59*AY15</f>
        <v>-1520.66704485764</v>
      </c>
      <c r="AZ58" s="12">
        <f>-AZ59*AZ15</f>
        <v>-1405.86478393688</v>
      </c>
      <c r="BA58" s="12">
        <f>SUM(AW58:AZ58)</f>
        <v>-6511.06250938032</v>
      </c>
      <c r="BB58" s="12">
        <f>-BB59*BB15</f>
        <v>-2542.14948802884</v>
      </c>
      <c r="BC58" s="12">
        <f>-BC59*BC15</f>
        <v>-1715.18519674235</v>
      </c>
      <c r="BD58" s="12">
        <f>-BD59*BD15</f>
        <v>-1806.09098678519</v>
      </c>
      <c r="BE58" s="12">
        <f>-BE59*BE15</f>
        <v>-1669.74073877218</v>
      </c>
      <c r="BF58" s="12">
        <f>SUM(BB58:BE58)</f>
        <v>-7733.16641032857</v>
      </c>
      <c r="BG58" s="12" t="n"/>
      <c r="BH58" s="12" t="n"/>
      <c r="BI58" s="12" t="n"/>
      <c r="BJ58" s="12" t="n"/>
      <c r="BK58" s="12" t="n"/>
      <c r="BL58" s="12" t="n"/>
      <c r="BM58" s="12" t="n"/>
      <c r="BN58" s="12" t="n"/>
      <c r="BO58" s="12" t="n"/>
      <c r="BP58" s="12" t="n"/>
      <c r="BQ58" s="12" t="n"/>
      <c r="BR58" s="12" t="n"/>
      <c r="BS58" s="12" t="n"/>
      <c r="BT58" s="12" t="n"/>
      <c r="BU58" s="12" t="n"/>
      <c r="BV58" s="12" t="n"/>
      <c r="BW58" s="12" t="n"/>
      <c r="BX58" s="12" t="n"/>
      <c r="BY58" s="12" t="n"/>
      <c r="BZ58" s="12" t="n"/>
      <c r="CA58" s="12" t="n"/>
      <c r="CB58" s="12" t="n"/>
      <c r="CC58" s="12" t="n"/>
      <c r="CD58" s="12" t="n"/>
      <c r="CE58" s="12" t="n"/>
      <c r="CF58" s="12" t="n"/>
      <c r="CG58" s="12" t="n"/>
      <c r="CH58" s="12" t="n"/>
      <c r="CI58" s="12" t="n"/>
      <c r="CJ58" s="12" t="n"/>
      <c r="CK58" s="12" t="n"/>
      <c r="CL58" s="12" t="n"/>
      <c r="CM58" s="12" t="n"/>
      <c r="CN58" s="12" t="n"/>
      <c r="CO58" s="12" t="n"/>
      <c r="CP58" s="12" t="n"/>
      <c r="CQ58" s="12" t="n"/>
      <c r="CR58" s="12" t="n"/>
      <c r="CS58" s="12" t="n"/>
      <c r="CT58" s="12" t="n"/>
      <c r="CU58" s="12" t="n"/>
      <c r="CV58" s="12" t="n"/>
      <c r="CW58" s="12" t="n"/>
      <c r="CX58" s="12" t="n"/>
      <c r="CY58" s="12" t="n"/>
    </row>
    <row r="59" hidden="1" outlineLevel="1" customFormat="1" s="56">
      <c r="A59" s="53" t="n"/>
      <c r="B59" s="53" t="n"/>
      <c r="C59" s="54" t="inlineStr">
        <is>
          <t>% of Revenue</t>
        </is>
      </c>
      <c r="D59" s="53" t="n"/>
      <c r="E59" s="53" t="n"/>
      <c r="F59" s="53" t="n"/>
      <c r="G59" s="53" t="n"/>
      <c r="H59" s="53" t="n"/>
      <c r="I59" s="53">
        <f>IFERROR(-I58/I15,"")</f>
        <v>0.242129879474726</v>
      </c>
      <c r="J59" s="53">
        <f>IFERROR(-J58/J15,"")</f>
        <v>0.322658319287262</v>
      </c>
      <c r="K59" s="53">
        <f>IFERROR(-K58/K15,"")</f>
        <v>0.287108488424875</v>
      </c>
      <c r="L59" s="53">
        <f>IFERROR(-L58/L15,"")</f>
        <v>0.10647143890094</v>
      </c>
      <c r="M59" s="53" t="n"/>
      <c r="N59" s="53">
        <f>IFERROR(-N58/N15,"")</f>
        <v>0.107673045966732</v>
      </c>
      <c r="O59" s="53">
        <f>IFERROR(-O58/O15,"")</f>
        <v>0.110704483074108</v>
      </c>
      <c r="P59" s="53">
        <f>IFERROR(-P58/P15,"")</f>
        <v>0.0996529499256321</v>
      </c>
      <c r="Q59" s="53">
        <f>IFERROR(-Q58/Q15,"")</f>
        <v>0.0841401881903723</v>
      </c>
      <c r="R59" s="53" t="n"/>
      <c r="S59" s="53">
        <f>IFERROR(-S58/S15,"")</f>
        <v>0.0799735624586914</v>
      </c>
      <c r="T59" s="53">
        <f>IFERROR(-T58/T15,"")</f>
        <v>0.112743297833272</v>
      </c>
      <c r="U59" s="53">
        <f>IFERROR(-U58/U15,"")</f>
        <v>0.101620029455081</v>
      </c>
      <c r="V59" s="53">
        <f>IFERROR(-V58/V15,"")</f>
        <v>0.116287094547964</v>
      </c>
      <c r="W59" s="53" t="n"/>
      <c r="X59" s="53">
        <f>IFERROR(-X58/X15,"")</f>
        <v>0.112644051290375</v>
      </c>
      <c r="Y59" s="53">
        <f>IFERROR(-Y58/Y15,"")</f>
        <v>0.12675799086758</v>
      </c>
      <c r="Z59" s="53">
        <f>IFERROR(-Z58/Z15,"")</f>
        <v>0.100916030534351</v>
      </c>
      <c r="AA59" s="53">
        <f>IFERROR(-AA58/AA15,"")</f>
        <v>0.120958751393534</v>
      </c>
      <c r="AB59" s="53" t="n"/>
      <c r="AC59" s="53">
        <f>IFERROR(-AC58/AC15,"")</f>
        <v>0.09428403064231</v>
      </c>
      <c r="AD59" s="53">
        <f>IFERROR(-AD58/AD15,"")</f>
        <v>0.108178987051303</v>
      </c>
      <c r="AE59" s="53">
        <f>IFERROR(-AE58/AE15,"")</f>
        <v>0.0981735159817352</v>
      </c>
      <c r="AF59" s="55">
        <f>IFERROR(-AF58/AF15,"")</f>
        <v>0.108001317089233</v>
      </c>
      <c r="AG59" s="53" t="n"/>
      <c r="AH59" s="55">
        <f>IFERROR(-AH58/AH15,"")</f>
        <v>0.108074087394354</v>
      </c>
      <c r="AI59" s="55">
        <f>IFERROR(-AI58/AI15,"")</f>
        <v>0.155383795309168</v>
      </c>
      <c r="AJ59" s="55">
        <f>Control!$B$21</f>
        <v>0.112015955578017</v>
      </c>
      <c r="AK59" s="55">
        <f>Control!$B$21</f>
        <v>0.112015955578017</v>
      </c>
      <c r="AL59" s="53" t="n"/>
      <c r="AM59" s="55">
        <f>Control!$C$21</f>
        <v>0.112015955578017</v>
      </c>
      <c r="AN59" s="55">
        <f>Control!$C$21</f>
        <v>0.112015955578017</v>
      </c>
      <c r="AO59" s="55">
        <f>Control!$C$21</f>
        <v>0.112015955578017</v>
      </c>
      <c r="AP59" s="55">
        <f>Control!$C$21</f>
        <v>0.112015955578017</v>
      </c>
      <c r="AQ59" s="53" t="n"/>
      <c r="AR59" s="55">
        <f>Control!$D$21</f>
        <v>0.112015955578017</v>
      </c>
      <c r="AS59" s="55">
        <f>Control!$D$21</f>
        <v>0.112015955578017</v>
      </c>
      <c r="AT59" s="55">
        <f>Control!$D$21</f>
        <v>0.112015955578017</v>
      </c>
      <c r="AU59" s="55">
        <f>Control!$D$21</f>
        <v>0.112015955578017</v>
      </c>
      <c r="AV59" s="53" t="n"/>
      <c r="AW59" s="55">
        <f>Control!$E$21</f>
        <v>0.112015955578017</v>
      </c>
      <c r="AX59" s="55">
        <f>Control!$E$21</f>
        <v>0.112015955578017</v>
      </c>
      <c r="AY59" s="55">
        <f>Control!$E$21</f>
        <v>0.112015955578017</v>
      </c>
      <c r="AZ59" s="55">
        <f>Control!$E$21</f>
        <v>0.112015955578017</v>
      </c>
      <c r="BA59" s="53" t="n"/>
      <c r="BB59" s="55">
        <f>Control!$F$21</f>
        <v>0.112015955578017</v>
      </c>
      <c r="BC59" s="55">
        <f>Control!$F$21</f>
        <v>0.112015955578017</v>
      </c>
      <c r="BD59" s="55">
        <f>Control!$F$21</f>
        <v>0.112015955578017</v>
      </c>
      <c r="BE59" s="55">
        <f>Control!$F$21</f>
        <v>0.112015955578017</v>
      </c>
      <c r="BF59" s="53" t="n"/>
      <c r="BG59" s="55" t="n"/>
      <c r="BH59" s="55" t="n"/>
      <c r="BI59" s="55" t="n"/>
      <c r="BJ59" s="55" t="n"/>
      <c r="BK59" s="53" t="n"/>
      <c r="BL59" s="55" t="n"/>
      <c r="BM59" s="55" t="n"/>
      <c r="BN59" s="55" t="n"/>
      <c r="BO59" s="55" t="n"/>
      <c r="BP59" s="53" t="n"/>
      <c r="BQ59" s="55" t="n"/>
      <c r="BR59" s="55" t="n"/>
      <c r="BS59" s="55" t="n"/>
      <c r="BT59" s="55" t="n"/>
      <c r="BU59" s="53" t="n"/>
      <c r="BV59" s="55" t="n"/>
      <c r="BW59" s="55" t="n"/>
      <c r="BX59" s="55" t="n"/>
      <c r="BY59" s="55" t="n"/>
      <c r="BZ59" s="53" t="n"/>
      <c r="CA59" s="55" t="n"/>
      <c r="CB59" s="55" t="n"/>
      <c r="CC59" s="55" t="n"/>
      <c r="CD59" s="55" t="n"/>
      <c r="CE59" s="53" t="n"/>
      <c r="CF59" s="55" t="n"/>
      <c r="CG59" s="55" t="n"/>
      <c r="CH59" s="55" t="n"/>
      <c r="CI59" s="55" t="n"/>
      <c r="CJ59" s="53" t="n"/>
      <c r="CK59" s="55" t="n"/>
      <c r="CL59" s="55" t="n"/>
      <c r="CM59" s="55" t="n"/>
      <c r="CN59" s="55" t="n"/>
      <c r="CO59" s="53" t="n"/>
      <c r="CP59" s="55" t="n"/>
      <c r="CQ59" s="55" t="n"/>
      <c r="CR59" s="55" t="n"/>
      <c r="CS59" s="55" t="n"/>
      <c r="CT59" s="53" t="n"/>
      <c r="CU59" s="55" t="n"/>
      <c r="CV59" s="55" t="n"/>
      <c r="CW59" s="55" t="n"/>
      <c r="CX59" s="55" t="n"/>
      <c r="CY59" s="53" t="n"/>
    </row>
    <row r="60" hidden="1" outlineLevel="1">
      <c r="C60" s="50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2" t="n"/>
      <c r="AD60" s="12" t="n"/>
      <c r="AE60" s="12" t="n"/>
      <c r="AF60" s="12" t="n"/>
      <c r="AG60" s="12" t="n"/>
      <c r="AH60" s="12" t="n"/>
      <c r="AI60" s="12" t="n"/>
      <c r="AJ60" s="12" t="n"/>
      <c r="AK60" s="12" t="n"/>
      <c r="AL60" s="12" t="n"/>
      <c r="AM60" s="12" t="n"/>
      <c r="AN60" s="12" t="n"/>
      <c r="AO60" s="12" t="n"/>
      <c r="AP60" s="12" t="n"/>
      <c r="AQ60" s="12" t="n"/>
      <c r="AR60" s="12" t="n"/>
      <c r="AS60" s="12" t="n"/>
      <c r="AT60" s="12" t="n"/>
      <c r="AU60" s="12" t="n"/>
      <c r="AV60" s="12" t="n"/>
      <c r="AW60" s="12" t="n"/>
      <c r="AX60" s="12" t="n"/>
      <c r="AY60" s="12" t="n"/>
      <c r="AZ60" s="12" t="n"/>
      <c r="BA60" s="12" t="n"/>
      <c r="BB60" s="12" t="n"/>
      <c r="BC60" s="12" t="n"/>
      <c r="BD60" s="12" t="n"/>
      <c r="BE60" s="12" t="n"/>
      <c r="BF60" s="12" t="n"/>
      <c r="BG60" s="12" t="n"/>
      <c r="BH60" s="12" t="n"/>
      <c r="BI60" s="12" t="n"/>
      <c r="BJ60" s="12" t="n"/>
      <c r="BK60" s="12" t="n"/>
      <c r="BL60" s="12" t="n"/>
      <c r="BM60" s="12" t="n"/>
      <c r="BN60" s="12" t="n"/>
      <c r="BO60" s="12" t="n"/>
      <c r="BP60" s="12" t="n"/>
      <c r="BQ60" s="12" t="n"/>
      <c r="BR60" s="12" t="n"/>
      <c r="BS60" s="12" t="n"/>
      <c r="BT60" s="12" t="n"/>
      <c r="BU60" s="12" t="n"/>
      <c r="BV60" s="12" t="n"/>
      <c r="BW60" s="12" t="n"/>
      <c r="BX60" s="12" t="n"/>
      <c r="BY60" s="12" t="n"/>
      <c r="BZ60" s="12" t="n"/>
      <c r="CA60" s="12" t="n"/>
      <c r="CB60" s="12" t="n"/>
      <c r="CC60" s="12" t="n"/>
      <c r="CD60" s="12" t="n"/>
      <c r="CE60" s="12" t="n"/>
      <c r="CF60" s="12" t="n"/>
      <c r="CG60" s="12" t="n"/>
      <c r="CH60" s="12" t="n"/>
      <c r="CI60" s="12" t="n"/>
      <c r="CJ60" s="12" t="n"/>
      <c r="CK60" s="12" t="n"/>
      <c r="CL60" s="12" t="n"/>
      <c r="CM60" s="12" t="n"/>
      <c r="CN60" s="12" t="n"/>
      <c r="CO60" s="12" t="n"/>
      <c r="CP60" s="12" t="n"/>
      <c r="CQ60" s="12" t="n"/>
      <c r="CR60" s="12" t="n"/>
      <c r="CS60" s="12" t="n"/>
      <c r="CT60" s="12" t="n"/>
      <c r="CU60" s="12" t="n"/>
      <c r="CV60" s="12" t="n"/>
      <c r="CW60" s="12" t="n"/>
      <c r="CX60" s="12" t="n"/>
      <c r="CY60" s="12" t="n"/>
    </row>
    <row r="61" collapsed="1" customFormat="1" s="32">
      <c r="A61" s="30" t="n"/>
      <c r="B61" s="3" t="n"/>
      <c r="C61" s="33" t="inlineStr">
        <is>
          <t>Operating Profit - EBIT</t>
        </is>
      </c>
      <c r="D61" s="35" t="n"/>
      <c r="E61" s="35" t="n"/>
      <c r="F61" s="35" t="n"/>
      <c r="G61" s="35" t="n"/>
      <c r="H61" s="35" t="n"/>
      <c r="I61" s="35">
        <f>SUM(I57,I58)</f>
        <v>-1042</v>
      </c>
      <c r="J61" s="35">
        <f>SUM(J57,J58)</f>
        <v>-308</v>
      </c>
      <c r="K61" s="35">
        <f>SUM(K57,K58)</f>
        <v>1006</v>
      </c>
      <c r="L61" s="35">
        <f>SUM(L57,L58)</f>
        <v>-2</v>
      </c>
      <c r="M61" s="35">
        <f>SUM(I61:L61)</f>
        <v>-346</v>
      </c>
      <c r="N61" s="35">
        <f>SUM(N57,N58)</f>
        <v>435</v>
      </c>
      <c r="O61" s="35">
        <f>SUM(O57,O58)</f>
        <v>272</v>
      </c>
      <c r="P61" s="35">
        <f>SUM(P57,P58)</f>
        <v>-41</v>
      </c>
      <c r="Q61" s="35">
        <f>SUM(Q57,Q58)</f>
        <v>-172</v>
      </c>
      <c r="R61" s="35">
        <f>SUM(N61:Q61)</f>
        <v>494</v>
      </c>
      <c r="S61" s="35">
        <f>SUM(S57,S58)</f>
        <v>31</v>
      </c>
      <c r="T61" s="35">
        <f>SUM(T57,T58)</f>
        <v>669</v>
      </c>
      <c r="U61" s="35">
        <f>SUM(U57,U58)</f>
        <v>977</v>
      </c>
      <c r="V61" s="35">
        <f>SUM(V57,V58)</f>
        <v>-67</v>
      </c>
      <c r="W61" s="35">
        <f>SUM(S61:V61)</f>
        <v>1610</v>
      </c>
      <c r="X61" s="35">
        <f>SUM(X57,X58)</f>
        <v>813</v>
      </c>
      <c r="Y61" s="35">
        <f>SUM(Y57,Y58)</f>
        <v>1100</v>
      </c>
      <c r="Z61" s="35">
        <f>SUM(Z57,Z58)</f>
        <v>1467</v>
      </c>
      <c r="AA61" s="35">
        <f>SUM(AA57,AA58)</f>
        <v>972</v>
      </c>
      <c r="AB61" s="35">
        <f>SUM(X61:AA61)</f>
        <v>4352</v>
      </c>
      <c r="AC61" s="35">
        <f>SUM(AC57,AC58)</f>
        <v>451</v>
      </c>
      <c r="AD61" s="35">
        <f>SUM(AD57,AD58)</f>
        <v>951</v>
      </c>
      <c r="AE61" s="35">
        <f>SUM(AE57,AE58)</f>
        <v>1086</v>
      </c>
      <c r="AF61" s="35">
        <f>SUM(AF57,AF58)</f>
        <v>598</v>
      </c>
      <c r="AG61" s="35">
        <f>SUM(AC61:AF61)</f>
        <v>3086</v>
      </c>
      <c r="AH61" s="35">
        <f>SUM(AH57,AH58)</f>
        <v>2332</v>
      </c>
      <c r="AI61" s="35">
        <f>SUM(AI57,AI58)</f>
        <v>580</v>
      </c>
      <c r="AJ61" s="35">
        <f>SUM(AJ57,AJ58)</f>
        <v>1018.0475325861</v>
      </c>
      <c r="AK61" s="35">
        <f>SUM(AK57,AK58)</f>
        <v>941.190367264534</v>
      </c>
      <c r="AL61" s="35">
        <f>SUM(AL57,AL58)</f>
        <v>4871.23789985064</v>
      </c>
      <c r="AM61" s="35">
        <f>SUM(AM57,AM58)</f>
        <v>1723.39796916631</v>
      </c>
      <c r="AN61" s="35">
        <f>SUM(AN57,AN58)</f>
        <v>1162.77453341341</v>
      </c>
      <c r="AO61" s="35">
        <f>SUM(AO57,AO58)</f>
        <v>1224.40224440485</v>
      </c>
      <c r="AP61" s="35">
        <f>SUM(AP57,AP58)</f>
        <v>1131.96639764309</v>
      </c>
      <c r="AQ61" s="35">
        <f>SUM(AQ57,AQ58)</f>
        <v>5242.54114462766</v>
      </c>
      <c r="AR61" s="35">
        <f>SUM(AR57,AR58)</f>
        <v>2064.10778371136</v>
      </c>
      <c r="AS61" s="35">
        <f>SUM(AS57,AS58)</f>
        <v>1392.65103479321</v>
      </c>
      <c r="AT61" s="35">
        <f>SUM(AT57,AT58)</f>
        <v>1466.46233097994</v>
      </c>
      <c r="AU61" s="35">
        <f>SUM(AU57,AU58)</f>
        <v>1355.75223719516</v>
      </c>
      <c r="AV61" s="35">
        <f>SUM(AV57,AV58)</f>
        <v>6278.97338667967</v>
      </c>
      <c r="AW61" s="35">
        <f>SUM(AW57,AW58)</f>
        <v>2461.85421061934</v>
      </c>
      <c r="AX61" s="35">
        <f>SUM(AX57,AX58)</f>
        <v>1661.01006981546</v>
      </c>
      <c r="AY61" s="35">
        <f>SUM(AY57,AY58)</f>
        <v>1749.04454734737</v>
      </c>
      <c r="AZ61" s="35">
        <f>SUM(AZ57,AZ58)</f>
        <v>1617.00100161156</v>
      </c>
      <c r="BA61" s="35">
        <f>SUM(BA57,BA58)</f>
        <v>7488.90982939374</v>
      </c>
      <c r="BB61" s="35">
        <f>SUM(BB57,BB58)</f>
        <v>2923.93572650547</v>
      </c>
      <c r="BC61" s="35">
        <f>SUM(BC57,BC58)</f>
        <v>1972.77591185911</v>
      </c>
      <c r="BD61" s="35">
        <f>SUM(BD57,BD58)</f>
        <v>2077.33415617328</v>
      </c>
      <c r="BE61" s="35">
        <f>SUM(BE57,BE58)</f>
        <v>1920.5064938503</v>
      </c>
      <c r="BF61" s="35">
        <f>SUM(BF57,BF58)</f>
        <v>8894.55228838816</v>
      </c>
      <c r="BG61" s="35" t="n"/>
      <c r="BH61" s="35" t="n"/>
      <c r="BI61" s="35" t="n"/>
      <c r="BJ61" s="35" t="n"/>
      <c r="BK61" s="35" t="n"/>
      <c r="BL61" s="35" t="n"/>
      <c r="BM61" s="35" t="n"/>
      <c r="BN61" s="35" t="n"/>
      <c r="BO61" s="35" t="n"/>
      <c r="BP61" s="35" t="n"/>
      <c r="BQ61" s="35" t="n"/>
      <c r="BR61" s="35" t="n"/>
      <c r="BS61" s="35" t="n"/>
      <c r="BT61" s="35" t="n"/>
      <c r="BU61" s="35" t="n"/>
      <c r="BV61" s="35" t="n"/>
      <c r="BW61" s="35" t="n"/>
      <c r="BX61" s="35" t="n"/>
      <c r="BY61" s="35" t="n"/>
      <c r="BZ61" s="35" t="n"/>
      <c r="CA61" s="35" t="n"/>
      <c r="CB61" s="35" t="n"/>
      <c r="CC61" s="35" t="n"/>
      <c r="CD61" s="35" t="n"/>
      <c r="CE61" s="35" t="n"/>
      <c r="CF61" s="35" t="n"/>
      <c r="CG61" s="35" t="n"/>
      <c r="CH61" s="35" t="n"/>
      <c r="CI61" s="35" t="n"/>
      <c r="CJ61" s="35" t="n"/>
      <c r="CK61" s="35" t="n"/>
      <c r="CL61" s="35" t="n"/>
      <c r="CM61" s="35" t="n"/>
      <c r="CN61" s="35" t="n"/>
      <c r="CO61" s="35" t="n"/>
      <c r="CP61" s="35" t="n"/>
      <c r="CQ61" s="35" t="n"/>
      <c r="CR61" s="35" t="n"/>
      <c r="CS61" s="35" t="n"/>
      <c r="CT61" s="35" t="n"/>
      <c r="CU61" s="35" t="n"/>
      <c r="CV61" s="35" t="n"/>
      <c r="CW61" s="35" t="n"/>
      <c r="CX61" s="35" t="n"/>
      <c r="CY61" s="35" t="n"/>
    </row>
    <row r="62">
      <c r="C62" s="14" t="inlineStr">
        <is>
          <t>Interest Expense</t>
        </is>
      </c>
      <c r="D62" s="46" t="n"/>
      <c r="E62" s="46" t="n"/>
      <c r="F62" s="46" t="n"/>
      <c r="G62" s="46" t="n"/>
      <c r="H62" s="12" t="n"/>
      <c r="I62" s="46">
        <f>'Inputs (2)'!D8</f>
        <v>-68</v>
      </c>
      <c r="J62" s="46">
        <f>'Inputs (2)'!E8</f>
        <v>-72</v>
      </c>
      <c r="K62" s="46">
        <f>'Inputs (2)'!F8</f>
        <v>-73</v>
      </c>
      <c r="L62" s="46">
        <f>'Inputs (2)'!G8</f>
        <v>-68</v>
      </c>
      <c r="M62" s="12">
        <f>'Inputs (2)'!H8</f>
        <v>-281</v>
      </c>
      <c r="N62" s="46">
        <f>'Inputs (2)'!I8</f>
        <v>-55</v>
      </c>
      <c r="O62" s="46">
        <f>'Inputs (2)'!J8</f>
        <v>-56</v>
      </c>
      <c r="P62" s="46">
        <f>'Inputs (2)'!K8</f>
        <v>-75</v>
      </c>
      <c r="Q62" s="46">
        <f>'Inputs (2)'!L8</f>
        <v>-64</v>
      </c>
      <c r="R62" s="12">
        <f>'Inputs (2)'!M8</f>
        <v>-250</v>
      </c>
      <c r="S62" s="46">
        <f>'Inputs (2)'!N8</f>
        <v>-107</v>
      </c>
      <c r="T62" s="46">
        <f>'Inputs (2)'!O8</f>
        <v>-103</v>
      </c>
      <c r="U62" s="46">
        <f>'Inputs (2)'!P8</f>
        <v>-82</v>
      </c>
      <c r="V62" s="46">
        <f>'Inputs (2)'!Q8</f>
        <v>-139</v>
      </c>
      <c r="W62" s="12">
        <f>'Inputs (2)'!R8</f>
        <v>-431</v>
      </c>
      <c r="X62" s="46">
        <f>'Inputs (2)'!S8</f>
        <v>-127</v>
      </c>
      <c r="Y62" s="46">
        <f>'Inputs (2)'!T8</f>
        <v>-142</v>
      </c>
      <c r="Z62" s="46">
        <f>'Inputs (2)'!U8</f>
        <v>-147</v>
      </c>
      <c r="AA62" s="46">
        <f>'Inputs (2)'!V8</f>
        <v>-90</v>
      </c>
      <c r="AB62" s="12">
        <f>'Inputs (2)'!W8</f>
        <v>-506</v>
      </c>
      <c r="AC62" s="46">
        <f>'Inputs (2)'!X8</f>
        <v>-146</v>
      </c>
      <c r="AD62" s="46">
        <f>'Inputs (2)'!Y8</f>
        <v>-118</v>
      </c>
      <c r="AE62" s="46">
        <f>'Inputs (2)'!Z8</f>
        <v>-134</v>
      </c>
      <c r="AF62" s="46">
        <f>'Inputs (2)'!AA8</f>
        <v>-113</v>
      </c>
      <c r="AG62" s="12">
        <f>'Inputs (2)'!AB8</f>
        <v>-511</v>
      </c>
      <c r="AH62" s="12">
        <f>'Inputs (2)'!AC8</f>
        <v>-253</v>
      </c>
      <c r="AI62" s="12">
        <f>'Inputs (2)'!AD8</f>
        <v>-283</v>
      </c>
      <c r="AJ62" s="12" t="str">
        <f>IF(Control!$E$9="","",-AI80*Control!$E$9/4)</f>
        <v/>
      </c>
      <c r="AK62" s="12" t="str">
        <f>IF(Control!$E$9="","",-AJ80*Control!$E$9/4)</f>
        <v/>
      </c>
      <c r="AL62" s="12">
        <f>SUM(AH62:AK62)</f>
        <v>-536</v>
      </c>
      <c r="AM62" s="12" t="str">
        <f>IF(Control!$E$9="","",-AL80*Control!$E$9/4)</f>
        <v/>
      </c>
      <c r="AN62" s="12" t="str">
        <f>IF(Control!$E$9="","",-AM80*Control!$E$9/4)</f>
        <v/>
      </c>
      <c r="AO62" s="12" t="str">
        <f>IF(Control!$E$9="","",-AN80*Control!$E$9/4)</f>
        <v/>
      </c>
      <c r="AP62" s="12" t="str">
        <f>IF(Control!$E$9="","",-AO80*Control!$E$9/4)</f>
        <v/>
      </c>
      <c r="AQ62" s="12">
        <f>SUM(AM62:AP62)</f>
        <v>0</v>
      </c>
      <c r="AR62" s="12" t="str">
        <f>IF(Control!$E$9="","",-AQ80*Control!$E$9/4)</f>
        <v/>
      </c>
      <c r="AS62" s="12" t="str">
        <f>IF(Control!$E$9="","",-AR80*Control!$E$9/4)</f>
        <v/>
      </c>
      <c r="AT62" s="12" t="str">
        <f>IF(Control!$E$9="","",-AS80*Control!$E$9/4)</f>
        <v/>
      </c>
      <c r="AU62" s="12" t="str">
        <f>IF(Control!$E$9="","",-AT80*Control!$E$9/4)</f>
        <v/>
      </c>
      <c r="AV62" s="12">
        <f>SUM(AR62:AU62)</f>
        <v>0</v>
      </c>
      <c r="AW62" s="12" t="str">
        <f>IF(Control!$E$9="","",-AV80*Control!$E$9/4)</f>
        <v/>
      </c>
      <c r="AX62" s="12" t="str">
        <f>IF(Control!$E$9="","",-AW80*Control!$E$9/4)</f>
        <v/>
      </c>
      <c r="AY62" s="12" t="str">
        <f>IF(Control!$E$9="","",-AX80*Control!$E$9/4)</f>
        <v/>
      </c>
      <c r="AZ62" s="12" t="str">
        <f>IF(Control!$E$9="","",-AY80*Control!$E$9/4)</f>
        <v/>
      </c>
      <c r="BA62" s="12">
        <f>SUM(AW62:AZ62)</f>
        <v>0</v>
      </c>
      <c r="BB62" s="12" t="str">
        <f>IF(Control!$E$9="","",-BA80*Control!$E$9/4)</f>
        <v/>
      </c>
      <c r="BC62" s="12" t="str">
        <f>IF(Control!$E$9="","",-BB80*Control!$E$9/4)</f>
        <v/>
      </c>
      <c r="BD62" s="12" t="str">
        <f>IF(Control!$E$9="","",-BC80*Control!$E$9/4)</f>
        <v/>
      </c>
      <c r="BE62" s="12" t="str">
        <f>IF(Control!$E$9="","",-BD80*Control!$E$9/4)</f>
        <v/>
      </c>
      <c r="BF62" s="12">
        <f>SUM(BB62:BE62)</f>
        <v>0</v>
      </c>
      <c r="BG62" s="12" t="n"/>
      <c r="BH62" s="12" t="n"/>
      <c r="BI62" s="12" t="n"/>
      <c r="BJ62" s="12" t="n"/>
      <c r="BK62" s="12" t="n"/>
      <c r="BL62" s="12" t="n"/>
      <c r="BM62" s="12" t="n"/>
      <c r="BN62" s="12" t="n"/>
      <c r="BO62" s="12" t="n"/>
      <c r="BP62" s="12" t="n"/>
      <c r="BQ62" s="12" t="n"/>
      <c r="BR62" s="12" t="n"/>
      <c r="BS62" s="12" t="n"/>
      <c r="BT62" s="12" t="n"/>
      <c r="BU62" s="12" t="n"/>
      <c r="BV62" s="12" t="n"/>
      <c r="BW62" s="12" t="n"/>
      <c r="BX62" s="12" t="n"/>
      <c r="BY62" s="12" t="n"/>
      <c r="BZ62" s="12" t="n"/>
      <c r="CA62" s="12" t="n"/>
      <c r="CB62" s="12" t="n"/>
      <c r="CC62" s="12" t="n"/>
      <c r="CD62" s="12" t="n"/>
      <c r="CE62" s="12" t="n"/>
      <c r="CF62" s="12" t="n"/>
      <c r="CG62" s="12" t="n"/>
      <c r="CH62" s="12" t="n"/>
      <c r="CI62" s="12" t="n"/>
      <c r="CJ62" s="12" t="n"/>
      <c r="CK62" s="12" t="n"/>
      <c r="CL62" s="12" t="n"/>
      <c r="CM62" s="12" t="n"/>
      <c r="CN62" s="12" t="n"/>
      <c r="CO62" s="12" t="n"/>
      <c r="CP62" s="12" t="n"/>
      <c r="CQ62" s="12" t="n"/>
      <c r="CR62" s="12" t="n"/>
      <c r="CS62" s="12" t="n"/>
      <c r="CT62" s="12" t="n"/>
      <c r="CU62" s="12" t="n"/>
      <c r="CV62" s="12" t="n"/>
      <c r="CW62" s="12" t="n"/>
      <c r="CX62" s="12" t="n"/>
      <c r="CY62" s="12" t="n"/>
    </row>
    <row r="63" hidden="1" outlineLevel="1">
      <c r="C63" s="50" t="inlineStr">
        <is>
          <t>% of Debt</t>
        </is>
      </c>
      <c r="D63" s="53" t="n"/>
      <c r="E63" s="53" t="n"/>
      <c r="F63" s="53" t="n"/>
      <c r="G63" s="53" t="n"/>
      <c r="H63" s="12" t="n"/>
      <c r="I63" s="53" t="str">
        <f>IFERROR(-I62/SUM(I200+I205),"")</f>
        <v/>
      </c>
      <c r="J63" s="53" t="str">
        <f>IFERROR(-J62/SUM(J200+J205),"")</f>
        <v/>
      </c>
      <c r="K63" s="53" t="str">
        <f>IFERROR(-K62/SUM(K200+K205),"")</f>
        <v/>
      </c>
      <c r="L63" s="53">
        <f>IFERROR(-L62/SUM(L200+L205),"")</f>
        <v>0.00863272819601371</v>
      </c>
      <c r="M63" s="12" t="n"/>
      <c r="N63" s="53">
        <f>IFERROR(-N62/SUM(N200+N205),"")</f>
        <v>0.00945179584120983</v>
      </c>
      <c r="O63" s="53">
        <f>IFERROR(-O62/SUM(O200+O205),"")</f>
        <v>0.0114496013085259</v>
      </c>
      <c r="P63" s="53">
        <f>IFERROR(-P62/SUM(P200+P205),"")</f>
        <v>0.0140082181546507</v>
      </c>
      <c r="Q63" s="53">
        <f>IFERROR(-Q62/SUM(Q200+Q205),"")</f>
        <v>0.0110957004160888</v>
      </c>
      <c r="R63" s="12" t="n"/>
      <c r="S63" s="53">
        <f>IFERROR(-S62/SUM(S200+S205),"")</f>
        <v>0.0161411977673857</v>
      </c>
      <c r="T63" s="53">
        <f>IFERROR(-T62/SUM(T200+T205),"")</f>
        <v>0.0143035689487571</v>
      </c>
      <c r="U63" s="53">
        <f>IFERROR(-U62/SUM(U200+U205),"")</f>
        <v>0.0100551808706315</v>
      </c>
      <c r="V63" s="53">
        <f>IFERROR(-V62/SUM(V200+V205),"")</f>
        <v>0.0150091782744844</v>
      </c>
      <c r="W63" s="12" t="n"/>
      <c r="X63" s="53">
        <f>IFERROR(-X62/SUM(X200+X205),"")</f>
        <v>0.0127216267655014</v>
      </c>
      <c r="Y63" s="53">
        <f>IFERROR(-Y62/SUM(Y200+Y205),"")</f>
        <v>0.0155633494081543</v>
      </c>
      <c r="Z63" s="53">
        <f>IFERROR(-Z62/SUM(Z200+Z205),"")</f>
        <v>0.0174750356633381</v>
      </c>
      <c r="AA63" s="53">
        <f>IFERROR(-AA62/SUM(AA200+AA205),"")</f>
        <v>0.0106990014265335</v>
      </c>
      <c r="AB63" s="12" t="n"/>
      <c r="AC63" s="53">
        <f>IFERROR(-AC62/SUM(AC200+AC205),"")</f>
        <v>0.0174682938502034</v>
      </c>
      <c r="AD63" s="53">
        <f>IFERROR(-AD62/SUM(AD200+AD205),"")</f>
        <v>0.0141980507760799</v>
      </c>
      <c r="AE63" s="53">
        <f>IFERROR(-AE62/SUM(AE200+AE205),"")</f>
        <v>0.0148279296226624</v>
      </c>
      <c r="AF63" s="55">
        <f>IFERROR(-AF62/SUM(AF200+AF205),"")</f>
        <v>0.0125667259786477</v>
      </c>
      <c r="AG63" s="12" t="n"/>
      <c r="AH63" s="11">
        <f>IFERROR(-AH62/SUM(AH200+AH205),"")</f>
        <v>0.011261461764444</v>
      </c>
      <c r="AI63" s="11">
        <f>IFERROR(-AI62/SUM(AI200+AI205),"")</f>
        <v>0.0114574898785425</v>
      </c>
      <c r="AJ63" s="11" t="str">
        <f>IFERROR(Control!$E$9,0)</f>
        <v/>
      </c>
      <c r="AK63" s="11" t="str">
        <f>IFERROR(Control!$E$9,0)</f>
        <v/>
      </c>
      <c r="AL63" s="12" t="n"/>
      <c r="AM63" s="11" t="str">
        <f>IFERROR(Control!$E$9,0)</f>
        <v/>
      </c>
      <c r="AN63" s="11" t="str">
        <f>IFERROR(Control!$E$9,0)</f>
        <v/>
      </c>
      <c r="AO63" s="11" t="str">
        <f>IFERROR(Control!$E$9,0)</f>
        <v/>
      </c>
      <c r="AP63" s="11" t="str">
        <f>IFERROR(Control!$E$9,0)</f>
        <v/>
      </c>
      <c r="AQ63" s="12" t="n"/>
      <c r="AR63" s="11" t="str">
        <f>IFERROR(Control!$E$9,0)</f>
        <v/>
      </c>
      <c r="AS63" s="11" t="str">
        <f>IFERROR(Control!$E$9,0)</f>
        <v/>
      </c>
      <c r="AT63" s="11" t="str">
        <f>IFERROR(Control!$E$9,0)</f>
        <v/>
      </c>
      <c r="AU63" s="11" t="str">
        <f>IFERROR(Control!$E$9,0)</f>
        <v/>
      </c>
      <c r="AV63" s="12" t="n"/>
      <c r="AW63" s="11" t="str">
        <f>IFERROR(Control!$E$9,0)</f>
        <v/>
      </c>
      <c r="AX63" s="11" t="str">
        <f>IFERROR(Control!$E$9,0)</f>
        <v/>
      </c>
      <c r="AY63" s="11" t="str">
        <f>IFERROR(Control!$E$9,0)</f>
        <v/>
      </c>
      <c r="AZ63" s="11" t="str">
        <f>IFERROR(Control!$E$9,0)</f>
        <v/>
      </c>
      <c r="BA63" s="12" t="n"/>
      <c r="BB63" s="11" t="str">
        <f>IFERROR(Control!$E$9,0)</f>
        <v/>
      </c>
      <c r="BC63" s="11" t="str">
        <f>IFERROR(Control!$E$9,0)</f>
        <v/>
      </c>
      <c r="BD63" s="11" t="str">
        <f>IFERROR(Control!$E$9,0)</f>
        <v/>
      </c>
      <c r="BE63" s="11" t="str">
        <f>IFERROR(Control!$E$9,0)</f>
        <v/>
      </c>
      <c r="BF63" s="12" t="n"/>
      <c r="BG63" s="11" t="n"/>
      <c r="BH63" s="11" t="n"/>
      <c r="BI63" s="11" t="n"/>
      <c r="BJ63" s="11" t="n"/>
      <c r="BK63" s="12" t="n"/>
      <c r="BL63" s="11" t="n"/>
      <c r="BM63" s="11" t="n"/>
      <c r="BN63" s="11" t="n"/>
      <c r="BO63" s="11" t="n"/>
      <c r="BP63" s="12" t="n"/>
      <c r="BQ63" s="11" t="n"/>
      <c r="BR63" s="11" t="n"/>
      <c r="BS63" s="11" t="n"/>
      <c r="BT63" s="11" t="n"/>
      <c r="BU63" s="12" t="n"/>
      <c r="BV63" s="11" t="n"/>
      <c r="BW63" s="11" t="n"/>
      <c r="BX63" s="11" t="n"/>
      <c r="BY63" s="11" t="n"/>
      <c r="BZ63" s="12" t="n"/>
      <c r="CA63" s="11" t="n"/>
      <c r="CB63" s="11" t="n"/>
      <c r="CC63" s="11" t="n"/>
      <c r="CD63" s="11" t="n"/>
      <c r="CE63" s="12" t="n"/>
      <c r="CF63" s="11" t="n"/>
      <c r="CG63" s="11" t="n"/>
      <c r="CH63" s="11" t="n"/>
      <c r="CI63" s="11" t="n"/>
      <c r="CJ63" s="12" t="n"/>
      <c r="CK63" s="11" t="n"/>
      <c r="CL63" s="11" t="n"/>
      <c r="CM63" s="11" t="n"/>
      <c r="CN63" s="11" t="n"/>
      <c r="CO63" s="12" t="n"/>
      <c r="CP63" s="11" t="n"/>
      <c r="CQ63" s="11" t="n"/>
      <c r="CR63" s="11" t="n"/>
      <c r="CS63" s="11" t="n"/>
      <c r="CT63" s="12" t="n"/>
      <c r="CU63" s="11" t="n"/>
      <c r="CV63" s="11" t="n"/>
      <c r="CW63" s="11" t="n"/>
      <c r="CX63" s="11" t="n"/>
      <c r="CY63" s="12" t="n"/>
    </row>
    <row r="64" hidden="1" outlineLevel="1">
      <c r="C64" s="50" t="inlineStr">
        <is>
          <t>%CDI</t>
        </is>
      </c>
      <c r="D64" s="11" t="n"/>
      <c r="E64" s="11" t="n"/>
      <c r="F64" s="11" t="n"/>
      <c r="G64" s="11" t="n"/>
      <c r="H64" s="12" t="n"/>
      <c r="I64" s="11" t="n"/>
      <c r="J64" s="11" t="n"/>
      <c r="K64" s="11" t="n"/>
      <c r="L64" s="11" t="n"/>
      <c r="M64" s="12" t="n"/>
      <c r="N64" s="11" t="n"/>
      <c r="O64" s="11" t="n"/>
      <c r="P64" s="11" t="n"/>
      <c r="Q64" s="11" t="n"/>
      <c r="R64" s="12" t="n"/>
      <c r="S64" s="11" t="n"/>
      <c r="T64" s="11" t="n"/>
      <c r="U64" s="11" t="n"/>
      <c r="V64" s="11" t="n"/>
      <c r="W64" s="12" t="n"/>
      <c r="X64" s="11" t="n"/>
      <c r="Y64" s="11" t="n"/>
      <c r="Z64" s="11" t="n"/>
      <c r="AA64" s="11" t="n"/>
      <c r="AB64" s="12" t="n"/>
      <c r="AC64" s="11" t="n"/>
      <c r="AD64" s="11" t="n"/>
      <c r="AE64" s="11" t="n"/>
      <c r="AF64" s="11" t="n"/>
      <c r="AG64" s="12" t="n"/>
      <c r="AH64" s="11" t="n"/>
      <c r="AI64" s="11" t="n"/>
      <c r="AJ64" s="11" t="n"/>
      <c r="AK64" s="11" t="n"/>
      <c r="AL64" s="12" t="n"/>
      <c r="AM64" s="11" t="n"/>
      <c r="AN64" s="11" t="n"/>
      <c r="AO64" s="11" t="n"/>
      <c r="AP64" s="11" t="n"/>
      <c r="AQ64" s="12" t="n"/>
      <c r="AR64" s="11" t="n"/>
      <c r="AS64" s="11" t="n"/>
      <c r="AT64" s="11" t="n"/>
      <c r="AU64" s="11" t="n"/>
      <c r="AV64" s="12" t="n"/>
      <c r="AW64" s="11" t="n"/>
      <c r="AX64" s="11" t="n"/>
      <c r="AY64" s="11" t="n"/>
      <c r="AZ64" s="11" t="n"/>
      <c r="BA64" s="12" t="n"/>
      <c r="BB64" s="11" t="n"/>
      <c r="BC64" s="11" t="n"/>
      <c r="BD64" s="11" t="n"/>
      <c r="BE64" s="11" t="n"/>
      <c r="BF64" s="12" t="n"/>
      <c r="BG64" s="11" t="n"/>
      <c r="BH64" s="11" t="n"/>
      <c r="BI64" s="11" t="n"/>
      <c r="BJ64" s="11" t="n"/>
      <c r="BK64" s="12" t="n"/>
      <c r="BL64" s="11" t="n"/>
      <c r="BM64" s="11" t="n"/>
      <c r="BN64" s="11" t="n"/>
      <c r="BO64" s="11" t="n"/>
      <c r="BP64" s="12" t="n"/>
      <c r="BQ64" s="11" t="n"/>
      <c r="BR64" s="11" t="n"/>
      <c r="BS64" s="11" t="n"/>
      <c r="BT64" s="11" t="n"/>
      <c r="BU64" s="12" t="n"/>
      <c r="BV64" s="11" t="n"/>
      <c r="BW64" s="11" t="n"/>
      <c r="BX64" s="11" t="n"/>
      <c r="BY64" s="11" t="n"/>
      <c r="BZ64" s="12" t="n"/>
      <c r="CA64" s="11" t="n"/>
      <c r="CB64" s="11" t="n"/>
      <c r="CC64" s="11" t="n"/>
      <c r="CD64" s="11" t="n"/>
      <c r="CE64" s="12" t="n"/>
      <c r="CF64" s="11" t="n"/>
      <c r="CG64" s="11" t="n"/>
      <c r="CH64" s="11" t="n"/>
      <c r="CI64" s="11" t="n"/>
      <c r="CJ64" s="12" t="n"/>
      <c r="CK64" s="11" t="n"/>
      <c r="CL64" s="11" t="n"/>
      <c r="CM64" s="11" t="n"/>
      <c r="CN64" s="11" t="n"/>
      <c r="CO64" s="12" t="n"/>
      <c r="CP64" s="11" t="n"/>
      <c r="CQ64" s="11" t="n"/>
      <c r="CR64" s="11" t="n"/>
      <c r="CS64" s="11" t="n"/>
      <c r="CT64" s="12" t="n"/>
      <c r="CU64" s="11" t="n"/>
      <c r="CV64" s="11" t="n"/>
      <c r="CW64" s="11" t="n"/>
      <c r="CX64" s="11" t="n"/>
      <c r="CY64" s="12" t="n"/>
    </row>
    <row r="65" hidden="1" outlineLevel="1">
      <c r="C65" s="57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/>
      <c r="AO65" s="12" t="n"/>
      <c r="AP65" s="12" t="n"/>
      <c r="AQ65" s="12" t="n"/>
      <c r="AR65" s="12" t="n"/>
      <c r="AS65" s="12" t="n"/>
      <c r="AT65" s="12" t="n"/>
      <c r="AU65" s="12" t="n"/>
      <c r="AV65" s="12" t="n"/>
      <c r="AW65" s="12" t="n"/>
      <c r="AX65" s="12" t="n"/>
      <c r="AY65" s="12" t="n"/>
      <c r="AZ65" s="12" t="n"/>
      <c r="BA65" s="12" t="n"/>
      <c r="BB65" s="12" t="n"/>
      <c r="BC65" s="12" t="n"/>
      <c r="BD65" s="12" t="n"/>
      <c r="BE65" s="12" t="n"/>
      <c r="BF65" s="12" t="n"/>
      <c r="BG65" s="12" t="n"/>
      <c r="BH65" s="12" t="n"/>
      <c r="BI65" s="12" t="n"/>
      <c r="BJ65" s="12" t="n"/>
      <c r="BK65" s="12" t="n"/>
      <c r="BL65" s="12" t="n"/>
      <c r="BM65" s="12" t="n"/>
      <c r="BN65" s="12" t="n"/>
      <c r="BO65" s="12" t="n"/>
      <c r="BP65" s="12" t="n"/>
      <c r="BQ65" s="12" t="n"/>
      <c r="BR65" s="12" t="n"/>
      <c r="BS65" s="12" t="n"/>
      <c r="BT65" s="12" t="n"/>
      <c r="BU65" s="12" t="n"/>
      <c r="BV65" s="12" t="n"/>
      <c r="BW65" s="12" t="n"/>
      <c r="BX65" s="12" t="n"/>
      <c r="BY65" s="12" t="n"/>
      <c r="BZ65" s="12" t="n"/>
      <c r="CA65" s="12" t="n"/>
      <c r="CB65" s="12" t="n"/>
      <c r="CC65" s="12" t="n"/>
      <c r="CD65" s="12" t="n"/>
      <c r="CE65" s="12" t="n"/>
      <c r="CF65" s="12" t="n"/>
      <c r="CG65" s="12" t="n"/>
      <c r="CH65" s="12" t="n"/>
      <c r="CI65" s="12" t="n"/>
      <c r="CJ65" s="12" t="n"/>
      <c r="CK65" s="12" t="n"/>
      <c r="CL65" s="12" t="n"/>
      <c r="CM65" s="12" t="n"/>
      <c r="CN65" s="12" t="n"/>
      <c r="CO65" s="12" t="n"/>
      <c r="CP65" s="12" t="n"/>
      <c r="CQ65" s="12" t="n"/>
      <c r="CR65" s="12" t="n"/>
      <c r="CS65" s="12" t="n"/>
      <c r="CT65" s="12" t="n"/>
      <c r="CU65" s="12" t="n"/>
      <c r="CV65" s="12" t="n"/>
      <c r="CW65" s="12" t="n"/>
      <c r="CX65" s="12" t="n"/>
      <c r="CY65" s="12" t="n"/>
    </row>
    <row r="66" hidden="1" outlineLevel="1">
      <c r="C66" s="57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/>
      <c r="AG66" s="12" t="n"/>
      <c r="AH66" s="12" t="n"/>
      <c r="AI66" s="12" t="n"/>
      <c r="AJ66" s="12" t="n"/>
      <c r="AK66" s="12" t="n"/>
      <c r="AL66" s="12" t="n"/>
      <c r="AM66" s="12" t="n"/>
      <c r="AN66" s="12" t="n"/>
      <c r="AO66" s="12" t="n"/>
      <c r="AP66" s="12" t="n"/>
      <c r="AQ66" s="12" t="n"/>
      <c r="AR66" s="12" t="n"/>
      <c r="AS66" s="12" t="n"/>
      <c r="AT66" s="12" t="n"/>
      <c r="AU66" s="12" t="n"/>
      <c r="AV66" s="12" t="n"/>
      <c r="AW66" s="12" t="n"/>
      <c r="AX66" s="12" t="n"/>
      <c r="AY66" s="12" t="n"/>
      <c r="AZ66" s="12" t="n"/>
      <c r="BA66" s="12" t="n"/>
      <c r="BB66" s="12" t="n"/>
      <c r="BC66" s="12" t="n"/>
      <c r="BD66" s="12" t="n"/>
      <c r="BE66" s="12" t="n"/>
      <c r="BF66" s="12" t="n"/>
      <c r="BG66" s="12" t="n"/>
      <c r="BH66" s="12" t="n"/>
      <c r="BI66" s="12" t="n"/>
      <c r="BJ66" s="12" t="n"/>
      <c r="BK66" s="12" t="n"/>
      <c r="BL66" s="12" t="n"/>
      <c r="BM66" s="12" t="n"/>
      <c r="BN66" s="12" t="n"/>
      <c r="BO66" s="12" t="n"/>
      <c r="BP66" s="12" t="n"/>
      <c r="BQ66" s="12" t="n"/>
      <c r="BR66" s="12" t="n"/>
      <c r="BS66" s="12" t="n"/>
      <c r="BT66" s="12" t="n"/>
      <c r="BU66" s="12" t="n"/>
      <c r="BV66" s="12" t="n"/>
      <c r="BW66" s="12" t="n"/>
      <c r="BX66" s="12" t="n"/>
      <c r="BY66" s="12" t="n"/>
      <c r="BZ66" s="12" t="n"/>
      <c r="CA66" s="12" t="n"/>
      <c r="CB66" s="12" t="n"/>
      <c r="CC66" s="12" t="n"/>
      <c r="CD66" s="12" t="n"/>
      <c r="CE66" s="12" t="n"/>
      <c r="CF66" s="12" t="n"/>
      <c r="CG66" s="12" t="n"/>
      <c r="CH66" s="12" t="n"/>
      <c r="CI66" s="12" t="n"/>
      <c r="CJ66" s="12" t="n"/>
      <c r="CK66" s="12" t="n"/>
      <c r="CL66" s="12" t="n"/>
      <c r="CM66" s="12" t="n"/>
      <c r="CN66" s="12" t="n"/>
      <c r="CO66" s="12" t="n"/>
      <c r="CP66" s="12" t="n"/>
      <c r="CQ66" s="12" t="n"/>
      <c r="CR66" s="12" t="n"/>
      <c r="CS66" s="12" t="n"/>
      <c r="CT66" s="12" t="n"/>
      <c r="CU66" s="12" t="n"/>
      <c r="CV66" s="12" t="n"/>
      <c r="CW66" s="12" t="n"/>
      <c r="CX66" s="12" t="n"/>
      <c r="CY66" s="12" t="n"/>
    </row>
    <row r="67" hidden="1" outlineLevel="1">
      <c r="C67" s="57" t="inlineStr">
        <is>
          <t>RECEITA FINANCEIRA</t>
        </is>
      </c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/>
      <c r="AO67" s="12" t="n"/>
      <c r="AP67" s="12" t="n"/>
      <c r="AQ67" s="12" t="n"/>
      <c r="AR67" s="12" t="n"/>
      <c r="AS67" s="12" t="n"/>
      <c r="AT67" s="12" t="n"/>
      <c r="AU67" s="12" t="n"/>
      <c r="AV67" s="12" t="n"/>
      <c r="AW67" s="12" t="n"/>
      <c r="AX67" s="12" t="n"/>
      <c r="AY67" s="12" t="n"/>
      <c r="AZ67" s="12" t="n"/>
      <c r="BA67" s="12" t="n"/>
      <c r="BB67" s="12" t="n"/>
      <c r="BC67" s="12" t="n"/>
      <c r="BD67" s="12" t="n"/>
      <c r="BE67" s="12" t="n"/>
      <c r="BF67" s="12" t="n"/>
      <c r="BG67" s="12" t="n"/>
      <c r="BH67" s="12" t="n"/>
      <c r="BI67" s="12" t="n"/>
      <c r="BJ67" s="12" t="n"/>
      <c r="BK67" s="12" t="n"/>
      <c r="BL67" s="12" t="n"/>
      <c r="BM67" s="12" t="n"/>
      <c r="BN67" s="12" t="n"/>
      <c r="BO67" s="12" t="n"/>
      <c r="BP67" s="12" t="n"/>
      <c r="BQ67" s="12" t="n"/>
      <c r="BR67" s="12" t="n"/>
      <c r="BS67" s="12" t="n"/>
      <c r="BT67" s="12" t="n"/>
      <c r="BU67" s="12" t="n"/>
      <c r="BV67" s="12" t="n"/>
      <c r="BW67" s="12" t="n"/>
      <c r="BX67" s="12" t="n"/>
      <c r="BY67" s="12" t="n"/>
      <c r="BZ67" s="12" t="n"/>
      <c r="CA67" s="12" t="n"/>
      <c r="CB67" s="12" t="n"/>
      <c r="CC67" s="12" t="n"/>
      <c r="CD67" s="12" t="n"/>
      <c r="CE67" s="12" t="n"/>
      <c r="CF67" s="12" t="n"/>
      <c r="CG67" s="12" t="n"/>
      <c r="CH67" s="12" t="n"/>
      <c r="CI67" s="12" t="n"/>
      <c r="CJ67" s="12" t="n"/>
      <c r="CK67" s="12" t="n"/>
      <c r="CL67" s="12" t="n"/>
      <c r="CM67" s="12" t="n"/>
      <c r="CN67" s="12" t="n"/>
      <c r="CO67" s="12" t="n"/>
      <c r="CP67" s="12" t="n"/>
      <c r="CQ67" s="12" t="n"/>
      <c r="CR67" s="12" t="n"/>
      <c r="CS67" s="12" t="n"/>
      <c r="CT67" s="12" t="n"/>
      <c r="CU67" s="12" t="n"/>
      <c r="CV67" s="12" t="n"/>
      <c r="CW67" s="12" t="n"/>
      <c r="CX67" s="12" t="n"/>
      <c r="CY67" s="12" t="n"/>
    </row>
    <row r="68" hidden="1" outlineLevel="1">
      <c r="C68" s="57" t="inlineStr">
        <is>
          <t>DESPESA FINANCEIRA</t>
        </is>
      </c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2" t="n"/>
      <c r="AH68" s="12" t="n"/>
      <c r="AI68" s="12" t="n"/>
      <c r="AJ68" s="12" t="n"/>
      <c r="AK68" s="12" t="n"/>
      <c r="AL68" s="12" t="n"/>
      <c r="AM68" s="12" t="n"/>
      <c r="AN68" s="12" t="n"/>
      <c r="AO68" s="12" t="n"/>
      <c r="AP68" s="12" t="n"/>
      <c r="AQ68" s="12" t="n"/>
      <c r="AR68" s="12" t="n"/>
      <c r="AS68" s="12" t="n"/>
      <c r="AT68" s="12" t="n"/>
      <c r="AU68" s="12" t="n"/>
      <c r="AV68" s="12" t="n"/>
      <c r="AW68" s="12" t="n"/>
      <c r="AX68" s="12" t="n"/>
      <c r="AY68" s="12" t="n"/>
      <c r="AZ68" s="12" t="n"/>
      <c r="BA68" s="12" t="n"/>
      <c r="BB68" s="12" t="n"/>
      <c r="BC68" s="12" t="n"/>
      <c r="BD68" s="12" t="n"/>
      <c r="BE68" s="12" t="n"/>
      <c r="BF68" s="12" t="n"/>
      <c r="BG68" s="12" t="n"/>
      <c r="BH68" s="12" t="n"/>
      <c r="BI68" s="12" t="n"/>
      <c r="BJ68" s="12" t="n"/>
      <c r="BK68" s="12" t="n"/>
      <c r="BL68" s="12" t="n"/>
      <c r="BM68" s="12" t="n"/>
      <c r="BN68" s="12" t="n"/>
      <c r="BO68" s="12" t="n"/>
      <c r="BP68" s="12" t="n"/>
      <c r="BQ68" s="12" t="n"/>
      <c r="BR68" s="12" t="n"/>
      <c r="BS68" s="12" t="n"/>
      <c r="BT68" s="12" t="n"/>
      <c r="BU68" s="12" t="n"/>
      <c r="BV68" s="12" t="n"/>
      <c r="BW68" s="12" t="n"/>
      <c r="BX68" s="12" t="n"/>
      <c r="BY68" s="12" t="n"/>
      <c r="BZ68" s="12" t="n"/>
      <c r="CA68" s="12" t="n"/>
      <c r="CB68" s="12" t="n"/>
      <c r="CC68" s="12" t="n"/>
      <c r="CD68" s="12" t="n"/>
      <c r="CE68" s="12" t="n"/>
      <c r="CF68" s="12" t="n"/>
      <c r="CG68" s="12" t="n"/>
      <c r="CH68" s="12" t="n"/>
      <c r="CI68" s="12" t="n"/>
      <c r="CJ68" s="12" t="n"/>
      <c r="CK68" s="12" t="n"/>
      <c r="CL68" s="12" t="n"/>
      <c r="CM68" s="12" t="n"/>
      <c r="CN68" s="12" t="n"/>
      <c r="CO68" s="12" t="n"/>
      <c r="CP68" s="12" t="n"/>
      <c r="CQ68" s="12" t="n"/>
      <c r="CR68" s="12" t="n"/>
      <c r="CS68" s="12" t="n"/>
      <c r="CT68" s="12" t="n"/>
      <c r="CU68" s="12" t="n"/>
      <c r="CV68" s="12" t="n"/>
      <c r="CW68" s="12" t="n"/>
      <c r="CX68" s="12" t="n"/>
      <c r="CY68" s="12" t="n"/>
    </row>
    <row r="69" hidden="1" outlineLevel="1">
      <c r="C69" s="57" t="inlineStr">
        <is>
          <t>OUTROS</t>
        </is>
      </c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/>
      <c r="AO69" s="12" t="n"/>
      <c r="AP69" s="12" t="n"/>
      <c r="AQ69" s="12" t="n"/>
      <c r="AR69" s="12" t="n"/>
      <c r="AS69" s="12" t="n"/>
      <c r="AT69" s="12" t="n"/>
      <c r="AU69" s="12" t="n"/>
      <c r="AV69" s="12" t="n"/>
      <c r="AW69" s="12" t="n"/>
      <c r="AX69" s="12" t="n"/>
      <c r="AY69" s="12" t="n"/>
      <c r="AZ69" s="12" t="n"/>
      <c r="BA69" s="12" t="n"/>
      <c r="BB69" s="12" t="n"/>
      <c r="BC69" s="12" t="n"/>
      <c r="BD69" s="12" t="n"/>
      <c r="BE69" s="12" t="n"/>
      <c r="BF69" s="12" t="n"/>
      <c r="BG69" s="12" t="n"/>
      <c r="BH69" s="12" t="n"/>
      <c r="BI69" s="12" t="n"/>
      <c r="BJ69" s="12" t="n"/>
      <c r="BK69" s="12" t="n"/>
      <c r="BL69" s="12" t="n"/>
      <c r="BM69" s="12" t="n"/>
      <c r="BN69" s="12" t="n"/>
      <c r="BO69" s="12" t="n"/>
      <c r="BP69" s="12" t="n"/>
      <c r="BQ69" s="12" t="n"/>
      <c r="BR69" s="12" t="n"/>
      <c r="BS69" s="12" t="n"/>
      <c r="BT69" s="12" t="n"/>
      <c r="BU69" s="12" t="n"/>
      <c r="BV69" s="12" t="n"/>
      <c r="BW69" s="12" t="n"/>
      <c r="BX69" s="12" t="n"/>
      <c r="BY69" s="12" t="n"/>
      <c r="BZ69" s="12" t="n"/>
      <c r="CA69" s="12" t="n"/>
      <c r="CB69" s="12" t="n"/>
      <c r="CC69" s="12" t="n"/>
      <c r="CD69" s="12" t="n"/>
      <c r="CE69" s="12" t="n"/>
      <c r="CF69" s="12" t="n"/>
      <c r="CG69" s="12" t="n"/>
      <c r="CH69" s="12" t="n"/>
      <c r="CI69" s="12" t="n"/>
      <c r="CJ69" s="12" t="n"/>
      <c r="CK69" s="12" t="n"/>
      <c r="CL69" s="12" t="n"/>
      <c r="CM69" s="12" t="n"/>
      <c r="CN69" s="12" t="n"/>
      <c r="CO69" s="12" t="n"/>
      <c r="CP69" s="12" t="n"/>
      <c r="CQ69" s="12" t="n"/>
      <c r="CR69" s="12" t="n"/>
      <c r="CS69" s="12" t="n"/>
      <c r="CT69" s="12" t="n"/>
      <c r="CU69" s="12" t="n"/>
      <c r="CV69" s="12" t="n"/>
      <c r="CW69" s="12" t="n"/>
      <c r="CX69" s="12" t="n"/>
      <c r="CY69" s="12" t="n"/>
    </row>
    <row r="70" hidden="1" outlineLevel="1">
      <c r="C70" s="57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2" t="n"/>
      <c r="AC70" s="12" t="n"/>
      <c r="AD70" s="12" t="n"/>
      <c r="AE70" s="12" t="n"/>
      <c r="AF70" s="12" t="n"/>
      <c r="AG70" s="12" t="n"/>
      <c r="AH70" s="12" t="n"/>
      <c r="AI70" s="12" t="n"/>
      <c r="AJ70" s="12" t="n"/>
      <c r="AK70" s="12" t="n"/>
      <c r="AL70" s="12" t="n"/>
      <c r="AM70" s="12" t="n"/>
      <c r="AN70" s="12" t="n"/>
      <c r="AO70" s="12" t="n"/>
      <c r="AP70" s="12" t="n"/>
      <c r="AQ70" s="12" t="n"/>
      <c r="AR70" s="12" t="n"/>
      <c r="AS70" s="12" t="n"/>
      <c r="AT70" s="12" t="n"/>
      <c r="AU70" s="12" t="n"/>
      <c r="AV70" s="12" t="n"/>
      <c r="AW70" s="12" t="n"/>
      <c r="AX70" s="12" t="n"/>
      <c r="AY70" s="12" t="n"/>
      <c r="AZ70" s="12" t="n"/>
      <c r="BA70" s="12" t="n"/>
      <c r="BB70" s="12" t="n"/>
      <c r="BC70" s="12" t="n"/>
      <c r="BD70" s="12" t="n"/>
      <c r="BE70" s="12" t="n"/>
      <c r="BF70" s="12" t="n"/>
      <c r="BG70" s="12" t="n"/>
      <c r="BH70" s="12" t="n"/>
      <c r="BI70" s="12" t="n"/>
      <c r="BJ70" s="12" t="n"/>
      <c r="BK70" s="12" t="n"/>
      <c r="BL70" s="12" t="n"/>
      <c r="BM70" s="12" t="n"/>
      <c r="BN70" s="12" t="n"/>
      <c r="BO70" s="12" t="n"/>
      <c r="BP70" s="12" t="n"/>
      <c r="BQ70" s="12" t="n"/>
      <c r="BR70" s="12" t="n"/>
      <c r="BS70" s="12" t="n"/>
      <c r="BT70" s="12" t="n"/>
      <c r="BU70" s="12" t="n"/>
      <c r="BV70" s="12" t="n"/>
      <c r="BW70" s="12" t="n"/>
      <c r="BX70" s="12" t="n"/>
      <c r="BY70" s="12" t="n"/>
      <c r="BZ70" s="12" t="n"/>
      <c r="CA70" s="12" t="n"/>
      <c r="CB70" s="12" t="n"/>
      <c r="CC70" s="12" t="n"/>
      <c r="CD70" s="12" t="n"/>
      <c r="CE70" s="12" t="n"/>
      <c r="CF70" s="12" t="n"/>
      <c r="CG70" s="12" t="n"/>
      <c r="CH70" s="12" t="n"/>
      <c r="CI70" s="12" t="n"/>
      <c r="CJ70" s="12" t="n"/>
      <c r="CK70" s="12" t="n"/>
      <c r="CL70" s="12" t="n"/>
      <c r="CM70" s="12" t="n"/>
      <c r="CN70" s="12" t="n"/>
      <c r="CO70" s="12" t="n"/>
      <c r="CP70" s="12" t="n"/>
      <c r="CQ70" s="12" t="n"/>
      <c r="CR70" s="12" t="n"/>
      <c r="CS70" s="12" t="n"/>
      <c r="CT70" s="12" t="n"/>
      <c r="CU70" s="12" t="n"/>
      <c r="CV70" s="12" t="n"/>
      <c r="CW70" s="12" t="n"/>
      <c r="CX70" s="12" t="n"/>
      <c r="CY70" s="12" t="n"/>
    </row>
    <row r="71" hidden="1" outlineLevel="1">
      <c r="C71" s="57" t="inlineStr">
        <is>
          <t>Cash and equivalents (inc. investment securities)</t>
        </is>
      </c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/>
      <c r="AO71" s="12" t="n"/>
      <c r="AP71" s="12" t="n"/>
      <c r="AQ71" s="12" t="n"/>
      <c r="AR71" s="12" t="n"/>
      <c r="AS71" s="12" t="n"/>
      <c r="AT71" s="12" t="n"/>
      <c r="AU71" s="12" t="n"/>
      <c r="AV71" s="12" t="n"/>
      <c r="AW71" s="12" t="n"/>
      <c r="AX71" s="12" t="n"/>
      <c r="AY71" s="12" t="n"/>
      <c r="AZ71" s="12" t="n"/>
      <c r="BA71" s="12" t="n"/>
      <c r="BB71" s="12" t="n"/>
      <c r="BC71" s="12" t="n"/>
      <c r="BD71" s="12" t="n"/>
      <c r="BE71" s="12" t="n"/>
      <c r="BF71" s="12" t="n"/>
      <c r="BG71" s="12" t="n"/>
      <c r="BH71" s="12" t="n"/>
      <c r="BI71" s="12" t="n"/>
      <c r="BJ71" s="12" t="n"/>
      <c r="BK71" s="12" t="n"/>
      <c r="BL71" s="12" t="n"/>
      <c r="BM71" s="12" t="n"/>
      <c r="BN71" s="12" t="n"/>
      <c r="BO71" s="12" t="n"/>
      <c r="BP71" s="12" t="n"/>
      <c r="BQ71" s="12" t="n"/>
      <c r="BR71" s="12" t="n"/>
      <c r="BS71" s="12" t="n"/>
      <c r="BT71" s="12" t="n"/>
      <c r="BU71" s="12" t="n"/>
      <c r="BV71" s="12" t="n"/>
      <c r="BW71" s="12" t="n"/>
      <c r="BX71" s="12" t="n"/>
      <c r="BY71" s="12" t="n"/>
      <c r="BZ71" s="12" t="n"/>
      <c r="CA71" s="12" t="n"/>
      <c r="CB71" s="12" t="n"/>
      <c r="CC71" s="12" t="n"/>
      <c r="CD71" s="12" t="n"/>
      <c r="CE71" s="12" t="n"/>
      <c r="CF71" s="12" t="n"/>
      <c r="CG71" s="12" t="n"/>
      <c r="CH71" s="12" t="n"/>
      <c r="CI71" s="12" t="n"/>
      <c r="CJ71" s="12" t="n"/>
      <c r="CK71" s="12" t="n"/>
      <c r="CL71" s="12" t="n"/>
      <c r="CM71" s="12" t="n"/>
      <c r="CN71" s="12" t="n"/>
      <c r="CO71" s="12" t="n"/>
      <c r="CP71" s="12" t="n"/>
      <c r="CQ71" s="12" t="n"/>
      <c r="CR71" s="12" t="n"/>
      <c r="CS71" s="12" t="n"/>
      <c r="CT71" s="12" t="n"/>
      <c r="CU71" s="12" t="n"/>
      <c r="CV71" s="12" t="n"/>
      <c r="CW71" s="12" t="n"/>
      <c r="CX71" s="12" t="n"/>
      <c r="CY71" s="12" t="n"/>
    </row>
    <row r="72" hidden="1" outlineLevel="1">
      <c r="C72" s="57" t="inlineStr">
        <is>
          <t>Interest on cash</t>
        </is>
      </c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2" t="n"/>
      <c r="AK72" s="12" t="n"/>
      <c r="AL72" s="12" t="n"/>
      <c r="AM72" s="12" t="n"/>
      <c r="AN72" s="12" t="n"/>
      <c r="AO72" s="12" t="n"/>
      <c r="AP72" s="12" t="n"/>
      <c r="AQ72" s="12" t="n"/>
      <c r="AR72" s="12" t="n"/>
      <c r="AS72" s="12" t="n"/>
      <c r="AT72" s="12" t="n"/>
      <c r="AU72" s="12" t="n"/>
      <c r="AV72" s="12" t="n"/>
      <c r="AW72" s="12" t="n"/>
      <c r="AX72" s="12" t="n"/>
      <c r="AY72" s="12" t="n"/>
      <c r="AZ72" s="12" t="n"/>
      <c r="BA72" s="12" t="n"/>
      <c r="BB72" s="12" t="n"/>
      <c r="BC72" s="12" t="n"/>
      <c r="BD72" s="12" t="n"/>
      <c r="BE72" s="12" t="n"/>
      <c r="BF72" s="12" t="n"/>
      <c r="BG72" s="12" t="n"/>
      <c r="BH72" s="12" t="n"/>
      <c r="BI72" s="12" t="n"/>
      <c r="BJ72" s="12" t="n"/>
      <c r="BK72" s="12" t="n"/>
      <c r="BL72" s="12" t="n"/>
      <c r="BM72" s="12" t="n"/>
      <c r="BN72" s="12" t="n"/>
      <c r="BO72" s="12" t="n"/>
      <c r="BP72" s="12" t="n"/>
      <c r="BQ72" s="12" t="n"/>
      <c r="BR72" s="12" t="n"/>
      <c r="BS72" s="12" t="n"/>
      <c r="BT72" s="12" t="n"/>
      <c r="BU72" s="12" t="n"/>
      <c r="BV72" s="12" t="n"/>
      <c r="BW72" s="12" t="n"/>
      <c r="BX72" s="12" t="n"/>
      <c r="BY72" s="12" t="n"/>
      <c r="BZ72" s="12" t="n"/>
      <c r="CA72" s="12" t="n"/>
      <c r="CB72" s="12" t="n"/>
      <c r="CC72" s="12" t="n"/>
      <c r="CD72" s="12" t="n"/>
      <c r="CE72" s="12" t="n"/>
      <c r="CF72" s="12" t="n"/>
      <c r="CG72" s="12" t="n"/>
      <c r="CH72" s="12" t="n"/>
      <c r="CI72" s="12" t="n"/>
      <c r="CJ72" s="12" t="n"/>
      <c r="CK72" s="12" t="n"/>
      <c r="CL72" s="12" t="n"/>
      <c r="CM72" s="12" t="n"/>
      <c r="CN72" s="12" t="n"/>
      <c r="CO72" s="12" t="n"/>
      <c r="CP72" s="12" t="n"/>
      <c r="CQ72" s="12" t="n"/>
      <c r="CR72" s="12" t="n"/>
      <c r="CS72" s="12" t="n"/>
      <c r="CT72" s="12" t="n"/>
      <c r="CU72" s="12" t="n"/>
      <c r="CV72" s="12" t="n"/>
      <c r="CW72" s="12" t="n"/>
      <c r="CX72" s="12" t="n"/>
      <c r="CY72" s="12" t="n"/>
    </row>
    <row r="73" hidden="1" outlineLevel="1">
      <c r="C73" s="57" t="inlineStr">
        <is>
          <t>Average interest rate</t>
        </is>
      </c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/>
      <c r="AO73" s="12" t="n"/>
      <c r="AP73" s="12" t="n"/>
      <c r="AQ73" s="12" t="n"/>
      <c r="AR73" s="12" t="n"/>
      <c r="AS73" s="12" t="n"/>
      <c r="AT73" s="12" t="n"/>
      <c r="AU73" s="12" t="n"/>
      <c r="AV73" s="12" t="n"/>
      <c r="AW73" s="12" t="n"/>
      <c r="AX73" s="12" t="n"/>
      <c r="AY73" s="12" t="n"/>
      <c r="AZ73" s="12" t="n"/>
      <c r="BA73" s="12" t="n"/>
      <c r="BB73" s="12" t="n"/>
      <c r="BC73" s="12" t="n"/>
      <c r="BD73" s="12" t="n"/>
      <c r="BE73" s="12" t="n"/>
      <c r="BF73" s="12" t="n"/>
      <c r="BG73" s="12" t="n"/>
      <c r="BH73" s="12" t="n"/>
      <c r="BI73" s="12" t="n"/>
      <c r="BJ73" s="12" t="n"/>
      <c r="BK73" s="12" t="n"/>
      <c r="BL73" s="12" t="n"/>
      <c r="BM73" s="12" t="n"/>
      <c r="BN73" s="12" t="n"/>
      <c r="BO73" s="12" t="n"/>
      <c r="BP73" s="12" t="n"/>
      <c r="BQ73" s="12" t="n"/>
      <c r="BR73" s="12" t="n"/>
      <c r="BS73" s="12" t="n"/>
      <c r="BT73" s="12" t="n"/>
      <c r="BU73" s="12" t="n"/>
      <c r="BV73" s="12" t="n"/>
      <c r="BW73" s="12" t="n"/>
      <c r="BX73" s="12" t="n"/>
      <c r="BY73" s="12" t="n"/>
      <c r="BZ73" s="12" t="n"/>
      <c r="CA73" s="12" t="n"/>
      <c r="CB73" s="12" t="n"/>
      <c r="CC73" s="12" t="n"/>
      <c r="CD73" s="12" t="n"/>
      <c r="CE73" s="12" t="n"/>
      <c r="CF73" s="12" t="n"/>
      <c r="CG73" s="12" t="n"/>
      <c r="CH73" s="12" t="n"/>
      <c r="CI73" s="12" t="n"/>
      <c r="CJ73" s="12" t="n"/>
      <c r="CK73" s="12" t="n"/>
      <c r="CL73" s="12" t="n"/>
      <c r="CM73" s="12" t="n"/>
      <c r="CN73" s="12" t="n"/>
      <c r="CO73" s="12" t="n"/>
      <c r="CP73" s="12" t="n"/>
      <c r="CQ73" s="12" t="n"/>
      <c r="CR73" s="12" t="n"/>
      <c r="CS73" s="12" t="n"/>
      <c r="CT73" s="12" t="n"/>
      <c r="CU73" s="12" t="n"/>
      <c r="CV73" s="12" t="n"/>
      <c r="CW73" s="12" t="n"/>
      <c r="CX73" s="12" t="n"/>
      <c r="CY73" s="12" t="n"/>
    </row>
    <row r="74" hidden="1" outlineLevel="1">
      <c r="C74" s="57" t="inlineStr">
        <is>
          <t>% CDI</t>
        </is>
      </c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/>
      <c r="AF74" s="12" t="n"/>
      <c r="AG74" s="12" t="n"/>
      <c r="AH74" s="12" t="n"/>
      <c r="AI74" s="12" t="n"/>
      <c r="AJ74" s="12" t="n"/>
      <c r="AK74" s="12" t="n"/>
      <c r="AL74" s="12" t="n"/>
      <c r="AM74" s="12" t="n"/>
      <c r="AN74" s="12" t="n"/>
      <c r="AO74" s="12" t="n"/>
      <c r="AP74" s="12" t="n"/>
      <c r="AQ74" s="12" t="n"/>
      <c r="AR74" s="12" t="n"/>
      <c r="AS74" s="12" t="n"/>
      <c r="AT74" s="12" t="n"/>
      <c r="AU74" s="12" t="n"/>
      <c r="AV74" s="12" t="n"/>
      <c r="AW74" s="12" t="n"/>
      <c r="AX74" s="12" t="n"/>
      <c r="AY74" s="12" t="n"/>
      <c r="AZ74" s="12" t="n"/>
      <c r="BA74" s="12" t="n"/>
      <c r="BB74" s="12" t="n"/>
      <c r="BC74" s="12" t="n"/>
      <c r="BD74" s="12" t="n"/>
      <c r="BE74" s="12" t="n"/>
      <c r="BF74" s="12" t="n"/>
      <c r="BG74" s="12" t="n"/>
      <c r="BH74" s="12" t="n"/>
      <c r="BI74" s="12" t="n"/>
      <c r="BJ74" s="12" t="n"/>
      <c r="BK74" s="12" t="n"/>
      <c r="BL74" s="12" t="n"/>
      <c r="BM74" s="12" t="n"/>
      <c r="BN74" s="12" t="n"/>
      <c r="BO74" s="12" t="n"/>
      <c r="BP74" s="12" t="n"/>
      <c r="BQ74" s="12" t="n"/>
      <c r="BR74" s="12" t="n"/>
      <c r="BS74" s="12" t="n"/>
      <c r="BT74" s="12" t="n"/>
      <c r="BU74" s="12" t="n"/>
      <c r="BV74" s="12" t="n"/>
      <c r="BW74" s="12" t="n"/>
      <c r="BX74" s="12" t="n"/>
      <c r="BY74" s="12" t="n"/>
      <c r="BZ74" s="12" t="n"/>
      <c r="CA74" s="12" t="n"/>
      <c r="CB74" s="12" t="n"/>
      <c r="CC74" s="12" t="n"/>
      <c r="CD74" s="12" t="n"/>
      <c r="CE74" s="12" t="n"/>
      <c r="CF74" s="12" t="n"/>
      <c r="CG74" s="12" t="n"/>
      <c r="CH74" s="12" t="n"/>
      <c r="CI74" s="12" t="n"/>
      <c r="CJ74" s="12" t="n"/>
      <c r="CK74" s="12" t="n"/>
      <c r="CL74" s="12" t="n"/>
      <c r="CM74" s="12" t="n"/>
      <c r="CN74" s="12" t="n"/>
      <c r="CO74" s="12" t="n"/>
      <c r="CP74" s="12" t="n"/>
      <c r="CQ74" s="12" t="n"/>
      <c r="CR74" s="12" t="n"/>
      <c r="CS74" s="12" t="n"/>
      <c r="CT74" s="12" t="n"/>
      <c r="CU74" s="12" t="n"/>
      <c r="CV74" s="12" t="n"/>
      <c r="CW74" s="12" t="n"/>
      <c r="CX74" s="12" t="n"/>
      <c r="CY74" s="12" t="n"/>
    </row>
    <row r="75" hidden="1" outlineLevel="1">
      <c r="C75" s="57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/>
      <c r="AO75" s="12" t="n"/>
      <c r="AP75" s="12" t="n"/>
      <c r="AQ75" s="12" t="n"/>
      <c r="AR75" s="12" t="n"/>
      <c r="AS75" s="12" t="n"/>
      <c r="AT75" s="12" t="n"/>
      <c r="AU75" s="12" t="n"/>
      <c r="AV75" s="12" t="n"/>
      <c r="AW75" s="12" t="n"/>
      <c r="AX75" s="12" t="n"/>
      <c r="AY75" s="12" t="n"/>
      <c r="AZ75" s="12" t="n"/>
      <c r="BA75" s="12" t="n"/>
      <c r="BB75" s="12" t="n"/>
      <c r="BC75" s="12" t="n"/>
      <c r="BD75" s="12" t="n"/>
      <c r="BE75" s="12" t="n"/>
      <c r="BF75" s="12" t="n"/>
      <c r="BG75" s="12" t="n"/>
      <c r="BH75" s="12" t="n"/>
      <c r="BI75" s="12" t="n"/>
      <c r="BJ75" s="12" t="n"/>
      <c r="BK75" s="12" t="n"/>
      <c r="BL75" s="12" t="n"/>
      <c r="BM75" s="12" t="n"/>
      <c r="BN75" s="12" t="n"/>
      <c r="BO75" s="12" t="n"/>
      <c r="BP75" s="12" t="n"/>
      <c r="BQ75" s="12" t="n"/>
      <c r="BR75" s="12" t="n"/>
      <c r="BS75" s="12" t="n"/>
      <c r="BT75" s="12" t="n"/>
      <c r="BU75" s="12" t="n"/>
      <c r="BV75" s="12" t="n"/>
      <c r="BW75" s="12" t="n"/>
      <c r="BX75" s="12" t="n"/>
      <c r="BY75" s="12" t="n"/>
      <c r="BZ75" s="12" t="n"/>
      <c r="CA75" s="12" t="n"/>
      <c r="CB75" s="12" t="n"/>
      <c r="CC75" s="12" t="n"/>
      <c r="CD75" s="12" t="n"/>
      <c r="CE75" s="12" t="n"/>
      <c r="CF75" s="12" t="n"/>
      <c r="CG75" s="12" t="n"/>
      <c r="CH75" s="12" t="n"/>
      <c r="CI75" s="12" t="n"/>
      <c r="CJ75" s="12" t="n"/>
      <c r="CK75" s="12" t="n"/>
      <c r="CL75" s="12" t="n"/>
      <c r="CM75" s="12" t="n"/>
      <c r="CN75" s="12" t="n"/>
      <c r="CO75" s="12" t="n"/>
      <c r="CP75" s="12" t="n"/>
      <c r="CQ75" s="12" t="n"/>
      <c r="CR75" s="12" t="n"/>
      <c r="CS75" s="12" t="n"/>
      <c r="CT75" s="12" t="n"/>
      <c r="CU75" s="12" t="n"/>
      <c r="CV75" s="12" t="n"/>
      <c r="CW75" s="12" t="n"/>
      <c r="CX75" s="12" t="n"/>
      <c r="CY75" s="12" t="n"/>
    </row>
    <row r="76" hidden="1" outlineLevel="1">
      <c r="C76" s="57" t="inlineStr">
        <is>
          <t>Current portion of long-term debt</t>
        </is>
      </c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2" t="n"/>
      <c r="AH76" s="12" t="n"/>
      <c r="AI76" s="12" t="n"/>
      <c r="AJ76" s="12" t="n"/>
      <c r="AK76" s="12" t="n"/>
      <c r="AL76" s="12" t="n"/>
      <c r="AM76" s="12" t="n"/>
      <c r="AN76" s="12" t="n"/>
      <c r="AO76" s="12" t="n"/>
      <c r="AP76" s="12" t="n"/>
      <c r="AQ76" s="12" t="n"/>
      <c r="AR76" s="12" t="n"/>
      <c r="AS76" s="12" t="n"/>
      <c r="AT76" s="12" t="n"/>
      <c r="AU76" s="12" t="n"/>
      <c r="AV76" s="12" t="n"/>
      <c r="AW76" s="12" t="n"/>
      <c r="AX76" s="12" t="n"/>
      <c r="AY76" s="12" t="n"/>
      <c r="AZ76" s="12" t="n"/>
      <c r="BA76" s="12" t="n"/>
      <c r="BB76" s="12" t="n"/>
      <c r="BC76" s="12" t="n"/>
      <c r="BD76" s="12" t="n"/>
      <c r="BE76" s="12" t="n"/>
      <c r="BF76" s="12" t="n"/>
      <c r="BG76" s="12" t="n"/>
      <c r="BH76" s="12" t="n"/>
      <c r="BI76" s="12" t="n"/>
      <c r="BJ76" s="12" t="n"/>
      <c r="BK76" s="12" t="n"/>
      <c r="BL76" s="12" t="n"/>
      <c r="BM76" s="12" t="n"/>
      <c r="BN76" s="12" t="n"/>
      <c r="BO76" s="12" t="n"/>
      <c r="BP76" s="12" t="n"/>
      <c r="BQ76" s="12" t="n"/>
      <c r="BR76" s="12" t="n"/>
      <c r="BS76" s="12" t="n"/>
      <c r="BT76" s="12" t="n"/>
      <c r="BU76" s="12" t="n"/>
      <c r="BV76" s="12" t="n"/>
      <c r="BW76" s="12" t="n"/>
      <c r="BX76" s="12" t="n"/>
      <c r="BY76" s="12" t="n"/>
      <c r="BZ76" s="12" t="n"/>
      <c r="CA76" s="12" t="n"/>
      <c r="CB76" s="12" t="n"/>
      <c r="CC76" s="12" t="n"/>
      <c r="CD76" s="12" t="n"/>
      <c r="CE76" s="12" t="n"/>
      <c r="CF76" s="12" t="n"/>
      <c r="CG76" s="12" t="n"/>
      <c r="CH76" s="12" t="n"/>
      <c r="CI76" s="12" t="n"/>
      <c r="CJ76" s="12" t="n"/>
      <c r="CK76" s="12" t="n"/>
      <c r="CL76" s="12" t="n"/>
      <c r="CM76" s="12" t="n"/>
      <c r="CN76" s="12" t="n"/>
      <c r="CO76" s="12" t="n"/>
      <c r="CP76" s="12" t="n"/>
      <c r="CQ76" s="12" t="n"/>
      <c r="CR76" s="12" t="n"/>
      <c r="CS76" s="12" t="n"/>
      <c r="CT76" s="12" t="n"/>
      <c r="CU76" s="12" t="n"/>
      <c r="CV76" s="12" t="n"/>
      <c r="CW76" s="12" t="n"/>
      <c r="CX76" s="12" t="n"/>
      <c r="CY76" s="12" t="n"/>
    </row>
    <row r="77" hidden="1" outlineLevel="1">
      <c r="C77" s="57" t="inlineStr">
        <is>
          <t>Short term debt (Revolving credit facility)</t>
        </is>
      </c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/>
      <c r="AO77" s="12" t="n"/>
      <c r="AP77" s="12" t="n"/>
      <c r="AQ77" s="12" t="n"/>
      <c r="AR77" s="12" t="n"/>
      <c r="AS77" s="12" t="n"/>
      <c r="AT77" s="12" t="n"/>
      <c r="AU77" s="12" t="n"/>
      <c r="AV77" s="12" t="n"/>
      <c r="AW77" s="12" t="n"/>
      <c r="AX77" s="12" t="n"/>
      <c r="AY77" s="12" t="n"/>
      <c r="AZ77" s="12" t="n"/>
      <c r="BA77" s="12" t="n"/>
      <c r="BB77" s="12" t="n"/>
      <c r="BC77" s="12" t="n"/>
      <c r="BD77" s="12" t="n"/>
      <c r="BE77" s="12" t="n"/>
      <c r="BF77" s="12" t="n"/>
      <c r="BG77" s="12" t="n"/>
      <c r="BH77" s="12" t="n"/>
      <c r="BI77" s="12" t="n"/>
      <c r="BJ77" s="12" t="n"/>
      <c r="BK77" s="12" t="n"/>
      <c r="BL77" s="12" t="n"/>
      <c r="BM77" s="12" t="n"/>
      <c r="BN77" s="12" t="n"/>
      <c r="BO77" s="12" t="n"/>
      <c r="BP77" s="12" t="n"/>
      <c r="BQ77" s="12" t="n"/>
      <c r="BR77" s="12" t="n"/>
      <c r="BS77" s="12" t="n"/>
      <c r="BT77" s="12" t="n"/>
      <c r="BU77" s="12" t="n"/>
      <c r="BV77" s="12" t="n"/>
      <c r="BW77" s="12" t="n"/>
      <c r="BX77" s="12" t="n"/>
      <c r="BY77" s="12" t="n"/>
      <c r="BZ77" s="12" t="n"/>
      <c r="CA77" s="12" t="n"/>
      <c r="CB77" s="12" t="n"/>
      <c r="CC77" s="12" t="n"/>
      <c r="CD77" s="12" t="n"/>
      <c r="CE77" s="12" t="n"/>
      <c r="CF77" s="12" t="n"/>
      <c r="CG77" s="12" t="n"/>
      <c r="CH77" s="12" t="n"/>
      <c r="CI77" s="12" t="n"/>
      <c r="CJ77" s="12" t="n"/>
      <c r="CK77" s="12" t="n"/>
      <c r="CL77" s="12" t="n"/>
      <c r="CM77" s="12" t="n"/>
      <c r="CN77" s="12" t="n"/>
      <c r="CO77" s="12" t="n"/>
      <c r="CP77" s="12" t="n"/>
      <c r="CQ77" s="12" t="n"/>
      <c r="CR77" s="12" t="n"/>
      <c r="CS77" s="12" t="n"/>
      <c r="CT77" s="12" t="n"/>
      <c r="CU77" s="12" t="n"/>
      <c r="CV77" s="12" t="n"/>
      <c r="CW77" s="12" t="n"/>
      <c r="CX77" s="12" t="n"/>
      <c r="CY77" s="12" t="n"/>
    </row>
    <row r="78" hidden="1" outlineLevel="1">
      <c r="C78" s="57" t="inlineStr">
        <is>
          <t>Long term debt</t>
        </is>
      </c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2" t="n"/>
      <c r="AK78" s="12" t="n"/>
      <c r="AL78" s="12" t="n"/>
      <c r="AM78" s="12" t="n"/>
      <c r="AN78" s="12" t="n"/>
      <c r="AO78" s="12" t="n"/>
      <c r="AP78" s="12" t="n"/>
      <c r="AQ78" s="12" t="n"/>
      <c r="AR78" s="12" t="n"/>
      <c r="AS78" s="12" t="n"/>
      <c r="AT78" s="12" t="n"/>
      <c r="AU78" s="12" t="n"/>
      <c r="AV78" s="12" t="n"/>
      <c r="AW78" s="12" t="n"/>
      <c r="AX78" s="12" t="n"/>
      <c r="AY78" s="12" t="n"/>
      <c r="AZ78" s="12" t="n"/>
      <c r="BA78" s="12" t="n"/>
      <c r="BB78" s="12" t="n"/>
      <c r="BC78" s="12" t="n"/>
      <c r="BD78" s="12" t="n"/>
      <c r="BE78" s="12" t="n"/>
      <c r="BF78" s="12" t="n"/>
      <c r="BG78" s="12" t="n"/>
      <c r="BH78" s="12" t="n"/>
      <c r="BI78" s="12" t="n"/>
      <c r="BJ78" s="12" t="n"/>
      <c r="BK78" s="12" t="n"/>
      <c r="BL78" s="12" t="n"/>
      <c r="BM78" s="12" t="n"/>
      <c r="BN78" s="12" t="n"/>
      <c r="BO78" s="12" t="n"/>
      <c r="BP78" s="12" t="n"/>
      <c r="BQ78" s="12" t="n"/>
      <c r="BR78" s="12" t="n"/>
      <c r="BS78" s="12" t="n"/>
      <c r="BT78" s="12" t="n"/>
      <c r="BU78" s="12" t="n"/>
      <c r="BV78" s="12" t="n"/>
      <c r="BW78" s="12" t="n"/>
      <c r="BX78" s="12" t="n"/>
      <c r="BY78" s="12" t="n"/>
      <c r="BZ78" s="12" t="n"/>
      <c r="CA78" s="12" t="n"/>
      <c r="CB78" s="12" t="n"/>
      <c r="CC78" s="12" t="n"/>
      <c r="CD78" s="12" t="n"/>
      <c r="CE78" s="12" t="n"/>
      <c r="CF78" s="12" t="n"/>
      <c r="CG78" s="12" t="n"/>
      <c r="CH78" s="12" t="n"/>
      <c r="CI78" s="12" t="n"/>
      <c r="CJ78" s="12" t="n"/>
      <c r="CK78" s="12" t="n"/>
      <c r="CL78" s="12" t="n"/>
      <c r="CM78" s="12" t="n"/>
      <c r="CN78" s="12" t="n"/>
      <c r="CO78" s="12" t="n"/>
      <c r="CP78" s="12" t="n"/>
      <c r="CQ78" s="12" t="n"/>
      <c r="CR78" s="12" t="n"/>
      <c r="CS78" s="12" t="n"/>
      <c r="CT78" s="12" t="n"/>
      <c r="CU78" s="12" t="n"/>
      <c r="CV78" s="12" t="n"/>
      <c r="CW78" s="12" t="n"/>
      <c r="CX78" s="12" t="n"/>
      <c r="CY78" s="12" t="n"/>
    </row>
    <row r="79" hidden="1" outlineLevel="1">
      <c r="C79" s="57" t="inlineStr">
        <is>
          <t>Convertible debt</t>
        </is>
      </c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/>
      <c r="AO79" s="12" t="n"/>
      <c r="AP79" s="12" t="n"/>
      <c r="AQ79" s="12" t="n"/>
      <c r="AR79" s="12" t="n"/>
      <c r="AS79" s="12" t="n"/>
      <c r="AT79" s="12" t="n"/>
      <c r="AU79" s="12" t="n"/>
      <c r="AV79" s="12" t="n"/>
      <c r="AW79" s="12" t="n"/>
      <c r="AX79" s="12" t="n"/>
      <c r="AY79" s="12" t="n"/>
      <c r="AZ79" s="12" t="n"/>
      <c r="BA79" s="12" t="n"/>
      <c r="BB79" s="12" t="n"/>
      <c r="BC79" s="12" t="n"/>
      <c r="BD79" s="12" t="n"/>
      <c r="BE79" s="12" t="n"/>
      <c r="BF79" s="12" t="n"/>
      <c r="BG79" s="12" t="n"/>
      <c r="BH79" s="12" t="n"/>
      <c r="BI79" s="12" t="n"/>
      <c r="BJ79" s="12" t="n"/>
      <c r="BK79" s="12" t="n"/>
      <c r="BL79" s="12" t="n"/>
      <c r="BM79" s="12" t="n"/>
      <c r="BN79" s="12" t="n"/>
      <c r="BO79" s="12" t="n"/>
      <c r="BP79" s="12" t="n"/>
      <c r="BQ79" s="12" t="n"/>
      <c r="BR79" s="12" t="n"/>
      <c r="BS79" s="12" t="n"/>
      <c r="BT79" s="12" t="n"/>
      <c r="BU79" s="12" t="n"/>
      <c r="BV79" s="12" t="n"/>
      <c r="BW79" s="12" t="n"/>
      <c r="BX79" s="12" t="n"/>
      <c r="BY79" s="12" t="n"/>
      <c r="BZ79" s="12" t="n"/>
      <c r="CA79" s="12" t="n"/>
      <c r="CB79" s="12" t="n"/>
      <c r="CC79" s="12" t="n"/>
      <c r="CD79" s="12" t="n"/>
      <c r="CE79" s="12" t="n"/>
      <c r="CF79" s="12" t="n"/>
      <c r="CG79" s="12" t="n"/>
      <c r="CH79" s="12" t="n"/>
      <c r="CI79" s="12" t="n"/>
      <c r="CJ79" s="12" t="n"/>
      <c r="CK79" s="12" t="n"/>
      <c r="CL79" s="12" t="n"/>
      <c r="CM79" s="12" t="n"/>
      <c r="CN79" s="12" t="n"/>
      <c r="CO79" s="12" t="n"/>
      <c r="CP79" s="12" t="n"/>
      <c r="CQ79" s="12" t="n"/>
      <c r="CR79" s="12" t="n"/>
      <c r="CS79" s="12" t="n"/>
      <c r="CT79" s="12" t="n"/>
      <c r="CU79" s="12" t="n"/>
      <c r="CV79" s="12" t="n"/>
      <c r="CW79" s="12" t="n"/>
      <c r="CX79" s="12" t="n"/>
      <c r="CY79" s="12" t="n"/>
    </row>
    <row r="80" hidden="1" outlineLevel="1">
      <c r="C80" s="57" t="inlineStr">
        <is>
          <t>Total debt</t>
        </is>
      </c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2" t="n"/>
      <c r="AH80" s="12" t="n"/>
      <c r="AI80" s="12" t="n"/>
      <c r="AJ80" s="12" t="n"/>
      <c r="AK80" s="12" t="n"/>
      <c r="AL80" s="12" t="n"/>
      <c r="AM80" s="12" t="n"/>
      <c r="AN80" s="12" t="n"/>
      <c r="AO80" s="12" t="n"/>
      <c r="AP80" s="12" t="n"/>
      <c r="AQ80" s="12" t="n"/>
      <c r="AR80" s="12" t="n"/>
      <c r="AS80" s="12" t="n"/>
      <c r="AT80" s="12" t="n"/>
      <c r="AU80" s="12" t="n"/>
      <c r="AV80" s="12" t="n"/>
      <c r="AW80" s="12" t="n"/>
      <c r="AX80" s="12" t="n"/>
      <c r="AY80" s="12" t="n"/>
      <c r="AZ80" s="12" t="n"/>
      <c r="BA80" s="12" t="n"/>
      <c r="BB80" s="12" t="n"/>
      <c r="BC80" s="12" t="n"/>
      <c r="BD80" s="12" t="n"/>
      <c r="BE80" s="12" t="n"/>
      <c r="BF80" s="12" t="n"/>
      <c r="BG80" s="12" t="n"/>
      <c r="BH80" s="12" t="n"/>
      <c r="BI80" s="12" t="n"/>
      <c r="BJ80" s="12" t="n"/>
      <c r="BK80" s="12" t="n"/>
      <c r="BL80" s="12" t="n"/>
      <c r="BM80" s="12" t="n"/>
      <c r="BN80" s="12" t="n"/>
      <c r="BO80" s="12" t="n"/>
      <c r="BP80" s="12" t="n"/>
      <c r="BQ80" s="12" t="n"/>
      <c r="BR80" s="12" t="n"/>
      <c r="BS80" s="12" t="n"/>
      <c r="BT80" s="12" t="n"/>
      <c r="BU80" s="12" t="n"/>
      <c r="BV80" s="12" t="n"/>
      <c r="BW80" s="12" t="n"/>
      <c r="BX80" s="12" t="n"/>
      <c r="BY80" s="12" t="n"/>
      <c r="BZ80" s="12" t="n"/>
      <c r="CA80" s="12" t="n"/>
      <c r="CB80" s="12" t="n"/>
      <c r="CC80" s="12" t="n"/>
      <c r="CD80" s="12" t="n"/>
      <c r="CE80" s="12" t="n"/>
      <c r="CF80" s="12" t="n"/>
      <c r="CG80" s="12" t="n"/>
      <c r="CH80" s="12" t="n"/>
      <c r="CI80" s="12" t="n"/>
      <c r="CJ80" s="12" t="n"/>
      <c r="CK80" s="12" t="n"/>
      <c r="CL80" s="12" t="n"/>
      <c r="CM80" s="12" t="n"/>
      <c r="CN80" s="12" t="n"/>
      <c r="CO80" s="12" t="n"/>
      <c r="CP80" s="12" t="n"/>
      <c r="CQ80" s="12" t="n"/>
      <c r="CR80" s="12" t="n"/>
      <c r="CS80" s="12" t="n"/>
      <c r="CT80" s="12" t="n"/>
      <c r="CU80" s="12" t="n"/>
      <c r="CV80" s="12" t="n"/>
      <c r="CW80" s="12" t="n"/>
      <c r="CX80" s="12" t="n"/>
      <c r="CY80" s="12" t="n"/>
    </row>
    <row r="81" hidden="1" outlineLevel="1">
      <c r="C81" s="57" t="inlineStr">
        <is>
          <t>Interest expense</t>
        </is>
      </c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  <c r="AR81" s="12" t="n"/>
      <c r="AS81" s="12" t="n"/>
      <c r="AT81" s="12" t="n"/>
      <c r="AU81" s="12" t="n"/>
      <c r="AV81" s="12" t="n"/>
      <c r="AW81" s="12" t="n"/>
      <c r="AX81" s="12" t="n"/>
      <c r="AY81" s="12" t="n"/>
      <c r="AZ81" s="12" t="n"/>
      <c r="BA81" s="12" t="n"/>
      <c r="BB81" s="12" t="n"/>
      <c r="BC81" s="12" t="n"/>
      <c r="BD81" s="12" t="n"/>
      <c r="BE81" s="12" t="n"/>
      <c r="BF81" s="12" t="n"/>
      <c r="BG81" s="12" t="n"/>
      <c r="BH81" s="12" t="n"/>
      <c r="BI81" s="12" t="n"/>
      <c r="BJ81" s="12" t="n"/>
      <c r="BK81" s="12" t="n"/>
      <c r="BL81" s="12" t="n"/>
      <c r="BM81" s="12" t="n"/>
      <c r="BN81" s="12" t="n"/>
      <c r="BO81" s="12" t="n"/>
      <c r="BP81" s="12" t="n"/>
      <c r="BQ81" s="12" t="n"/>
      <c r="BR81" s="12" t="n"/>
      <c r="BS81" s="12" t="n"/>
      <c r="BT81" s="12" t="n"/>
      <c r="BU81" s="12" t="n"/>
      <c r="BV81" s="12" t="n"/>
      <c r="BW81" s="12" t="n"/>
      <c r="BX81" s="12" t="n"/>
      <c r="BY81" s="12" t="n"/>
      <c r="BZ81" s="12" t="n"/>
      <c r="CA81" s="12" t="n"/>
      <c r="CB81" s="12" t="n"/>
      <c r="CC81" s="12" t="n"/>
      <c r="CD81" s="12" t="n"/>
      <c r="CE81" s="12" t="n"/>
      <c r="CF81" s="12" t="n"/>
      <c r="CG81" s="12" t="n"/>
      <c r="CH81" s="12" t="n"/>
      <c r="CI81" s="12" t="n"/>
      <c r="CJ81" s="12" t="n"/>
      <c r="CK81" s="12" t="n"/>
      <c r="CL81" s="12" t="n"/>
      <c r="CM81" s="12" t="n"/>
      <c r="CN81" s="12" t="n"/>
      <c r="CO81" s="12" t="n"/>
      <c r="CP81" s="12" t="n"/>
      <c r="CQ81" s="12" t="n"/>
      <c r="CR81" s="12" t="n"/>
      <c r="CS81" s="12" t="n"/>
      <c r="CT81" s="12" t="n"/>
      <c r="CU81" s="12" t="n"/>
      <c r="CV81" s="12" t="n"/>
      <c r="CW81" s="12" t="n"/>
      <c r="CX81" s="12" t="n"/>
      <c r="CY81" s="12" t="n"/>
    </row>
    <row r="82" hidden="1" outlineLevel="1">
      <c r="C82" s="57" t="inlineStr">
        <is>
          <t>Average interest rate</t>
        </is>
      </c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2" t="n"/>
      <c r="AK82" s="12" t="n"/>
      <c r="AL82" s="12" t="n"/>
      <c r="AM82" s="12" t="n"/>
      <c r="AN82" s="12" t="n"/>
      <c r="AO82" s="12" t="n"/>
      <c r="AP82" s="12" t="n"/>
      <c r="AQ82" s="12" t="n"/>
      <c r="AR82" s="12" t="n"/>
      <c r="AS82" s="12" t="n"/>
      <c r="AT82" s="12" t="n"/>
      <c r="AU82" s="12" t="n"/>
      <c r="AV82" s="12" t="n"/>
      <c r="AW82" s="12" t="n"/>
      <c r="AX82" s="12" t="n"/>
      <c r="AY82" s="12" t="n"/>
      <c r="AZ82" s="12" t="n"/>
      <c r="BA82" s="12" t="n"/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  <c r="CC82" s="12" t="n"/>
      <c r="CD82" s="12" t="n"/>
      <c r="CE82" s="12" t="n"/>
      <c r="CF82" s="12" t="n"/>
      <c r="CG82" s="12" t="n"/>
      <c r="CH82" s="12" t="n"/>
      <c r="CI82" s="12" t="n"/>
      <c r="CJ82" s="12" t="n"/>
      <c r="CK82" s="12" t="n"/>
      <c r="CL82" s="12" t="n"/>
      <c r="CM82" s="12" t="n"/>
      <c r="CN82" s="12" t="n"/>
      <c r="CO82" s="12" t="n"/>
      <c r="CP82" s="12" t="n"/>
      <c r="CQ82" s="12" t="n"/>
      <c r="CR82" s="12" t="n"/>
      <c r="CS82" s="12" t="n"/>
      <c r="CT82" s="12" t="n"/>
      <c r="CU82" s="12" t="n"/>
      <c r="CV82" s="12" t="n"/>
      <c r="CW82" s="12" t="n"/>
      <c r="CX82" s="12" t="n"/>
      <c r="CY82" s="12" t="n"/>
    </row>
    <row r="83" hidden="1" outlineLevel="1">
      <c r="C83" s="57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  <c r="AR83" s="12" t="n"/>
      <c r="AS83" s="12" t="n"/>
      <c r="AT83" s="12" t="n"/>
      <c r="AU83" s="12" t="n"/>
      <c r="AV83" s="12" t="n"/>
      <c r="AW83" s="12" t="n"/>
      <c r="AX83" s="12" t="n"/>
      <c r="AY83" s="12" t="n"/>
      <c r="AZ83" s="12" t="n"/>
      <c r="BA83" s="12" t="n"/>
      <c r="BB83" s="12" t="n"/>
      <c r="BC83" s="12" t="n"/>
      <c r="BD83" s="12" t="n"/>
      <c r="BE83" s="12" t="n"/>
      <c r="BF83" s="12" t="n"/>
      <c r="BG83" s="12" t="n"/>
      <c r="BH83" s="12" t="n"/>
      <c r="BI83" s="12" t="n"/>
      <c r="BJ83" s="12" t="n"/>
      <c r="BK83" s="12" t="n"/>
      <c r="BL83" s="12" t="n"/>
      <c r="BM83" s="12" t="n"/>
      <c r="BN83" s="12" t="n"/>
      <c r="BO83" s="12" t="n"/>
      <c r="BP83" s="12" t="n"/>
      <c r="BQ83" s="12" t="n"/>
      <c r="BR83" s="12" t="n"/>
      <c r="BS83" s="12" t="n"/>
      <c r="BT83" s="12" t="n"/>
      <c r="BU83" s="12" t="n"/>
      <c r="BV83" s="12" t="n"/>
      <c r="BW83" s="12" t="n"/>
      <c r="BX83" s="12" t="n"/>
      <c r="BY83" s="12" t="n"/>
      <c r="BZ83" s="12" t="n"/>
      <c r="CA83" s="12" t="n"/>
      <c r="CB83" s="12" t="n"/>
      <c r="CC83" s="12" t="n"/>
      <c r="CD83" s="12" t="n"/>
      <c r="CE83" s="12" t="n"/>
      <c r="CF83" s="12" t="n"/>
      <c r="CG83" s="12" t="n"/>
      <c r="CH83" s="12" t="n"/>
      <c r="CI83" s="12" t="n"/>
      <c r="CJ83" s="12" t="n"/>
      <c r="CK83" s="12" t="n"/>
      <c r="CL83" s="12" t="n"/>
      <c r="CM83" s="12" t="n"/>
      <c r="CN83" s="12" t="n"/>
      <c r="CO83" s="12" t="n"/>
      <c r="CP83" s="12" t="n"/>
      <c r="CQ83" s="12" t="n"/>
      <c r="CR83" s="12" t="n"/>
      <c r="CS83" s="12" t="n"/>
      <c r="CT83" s="12" t="n"/>
      <c r="CU83" s="12" t="n"/>
      <c r="CV83" s="12" t="n"/>
      <c r="CW83" s="12" t="n"/>
      <c r="CX83" s="12" t="n"/>
      <c r="CY83" s="12" t="n"/>
    </row>
    <row r="84" hidden="1" outlineLevel="1">
      <c r="C84" s="57" t="inlineStr">
        <is>
          <t>Stake</t>
        </is>
      </c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  <c r="AR84" s="12" t="n"/>
      <c r="AS84" s="12" t="n"/>
      <c r="AT84" s="12" t="n"/>
      <c r="AU84" s="12" t="n"/>
      <c r="AV84" s="12" t="n"/>
      <c r="AW84" s="12" t="n"/>
      <c r="AX84" s="12" t="n"/>
      <c r="AY84" s="12" t="n"/>
      <c r="AZ84" s="12" t="n"/>
      <c r="BA84" s="12" t="n"/>
      <c r="BB84" s="12" t="n"/>
      <c r="BC84" s="12" t="n"/>
      <c r="BD84" s="12" t="n"/>
      <c r="BE84" s="12" t="n"/>
      <c r="BF84" s="12" t="n"/>
      <c r="BG84" s="12" t="n"/>
      <c r="BH84" s="12" t="n"/>
      <c r="BI84" s="12" t="n"/>
      <c r="BJ84" s="12" t="n"/>
      <c r="BK84" s="12" t="n"/>
      <c r="BL84" s="12" t="n"/>
      <c r="BM84" s="12" t="n"/>
      <c r="BN84" s="12" t="n"/>
      <c r="BO84" s="12" t="n"/>
      <c r="BP84" s="12" t="n"/>
      <c r="BQ84" s="12" t="n"/>
      <c r="BR84" s="12" t="n"/>
      <c r="BS84" s="12" t="n"/>
      <c r="BT84" s="12" t="n"/>
      <c r="BU84" s="12" t="n"/>
      <c r="BV84" s="12" t="n"/>
      <c r="BW84" s="12" t="n"/>
      <c r="BX84" s="12" t="n"/>
      <c r="BY84" s="12" t="n"/>
      <c r="BZ84" s="12" t="n"/>
      <c r="CA84" s="12" t="n"/>
      <c r="CB84" s="12" t="n"/>
      <c r="CC84" s="12" t="n"/>
      <c r="CD84" s="12" t="n"/>
      <c r="CE84" s="12" t="n"/>
      <c r="CF84" s="12" t="n"/>
      <c r="CG84" s="12" t="n"/>
      <c r="CH84" s="12" t="n"/>
      <c r="CI84" s="12" t="n"/>
      <c r="CJ84" s="12" t="n"/>
      <c r="CK84" s="12" t="n"/>
      <c r="CL84" s="12" t="n"/>
      <c r="CM84" s="12" t="n"/>
      <c r="CN84" s="12" t="n"/>
      <c r="CO84" s="12" t="n"/>
      <c r="CP84" s="12" t="n"/>
      <c r="CQ84" s="12" t="n"/>
      <c r="CR84" s="12" t="n"/>
      <c r="CS84" s="12" t="n"/>
      <c r="CT84" s="12" t="n"/>
      <c r="CU84" s="12" t="n"/>
      <c r="CV84" s="12" t="n"/>
      <c r="CW84" s="12" t="n"/>
      <c r="CX84" s="12" t="n"/>
      <c r="CY84" s="12" t="n"/>
    </row>
    <row r="85" hidden="1" outlineLevel="1">
      <c r="C85" s="57" t="inlineStr">
        <is>
          <t>PRE</t>
        </is>
      </c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12" t="n"/>
      <c r="AP85" s="12" t="n"/>
      <c r="AQ85" s="12" t="n"/>
      <c r="AR85" s="12" t="n"/>
      <c r="AS85" s="12" t="n"/>
      <c r="AT85" s="12" t="n"/>
      <c r="AU85" s="12" t="n"/>
      <c r="AV85" s="12" t="n"/>
      <c r="AW85" s="12" t="n"/>
      <c r="AX85" s="12" t="n"/>
      <c r="AY85" s="12" t="n"/>
      <c r="AZ85" s="12" t="n"/>
      <c r="BA85" s="12" t="n"/>
      <c r="BB85" s="12" t="n"/>
      <c r="BC85" s="12" t="n"/>
      <c r="BD85" s="12" t="n"/>
      <c r="BE85" s="12" t="n"/>
      <c r="BF85" s="12" t="n"/>
      <c r="BG85" s="12" t="n"/>
      <c r="BH85" s="12" t="n"/>
      <c r="BI85" s="12" t="n"/>
      <c r="BJ85" s="12" t="n"/>
      <c r="BK85" s="12" t="n"/>
      <c r="BL85" s="12" t="n"/>
      <c r="BM85" s="12" t="n"/>
      <c r="BN85" s="12" t="n"/>
      <c r="BO85" s="12" t="n"/>
      <c r="BP85" s="12" t="n"/>
      <c r="BQ85" s="12" t="n"/>
      <c r="BR85" s="12" t="n"/>
      <c r="BS85" s="12" t="n"/>
      <c r="BT85" s="12" t="n"/>
      <c r="BU85" s="12" t="n"/>
      <c r="BV85" s="12" t="n"/>
      <c r="BW85" s="12" t="n"/>
      <c r="BX85" s="12" t="n"/>
      <c r="BY85" s="12" t="n"/>
      <c r="BZ85" s="12" t="n"/>
      <c r="CA85" s="12" t="n"/>
      <c r="CB85" s="12" t="n"/>
      <c r="CC85" s="12" t="n"/>
      <c r="CD85" s="12" t="n"/>
      <c r="CE85" s="12" t="n"/>
      <c r="CF85" s="12" t="n"/>
      <c r="CG85" s="12" t="n"/>
      <c r="CH85" s="12" t="n"/>
      <c r="CI85" s="12" t="n"/>
      <c r="CJ85" s="12" t="n"/>
      <c r="CK85" s="12" t="n"/>
      <c r="CL85" s="12" t="n"/>
      <c r="CM85" s="12" t="n"/>
      <c r="CN85" s="12" t="n"/>
      <c r="CO85" s="12" t="n"/>
      <c r="CP85" s="12" t="n"/>
      <c r="CQ85" s="12" t="n"/>
      <c r="CR85" s="12" t="n"/>
      <c r="CS85" s="12" t="n"/>
      <c r="CT85" s="12" t="n"/>
      <c r="CU85" s="12" t="n"/>
      <c r="CV85" s="12" t="n"/>
      <c r="CW85" s="12" t="n"/>
      <c r="CX85" s="12" t="n"/>
      <c r="CY85" s="12" t="n"/>
    </row>
    <row r="86" hidden="1" outlineLevel="1">
      <c r="C86" s="57" t="inlineStr">
        <is>
          <t>CDI+</t>
        </is>
      </c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2" t="n"/>
      <c r="AK86" s="12" t="n"/>
      <c r="AL86" s="12" t="n"/>
      <c r="AM86" s="12" t="n"/>
      <c r="AN86" s="12" t="n"/>
      <c r="AO86" s="12" t="n"/>
      <c r="AP86" s="12" t="n"/>
      <c r="AQ86" s="12" t="n"/>
      <c r="AR86" s="12" t="n"/>
      <c r="AS86" s="12" t="n"/>
      <c r="AT86" s="12" t="n"/>
      <c r="AU86" s="12" t="n"/>
      <c r="AV86" s="12" t="n"/>
      <c r="AW86" s="12" t="n"/>
      <c r="AX86" s="12" t="n"/>
      <c r="AY86" s="12" t="n"/>
      <c r="AZ86" s="12" t="n"/>
      <c r="BA86" s="12" t="n"/>
      <c r="BB86" s="12" t="n"/>
      <c r="BC86" s="12" t="n"/>
      <c r="BD86" s="12" t="n"/>
      <c r="BE86" s="12" t="n"/>
      <c r="BF86" s="12" t="n"/>
      <c r="BG86" s="12" t="n"/>
      <c r="BH86" s="12" t="n"/>
      <c r="BI86" s="12" t="n"/>
      <c r="BJ86" s="12" t="n"/>
      <c r="BK86" s="12" t="n"/>
      <c r="BL86" s="12" t="n"/>
      <c r="BM86" s="12" t="n"/>
      <c r="BN86" s="12" t="n"/>
      <c r="BO86" s="12" t="n"/>
      <c r="BP86" s="12" t="n"/>
      <c r="BQ86" s="12" t="n"/>
      <c r="BR86" s="12" t="n"/>
      <c r="BS86" s="12" t="n"/>
      <c r="BT86" s="12" t="n"/>
      <c r="BU86" s="12" t="n"/>
      <c r="BV86" s="12" t="n"/>
      <c r="BW86" s="12" t="n"/>
      <c r="BX86" s="12" t="n"/>
      <c r="BY86" s="12" t="n"/>
      <c r="BZ86" s="12" t="n"/>
      <c r="CA86" s="12" t="n"/>
      <c r="CB86" s="12" t="n"/>
      <c r="CC86" s="12" t="n"/>
      <c r="CD86" s="12" t="n"/>
      <c r="CE86" s="12" t="n"/>
      <c r="CF86" s="12" t="n"/>
      <c r="CG86" s="12" t="n"/>
      <c r="CH86" s="12" t="n"/>
      <c r="CI86" s="12" t="n"/>
      <c r="CJ86" s="12" t="n"/>
      <c r="CK86" s="12" t="n"/>
      <c r="CL86" s="12" t="n"/>
      <c r="CM86" s="12" t="n"/>
      <c r="CN86" s="12" t="n"/>
      <c r="CO86" s="12" t="n"/>
      <c r="CP86" s="12" t="n"/>
      <c r="CQ86" s="12" t="n"/>
      <c r="CR86" s="12" t="n"/>
      <c r="CS86" s="12" t="n"/>
      <c r="CT86" s="12" t="n"/>
      <c r="CU86" s="12" t="n"/>
      <c r="CV86" s="12" t="n"/>
      <c r="CW86" s="12" t="n"/>
      <c r="CX86" s="12" t="n"/>
      <c r="CY86" s="12" t="n"/>
    </row>
    <row r="87" hidden="1" outlineLevel="1">
      <c r="C87" s="57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2" t="n"/>
      <c r="AK87" s="12" t="n"/>
      <c r="AL87" s="12" t="n"/>
      <c r="AM87" s="12" t="n"/>
      <c r="AN87" s="12" t="n"/>
      <c r="AO87" s="12" t="n"/>
      <c r="AP87" s="12" t="n"/>
      <c r="AQ87" s="12" t="n"/>
      <c r="AR87" s="12" t="n"/>
      <c r="AS87" s="12" t="n"/>
      <c r="AT87" s="12" t="n"/>
      <c r="AU87" s="12" t="n"/>
      <c r="AV87" s="12" t="n"/>
      <c r="AW87" s="12" t="n"/>
      <c r="AX87" s="12" t="n"/>
      <c r="AY87" s="12" t="n"/>
      <c r="AZ87" s="12" t="n"/>
      <c r="BA87" s="12" t="n"/>
      <c r="BB87" s="12" t="n"/>
      <c r="BC87" s="12" t="n"/>
      <c r="BD87" s="12" t="n"/>
      <c r="BE87" s="12" t="n"/>
      <c r="BF87" s="12" t="n"/>
      <c r="BG87" s="12" t="n"/>
      <c r="BH87" s="12" t="n"/>
      <c r="BI87" s="12" t="n"/>
      <c r="BJ87" s="12" t="n"/>
      <c r="BK87" s="12" t="n"/>
      <c r="BL87" s="12" t="n"/>
      <c r="BM87" s="12" t="n"/>
      <c r="BN87" s="12" t="n"/>
      <c r="BO87" s="12" t="n"/>
      <c r="BP87" s="12" t="n"/>
      <c r="BQ87" s="12" t="n"/>
      <c r="BR87" s="12" t="n"/>
      <c r="BS87" s="12" t="n"/>
      <c r="BT87" s="12" t="n"/>
      <c r="BU87" s="12" t="n"/>
      <c r="BV87" s="12" t="n"/>
      <c r="BW87" s="12" t="n"/>
      <c r="BX87" s="12" t="n"/>
      <c r="BY87" s="12" t="n"/>
      <c r="BZ87" s="12" t="n"/>
      <c r="CA87" s="12" t="n"/>
      <c r="CB87" s="12" t="n"/>
      <c r="CC87" s="12" t="n"/>
      <c r="CD87" s="12" t="n"/>
      <c r="CE87" s="12" t="n"/>
      <c r="CF87" s="12" t="n"/>
      <c r="CG87" s="12" t="n"/>
      <c r="CH87" s="12" t="n"/>
      <c r="CI87" s="12" t="n"/>
      <c r="CJ87" s="12" t="n"/>
      <c r="CK87" s="12" t="n"/>
      <c r="CL87" s="12" t="n"/>
      <c r="CM87" s="12" t="n"/>
      <c r="CN87" s="12" t="n"/>
      <c r="CO87" s="12" t="n"/>
      <c r="CP87" s="12" t="n"/>
      <c r="CQ87" s="12" t="n"/>
      <c r="CR87" s="12" t="n"/>
      <c r="CS87" s="12" t="n"/>
      <c r="CT87" s="12" t="n"/>
      <c r="CU87" s="12" t="n"/>
      <c r="CV87" s="12" t="n"/>
      <c r="CW87" s="12" t="n"/>
      <c r="CX87" s="12" t="n"/>
      <c r="CY87" s="12" t="n"/>
    </row>
    <row r="88" hidden="1" outlineLevel="1">
      <c r="C88" s="57" t="inlineStr">
        <is>
          <t>Spread</t>
        </is>
      </c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2" t="n"/>
      <c r="AK88" s="12" t="n"/>
      <c r="AL88" s="12" t="n"/>
      <c r="AM88" s="12" t="n"/>
      <c r="AN88" s="12" t="n"/>
      <c r="AO88" s="12" t="n"/>
      <c r="AP88" s="12" t="n"/>
      <c r="AQ88" s="12" t="n"/>
      <c r="AR88" s="12" t="n"/>
      <c r="AS88" s="12" t="n"/>
      <c r="AT88" s="12" t="n"/>
      <c r="AU88" s="12" t="n"/>
      <c r="AV88" s="12" t="n"/>
      <c r="AW88" s="12" t="n"/>
      <c r="AX88" s="12" t="n"/>
      <c r="AY88" s="12" t="n"/>
      <c r="AZ88" s="12" t="n"/>
      <c r="BA88" s="12" t="n"/>
      <c r="BB88" s="12" t="n"/>
      <c r="BC88" s="12" t="n"/>
      <c r="BD88" s="12" t="n"/>
      <c r="BE88" s="12" t="n"/>
      <c r="BF88" s="12" t="n"/>
      <c r="BG88" s="12" t="n"/>
      <c r="BH88" s="12" t="n"/>
      <c r="BI88" s="12" t="n"/>
      <c r="BJ88" s="12" t="n"/>
      <c r="BK88" s="12" t="n"/>
      <c r="BL88" s="12" t="n"/>
      <c r="BM88" s="12" t="n"/>
      <c r="BN88" s="12" t="n"/>
      <c r="BO88" s="12" t="n"/>
      <c r="BP88" s="12" t="n"/>
      <c r="BQ88" s="12" t="n"/>
      <c r="BR88" s="12" t="n"/>
      <c r="BS88" s="12" t="n"/>
      <c r="BT88" s="12" t="n"/>
      <c r="BU88" s="12" t="n"/>
      <c r="BV88" s="12" t="n"/>
      <c r="BW88" s="12" t="n"/>
      <c r="BX88" s="12" t="n"/>
      <c r="BY88" s="12" t="n"/>
      <c r="BZ88" s="12" t="n"/>
      <c r="CA88" s="12" t="n"/>
      <c r="CB88" s="12" t="n"/>
      <c r="CC88" s="12" t="n"/>
      <c r="CD88" s="12" t="n"/>
      <c r="CE88" s="12" t="n"/>
      <c r="CF88" s="12" t="n"/>
      <c r="CG88" s="12" t="n"/>
      <c r="CH88" s="12" t="n"/>
      <c r="CI88" s="12" t="n"/>
      <c r="CJ88" s="12" t="n"/>
      <c r="CK88" s="12" t="n"/>
      <c r="CL88" s="12" t="n"/>
      <c r="CM88" s="12" t="n"/>
      <c r="CN88" s="12" t="n"/>
      <c r="CO88" s="12" t="n"/>
      <c r="CP88" s="12" t="n"/>
      <c r="CQ88" s="12" t="n"/>
      <c r="CR88" s="12" t="n"/>
      <c r="CS88" s="12" t="n"/>
      <c r="CT88" s="12" t="n"/>
      <c r="CU88" s="12" t="n"/>
      <c r="CV88" s="12" t="n"/>
      <c r="CW88" s="12" t="n"/>
      <c r="CX88" s="12" t="n"/>
      <c r="CY88" s="12" t="n"/>
    </row>
    <row r="89" hidden="1" outlineLevel="1">
      <c r="C89" s="57" t="inlineStr">
        <is>
          <t>PRE</t>
        </is>
      </c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  <c r="AK89" s="12" t="n"/>
      <c r="AL89" s="12" t="n"/>
      <c r="AM89" s="12" t="n"/>
      <c r="AN89" s="12" t="n"/>
      <c r="AO89" s="12" t="n"/>
      <c r="AP89" s="12" t="n"/>
      <c r="AQ89" s="12" t="n"/>
      <c r="AR89" s="12" t="n"/>
      <c r="AS89" s="12" t="n"/>
      <c r="AT89" s="12" t="n"/>
      <c r="AU89" s="12" t="n"/>
      <c r="AV89" s="12" t="n"/>
      <c r="AW89" s="12" t="n"/>
      <c r="AX89" s="12" t="n"/>
      <c r="AY89" s="12" t="n"/>
      <c r="AZ89" s="12" t="n"/>
      <c r="BA89" s="12" t="n"/>
      <c r="BB89" s="12" t="n"/>
      <c r="BC89" s="12" t="n"/>
      <c r="BD89" s="12" t="n"/>
      <c r="BE89" s="12" t="n"/>
      <c r="BF89" s="12" t="n"/>
      <c r="BG89" s="12" t="n"/>
      <c r="BH89" s="12" t="n"/>
      <c r="BI89" s="12" t="n"/>
      <c r="BJ89" s="12" t="n"/>
      <c r="BK89" s="12" t="n"/>
      <c r="BL89" s="12" t="n"/>
      <c r="BM89" s="12" t="n"/>
      <c r="BN89" s="12" t="n"/>
      <c r="BO89" s="12" t="n"/>
      <c r="BP89" s="12" t="n"/>
      <c r="BQ89" s="12" t="n"/>
      <c r="BR89" s="12" t="n"/>
      <c r="BS89" s="12" t="n"/>
      <c r="BT89" s="12" t="n"/>
      <c r="BU89" s="12" t="n"/>
      <c r="BV89" s="12" t="n"/>
      <c r="BW89" s="12" t="n"/>
      <c r="BX89" s="12" t="n"/>
      <c r="BY89" s="12" t="n"/>
      <c r="BZ89" s="12" t="n"/>
      <c r="CA89" s="12" t="n"/>
      <c r="CB89" s="12" t="n"/>
      <c r="CC89" s="12" t="n"/>
      <c r="CD89" s="12" t="n"/>
      <c r="CE89" s="12" t="n"/>
      <c r="CF89" s="12" t="n"/>
      <c r="CG89" s="12" t="n"/>
      <c r="CH89" s="12" t="n"/>
      <c r="CI89" s="12" t="n"/>
      <c r="CJ89" s="12" t="n"/>
      <c r="CK89" s="12" t="n"/>
      <c r="CL89" s="12" t="n"/>
      <c r="CM89" s="12" t="n"/>
      <c r="CN89" s="12" t="n"/>
      <c r="CO89" s="12" t="n"/>
      <c r="CP89" s="12" t="n"/>
      <c r="CQ89" s="12" t="n"/>
      <c r="CR89" s="12" t="n"/>
      <c r="CS89" s="12" t="n"/>
      <c r="CT89" s="12" t="n"/>
      <c r="CU89" s="12" t="n"/>
      <c r="CV89" s="12" t="n"/>
      <c r="CW89" s="12" t="n"/>
      <c r="CX89" s="12" t="n"/>
      <c r="CY89" s="12" t="n"/>
    </row>
    <row r="90" hidden="1" outlineLevel="1">
      <c r="C90" s="57" t="inlineStr">
        <is>
          <t>CDI+</t>
        </is>
      </c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  <c r="AL90" s="12" t="n"/>
      <c r="AM90" s="12" t="n"/>
      <c r="AN90" s="12" t="n"/>
      <c r="AO90" s="12" t="n"/>
      <c r="AP90" s="12" t="n"/>
      <c r="AQ90" s="12" t="n"/>
      <c r="AR90" s="12" t="n"/>
      <c r="AS90" s="12" t="n"/>
      <c r="AT90" s="12" t="n"/>
      <c r="AU90" s="12" t="n"/>
      <c r="AV90" s="12" t="n"/>
      <c r="AW90" s="12" t="n"/>
      <c r="AX90" s="12" t="n"/>
      <c r="AY90" s="12" t="n"/>
      <c r="AZ90" s="12" t="n"/>
      <c r="BA90" s="12" t="n"/>
      <c r="BB90" s="12" t="n"/>
      <c r="BC90" s="12" t="n"/>
      <c r="BD90" s="12" t="n"/>
      <c r="BE90" s="12" t="n"/>
      <c r="BF90" s="12" t="n"/>
      <c r="BG90" s="12" t="n"/>
      <c r="BH90" s="12" t="n"/>
      <c r="BI90" s="12" t="n"/>
      <c r="BJ90" s="12" t="n"/>
      <c r="BK90" s="12" t="n"/>
      <c r="BL90" s="12" t="n"/>
      <c r="BM90" s="12" t="n"/>
      <c r="BN90" s="12" t="n"/>
      <c r="BO90" s="12" t="n"/>
      <c r="BP90" s="12" t="n"/>
      <c r="BQ90" s="12" t="n"/>
      <c r="BR90" s="12" t="n"/>
      <c r="BS90" s="12" t="n"/>
      <c r="BT90" s="12" t="n"/>
      <c r="BU90" s="12" t="n"/>
      <c r="BV90" s="12" t="n"/>
      <c r="BW90" s="12" t="n"/>
      <c r="BX90" s="12" t="n"/>
      <c r="BY90" s="12" t="n"/>
      <c r="BZ90" s="12" t="n"/>
      <c r="CA90" s="12" t="n"/>
      <c r="CB90" s="12" t="n"/>
      <c r="CC90" s="12" t="n"/>
      <c r="CD90" s="12" t="n"/>
      <c r="CE90" s="12" t="n"/>
      <c r="CF90" s="12" t="n"/>
      <c r="CG90" s="12" t="n"/>
      <c r="CH90" s="12" t="n"/>
      <c r="CI90" s="12" t="n"/>
      <c r="CJ90" s="12" t="n"/>
      <c r="CK90" s="12" t="n"/>
      <c r="CL90" s="12" t="n"/>
      <c r="CM90" s="12" t="n"/>
      <c r="CN90" s="12" t="n"/>
      <c r="CO90" s="12" t="n"/>
      <c r="CP90" s="12" t="n"/>
      <c r="CQ90" s="12" t="n"/>
      <c r="CR90" s="12" t="n"/>
      <c r="CS90" s="12" t="n"/>
      <c r="CT90" s="12" t="n"/>
      <c r="CU90" s="12" t="n"/>
      <c r="CV90" s="12" t="n"/>
      <c r="CW90" s="12" t="n"/>
      <c r="CX90" s="12" t="n"/>
      <c r="CY90" s="12" t="n"/>
    </row>
    <row r="91" hidden="1" outlineLevel="1">
      <c r="C91" s="57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  <c r="AK91" s="12" t="n"/>
      <c r="AL91" s="12" t="n"/>
      <c r="AM91" s="12" t="n"/>
      <c r="AN91" s="12" t="n"/>
      <c r="AO91" s="12" t="n"/>
      <c r="AP91" s="12" t="n"/>
      <c r="AQ91" s="12" t="n"/>
      <c r="AR91" s="12" t="n"/>
      <c r="AS91" s="12" t="n"/>
      <c r="AT91" s="12" t="n"/>
      <c r="AU91" s="12" t="n"/>
      <c r="AV91" s="12" t="n"/>
      <c r="AW91" s="12" t="n"/>
      <c r="AX91" s="12" t="n"/>
      <c r="AY91" s="12" t="n"/>
      <c r="AZ91" s="12" t="n"/>
      <c r="BA91" s="12" t="n"/>
      <c r="BB91" s="12" t="n"/>
      <c r="BC91" s="12" t="n"/>
      <c r="BD91" s="12" t="n"/>
      <c r="BE91" s="12" t="n"/>
      <c r="BF91" s="12" t="n"/>
      <c r="BG91" s="12" t="n"/>
      <c r="BH91" s="12" t="n"/>
      <c r="BI91" s="12" t="n"/>
      <c r="BJ91" s="12" t="n"/>
      <c r="BK91" s="12" t="n"/>
      <c r="BL91" s="12" t="n"/>
      <c r="BM91" s="12" t="n"/>
      <c r="BN91" s="12" t="n"/>
      <c r="BO91" s="12" t="n"/>
      <c r="BP91" s="12" t="n"/>
      <c r="BQ91" s="12" t="n"/>
      <c r="BR91" s="12" t="n"/>
      <c r="BS91" s="12" t="n"/>
      <c r="BT91" s="12" t="n"/>
      <c r="BU91" s="12" t="n"/>
      <c r="BV91" s="12" t="n"/>
      <c r="BW91" s="12" t="n"/>
      <c r="BX91" s="12" t="n"/>
      <c r="BY91" s="12" t="n"/>
      <c r="BZ91" s="12" t="n"/>
      <c r="CA91" s="12" t="n"/>
      <c r="CB91" s="12" t="n"/>
      <c r="CC91" s="12" t="n"/>
      <c r="CD91" s="12" t="n"/>
      <c r="CE91" s="12" t="n"/>
      <c r="CF91" s="12" t="n"/>
      <c r="CG91" s="12" t="n"/>
      <c r="CH91" s="12" t="n"/>
      <c r="CI91" s="12" t="n"/>
      <c r="CJ91" s="12" t="n"/>
      <c r="CK91" s="12" t="n"/>
      <c r="CL91" s="12" t="n"/>
      <c r="CM91" s="12" t="n"/>
      <c r="CN91" s="12" t="n"/>
      <c r="CO91" s="12" t="n"/>
      <c r="CP91" s="12" t="n"/>
      <c r="CQ91" s="12" t="n"/>
      <c r="CR91" s="12" t="n"/>
      <c r="CS91" s="12" t="n"/>
      <c r="CT91" s="12" t="n"/>
      <c r="CU91" s="12" t="n"/>
      <c r="CV91" s="12" t="n"/>
      <c r="CW91" s="12" t="n"/>
      <c r="CX91" s="12" t="n"/>
      <c r="CY91" s="12" t="n"/>
    </row>
    <row r="92" hidden="1" outlineLevel="1">
      <c r="C92" s="57" t="inlineStr">
        <is>
          <t>RECEITAS FINANCEIRAS - Rendimentos de aplicações financeiras</t>
        </is>
      </c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  <c r="AL92" s="12" t="n"/>
      <c r="AM92" s="12" t="n"/>
      <c r="AN92" s="12" t="n"/>
      <c r="AO92" s="12" t="n"/>
      <c r="AP92" s="12" t="n"/>
      <c r="AQ92" s="12" t="n"/>
      <c r="AR92" s="12" t="n"/>
      <c r="AS92" s="12" t="n"/>
      <c r="AT92" s="12" t="n"/>
      <c r="AU92" s="12" t="n"/>
      <c r="AV92" s="12" t="n"/>
      <c r="AW92" s="12" t="n"/>
      <c r="AX92" s="12" t="n"/>
      <c r="AY92" s="12" t="n"/>
      <c r="AZ92" s="12" t="n"/>
      <c r="BA92" s="12" t="n"/>
      <c r="BB92" s="12" t="n"/>
      <c r="BC92" s="12" t="n"/>
      <c r="BD92" s="12" t="n"/>
      <c r="BE92" s="12" t="n"/>
      <c r="BF92" s="12" t="n"/>
      <c r="BG92" s="12" t="n"/>
      <c r="BH92" s="12" t="n"/>
      <c r="BI92" s="12" t="n"/>
      <c r="BJ92" s="12" t="n"/>
      <c r="BK92" s="12" t="n"/>
      <c r="BL92" s="12" t="n"/>
      <c r="BM92" s="12" t="n"/>
      <c r="BN92" s="12" t="n"/>
      <c r="BO92" s="12" t="n"/>
      <c r="BP92" s="12" t="n"/>
      <c r="BQ92" s="12" t="n"/>
      <c r="BR92" s="12" t="n"/>
      <c r="BS92" s="12" t="n"/>
      <c r="BT92" s="12" t="n"/>
      <c r="BU92" s="12" t="n"/>
      <c r="BV92" s="12" t="n"/>
      <c r="BW92" s="12" t="n"/>
      <c r="BX92" s="12" t="n"/>
      <c r="BY92" s="12" t="n"/>
      <c r="BZ92" s="12" t="n"/>
      <c r="CA92" s="12" t="n"/>
      <c r="CB92" s="12" t="n"/>
      <c r="CC92" s="12" t="n"/>
      <c r="CD92" s="12" t="n"/>
      <c r="CE92" s="12" t="n"/>
      <c r="CF92" s="12" t="n"/>
      <c r="CG92" s="12" t="n"/>
      <c r="CH92" s="12" t="n"/>
      <c r="CI92" s="12" t="n"/>
      <c r="CJ92" s="12" t="n"/>
      <c r="CK92" s="12" t="n"/>
      <c r="CL92" s="12" t="n"/>
      <c r="CM92" s="12" t="n"/>
      <c r="CN92" s="12" t="n"/>
      <c r="CO92" s="12" t="n"/>
      <c r="CP92" s="12" t="n"/>
      <c r="CQ92" s="12" t="n"/>
      <c r="CR92" s="12" t="n"/>
      <c r="CS92" s="12" t="n"/>
      <c r="CT92" s="12" t="n"/>
      <c r="CU92" s="12" t="n"/>
      <c r="CV92" s="12" t="n"/>
      <c r="CW92" s="12" t="n"/>
      <c r="CX92" s="12" t="n"/>
      <c r="CY92" s="12" t="n"/>
    </row>
    <row r="93" hidden="1" outlineLevel="1">
      <c r="C93" s="57" t="inlineStr">
        <is>
          <t>RECEITAS FINANCEIRAS - Variação cambial ativa</t>
        </is>
      </c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  <c r="AL93" s="12" t="n"/>
      <c r="AM93" s="12" t="n"/>
      <c r="AN93" s="12" t="n"/>
      <c r="AO93" s="12" t="n"/>
      <c r="AP93" s="12" t="n"/>
      <c r="AQ93" s="12" t="n"/>
      <c r="AR93" s="12" t="n"/>
      <c r="AS93" s="12" t="n"/>
      <c r="AT93" s="12" t="n"/>
      <c r="AU93" s="12" t="n"/>
      <c r="AV93" s="12" t="n"/>
      <c r="AW93" s="12" t="n"/>
      <c r="AX93" s="12" t="n"/>
      <c r="AY93" s="12" t="n"/>
      <c r="AZ93" s="12" t="n"/>
      <c r="BA93" s="12" t="n"/>
      <c r="BB93" s="12" t="n"/>
      <c r="BC93" s="12" t="n"/>
      <c r="BD93" s="12" t="n"/>
      <c r="BE93" s="12" t="n"/>
      <c r="BF93" s="12" t="n"/>
      <c r="BG93" s="12" t="n"/>
      <c r="BH93" s="12" t="n"/>
      <c r="BI93" s="12" t="n"/>
      <c r="BJ93" s="12" t="n"/>
      <c r="BK93" s="12" t="n"/>
      <c r="BL93" s="12" t="n"/>
      <c r="BM93" s="12" t="n"/>
      <c r="BN93" s="12" t="n"/>
      <c r="BO93" s="12" t="n"/>
      <c r="BP93" s="12" t="n"/>
      <c r="BQ93" s="12" t="n"/>
      <c r="BR93" s="12" t="n"/>
      <c r="BS93" s="12" t="n"/>
      <c r="BT93" s="12" t="n"/>
      <c r="BU93" s="12" t="n"/>
      <c r="BV93" s="12" t="n"/>
      <c r="BW93" s="12" t="n"/>
      <c r="BX93" s="12" t="n"/>
      <c r="BY93" s="12" t="n"/>
      <c r="BZ93" s="12" t="n"/>
      <c r="CA93" s="12" t="n"/>
      <c r="CB93" s="12" t="n"/>
      <c r="CC93" s="12" t="n"/>
      <c r="CD93" s="12" t="n"/>
      <c r="CE93" s="12" t="n"/>
      <c r="CF93" s="12" t="n"/>
      <c r="CG93" s="12" t="n"/>
      <c r="CH93" s="12" t="n"/>
      <c r="CI93" s="12" t="n"/>
      <c r="CJ93" s="12" t="n"/>
      <c r="CK93" s="12" t="n"/>
      <c r="CL93" s="12" t="n"/>
      <c r="CM93" s="12" t="n"/>
      <c r="CN93" s="12" t="n"/>
      <c r="CO93" s="12" t="n"/>
      <c r="CP93" s="12" t="n"/>
      <c r="CQ93" s="12" t="n"/>
      <c r="CR93" s="12" t="n"/>
      <c r="CS93" s="12" t="n"/>
      <c r="CT93" s="12" t="n"/>
      <c r="CU93" s="12" t="n"/>
      <c r="CV93" s="12" t="n"/>
      <c r="CW93" s="12" t="n"/>
      <c r="CX93" s="12" t="n"/>
      <c r="CY93" s="12" t="n"/>
    </row>
    <row r="94" hidden="1" outlineLevel="1">
      <c r="C94" s="57" t="inlineStr">
        <is>
          <t>RECEITAS FINANCEIRAS - Atualização de contas a pagar por aquisição de empresas</t>
        </is>
      </c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2" t="n"/>
      <c r="AK94" s="12" t="n"/>
      <c r="AL94" s="12" t="n"/>
      <c r="AM94" s="12" t="n"/>
      <c r="AN94" s="12" t="n"/>
      <c r="AO94" s="12" t="n"/>
      <c r="AP94" s="12" t="n"/>
      <c r="AQ94" s="12" t="n"/>
      <c r="AR94" s="12" t="n"/>
      <c r="AS94" s="12" t="n"/>
      <c r="AT94" s="12" t="n"/>
      <c r="AU94" s="12" t="n"/>
      <c r="AV94" s="12" t="n"/>
      <c r="AW94" s="12" t="n"/>
      <c r="AX94" s="12" t="n"/>
      <c r="AY94" s="12" t="n"/>
      <c r="AZ94" s="12" t="n"/>
      <c r="BA94" s="12" t="n"/>
      <c r="BB94" s="12" t="n"/>
      <c r="BC94" s="12" t="n"/>
      <c r="BD94" s="12" t="n"/>
      <c r="BE94" s="12" t="n"/>
      <c r="BF94" s="12" t="n"/>
      <c r="BG94" s="12" t="n"/>
      <c r="BH94" s="12" t="n"/>
      <c r="BI94" s="12" t="n"/>
      <c r="BJ94" s="12" t="n"/>
      <c r="BK94" s="12" t="n"/>
      <c r="BL94" s="12" t="n"/>
      <c r="BM94" s="12" t="n"/>
      <c r="BN94" s="12" t="n"/>
      <c r="BO94" s="12" t="n"/>
      <c r="BP94" s="12" t="n"/>
      <c r="BQ94" s="12" t="n"/>
      <c r="BR94" s="12" t="n"/>
      <c r="BS94" s="12" t="n"/>
      <c r="BT94" s="12" t="n"/>
      <c r="BU94" s="12" t="n"/>
      <c r="BV94" s="12" t="n"/>
      <c r="BW94" s="12" t="n"/>
      <c r="BX94" s="12" t="n"/>
      <c r="BY94" s="12" t="n"/>
      <c r="BZ94" s="12" t="n"/>
      <c r="CA94" s="12" t="n"/>
      <c r="CB94" s="12" t="n"/>
      <c r="CC94" s="12" t="n"/>
      <c r="CD94" s="12" t="n"/>
      <c r="CE94" s="12" t="n"/>
      <c r="CF94" s="12" t="n"/>
      <c r="CG94" s="12" t="n"/>
      <c r="CH94" s="12" t="n"/>
      <c r="CI94" s="12" t="n"/>
      <c r="CJ94" s="12" t="n"/>
      <c r="CK94" s="12" t="n"/>
      <c r="CL94" s="12" t="n"/>
      <c r="CM94" s="12" t="n"/>
      <c r="CN94" s="12" t="n"/>
      <c r="CO94" s="12" t="n"/>
      <c r="CP94" s="12" t="n"/>
      <c r="CQ94" s="12" t="n"/>
      <c r="CR94" s="12" t="n"/>
      <c r="CS94" s="12" t="n"/>
      <c r="CT94" s="12" t="n"/>
      <c r="CU94" s="12" t="n"/>
      <c r="CV94" s="12" t="n"/>
      <c r="CW94" s="12" t="n"/>
      <c r="CX94" s="12" t="n"/>
      <c r="CY94" s="12" t="n"/>
    </row>
    <row r="95" hidden="1" outlineLevel="1">
      <c r="C95" s="57" t="inlineStr">
        <is>
          <t>RECEITAS FINANCEIRAS - Resultado positivo com instrumentos derivativos</t>
        </is>
      </c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  <c r="AK95" s="12" t="n"/>
      <c r="AL95" s="12" t="n"/>
      <c r="AM95" s="12" t="n"/>
      <c r="AN95" s="12" t="n"/>
      <c r="AO95" s="12" t="n"/>
      <c r="AP95" s="12" t="n"/>
      <c r="AQ95" s="12" t="n"/>
      <c r="AR95" s="12" t="n"/>
      <c r="AS95" s="12" t="n"/>
      <c r="AT95" s="12" t="n"/>
      <c r="AU95" s="12" t="n"/>
      <c r="AV95" s="12" t="n"/>
      <c r="AW95" s="12" t="n"/>
      <c r="AX95" s="12" t="n"/>
      <c r="AY95" s="12" t="n"/>
      <c r="AZ95" s="12" t="n"/>
      <c r="BA95" s="12" t="n"/>
      <c r="BB95" s="12" t="n"/>
      <c r="BC95" s="12" t="n"/>
      <c r="BD95" s="12" t="n"/>
      <c r="BE95" s="12" t="n"/>
      <c r="BF95" s="12" t="n"/>
      <c r="BG95" s="12" t="n"/>
      <c r="BH95" s="12" t="n"/>
      <c r="BI95" s="12" t="n"/>
      <c r="BJ95" s="12" t="n"/>
      <c r="BK95" s="12" t="n"/>
      <c r="BL95" s="12" t="n"/>
      <c r="BM95" s="12" t="n"/>
      <c r="BN95" s="12" t="n"/>
      <c r="BO95" s="12" t="n"/>
      <c r="BP95" s="12" t="n"/>
      <c r="BQ95" s="12" t="n"/>
      <c r="BR95" s="12" t="n"/>
      <c r="BS95" s="12" t="n"/>
      <c r="BT95" s="12" t="n"/>
      <c r="BU95" s="12" t="n"/>
      <c r="BV95" s="12" t="n"/>
      <c r="BW95" s="12" t="n"/>
      <c r="BX95" s="12" t="n"/>
      <c r="BY95" s="12" t="n"/>
      <c r="BZ95" s="12" t="n"/>
      <c r="CA95" s="12" t="n"/>
      <c r="CB95" s="12" t="n"/>
      <c r="CC95" s="12" t="n"/>
      <c r="CD95" s="12" t="n"/>
      <c r="CE95" s="12" t="n"/>
      <c r="CF95" s="12" t="n"/>
      <c r="CG95" s="12" t="n"/>
      <c r="CH95" s="12" t="n"/>
      <c r="CI95" s="12" t="n"/>
      <c r="CJ95" s="12" t="n"/>
      <c r="CK95" s="12" t="n"/>
      <c r="CL95" s="12" t="n"/>
      <c r="CM95" s="12" t="n"/>
      <c r="CN95" s="12" t="n"/>
      <c r="CO95" s="12" t="n"/>
      <c r="CP95" s="12" t="n"/>
      <c r="CQ95" s="12" t="n"/>
      <c r="CR95" s="12" t="n"/>
      <c r="CS95" s="12" t="n"/>
      <c r="CT95" s="12" t="n"/>
      <c r="CU95" s="12" t="n"/>
      <c r="CV95" s="12" t="n"/>
      <c r="CW95" s="12" t="n"/>
      <c r="CX95" s="12" t="n"/>
      <c r="CY95" s="12" t="n"/>
    </row>
    <row r="96" hidden="1" outlineLevel="1">
      <c r="C96" s="57" t="inlineStr">
        <is>
          <t>RECEITAS FINANCEIRAS - Descontos obtidos de fornecedores por antecipação</t>
        </is>
      </c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  <c r="AL96" s="12" t="n"/>
      <c r="AM96" s="12" t="n"/>
      <c r="AN96" s="12" t="n"/>
      <c r="AO96" s="12" t="n"/>
      <c r="AP96" s="12" t="n"/>
      <c r="AQ96" s="12" t="n"/>
      <c r="AR96" s="12" t="n"/>
      <c r="AS96" s="12" t="n"/>
      <c r="AT96" s="12" t="n"/>
      <c r="AU96" s="12" t="n"/>
      <c r="AV96" s="12" t="n"/>
      <c r="AW96" s="12" t="n"/>
      <c r="AX96" s="12" t="n"/>
      <c r="AY96" s="12" t="n"/>
      <c r="AZ96" s="12" t="n"/>
      <c r="BA96" s="12" t="n"/>
      <c r="BB96" s="12" t="n"/>
      <c r="BC96" s="12" t="n"/>
      <c r="BD96" s="12" t="n"/>
      <c r="BE96" s="12" t="n"/>
      <c r="BF96" s="12" t="n"/>
      <c r="BG96" s="12" t="n"/>
      <c r="BH96" s="12" t="n"/>
      <c r="BI96" s="12" t="n"/>
      <c r="BJ96" s="12" t="n"/>
      <c r="BK96" s="12" t="n"/>
      <c r="BL96" s="12" t="n"/>
      <c r="BM96" s="12" t="n"/>
      <c r="BN96" s="12" t="n"/>
      <c r="BO96" s="12" t="n"/>
      <c r="BP96" s="12" t="n"/>
      <c r="BQ96" s="12" t="n"/>
      <c r="BR96" s="12" t="n"/>
      <c r="BS96" s="12" t="n"/>
      <c r="BT96" s="12" t="n"/>
      <c r="BU96" s="12" t="n"/>
      <c r="BV96" s="12" t="n"/>
      <c r="BW96" s="12" t="n"/>
      <c r="BX96" s="12" t="n"/>
      <c r="BY96" s="12" t="n"/>
      <c r="BZ96" s="12" t="n"/>
      <c r="CA96" s="12" t="n"/>
      <c r="CB96" s="12" t="n"/>
      <c r="CC96" s="12" t="n"/>
      <c r="CD96" s="12" t="n"/>
      <c r="CE96" s="12" t="n"/>
      <c r="CF96" s="12" t="n"/>
      <c r="CG96" s="12" t="n"/>
      <c r="CH96" s="12" t="n"/>
      <c r="CI96" s="12" t="n"/>
      <c r="CJ96" s="12" t="n"/>
      <c r="CK96" s="12" t="n"/>
      <c r="CL96" s="12" t="n"/>
      <c r="CM96" s="12" t="n"/>
      <c r="CN96" s="12" t="n"/>
      <c r="CO96" s="12" t="n"/>
      <c r="CP96" s="12" t="n"/>
      <c r="CQ96" s="12" t="n"/>
      <c r="CR96" s="12" t="n"/>
      <c r="CS96" s="12" t="n"/>
      <c r="CT96" s="12" t="n"/>
      <c r="CU96" s="12" t="n"/>
      <c r="CV96" s="12" t="n"/>
      <c r="CW96" s="12" t="n"/>
      <c r="CX96" s="12" t="n"/>
      <c r="CY96" s="12" t="n"/>
    </row>
    <row r="97" hidden="1" outlineLevel="1">
      <c r="C97" s="57" t="inlineStr">
        <is>
          <t>RECEITAS FINANCEIRAS - Atualização monetária sobre Exclusão ICMS da base de PIS/COFINS (nota explicativa nº 7)</t>
        </is>
      </c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  <c r="AL97" s="12" t="n"/>
      <c r="AM97" s="12" t="n"/>
      <c r="AN97" s="12" t="n"/>
      <c r="AO97" s="12" t="n"/>
      <c r="AP97" s="12" t="n"/>
      <c r="AQ97" s="12" t="n"/>
      <c r="AR97" s="12" t="n"/>
      <c r="AS97" s="12" t="n"/>
      <c r="AT97" s="12" t="n"/>
      <c r="AU97" s="12" t="n"/>
      <c r="AV97" s="12" t="n"/>
      <c r="AW97" s="12" t="n"/>
      <c r="AX97" s="12" t="n"/>
      <c r="AY97" s="12" t="n"/>
      <c r="AZ97" s="12" t="n"/>
      <c r="BA97" s="12" t="n"/>
      <c r="BB97" s="12" t="n"/>
      <c r="BC97" s="12" t="n"/>
      <c r="BD97" s="12" t="n"/>
      <c r="BE97" s="12" t="n"/>
      <c r="BF97" s="12" t="n"/>
      <c r="BG97" s="12" t="n"/>
      <c r="BH97" s="12" t="n"/>
      <c r="BI97" s="12" t="n"/>
      <c r="BJ97" s="12" t="n"/>
      <c r="BK97" s="12" t="n"/>
      <c r="BL97" s="12" t="n"/>
      <c r="BM97" s="12" t="n"/>
      <c r="BN97" s="12" t="n"/>
      <c r="BO97" s="12" t="n"/>
      <c r="BP97" s="12" t="n"/>
      <c r="BQ97" s="12" t="n"/>
      <c r="BR97" s="12" t="n"/>
      <c r="BS97" s="12" t="n"/>
      <c r="BT97" s="12" t="n"/>
      <c r="BU97" s="12" t="n"/>
      <c r="BV97" s="12" t="n"/>
      <c r="BW97" s="12" t="n"/>
      <c r="BX97" s="12" t="n"/>
      <c r="BY97" s="12" t="n"/>
      <c r="BZ97" s="12" t="n"/>
      <c r="CA97" s="12" t="n"/>
      <c r="CB97" s="12" t="n"/>
      <c r="CC97" s="12" t="n"/>
      <c r="CD97" s="12" t="n"/>
      <c r="CE97" s="12" t="n"/>
      <c r="CF97" s="12" t="n"/>
      <c r="CG97" s="12" t="n"/>
      <c r="CH97" s="12" t="n"/>
      <c r="CI97" s="12" t="n"/>
      <c r="CJ97" s="12" t="n"/>
      <c r="CK97" s="12" t="n"/>
      <c r="CL97" s="12" t="n"/>
      <c r="CM97" s="12" t="n"/>
      <c r="CN97" s="12" t="n"/>
      <c r="CO97" s="12" t="n"/>
      <c r="CP97" s="12" t="n"/>
      <c r="CQ97" s="12" t="n"/>
      <c r="CR97" s="12" t="n"/>
      <c r="CS97" s="12" t="n"/>
      <c r="CT97" s="12" t="n"/>
      <c r="CU97" s="12" t="n"/>
      <c r="CV97" s="12" t="n"/>
      <c r="CW97" s="12" t="n"/>
      <c r="CX97" s="12" t="n"/>
      <c r="CY97" s="12" t="n"/>
    </row>
    <row r="98" hidden="1" outlineLevel="1">
      <c r="C98" s="57" t="inlineStr">
        <is>
          <t>RECEITAS FINANCEIRAS - Outras</t>
        </is>
      </c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2" t="n"/>
      <c r="AK98" s="12" t="n"/>
      <c r="AL98" s="12" t="n"/>
      <c r="AM98" s="12" t="n"/>
      <c r="AN98" s="12" t="n"/>
      <c r="AO98" s="12" t="n"/>
      <c r="AP98" s="12" t="n"/>
      <c r="AQ98" s="12" t="n"/>
      <c r="AR98" s="12" t="n"/>
      <c r="AS98" s="12" t="n"/>
      <c r="AT98" s="12" t="n"/>
      <c r="AU98" s="12" t="n"/>
      <c r="AV98" s="12" t="n"/>
      <c r="AW98" s="12" t="n"/>
      <c r="AX98" s="12" t="n"/>
      <c r="AY98" s="12" t="n"/>
      <c r="AZ98" s="12" t="n"/>
      <c r="BA98" s="12" t="n"/>
      <c r="BB98" s="12" t="n"/>
      <c r="BC98" s="12" t="n"/>
      <c r="BD98" s="12" t="n"/>
      <c r="BE98" s="12" t="n"/>
      <c r="BF98" s="12" t="n"/>
      <c r="BG98" s="12" t="n"/>
      <c r="BH98" s="12" t="n"/>
      <c r="BI98" s="12" t="n"/>
      <c r="BJ98" s="12" t="n"/>
      <c r="BK98" s="12" t="n"/>
      <c r="BL98" s="12" t="n"/>
      <c r="BM98" s="12" t="n"/>
      <c r="BN98" s="12" t="n"/>
      <c r="BO98" s="12" t="n"/>
      <c r="BP98" s="12" t="n"/>
      <c r="BQ98" s="12" t="n"/>
      <c r="BR98" s="12" t="n"/>
      <c r="BS98" s="12" t="n"/>
      <c r="BT98" s="12" t="n"/>
      <c r="BU98" s="12" t="n"/>
      <c r="BV98" s="12" t="n"/>
      <c r="BW98" s="12" t="n"/>
      <c r="BX98" s="12" t="n"/>
      <c r="BY98" s="12" t="n"/>
      <c r="BZ98" s="12" t="n"/>
      <c r="CA98" s="12" t="n"/>
      <c r="CB98" s="12" t="n"/>
      <c r="CC98" s="12" t="n"/>
      <c r="CD98" s="12" t="n"/>
      <c r="CE98" s="12" t="n"/>
      <c r="CF98" s="12" t="n"/>
      <c r="CG98" s="12" t="n"/>
      <c r="CH98" s="12" t="n"/>
      <c r="CI98" s="12" t="n"/>
      <c r="CJ98" s="12" t="n"/>
      <c r="CK98" s="12" t="n"/>
      <c r="CL98" s="12" t="n"/>
      <c r="CM98" s="12" t="n"/>
      <c r="CN98" s="12" t="n"/>
      <c r="CO98" s="12" t="n"/>
      <c r="CP98" s="12" t="n"/>
      <c r="CQ98" s="12" t="n"/>
      <c r="CR98" s="12" t="n"/>
      <c r="CS98" s="12" t="n"/>
      <c r="CT98" s="12" t="n"/>
      <c r="CU98" s="12" t="n"/>
      <c r="CV98" s="12" t="n"/>
      <c r="CW98" s="12" t="n"/>
      <c r="CX98" s="12" t="n"/>
      <c r="CY98" s="12" t="n"/>
    </row>
    <row r="99" hidden="1" outlineLevel="1">
      <c r="C99" s="57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2" t="n"/>
      <c r="AK99" s="12" t="n"/>
      <c r="AL99" s="12" t="n"/>
      <c r="AM99" s="12" t="n"/>
      <c r="AN99" s="12" t="n"/>
      <c r="AO99" s="12" t="n"/>
      <c r="AP99" s="12" t="n"/>
      <c r="AQ99" s="12" t="n"/>
      <c r="AR99" s="12" t="n"/>
      <c r="AS99" s="12" t="n"/>
      <c r="AT99" s="12" t="n"/>
      <c r="AU99" s="12" t="n"/>
      <c r="AV99" s="12" t="n"/>
      <c r="AW99" s="12" t="n"/>
      <c r="AX99" s="12" t="n"/>
      <c r="AY99" s="12" t="n"/>
      <c r="AZ99" s="12" t="n"/>
      <c r="BA99" s="12" t="n"/>
      <c r="BB99" s="12" t="n"/>
      <c r="BC99" s="12" t="n"/>
      <c r="BD99" s="12" t="n"/>
      <c r="BE99" s="12" t="n"/>
      <c r="BF99" s="12" t="n"/>
      <c r="BG99" s="12" t="n"/>
      <c r="BH99" s="12" t="n"/>
      <c r="BI99" s="12" t="n"/>
      <c r="BJ99" s="12" t="n"/>
      <c r="BK99" s="12" t="n"/>
      <c r="BL99" s="12" t="n"/>
      <c r="BM99" s="12" t="n"/>
      <c r="BN99" s="12" t="n"/>
      <c r="BO99" s="12" t="n"/>
      <c r="BP99" s="12" t="n"/>
      <c r="BQ99" s="12" t="n"/>
      <c r="BR99" s="12" t="n"/>
      <c r="BS99" s="12" t="n"/>
      <c r="BT99" s="12" t="n"/>
      <c r="BU99" s="12" t="n"/>
      <c r="BV99" s="12" t="n"/>
      <c r="BW99" s="12" t="n"/>
      <c r="BX99" s="12" t="n"/>
      <c r="BY99" s="12" t="n"/>
      <c r="BZ99" s="12" t="n"/>
      <c r="CA99" s="12" t="n"/>
      <c r="CB99" s="12" t="n"/>
      <c r="CC99" s="12" t="n"/>
      <c r="CD99" s="12" t="n"/>
      <c r="CE99" s="12" t="n"/>
      <c r="CF99" s="12" t="n"/>
      <c r="CG99" s="12" t="n"/>
      <c r="CH99" s="12" t="n"/>
      <c r="CI99" s="12" t="n"/>
      <c r="CJ99" s="12" t="n"/>
      <c r="CK99" s="12" t="n"/>
      <c r="CL99" s="12" t="n"/>
      <c r="CM99" s="12" t="n"/>
      <c r="CN99" s="12" t="n"/>
      <c r="CO99" s="12" t="n"/>
      <c r="CP99" s="12" t="n"/>
      <c r="CQ99" s="12" t="n"/>
      <c r="CR99" s="12" t="n"/>
      <c r="CS99" s="12" t="n"/>
      <c r="CT99" s="12" t="n"/>
      <c r="CU99" s="12" t="n"/>
      <c r="CV99" s="12" t="n"/>
      <c r="CW99" s="12" t="n"/>
      <c r="CX99" s="12" t="n"/>
      <c r="CY99" s="12" t="n"/>
    </row>
    <row r="100" hidden="1" outlineLevel="1">
      <c r="C100" s="57" t="inlineStr">
        <is>
          <t>DESPESAS FINANCEIRAS - Encargos sobre empréstimos, financiamentos e debêntures</t>
        </is>
      </c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2" t="n"/>
      <c r="AL100" s="12" t="n"/>
      <c r="AM100" s="12" t="n"/>
      <c r="AN100" s="12" t="n"/>
      <c r="AO100" s="12" t="n"/>
      <c r="AP100" s="12" t="n"/>
      <c r="AQ100" s="12" t="n"/>
      <c r="AR100" s="12" t="n"/>
      <c r="AS100" s="12" t="n"/>
      <c r="AT100" s="12" t="n"/>
      <c r="AU100" s="12" t="n"/>
      <c r="AV100" s="12" t="n"/>
      <c r="AW100" s="12" t="n"/>
      <c r="AX100" s="12" t="n"/>
      <c r="AY100" s="12" t="n"/>
      <c r="AZ100" s="12" t="n"/>
      <c r="BA100" s="12" t="n"/>
      <c r="BB100" s="12" t="n"/>
      <c r="BC100" s="12" t="n"/>
      <c r="BD100" s="12" t="n"/>
      <c r="BE100" s="12" t="n"/>
      <c r="BF100" s="12" t="n"/>
      <c r="BG100" s="12" t="n"/>
      <c r="BH100" s="12" t="n"/>
      <c r="BI100" s="12" t="n"/>
      <c r="BJ100" s="12" t="n"/>
      <c r="BK100" s="12" t="n"/>
      <c r="BL100" s="12" t="n"/>
      <c r="BM100" s="12" t="n"/>
      <c r="BN100" s="12" t="n"/>
      <c r="BO100" s="12" t="n"/>
      <c r="BP100" s="12" t="n"/>
      <c r="BQ100" s="12" t="n"/>
      <c r="BR100" s="12" t="n"/>
      <c r="BS100" s="12" t="n"/>
      <c r="BT100" s="12" t="n"/>
      <c r="BU100" s="12" t="n"/>
      <c r="BV100" s="12" t="n"/>
      <c r="BW100" s="12" t="n"/>
      <c r="BX100" s="12" t="n"/>
      <c r="BY100" s="12" t="n"/>
      <c r="BZ100" s="12" t="n"/>
      <c r="CA100" s="12" t="n"/>
      <c r="CB100" s="12" t="n"/>
      <c r="CC100" s="12" t="n"/>
      <c r="CD100" s="12" t="n"/>
      <c r="CE100" s="12" t="n"/>
      <c r="CF100" s="12" t="n"/>
      <c r="CG100" s="12" t="n"/>
      <c r="CH100" s="12" t="n"/>
      <c r="CI100" s="12" t="n"/>
      <c r="CJ100" s="12" t="n"/>
      <c r="CK100" s="12" t="n"/>
      <c r="CL100" s="12" t="n"/>
      <c r="CM100" s="12" t="n"/>
      <c r="CN100" s="12" t="n"/>
      <c r="CO100" s="12" t="n"/>
      <c r="CP100" s="12" t="n"/>
      <c r="CQ100" s="12" t="n"/>
      <c r="CR100" s="12" t="n"/>
      <c r="CS100" s="12" t="n"/>
      <c r="CT100" s="12" t="n"/>
      <c r="CU100" s="12" t="n"/>
      <c r="CV100" s="12" t="n"/>
      <c r="CW100" s="12" t="n"/>
      <c r="CX100" s="12" t="n"/>
      <c r="CY100" s="12" t="n"/>
    </row>
    <row r="101" hidden="1" outlineLevel="1">
      <c r="C101" s="57" t="inlineStr">
        <is>
          <t>DESPESAS FINANCEIRAS - Variação cambial passiva</t>
        </is>
      </c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2" t="n"/>
      <c r="AK101" s="12" t="n"/>
      <c r="AL101" s="12" t="n"/>
      <c r="AM101" s="12" t="n"/>
      <c r="AN101" s="12" t="n"/>
      <c r="AO101" s="12" t="n"/>
      <c r="AP101" s="12" t="n"/>
      <c r="AQ101" s="12" t="n"/>
      <c r="AR101" s="12" t="n"/>
      <c r="AS101" s="12" t="n"/>
      <c r="AT101" s="12" t="n"/>
      <c r="AU101" s="12" t="n"/>
      <c r="AV101" s="12" t="n"/>
      <c r="AW101" s="12" t="n"/>
      <c r="AX101" s="12" t="n"/>
      <c r="AY101" s="12" t="n"/>
      <c r="AZ101" s="12" t="n"/>
      <c r="BA101" s="12" t="n"/>
      <c r="BB101" s="12" t="n"/>
      <c r="BC101" s="12" t="n"/>
      <c r="BD101" s="12" t="n"/>
      <c r="BE101" s="12" t="n"/>
      <c r="BF101" s="12" t="n"/>
      <c r="BG101" s="12" t="n"/>
      <c r="BH101" s="12" t="n"/>
      <c r="BI101" s="12" t="n"/>
      <c r="BJ101" s="12" t="n"/>
      <c r="BK101" s="12" t="n"/>
      <c r="BL101" s="12" t="n"/>
      <c r="BM101" s="12" t="n"/>
      <c r="BN101" s="12" t="n"/>
      <c r="BO101" s="12" t="n"/>
      <c r="BP101" s="12" t="n"/>
      <c r="BQ101" s="12" t="n"/>
      <c r="BR101" s="12" t="n"/>
      <c r="BS101" s="12" t="n"/>
      <c r="BT101" s="12" t="n"/>
      <c r="BU101" s="12" t="n"/>
      <c r="BV101" s="12" t="n"/>
      <c r="BW101" s="12" t="n"/>
      <c r="BX101" s="12" t="n"/>
      <c r="BY101" s="12" t="n"/>
      <c r="BZ101" s="12" t="n"/>
      <c r="CA101" s="12" t="n"/>
      <c r="CB101" s="12" t="n"/>
      <c r="CC101" s="12" t="n"/>
      <c r="CD101" s="12" t="n"/>
      <c r="CE101" s="12" t="n"/>
      <c r="CF101" s="12" t="n"/>
      <c r="CG101" s="12" t="n"/>
      <c r="CH101" s="12" t="n"/>
      <c r="CI101" s="12" t="n"/>
      <c r="CJ101" s="12" t="n"/>
      <c r="CK101" s="12" t="n"/>
      <c r="CL101" s="12" t="n"/>
      <c r="CM101" s="12" t="n"/>
      <c r="CN101" s="12" t="n"/>
      <c r="CO101" s="12" t="n"/>
      <c r="CP101" s="12" t="n"/>
      <c r="CQ101" s="12" t="n"/>
      <c r="CR101" s="12" t="n"/>
      <c r="CS101" s="12" t="n"/>
      <c r="CT101" s="12" t="n"/>
      <c r="CU101" s="12" t="n"/>
      <c r="CV101" s="12" t="n"/>
      <c r="CW101" s="12" t="n"/>
      <c r="CX101" s="12" t="n"/>
      <c r="CY101" s="12" t="n"/>
    </row>
    <row r="102" hidden="1" outlineLevel="1">
      <c r="C102" s="57" t="inlineStr">
        <is>
          <t>DESPESAS FINANCEIRAS - Resultado negativo com instrumentos derivativos</t>
        </is>
      </c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2" t="n"/>
      <c r="AO102" s="12" t="n"/>
      <c r="AP102" s="12" t="n"/>
      <c r="AQ102" s="12" t="n"/>
      <c r="AR102" s="12" t="n"/>
      <c r="AS102" s="12" t="n"/>
      <c r="AT102" s="12" t="n"/>
      <c r="AU102" s="12" t="n"/>
      <c r="AV102" s="12" t="n"/>
      <c r="AW102" s="12" t="n"/>
      <c r="AX102" s="12" t="n"/>
      <c r="AY102" s="12" t="n"/>
      <c r="AZ102" s="12" t="n"/>
      <c r="BA102" s="12" t="n"/>
      <c r="BB102" s="12" t="n"/>
      <c r="BC102" s="12" t="n"/>
      <c r="BD102" s="12" t="n"/>
      <c r="BE102" s="12" t="n"/>
      <c r="BF102" s="12" t="n"/>
      <c r="BG102" s="12" t="n"/>
      <c r="BH102" s="12" t="n"/>
      <c r="BI102" s="12" t="n"/>
      <c r="BJ102" s="12" t="n"/>
      <c r="BK102" s="12" t="n"/>
      <c r="BL102" s="12" t="n"/>
      <c r="BM102" s="12" t="n"/>
      <c r="BN102" s="12" t="n"/>
      <c r="BO102" s="12" t="n"/>
      <c r="BP102" s="12" t="n"/>
      <c r="BQ102" s="12" t="n"/>
      <c r="BR102" s="12" t="n"/>
      <c r="BS102" s="12" t="n"/>
      <c r="BT102" s="12" t="n"/>
      <c r="BU102" s="12" t="n"/>
      <c r="BV102" s="12" t="n"/>
      <c r="BW102" s="12" t="n"/>
      <c r="BX102" s="12" t="n"/>
      <c r="BY102" s="12" t="n"/>
      <c r="BZ102" s="12" t="n"/>
      <c r="CA102" s="12" t="n"/>
      <c r="CB102" s="12" t="n"/>
      <c r="CC102" s="12" t="n"/>
      <c r="CD102" s="12" t="n"/>
      <c r="CE102" s="12" t="n"/>
      <c r="CF102" s="12" t="n"/>
      <c r="CG102" s="12" t="n"/>
      <c r="CH102" s="12" t="n"/>
      <c r="CI102" s="12" t="n"/>
      <c r="CJ102" s="12" t="n"/>
      <c r="CK102" s="12" t="n"/>
      <c r="CL102" s="12" t="n"/>
      <c r="CM102" s="12" t="n"/>
      <c r="CN102" s="12" t="n"/>
      <c r="CO102" s="12" t="n"/>
      <c r="CP102" s="12" t="n"/>
      <c r="CQ102" s="12" t="n"/>
      <c r="CR102" s="12" t="n"/>
      <c r="CS102" s="12" t="n"/>
      <c r="CT102" s="12" t="n"/>
      <c r="CU102" s="12" t="n"/>
      <c r="CV102" s="12" t="n"/>
      <c r="CW102" s="12" t="n"/>
      <c r="CX102" s="12" t="n"/>
      <c r="CY102" s="12" t="n"/>
    </row>
    <row r="103" hidden="1" outlineLevel="1">
      <c r="C103" s="57" t="inlineStr">
        <is>
          <t>DESPESAS FINANCEIRAS - Juros sobre arrendamento - IFRS16</t>
        </is>
      </c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  <c r="AK103" s="12" t="n"/>
      <c r="AL103" s="12" t="n"/>
      <c r="AM103" s="12" t="n"/>
      <c r="AN103" s="12" t="n"/>
      <c r="AO103" s="12" t="n"/>
      <c r="AP103" s="12" t="n"/>
      <c r="AQ103" s="12" t="n"/>
      <c r="AR103" s="12" t="n"/>
      <c r="AS103" s="12" t="n"/>
      <c r="AT103" s="12" t="n"/>
      <c r="AU103" s="12" t="n"/>
      <c r="AV103" s="12" t="n"/>
      <c r="AW103" s="12" t="n"/>
      <c r="AX103" s="12" t="n"/>
      <c r="AY103" s="12" t="n"/>
      <c r="AZ103" s="12" t="n"/>
      <c r="BA103" s="12" t="n"/>
      <c r="BB103" s="12" t="n"/>
      <c r="BC103" s="12" t="n"/>
      <c r="BD103" s="12" t="n"/>
      <c r="BE103" s="12" t="n"/>
      <c r="BF103" s="12" t="n"/>
      <c r="BG103" s="12" t="n"/>
      <c r="BH103" s="12" t="n"/>
      <c r="BI103" s="12" t="n"/>
      <c r="BJ103" s="12" t="n"/>
      <c r="BK103" s="12" t="n"/>
      <c r="BL103" s="12" t="n"/>
      <c r="BM103" s="12" t="n"/>
      <c r="BN103" s="12" t="n"/>
      <c r="BO103" s="12" t="n"/>
      <c r="BP103" s="12" t="n"/>
      <c r="BQ103" s="12" t="n"/>
      <c r="BR103" s="12" t="n"/>
      <c r="BS103" s="12" t="n"/>
      <c r="BT103" s="12" t="n"/>
      <c r="BU103" s="12" t="n"/>
      <c r="BV103" s="12" t="n"/>
      <c r="BW103" s="12" t="n"/>
      <c r="BX103" s="12" t="n"/>
      <c r="BY103" s="12" t="n"/>
      <c r="BZ103" s="12" t="n"/>
      <c r="CA103" s="12" t="n"/>
      <c r="CB103" s="12" t="n"/>
      <c r="CC103" s="12" t="n"/>
      <c r="CD103" s="12" t="n"/>
      <c r="CE103" s="12" t="n"/>
      <c r="CF103" s="12" t="n"/>
      <c r="CG103" s="12" t="n"/>
      <c r="CH103" s="12" t="n"/>
      <c r="CI103" s="12" t="n"/>
      <c r="CJ103" s="12" t="n"/>
      <c r="CK103" s="12" t="n"/>
      <c r="CL103" s="12" t="n"/>
      <c r="CM103" s="12" t="n"/>
      <c r="CN103" s="12" t="n"/>
      <c r="CO103" s="12" t="n"/>
      <c r="CP103" s="12" t="n"/>
      <c r="CQ103" s="12" t="n"/>
      <c r="CR103" s="12" t="n"/>
      <c r="CS103" s="12" t="n"/>
      <c r="CT103" s="12" t="n"/>
      <c r="CU103" s="12" t="n"/>
      <c r="CV103" s="12" t="n"/>
      <c r="CW103" s="12" t="n"/>
      <c r="CX103" s="12" t="n"/>
      <c r="CY103" s="12" t="n"/>
    </row>
    <row r="104" hidden="1" outlineLevel="1">
      <c r="C104" s="57" t="inlineStr">
        <is>
          <t>DESPESAS FINANCEIRAS - Despesas bancárias</t>
        </is>
      </c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  <c r="AJ104" s="12" t="n"/>
      <c r="AK104" s="12" t="n"/>
      <c r="AL104" s="12" t="n"/>
      <c r="AM104" s="12" t="n"/>
      <c r="AN104" s="12" t="n"/>
      <c r="AO104" s="12" t="n"/>
      <c r="AP104" s="12" t="n"/>
      <c r="AQ104" s="12" t="n"/>
      <c r="AR104" s="12" t="n"/>
      <c r="AS104" s="12" t="n"/>
      <c r="AT104" s="12" t="n"/>
      <c r="AU104" s="12" t="n"/>
      <c r="AV104" s="12" t="n"/>
      <c r="AW104" s="12" t="n"/>
      <c r="AX104" s="12" t="n"/>
      <c r="AY104" s="12" t="n"/>
      <c r="AZ104" s="12" t="n"/>
      <c r="BA104" s="12" t="n"/>
      <c r="BB104" s="12" t="n"/>
      <c r="BC104" s="12" t="n"/>
      <c r="BD104" s="12" t="n"/>
      <c r="BE104" s="12" t="n"/>
      <c r="BF104" s="12" t="n"/>
      <c r="BG104" s="12" t="n"/>
      <c r="BH104" s="12" t="n"/>
      <c r="BI104" s="12" t="n"/>
      <c r="BJ104" s="12" t="n"/>
      <c r="BK104" s="12" t="n"/>
      <c r="BL104" s="12" t="n"/>
      <c r="BM104" s="12" t="n"/>
      <c r="BN104" s="12" t="n"/>
      <c r="BO104" s="12" t="n"/>
      <c r="BP104" s="12" t="n"/>
      <c r="BQ104" s="12" t="n"/>
      <c r="BR104" s="12" t="n"/>
      <c r="BS104" s="12" t="n"/>
      <c r="BT104" s="12" t="n"/>
      <c r="BU104" s="12" t="n"/>
      <c r="BV104" s="12" t="n"/>
      <c r="BW104" s="12" t="n"/>
      <c r="BX104" s="12" t="n"/>
      <c r="BY104" s="12" t="n"/>
      <c r="BZ104" s="12" t="n"/>
      <c r="CA104" s="12" t="n"/>
      <c r="CB104" s="12" t="n"/>
      <c r="CC104" s="12" t="n"/>
      <c r="CD104" s="12" t="n"/>
      <c r="CE104" s="12" t="n"/>
      <c r="CF104" s="12" t="n"/>
      <c r="CG104" s="12" t="n"/>
      <c r="CH104" s="12" t="n"/>
      <c r="CI104" s="12" t="n"/>
      <c r="CJ104" s="12" t="n"/>
      <c r="CK104" s="12" t="n"/>
      <c r="CL104" s="12" t="n"/>
      <c r="CM104" s="12" t="n"/>
      <c r="CN104" s="12" t="n"/>
      <c r="CO104" s="12" t="n"/>
      <c r="CP104" s="12" t="n"/>
      <c r="CQ104" s="12" t="n"/>
      <c r="CR104" s="12" t="n"/>
      <c r="CS104" s="12" t="n"/>
      <c r="CT104" s="12" t="n"/>
      <c r="CU104" s="12" t="n"/>
      <c r="CV104" s="12" t="n"/>
      <c r="CW104" s="12" t="n"/>
      <c r="CX104" s="12" t="n"/>
      <c r="CY104" s="12" t="n"/>
    </row>
    <row r="105" hidden="1" outlineLevel="1">
      <c r="C105" s="57" t="inlineStr">
        <is>
          <t>DESPESAS FINANCEIRAS - Despesas com obtenção de empréstimos e financiamentos</t>
        </is>
      </c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  <c r="AJ105" s="12" t="n"/>
      <c r="AK105" s="12" t="n"/>
      <c r="AL105" s="12" t="n"/>
      <c r="AM105" s="12" t="n"/>
      <c r="AN105" s="12" t="n"/>
      <c r="AO105" s="12" t="n"/>
      <c r="AP105" s="12" t="n"/>
      <c r="AQ105" s="12" t="n"/>
      <c r="AR105" s="12" t="n"/>
      <c r="AS105" s="12" t="n"/>
      <c r="AT105" s="12" t="n"/>
      <c r="AU105" s="12" t="n"/>
      <c r="AV105" s="12" t="n"/>
      <c r="AW105" s="12" t="n"/>
      <c r="AX105" s="12" t="n"/>
      <c r="AY105" s="12" t="n"/>
      <c r="AZ105" s="12" t="n"/>
      <c r="BA105" s="12" t="n"/>
      <c r="BB105" s="12" t="n"/>
      <c r="BC105" s="12" t="n"/>
      <c r="BD105" s="12" t="n"/>
      <c r="BE105" s="12" t="n"/>
      <c r="BF105" s="12" t="n"/>
      <c r="BG105" s="12" t="n"/>
      <c r="BH105" s="12" t="n"/>
      <c r="BI105" s="12" t="n"/>
      <c r="BJ105" s="12" t="n"/>
      <c r="BK105" s="12" t="n"/>
      <c r="BL105" s="12" t="n"/>
      <c r="BM105" s="12" t="n"/>
      <c r="BN105" s="12" t="n"/>
      <c r="BO105" s="12" t="n"/>
      <c r="BP105" s="12" t="n"/>
      <c r="BQ105" s="12" t="n"/>
      <c r="BR105" s="12" t="n"/>
      <c r="BS105" s="12" t="n"/>
      <c r="BT105" s="12" t="n"/>
      <c r="BU105" s="12" t="n"/>
      <c r="BV105" s="12" t="n"/>
      <c r="BW105" s="12" t="n"/>
      <c r="BX105" s="12" t="n"/>
      <c r="BY105" s="12" t="n"/>
      <c r="BZ105" s="12" t="n"/>
      <c r="CA105" s="12" t="n"/>
      <c r="CB105" s="12" t="n"/>
      <c r="CC105" s="12" t="n"/>
      <c r="CD105" s="12" t="n"/>
      <c r="CE105" s="12" t="n"/>
      <c r="CF105" s="12" t="n"/>
      <c r="CG105" s="12" t="n"/>
      <c r="CH105" s="12" t="n"/>
      <c r="CI105" s="12" t="n"/>
      <c r="CJ105" s="12" t="n"/>
      <c r="CK105" s="12" t="n"/>
      <c r="CL105" s="12" t="n"/>
      <c r="CM105" s="12" t="n"/>
      <c r="CN105" s="12" t="n"/>
      <c r="CO105" s="12" t="n"/>
      <c r="CP105" s="12" t="n"/>
      <c r="CQ105" s="12" t="n"/>
      <c r="CR105" s="12" t="n"/>
      <c r="CS105" s="12" t="n"/>
      <c r="CT105" s="12" t="n"/>
      <c r="CU105" s="12" t="n"/>
      <c r="CV105" s="12" t="n"/>
      <c r="CW105" s="12" t="n"/>
      <c r="CX105" s="12" t="n"/>
      <c r="CY105" s="12" t="n"/>
    </row>
    <row r="106" hidden="1" outlineLevel="1">
      <c r="C106" s="57" t="inlineStr">
        <is>
          <t>DESPESAS FINANCEIRAS - Atualização de contas a pagar por aquisição de empresas</t>
        </is>
      </c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  <c r="AI106" s="12" t="n"/>
      <c r="AJ106" s="12" t="n"/>
      <c r="AK106" s="12" t="n"/>
      <c r="AL106" s="12" t="n"/>
      <c r="AM106" s="12" t="n"/>
      <c r="AN106" s="12" t="n"/>
      <c r="AO106" s="12" t="n"/>
      <c r="AP106" s="12" t="n"/>
      <c r="AQ106" s="12" t="n"/>
      <c r="AR106" s="12" t="n"/>
      <c r="AS106" s="12" t="n"/>
      <c r="AT106" s="12" t="n"/>
      <c r="AU106" s="12" t="n"/>
      <c r="AV106" s="12" t="n"/>
      <c r="AW106" s="12" t="n"/>
      <c r="AX106" s="12" t="n"/>
      <c r="AY106" s="12" t="n"/>
      <c r="AZ106" s="12" t="n"/>
      <c r="BA106" s="12" t="n"/>
      <c r="BB106" s="12" t="n"/>
      <c r="BC106" s="12" t="n"/>
      <c r="BD106" s="12" t="n"/>
      <c r="BE106" s="12" t="n"/>
      <c r="BF106" s="12" t="n"/>
      <c r="BG106" s="12" t="n"/>
      <c r="BH106" s="12" t="n"/>
      <c r="BI106" s="12" t="n"/>
      <c r="BJ106" s="12" t="n"/>
      <c r="BK106" s="12" t="n"/>
      <c r="BL106" s="12" t="n"/>
      <c r="BM106" s="12" t="n"/>
      <c r="BN106" s="12" t="n"/>
      <c r="BO106" s="12" t="n"/>
      <c r="BP106" s="12" t="n"/>
      <c r="BQ106" s="12" t="n"/>
      <c r="BR106" s="12" t="n"/>
      <c r="BS106" s="12" t="n"/>
      <c r="BT106" s="12" t="n"/>
      <c r="BU106" s="12" t="n"/>
      <c r="BV106" s="12" t="n"/>
      <c r="BW106" s="12" t="n"/>
      <c r="BX106" s="12" t="n"/>
      <c r="BY106" s="12" t="n"/>
      <c r="BZ106" s="12" t="n"/>
      <c r="CA106" s="12" t="n"/>
      <c r="CB106" s="12" t="n"/>
      <c r="CC106" s="12" t="n"/>
      <c r="CD106" s="12" t="n"/>
      <c r="CE106" s="12" t="n"/>
      <c r="CF106" s="12" t="n"/>
      <c r="CG106" s="12" t="n"/>
      <c r="CH106" s="12" t="n"/>
      <c r="CI106" s="12" t="n"/>
      <c r="CJ106" s="12" t="n"/>
      <c r="CK106" s="12" t="n"/>
      <c r="CL106" s="12" t="n"/>
      <c r="CM106" s="12" t="n"/>
      <c r="CN106" s="12" t="n"/>
      <c r="CO106" s="12" t="n"/>
      <c r="CP106" s="12" t="n"/>
      <c r="CQ106" s="12" t="n"/>
      <c r="CR106" s="12" t="n"/>
      <c r="CS106" s="12" t="n"/>
      <c r="CT106" s="12" t="n"/>
      <c r="CU106" s="12" t="n"/>
      <c r="CV106" s="12" t="n"/>
      <c r="CW106" s="12" t="n"/>
      <c r="CX106" s="12" t="n"/>
      <c r="CY106" s="12" t="n"/>
    </row>
    <row r="107" hidden="1" outlineLevel="1">
      <c r="C107" s="57" t="inlineStr">
        <is>
          <t>DESPESAS FINANCEIRAS - Outras</t>
        </is>
      </c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2" t="n"/>
      <c r="AK107" s="12" t="n"/>
      <c r="AL107" s="12" t="n"/>
      <c r="AM107" s="12" t="n"/>
      <c r="AN107" s="12" t="n"/>
      <c r="AO107" s="12" t="n"/>
      <c r="AP107" s="12" t="n"/>
      <c r="AQ107" s="12" t="n"/>
      <c r="AR107" s="12" t="n"/>
      <c r="AS107" s="12" t="n"/>
      <c r="AT107" s="12" t="n"/>
      <c r="AU107" s="12" t="n"/>
      <c r="AV107" s="12" t="n"/>
      <c r="AW107" s="12" t="n"/>
      <c r="AX107" s="12" t="n"/>
      <c r="AY107" s="12" t="n"/>
      <c r="AZ107" s="12" t="n"/>
      <c r="BA107" s="12" t="n"/>
      <c r="BB107" s="12" t="n"/>
      <c r="BC107" s="12" t="n"/>
      <c r="BD107" s="12" t="n"/>
      <c r="BE107" s="12" t="n"/>
      <c r="BF107" s="12" t="n"/>
      <c r="BG107" s="12" t="n"/>
      <c r="BH107" s="12" t="n"/>
      <c r="BI107" s="12" t="n"/>
      <c r="BJ107" s="12" t="n"/>
      <c r="BK107" s="12" t="n"/>
      <c r="BL107" s="12" t="n"/>
      <c r="BM107" s="12" t="n"/>
      <c r="BN107" s="12" t="n"/>
      <c r="BO107" s="12" t="n"/>
      <c r="BP107" s="12" t="n"/>
      <c r="BQ107" s="12" t="n"/>
      <c r="BR107" s="12" t="n"/>
      <c r="BS107" s="12" t="n"/>
      <c r="BT107" s="12" t="n"/>
      <c r="BU107" s="12" t="n"/>
      <c r="BV107" s="12" t="n"/>
      <c r="BW107" s="12" t="n"/>
      <c r="BX107" s="12" t="n"/>
      <c r="BY107" s="12" t="n"/>
      <c r="BZ107" s="12" t="n"/>
      <c r="CA107" s="12" t="n"/>
      <c r="CB107" s="12" t="n"/>
      <c r="CC107" s="12" t="n"/>
      <c r="CD107" s="12" t="n"/>
      <c r="CE107" s="12" t="n"/>
      <c r="CF107" s="12" t="n"/>
      <c r="CG107" s="12" t="n"/>
      <c r="CH107" s="12" t="n"/>
      <c r="CI107" s="12" t="n"/>
      <c r="CJ107" s="12" t="n"/>
      <c r="CK107" s="12" t="n"/>
      <c r="CL107" s="12" t="n"/>
      <c r="CM107" s="12" t="n"/>
      <c r="CN107" s="12" t="n"/>
      <c r="CO107" s="12" t="n"/>
      <c r="CP107" s="12" t="n"/>
      <c r="CQ107" s="12" t="n"/>
      <c r="CR107" s="12" t="n"/>
      <c r="CS107" s="12" t="n"/>
      <c r="CT107" s="12" t="n"/>
      <c r="CU107" s="12" t="n"/>
      <c r="CV107" s="12" t="n"/>
      <c r="CW107" s="12" t="n"/>
      <c r="CX107" s="12" t="n"/>
      <c r="CY107" s="12" t="n"/>
    </row>
    <row r="108" hidden="1" outlineLevel="1">
      <c r="C108" s="57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2" t="n"/>
      <c r="AK108" s="12" t="n"/>
      <c r="AL108" s="12" t="n"/>
      <c r="AM108" s="12" t="n"/>
      <c r="AN108" s="12" t="n"/>
      <c r="AO108" s="12" t="n"/>
      <c r="AP108" s="12" t="n"/>
      <c r="AQ108" s="12" t="n"/>
      <c r="AR108" s="12" t="n"/>
      <c r="AS108" s="12" t="n"/>
      <c r="AT108" s="12" t="n"/>
      <c r="AU108" s="12" t="n"/>
      <c r="AV108" s="12" t="n"/>
      <c r="AW108" s="12" t="n"/>
      <c r="AX108" s="12" t="n"/>
      <c r="AY108" s="12" t="n"/>
      <c r="AZ108" s="12" t="n"/>
      <c r="BA108" s="12" t="n"/>
      <c r="BB108" s="12" t="n"/>
      <c r="BC108" s="12" t="n"/>
      <c r="BD108" s="12" t="n"/>
      <c r="BE108" s="12" t="n"/>
      <c r="BF108" s="12" t="n"/>
      <c r="BG108" s="12" t="n"/>
      <c r="BH108" s="12" t="n"/>
      <c r="BI108" s="12" t="n"/>
      <c r="BJ108" s="12" t="n"/>
      <c r="BK108" s="12" t="n"/>
      <c r="BL108" s="12" t="n"/>
      <c r="BM108" s="12" t="n"/>
      <c r="BN108" s="12" t="n"/>
      <c r="BO108" s="12" t="n"/>
      <c r="BP108" s="12" t="n"/>
      <c r="BQ108" s="12" t="n"/>
      <c r="BR108" s="12" t="n"/>
      <c r="BS108" s="12" t="n"/>
      <c r="BT108" s="12" t="n"/>
      <c r="BU108" s="12" t="n"/>
      <c r="BV108" s="12" t="n"/>
      <c r="BW108" s="12" t="n"/>
      <c r="BX108" s="12" t="n"/>
      <c r="BY108" s="12" t="n"/>
      <c r="BZ108" s="12" t="n"/>
      <c r="CA108" s="12" t="n"/>
      <c r="CB108" s="12" t="n"/>
      <c r="CC108" s="12" t="n"/>
      <c r="CD108" s="12" t="n"/>
      <c r="CE108" s="12" t="n"/>
      <c r="CF108" s="12" t="n"/>
      <c r="CG108" s="12" t="n"/>
      <c r="CH108" s="12" t="n"/>
      <c r="CI108" s="12" t="n"/>
      <c r="CJ108" s="12" t="n"/>
      <c r="CK108" s="12" t="n"/>
      <c r="CL108" s="12" t="n"/>
      <c r="CM108" s="12" t="n"/>
      <c r="CN108" s="12" t="n"/>
      <c r="CO108" s="12" t="n"/>
      <c r="CP108" s="12" t="n"/>
      <c r="CQ108" s="12" t="n"/>
      <c r="CR108" s="12" t="n"/>
      <c r="CS108" s="12" t="n"/>
      <c r="CT108" s="12" t="n"/>
      <c r="CU108" s="12" t="n"/>
      <c r="CV108" s="12" t="n"/>
      <c r="CW108" s="12" t="n"/>
      <c r="CX108" s="12" t="n"/>
      <c r="CY108" s="12" t="n"/>
    </row>
    <row r="109" hidden="1" outlineLevel="1">
      <c r="C109" s="57" t="inlineStr">
        <is>
          <t>CHECK [EX IFRS-16]</t>
        </is>
      </c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  <c r="AJ109" s="12" t="n"/>
      <c r="AK109" s="12" t="n"/>
      <c r="AL109" s="12" t="n"/>
      <c r="AM109" s="12" t="n"/>
      <c r="AN109" s="12" t="n"/>
      <c r="AO109" s="12" t="n"/>
      <c r="AP109" s="12" t="n"/>
      <c r="AQ109" s="12" t="n"/>
      <c r="AR109" s="12" t="n"/>
      <c r="AS109" s="12" t="n"/>
      <c r="AT109" s="12" t="n"/>
      <c r="AU109" s="12" t="n"/>
      <c r="AV109" s="12" t="n"/>
      <c r="AW109" s="12" t="n"/>
      <c r="AX109" s="12" t="n"/>
      <c r="AY109" s="12" t="n"/>
      <c r="AZ109" s="12" t="n"/>
      <c r="BA109" s="12" t="n"/>
      <c r="BB109" s="12" t="n"/>
      <c r="BC109" s="12" t="n"/>
      <c r="BD109" s="12" t="n"/>
      <c r="BE109" s="12" t="n"/>
      <c r="BF109" s="12" t="n"/>
      <c r="BG109" s="12" t="n"/>
      <c r="BH109" s="12" t="n"/>
      <c r="BI109" s="12" t="n"/>
      <c r="BJ109" s="12" t="n"/>
      <c r="BK109" s="12" t="n"/>
      <c r="BL109" s="12" t="n"/>
      <c r="BM109" s="12" t="n"/>
      <c r="BN109" s="12" t="n"/>
      <c r="BO109" s="12" t="n"/>
      <c r="BP109" s="12" t="n"/>
      <c r="BQ109" s="12" t="n"/>
      <c r="BR109" s="12" t="n"/>
      <c r="BS109" s="12" t="n"/>
      <c r="BT109" s="12" t="n"/>
      <c r="BU109" s="12" t="n"/>
      <c r="BV109" s="12" t="n"/>
      <c r="BW109" s="12" t="n"/>
      <c r="BX109" s="12" t="n"/>
      <c r="BY109" s="12" t="n"/>
      <c r="BZ109" s="12" t="n"/>
      <c r="CA109" s="12" t="n"/>
      <c r="CB109" s="12" t="n"/>
      <c r="CC109" s="12" t="n"/>
      <c r="CD109" s="12" t="n"/>
      <c r="CE109" s="12" t="n"/>
      <c r="CF109" s="12" t="n"/>
      <c r="CG109" s="12" t="n"/>
      <c r="CH109" s="12" t="n"/>
      <c r="CI109" s="12" t="n"/>
      <c r="CJ109" s="12" t="n"/>
      <c r="CK109" s="12" t="n"/>
      <c r="CL109" s="12" t="n"/>
      <c r="CM109" s="12" t="n"/>
      <c r="CN109" s="12" t="n"/>
      <c r="CO109" s="12" t="n"/>
      <c r="CP109" s="12" t="n"/>
      <c r="CQ109" s="12" t="n"/>
      <c r="CR109" s="12" t="n"/>
      <c r="CS109" s="12" t="n"/>
      <c r="CT109" s="12" t="n"/>
      <c r="CU109" s="12" t="n"/>
      <c r="CV109" s="12" t="n"/>
      <c r="CW109" s="12" t="n"/>
      <c r="CX109" s="12" t="n"/>
      <c r="CY109" s="12" t="n"/>
    </row>
    <row r="110" hidden="1" outlineLevel="1">
      <c r="C110" s="57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  <c r="AJ110" s="12" t="n"/>
      <c r="AK110" s="12" t="n"/>
      <c r="AL110" s="12" t="n"/>
      <c r="AM110" s="12" t="n"/>
      <c r="AN110" s="12" t="n"/>
      <c r="AO110" s="12" t="n"/>
      <c r="AP110" s="12" t="n"/>
      <c r="AQ110" s="12" t="n"/>
      <c r="AR110" s="12" t="n"/>
      <c r="AS110" s="12" t="n"/>
      <c r="AT110" s="12" t="n"/>
      <c r="AU110" s="12" t="n"/>
      <c r="AV110" s="12" t="n"/>
      <c r="AW110" s="12" t="n"/>
      <c r="AX110" s="12" t="n"/>
      <c r="AY110" s="12" t="n"/>
      <c r="AZ110" s="12" t="n"/>
      <c r="BA110" s="12" t="n"/>
      <c r="BB110" s="12" t="n"/>
      <c r="BC110" s="12" t="n"/>
      <c r="BD110" s="12" t="n"/>
      <c r="BE110" s="12" t="n"/>
      <c r="BF110" s="12" t="n"/>
      <c r="BG110" s="12" t="n"/>
      <c r="BH110" s="12" t="n"/>
      <c r="BI110" s="12" t="n"/>
      <c r="BJ110" s="12" t="n"/>
      <c r="BK110" s="12" t="n"/>
      <c r="BL110" s="12" t="n"/>
      <c r="BM110" s="12" t="n"/>
      <c r="BN110" s="12" t="n"/>
      <c r="BO110" s="12" t="n"/>
      <c r="BP110" s="12" t="n"/>
      <c r="BQ110" s="12" t="n"/>
      <c r="BR110" s="12" t="n"/>
      <c r="BS110" s="12" t="n"/>
      <c r="BT110" s="12" t="n"/>
      <c r="BU110" s="12" t="n"/>
      <c r="BV110" s="12" t="n"/>
      <c r="BW110" s="12" t="n"/>
      <c r="BX110" s="12" t="n"/>
      <c r="BY110" s="12" t="n"/>
      <c r="BZ110" s="12" t="n"/>
      <c r="CA110" s="12" t="n"/>
      <c r="CB110" s="12" t="n"/>
      <c r="CC110" s="12" t="n"/>
      <c r="CD110" s="12" t="n"/>
      <c r="CE110" s="12" t="n"/>
      <c r="CF110" s="12" t="n"/>
      <c r="CG110" s="12" t="n"/>
      <c r="CH110" s="12" t="n"/>
      <c r="CI110" s="12" t="n"/>
      <c r="CJ110" s="12" t="n"/>
      <c r="CK110" s="12" t="n"/>
      <c r="CL110" s="12" t="n"/>
      <c r="CM110" s="12" t="n"/>
      <c r="CN110" s="12" t="n"/>
      <c r="CO110" s="12" t="n"/>
      <c r="CP110" s="12" t="n"/>
      <c r="CQ110" s="12" t="n"/>
      <c r="CR110" s="12" t="n"/>
      <c r="CS110" s="12" t="n"/>
      <c r="CT110" s="12" t="n"/>
      <c r="CU110" s="12" t="n"/>
      <c r="CV110" s="12" t="n"/>
      <c r="CW110" s="12" t="n"/>
      <c r="CX110" s="12" t="n"/>
      <c r="CY110" s="12" t="n"/>
    </row>
    <row r="111" collapsed="1">
      <c r="C111" s="14" t="inlineStr">
        <is>
          <t>Nonoperating Income / (Loss)</t>
        </is>
      </c>
      <c r="D111" s="46" t="n"/>
      <c r="E111" s="46" t="n"/>
      <c r="F111" s="46" t="n"/>
      <c r="G111" s="46" t="n"/>
      <c r="H111" s="12" t="n"/>
      <c r="I111" s="46">
        <f>'Inputs (2)'!D9</f>
        <v>163</v>
      </c>
      <c r="J111" s="46">
        <f>'Inputs (2)'!E9</f>
        <v>504</v>
      </c>
      <c r="K111" s="46">
        <f>'Inputs (2)'!F9</f>
        <v>-119</v>
      </c>
      <c r="L111" s="46">
        <f>'Inputs (2)'!G9</f>
        <v>230</v>
      </c>
      <c r="M111" s="12">
        <f>'Inputs (2)'!H9</f>
        <v>778</v>
      </c>
      <c r="N111" s="46">
        <f>'Inputs (2)'!I9</f>
        <v>-319</v>
      </c>
      <c r="O111" s="46">
        <f>'Inputs (2)'!J9</f>
        <v>-654</v>
      </c>
      <c r="P111" s="46">
        <f>'Inputs (2)'!K9</f>
        <v>-196</v>
      </c>
      <c r="Q111" s="46">
        <f>'Inputs (2)'!L9</f>
        <v>383</v>
      </c>
      <c r="R111" s="12">
        <f>'Inputs (2)'!M9</f>
        <v>-786</v>
      </c>
      <c r="S111" s="46">
        <f>'Inputs (2)'!N9</f>
        <v>314</v>
      </c>
      <c r="T111" s="46">
        <f>'Inputs (2)'!O9</f>
        <v>605</v>
      </c>
      <c r="U111" s="46">
        <f>'Inputs (2)'!P9</f>
        <v>0</v>
      </c>
      <c r="V111" s="46">
        <f>'Inputs (2)'!Q9</f>
        <v>349</v>
      </c>
      <c r="W111" s="12">
        <f>'Inputs (2)'!R9</f>
        <v>1268</v>
      </c>
      <c r="X111" s="46">
        <f>'Inputs (2)'!S9</f>
        <v>362</v>
      </c>
      <c r="Y111" s="46">
        <f>'Inputs (2)'!T9</f>
        <v>6</v>
      </c>
      <c r="Z111" s="46">
        <f>'Inputs (2)'!U9</f>
        <v>325</v>
      </c>
      <c r="AA111" s="46">
        <f>'Inputs (2)'!V9</f>
        <v>-23</v>
      </c>
      <c r="AB111" s="12">
        <f>'Inputs (2)'!W9</f>
        <v>670</v>
      </c>
      <c r="AC111" s="46">
        <f>'Inputs (2)'!X9</f>
        <v>-154</v>
      </c>
      <c r="AD111" s="46">
        <f>'Inputs (2)'!Y9</f>
        <v>440</v>
      </c>
      <c r="AE111" s="46">
        <f>'Inputs (2)'!Z9</f>
        <v>443</v>
      </c>
      <c r="AF111" s="46">
        <f>'Inputs (2)'!AA9</f>
        <v>207</v>
      </c>
      <c r="AG111" s="12">
        <f>'Inputs (2)'!AB9</f>
        <v>936</v>
      </c>
      <c r="AH111" s="12">
        <f>'Inputs (2)'!AC9</f>
        <v>46</v>
      </c>
      <c r="AI111" s="12">
        <f>'Inputs (2)'!AD9</f>
        <v>603</v>
      </c>
      <c r="AJ111" s="12">
        <f>AJ15*Control!$B$23</f>
        <v>283.616483127055</v>
      </c>
      <c r="AK111" s="12">
        <f>AK15*Control!$B$23</f>
        <v>262.204949545469</v>
      </c>
      <c r="AL111" s="12">
        <f>SUM(AH111:AK111)</f>
        <v>1194.82143267252</v>
      </c>
      <c r="AM111" s="12">
        <f>AM15*Control!$C$23</f>
        <v>480.119105835481</v>
      </c>
      <c r="AN111" s="12">
        <f>AN15*Control!$C$23</f>
        <v>323.935782250445</v>
      </c>
      <c r="AO111" s="12">
        <f>AO15*Control!$C$23</f>
        <v>341.104562778956</v>
      </c>
      <c r="AP111" s="12">
        <f>AP15*Control!$C$23</f>
        <v>315.352985436739</v>
      </c>
      <c r="AQ111" s="12">
        <f>SUM(AM111:AP111)</f>
        <v>1460.51243630162</v>
      </c>
      <c r="AR111" s="12">
        <f>AR15*Control!$D$23</f>
        <v>575.036991567862</v>
      </c>
      <c r="AS111" s="12">
        <f>AS15*Control!$D$23</f>
        <v>387.976765395184</v>
      </c>
      <c r="AT111" s="12">
        <f>AT15*Control!$D$23</f>
        <v>408.539754420218</v>
      </c>
      <c r="AU111" s="12">
        <f>AU15*Control!$D$23</f>
        <v>377.697179352877</v>
      </c>
      <c r="AV111" s="12">
        <f>SUM(AR111:AU111)</f>
        <v>1749.25069073614</v>
      </c>
      <c r="AW111" s="12">
        <f>AW15*Control!$E$23</f>
        <v>685.844629880617</v>
      </c>
      <c r="AX111" s="12">
        <f>AX15*Control!$E$23</f>
        <v>462.738545461621</v>
      </c>
      <c r="AY111" s="12">
        <f>AY15*Control!$E$23</f>
        <v>487.263951311879</v>
      </c>
      <c r="AZ111" s="12">
        <f>AZ15*Control!$E$23</f>
        <v>450.478118762307</v>
      </c>
      <c r="BA111" s="12">
        <f>SUM(AW111:AZ111)</f>
        <v>2086.32524541642</v>
      </c>
      <c r="BB111" s="12">
        <f>BB15*Control!$F$23</f>
        <v>814.575293487973</v>
      </c>
      <c r="BC111" s="12">
        <f>BC15*Control!$F$23</f>
        <v>549.592969100319</v>
      </c>
      <c r="BD111" s="12">
        <f>BD15*Control!$F$23</f>
        <v>578.721708756505</v>
      </c>
      <c r="BE111" s="12">
        <f>BE15*Control!$F$23</f>
        <v>535.03130273775</v>
      </c>
      <c r="BF111" s="12">
        <f>SUM(BB111:BE111)</f>
        <v>2477.92127408255</v>
      </c>
      <c r="BG111" s="12" t="n"/>
      <c r="BH111" s="12" t="n"/>
      <c r="BI111" s="12" t="n"/>
      <c r="BJ111" s="12" t="n"/>
      <c r="BK111" s="12" t="n"/>
      <c r="BL111" s="12" t="n"/>
      <c r="BM111" s="12" t="n"/>
      <c r="BN111" s="12" t="n"/>
      <c r="BO111" s="12" t="n"/>
      <c r="BP111" s="12" t="n"/>
      <c r="BQ111" s="12" t="n"/>
      <c r="BR111" s="12" t="n"/>
      <c r="BS111" s="12" t="n"/>
      <c r="BT111" s="12" t="n"/>
      <c r="BU111" s="12" t="n"/>
      <c r="BV111" s="12" t="n"/>
      <c r="BW111" s="12" t="n"/>
      <c r="BX111" s="12" t="n"/>
      <c r="BY111" s="12" t="n"/>
      <c r="BZ111" s="12" t="n"/>
      <c r="CA111" s="12" t="n"/>
      <c r="CB111" s="12" t="n"/>
      <c r="CC111" s="12" t="n"/>
      <c r="CD111" s="12" t="n"/>
      <c r="CE111" s="12" t="n"/>
      <c r="CF111" s="12" t="n"/>
      <c r="CG111" s="12" t="n"/>
      <c r="CH111" s="12" t="n"/>
      <c r="CI111" s="12" t="n"/>
      <c r="CJ111" s="12" t="n"/>
      <c r="CK111" s="12" t="n"/>
      <c r="CL111" s="12" t="n"/>
      <c r="CM111" s="12" t="n"/>
      <c r="CN111" s="12" t="n"/>
      <c r="CO111" s="12" t="n"/>
      <c r="CP111" s="12" t="n"/>
      <c r="CQ111" s="12" t="n"/>
      <c r="CR111" s="12" t="n"/>
      <c r="CS111" s="12" t="n"/>
      <c r="CT111" s="12" t="n"/>
      <c r="CU111" s="12" t="n"/>
      <c r="CV111" s="12" t="n"/>
      <c r="CW111" s="12" t="n"/>
      <c r="CX111" s="12" t="n"/>
      <c r="CY111" s="12" t="n"/>
    </row>
    <row r="112" hidden="1" outlineLevel="1">
      <c r="C112" s="57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  <c r="AH112" s="12" t="n"/>
      <c r="AI112" s="12" t="n"/>
      <c r="AJ112" s="12" t="n"/>
      <c r="AK112" s="12" t="n"/>
      <c r="AL112" s="12" t="n"/>
      <c r="AM112" s="12" t="n"/>
      <c r="AN112" s="12" t="n"/>
      <c r="AO112" s="12" t="n"/>
      <c r="AP112" s="12" t="n"/>
      <c r="AQ112" s="12" t="n"/>
      <c r="AR112" s="12" t="n"/>
      <c r="AS112" s="12" t="n"/>
      <c r="AT112" s="12" t="n"/>
      <c r="AU112" s="12" t="n"/>
      <c r="AV112" s="12" t="n"/>
      <c r="AW112" s="12" t="n"/>
      <c r="AX112" s="12" t="n"/>
      <c r="AY112" s="12" t="n"/>
      <c r="AZ112" s="12" t="n"/>
      <c r="BA112" s="12" t="n"/>
      <c r="BB112" s="12" t="n"/>
      <c r="BC112" s="12" t="n"/>
      <c r="BD112" s="12" t="n"/>
      <c r="BE112" s="12" t="n"/>
      <c r="BF112" s="12" t="n"/>
      <c r="BG112" s="12" t="n"/>
      <c r="BH112" s="12" t="n"/>
      <c r="BI112" s="12" t="n"/>
      <c r="BJ112" s="12" t="n"/>
      <c r="BK112" s="12" t="n"/>
      <c r="BL112" s="12" t="n"/>
      <c r="BM112" s="12" t="n"/>
      <c r="BN112" s="12" t="n"/>
      <c r="BO112" s="12" t="n"/>
      <c r="BP112" s="12" t="n"/>
      <c r="BQ112" s="12" t="n"/>
      <c r="BR112" s="12" t="n"/>
      <c r="BS112" s="12" t="n"/>
      <c r="BT112" s="12" t="n"/>
      <c r="BU112" s="12" t="n"/>
      <c r="BV112" s="12" t="n"/>
      <c r="BW112" s="12" t="n"/>
      <c r="BX112" s="12" t="n"/>
      <c r="BY112" s="12" t="n"/>
      <c r="BZ112" s="12" t="n"/>
      <c r="CA112" s="12" t="n"/>
      <c r="CB112" s="12" t="n"/>
      <c r="CC112" s="12" t="n"/>
      <c r="CD112" s="12" t="n"/>
      <c r="CE112" s="12" t="n"/>
      <c r="CF112" s="12" t="n"/>
      <c r="CG112" s="12" t="n"/>
      <c r="CH112" s="12" t="n"/>
      <c r="CI112" s="12" t="n"/>
      <c r="CJ112" s="12" t="n"/>
      <c r="CK112" s="12" t="n"/>
      <c r="CL112" s="12" t="n"/>
      <c r="CM112" s="12" t="n"/>
      <c r="CN112" s="12" t="n"/>
      <c r="CO112" s="12" t="n"/>
      <c r="CP112" s="12" t="n"/>
      <c r="CQ112" s="12" t="n"/>
      <c r="CR112" s="12" t="n"/>
      <c r="CS112" s="12" t="n"/>
      <c r="CT112" s="12" t="n"/>
      <c r="CU112" s="12" t="n"/>
      <c r="CV112" s="12" t="n"/>
      <c r="CW112" s="12" t="n"/>
      <c r="CX112" s="12" t="n"/>
      <c r="CY112" s="12" t="n"/>
    </row>
    <row r="113" hidden="1" outlineLevel="1">
      <c r="C113" s="50" t="inlineStr">
        <is>
          <t>Resultado Não Recorrente</t>
        </is>
      </c>
      <c r="D113" s="11" t="n"/>
      <c r="E113" s="11" t="n"/>
      <c r="F113" s="11" t="n"/>
      <c r="G113" s="11" t="n"/>
      <c r="H113" s="12" t="n"/>
      <c r="I113" s="11" t="n"/>
      <c r="J113" s="11" t="n"/>
      <c r="K113" s="11" t="n"/>
      <c r="L113" s="11" t="n"/>
      <c r="M113" s="12" t="n"/>
      <c r="N113" s="11" t="n"/>
      <c r="O113" s="11" t="n"/>
      <c r="P113" s="11" t="n"/>
      <c r="Q113" s="11" t="n"/>
      <c r="R113" s="12" t="n"/>
      <c r="S113" s="11" t="n"/>
      <c r="T113" s="11" t="n"/>
      <c r="U113" s="11" t="n"/>
      <c r="V113" s="11" t="n"/>
      <c r="W113" s="12" t="n"/>
      <c r="X113" s="11" t="n"/>
      <c r="Y113" s="11" t="n"/>
      <c r="Z113" s="11" t="n"/>
      <c r="AA113" s="11" t="n"/>
      <c r="AB113" s="12" t="n"/>
      <c r="AC113" s="11" t="n"/>
      <c r="AD113" s="11" t="n"/>
      <c r="AE113" s="11" t="n"/>
      <c r="AF113" s="11" t="n"/>
      <c r="AG113" s="12" t="n"/>
      <c r="AH113" s="12" t="n"/>
      <c r="AI113" s="12" t="n"/>
      <c r="AJ113" s="12" t="n"/>
      <c r="AK113" s="12" t="n"/>
      <c r="AL113" s="12" t="n"/>
      <c r="AM113" s="12" t="n"/>
      <c r="AN113" s="12" t="n"/>
      <c r="AO113" s="12" t="n"/>
      <c r="AP113" s="12" t="n"/>
      <c r="AQ113" s="12" t="n"/>
      <c r="AR113" s="12" t="n"/>
      <c r="AS113" s="12" t="n"/>
      <c r="AT113" s="12" t="n"/>
      <c r="AU113" s="12" t="n"/>
      <c r="AV113" s="12" t="n"/>
      <c r="AW113" s="12" t="n"/>
      <c r="AX113" s="12" t="n"/>
      <c r="AY113" s="12" t="n"/>
      <c r="AZ113" s="12" t="n"/>
      <c r="BA113" s="12" t="n"/>
      <c r="BB113" s="12" t="n"/>
      <c r="BC113" s="12" t="n"/>
      <c r="BD113" s="12" t="n"/>
      <c r="BE113" s="12" t="n"/>
      <c r="BF113" s="12" t="n"/>
      <c r="BG113" s="12" t="n"/>
      <c r="BH113" s="12" t="n"/>
      <c r="BI113" s="12" t="n"/>
      <c r="BJ113" s="12" t="n"/>
      <c r="BK113" s="12" t="n"/>
      <c r="BL113" s="12" t="n"/>
      <c r="BM113" s="12" t="n"/>
      <c r="BN113" s="12" t="n"/>
      <c r="BO113" s="12" t="n"/>
      <c r="BP113" s="12" t="n"/>
      <c r="BQ113" s="12" t="n"/>
      <c r="BR113" s="12" t="n"/>
      <c r="BS113" s="12" t="n"/>
      <c r="BT113" s="12" t="n"/>
      <c r="BU113" s="12" t="n"/>
      <c r="BV113" s="12" t="n"/>
      <c r="BW113" s="12" t="n"/>
      <c r="BX113" s="12" t="n"/>
      <c r="BY113" s="12" t="n"/>
      <c r="BZ113" s="12" t="n"/>
      <c r="CA113" s="12" t="n"/>
      <c r="CB113" s="12" t="n"/>
      <c r="CC113" s="12" t="n"/>
      <c r="CD113" s="12" t="n"/>
      <c r="CE113" s="12" t="n"/>
      <c r="CF113" s="12" t="n"/>
      <c r="CG113" s="12" t="n"/>
      <c r="CH113" s="12" t="n"/>
      <c r="CI113" s="12" t="n"/>
      <c r="CJ113" s="12" t="n"/>
      <c r="CK113" s="12" t="n"/>
      <c r="CL113" s="12" t="n"/>
      <c r="CM113" s="12" t="n"/>
      <c r="CN113" s="12" t="n"/>
      <c r="CO113" s="12" t="n"/>
      <c r="CP113" s="12" t="n"/>
      <c r="CQ113" s="12" t="n"/>
      <c r="CR113" s="12" t="n"/>
      <c r="CS113" s="12" t="n"/>
      <c r="CT113" s="12" t="n"/>
      <c r="CU113" s="12" t="n"/>
      <c r="CV113" s="12" t="n"/>
      <c r="CW113" s="12" t="n"/>
      <c r="CX113" s="12" t="n"/>
      <c r="CY113" s="12" t="n"/>
    </row>
    <row r="114" hidden="1" outlineLevel="1">
      <c r="C114" s="50" t="inlineStr">
        <is>
          <t>Plano de Opção de Compra de Ações</t>
        </is>
      </c>
      <c r="D114" s="11" t="n"/>
      <c r="E114" s="11" t="n"/>
      <c r="F114" s="11" t="n"/>
      <c r="G114" s="11" t="n"/>
      <c r="H114" s="12" t="n"/>
      <c r="I114" s="11" t="n"/>
      <c r="J114" s="11" t="n"/>
      <c r="K114" s="11" t="n"/>
      <c r="L114" s="11" t="n"/>
      <c r="M114" s="12" t="n"/>
      <c r="N114" s="11" t="n"/>
      <c r="O114" s="11" t="n"/>
      <c r="P114" s="11" t="n"/>
      <c r="Q114" s="11" t="n"/>
      <c r="R114" s="12" t="n"/>
      <c r="S114" s="11" t="n"/>
      <c r="T114" s="11" t="n"/>
      <c r="U114" s="11" t="n"/>
      <c r="V114" s="11" t="n"/>
      <c r="W114" s="12" t="n"/>
      <c r="X114" s="11" t="n"/>
      <c r="Y114" s="11" t="n"/>
      <c r="Z114" s="11" t="n"/>
      <c r="AA114" s="11" t="n"/>
      <c r="AB114" s="12" t="n"/>
      <c r="AC114" s="11" t="n"/>
      <c r="AD114" s="11" t="n"/>
      <c r="AE114" s="11" t="n"/>
      <c r="AF114" s="11" t="n"/>
      <c r="AG114" s="12" t="n"/>
      <c r="AH114" s="12" t="n"/>
      <c r="AI114" s="12" t="n"/>
      <c r="AJ114" s="12" t="n"/>
      <c r="AK114" s="12" t="n"/>
      <c r="AL114" s="12" t="n"/>
      <c r="AM114" s="12" t="n"/>
      <c r="AN114" s="12" t="n"/>
      <c r="AO114" s="12" t="n"/>
      <c r="AP114" s="12" t="n"/>
      <c r="AQ114" s="12" t="n"/>
      <c r="AR114" s="12" t="n"/>
      <c r="AS114" s="12" t="n"/>
      <c r="AT114" s="12" t="n"/>
      <c r="AU114" s="12" t="n"/>
      <c r="AV114" s="12" t="n"/>
      <c r="AW114" s="12" t="n"/>
      <c r="AX114" s="12" t="n"/>
      <c r="AY114" s="12" t="n"/>
      <c r="AZ114" s="12" t="n"/>
      <c r="BA114" s="12" t="n"/>
      <c r="BB114" s="12" t="n"/>
      <c r="BC114" s="12" t="n"/>
      <c r="BD114" s="12" t="n"/>
      <c r="BE114" s="12" t="n"/>
      <c r="BF114" s="12" t="n"/>
      <c r="BG114" s="12" t="n"/>
      <c r="BH114" s="12" t="n"/>
      <c r="BI114" s="12" t="n"/>
      <c r="BJ114" s="12" t="n"/>
      <c r="BK114" s="12" t="n"/>
      <c r="BL114" s="12" t="n"/>
      <c r="BM114" s="12" t="n"/>
      <c r="BN114" s="12" t="n"/>
      <c r="BO114" s="12" t="n"/>
      <c r="BP114" s="12" t="n"/>
      <c r="BQ114" s="12" t="n"/>
      <c r="BR114" s="12" t="n"/>
      <c r="BS114" s="12" t="n"/>
      <c r="BT114" s="12" t="n"/>
      <c r="BU114" s="12" t="n"/>
      <c r="BV114" s="12" t="n"/>
      <c r="BW114" s="12" t="n"/>
      <c r="BX114" s="12" t="n"/>
      <c r="BY114" s="12" t="n"/>
      <c r="BZ114" s="12" t="n"/>
      <c r="CA114" s="12" t="n"/>
      <c r="CB114" s="12" t="n"/>
      <c r="CC114" s="12" t="n"/>
      <c r="CD114" s="12" t="n"/>
      <c r="CE114" s="12" t="n"/>
      <c r="CF114" s="12" t="n"/>
      <c r="CG114" s="12" t="n"/>
      <c r="CH114" s="12" t="n"/>
      <c r="CI114" s="12" t="n"/>
      <c r="CJ114" s="12" t="n"/>
      <c r="CK114" s="12" t="n"/>
      <c r="CL114" s="12" t="n"/>
      <c r="CM114" s="12" t="n"/>
      <c r="CN114" s="12" t="n"/>
      <c r="CO114" s="12" t="n"/>
      <c r="CP114" s="12" t="n"/>
      <c r="CQ114" s="12" t="n"/>
      <c r="CR114" s="12" t="n"/>
      <c r="CS114" s="12" t="n"/>
      <c r="CT114" s="12" t="n"/>
      <c r="CU114" s="12" t="n"/>
      <c r="CV114" s="12" t="n"/>
      <c r="CW114" s="12" t="n"/>
      <c r="CX114" s="12" t="n"/>
      <c r="CY114" s="12" t="n"/>
    </row>
    <row r="115" hidden="1" outlineLevel="1">
      <c r="C115" s="50" t="inlineStr">
        <is>
          <t>Baixa Imobilizado</t>
        </is>
      </c>
      <c r="D115" s="11" t="n"/>
      <c r="E115" s="11" t="n"/>
      <c r="F115" s="11" t="n"/>
      <c r="G115" s="11" t="n"/>
      <c r="H115" s="12" t="n"/>
      <c r="I115" s="11" t="n"/>
      <c r="J115" s="11" t="n"/>
      <c r="K115" s="11" t="n"/>
      <c r="L115" s="11" t="n"/>
      <c r="M115" s="12" t="n"/>
      <c r="N115" s="11" t="n"/>
      <c r="O115" s="11" t="n"/>
      <c r="P115" s="11" t="n"/>
      <c r="Q115" s="11" t="n"/>
      <c r="R115" s="12" t="n"/>
      <c r="S115" s="11" t="n"/>
      <c r="T115" s="11" t="n"/>
      <c r="U115" s="11" t="n"/>
      <c r="V115" s="11" t="n"/>
      <c r="W115" s="12" t="n"/>
      <c r="X115" s="11" t="n"/>
      <c r="Y115" s="11" t="n"/>
      <c r="Z115" s="11" t="n"/>
      <c r="AA115" s="11" t="n"/>
      <c r="AB115" s="12" t="n"/>
      <c r="AC115" s="11" t="n"/>
      <c r="AD115" s="11" t="n"/>
      <c r="AE115" s="11" t="n"/>
      <c r="AF115" s="11" t="n"/>
      <c r="AG115" s="12" t="n"/>
      <c r="AH115" s="12" t="n"/>
      <c r="AI115" s="12" t="n"/>
      <c r="AJ115" s="12" t="n"/>
      <c r="AK115" s="12" t="n"/>
      <c r="AL115" s="12" t="n"/>
      <c r="AM115" s="12" t="n"/>
      <c r="AN115" s="12" t="n"/>
      <c r="AO115" s="12" t="n"/>
      <c r="AP115" s="12" t="n"/>
      <c r="AQ115" s="12" t="n"/>
      <c r="AR115" s="12" t="n"/>
      <c r="AS115" s="12" t="n"/>
      <c r="AT115" s="12" t="n"/>
      <c r="AU115" s="12" t="n"/>
      <c r="AV115" s="12" t="n"/>
      <c r="AW115" s="12" t="n"/>
      <c r="AX115" s="12" t="n"/>
      <c r="AY115" s="12" t="n"/>
      <c r="AZ115" s="12" t="n"/>
      <c r="BA115" s="12" t="n"/>
      <c r="BB115" s="12" t="n"/>
      <c r="BC115" s="12" t="n"/>
      <c r="BD115" s="12" t="n"/>
      <c r="BE115" s="12" t="n"/>
      <c r="BF115" s="12" t="n"/>
      <c r="BG115" s="12" t="n"/>
      <c r="BH115" s="12" t="n"/>
      <c r="BI115" s="12" t="n"/>
      <c r="BJ115" s="12" t="n"/>
      <c r="BK115" s="12" t="n"/>
      <c r="BL115" s="12" t="n"/>
      <c r="BM115" s="12" t="n"/>
      <c r="BN115" s="12" t="n"/>
      <c r="BO115" s="12" t="n"/>
      <c r="BP115" s="12" t="n"/>
      <c r="BQ115" s="12" t="n"/>
      <c r="BR115" s="12" t="n"/>
      <c r="BS115" s="12" t="n"/>
      <c r="BT115" s="12" t="n"/>
      <c r="BU115" s="12" t="n"/>
      <c r="BV115" s="12" t="n"/>
      <c r="BW115" s="12" t="n"/>
      <c r="BX115" s="12" t="n"/>
      <c r="BY115" s="12" t="n"/>
      <c r="BZ115" s="12" t="n"/>
      <c r="CA115" s="12" t="n"/>
      <c r="CB115" s="12" t="n"/>
      <c r="CC115" s="12" t="n"/>
      <c r="CD115" s="12" t="n"/>
      <c r="CE115" s="12" t="n"/>
      <c r="CF115" s="12" t="n"/>
      <c r="CG115" s="12" t="n"/>
      <c r="CH115" s="12" t="n"/>
      <c r="CI115" s="12" t="n"/>
      <c r="CJ115" s="12" t="n"/>
      <c r="CK115" s="12" t="n"/>
      <c r="CL115" s="12" t="n"/>
      <c r="CM115" s="12" t="n"/>
      <c r="CN115" s="12" t="n"/>
      <c r="CO115" s="12" t="n"/>
      <c r="CP115" s="12" t="n"/>
      <c r="CQ115" s="12" t="n"/>
      <c r="CR115" s="12" t="n"/>
      <c r="CS115" s="12" t="n"/>
      <c r="CT115" s="12" t="n"/>
      <c r="CU115" s="12" t="n"/>
      <c r="CV115" s="12" t="n"/>
      <c r="CW115" s="12" t="n"/>
      <c r="CX115" s="12" t="n"/>
      <c r="CY115" s="12" t="n"/>
    </row>
    <row r="116" hidden="1" outlineLevel="1">
      <c r="C116" s="57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2" t="n"/>
      <c r="AH116" s="12" t="n"/>
      <c r="AI116" s="12" t="n"/>
      <c r="AJ116" s="12" t="n"/>
      <c r="AK116" s="12" t="n"/>
      <c r="AL116" s="12" t="n"/>
      <c r="AM116" s="12" t="n"/>
      <c r="AN116" s="12" t="n"/>
      <c r="AO116" s="12" t="n"/>
      <c r="AP116" s="12" t="n"/>
      <c r="AQ116" s="12" t="n"/>
      <c r="AR116" s="12" t="n"/>
      <c r="AS116" s="12" t="n"/>
      <c r="AT116" s="12" t="n"/>
      <c r="AU116" s="12" t="n"/>
      <c r="AV116" s="12" t="n"/>
      <c r="AW116" s="12" t="n"/>
      <c r="AX116" s="12" t="n"/>
      <c r="AY116" s="12" t="n"/>
      <c r="AZ116" s="12" t="n"/>
      <c r="BA116" s="12" t="n"/>
      <c r="BB116" s="12" t="n"/>
      <c r="BC116" s="12" t="n"/>
      <c r="BD116" s="12" t="n"/>
      <c r="BE116" s="12" t="n"/>
      <c r="BF116" s="12" t="n"/>
      <c r="BG116" s="12" t="n"/>
      <c r="BH116" s="12" t="n"/>
      <c r="BI116" s="12" t="n"/>
      <c r="BJ116" s="12" t="n"/>
      <c r="BK116" s="12" t="n"/>
      <c r="BL116" s="12" t="n"/>
      <c r="BM116" s="12" t="n"/>
      <c r="BN116" s="12" t="n"/>
      <c r="BO116" s="12" t="n"/>
      <c r="BP116" s="12" t="n"/>
      <c r="BQ116" s="12" t="n"/>
      <c r="BR116" s="12" t="n"/>
      <c r="BS116" s="12" t="n"/>
      <c r="BT116" s="12" t="n"/>
      <c r="BU116" s="12" t="n"/>
      <c r="BV116" s="12" t="n"/>
      <c r="BW116" s="12" t="n"/>
      <c r="BX116" s="12" t="n"/>
      <c r="BY116" s="12" t="n"/>
      <c r="BZ116" s="12" t="n"/>
      <c r="CA116" s="12" t="n"/>
      <c r="CB116" s="12" t="n"/>
      <c r="CC116" s="12" t="n"/>
      <c r="CD116" s="12" t="n"/>
      <c r="CE116" s="12" t="n"/>
      <c r="CF116" s="12" t="n"/>
      <c r="CG116" s="12" t="n"/>
      <c r="CH116" s="12" t="n"/>
      <c r="CI116" s="12" t="n"/>
      <c r="CJ116" s="12" t="n"/>
      <c r="CK116" s="12" t="n"/>
      <c r="CL116" s="12" t="n"/>
      <c r="CM116" s="12" t="n"/>
      <c r="CN116" s="12" t="n"/>
      <c r="CO116" s="12" t="n"/>
      <c r="CP116" s="12" t="n"/>
      <c r="CQ116" s="12" t="n"/>
      <c r="CR116" s="12" t="n"/>
      <c r="CS116" s="12" t="n"/>
      <c r="CT116" s="12" t="n"/>
      <c r="CU116" s="12" t="n"/>
      <c r="CV116" s="12" t="n"/>
      <c r="CW116" s="12" t="n"/>
      <c r="CX116" s="12" t="n"/>
      <c r="CY116" s="12" t="n"/>
    </row>
    <row r="117" hidden="1" outlineLevel="1">
      <c r="C117" s="57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  <c r="AJ117" s="12" t="n"/>
      <c r="AK117" s="12" t="n"/>
      <c r="AL117" s="12" t="n"/>
      <c r="AM117" s="12" t="n"/>
      <c r="AN117" s="12" t="n"/>
      <c r="AO117" s="12" t="n"/>
      <c r="AP117" s="12" t="n"/>
      <c r="AQ117" s="12" t="n"/>
      <c r="AR117" s="12" t="n"/>
      <c r="AS117" s="12" t="n"/>
      <c r="AT117" s="12" t="n"/>
      <c r="AU117" s="12" t="n"/>
      <c r="AV117" s="12" t="n"/>
      <c r="AW117" s="12" t="n"/>
      <c r="AX117" s="12" t="n"/>
      <c r="AY117" s="12" t="n"/>
      <c r="AZ117" s="12" t="n"/>
      <c r="BA117" s="12" t="n"/>
      <c r="BB117" s="12" t="n"/>
      <c r="BC117" s="12" t="n"/>
      <c r="BD117" s="12" t="n"/>
      <c r="BE117" s="12" t="n"/>
      <c r="BF117" s="12" t="n"/>
      <c r="BG117" s="12" t="n"/>
      <c r="BH117" s="12" t="n"/>
      <c r="BI117" s="12" t="n"/>
      <c r="BJ117" s="12" t="n"/>
      <c r="BK117" s="12" t="n"/>
      <c r="BL117" s="12" t="n"/>
      <c r="BM117" s="12" t="n"/>
      <c r="BN117" s="12" t="n"/>
      <c r="BO117" s="12" t="n"/>
      <c r="BP117" s="12" t="n"/>
      <c r="BQ117" s="12" t="n"/>
      <c r="BR117" s="12" t="n"/>
      <c r="BS117" s="12" t="n"/>
      <c r="BT117" s="12" t="n"/>
      <c r="BU117" s="12" t="n"/>
      <c r="BV117" s="12" t="n"/>
      <c r="BW117" s="12" t="n"/>
      <c r="BX117" s="12" t="n"/>
      <c r="BY117" s="12" t="n"/>
      <c r="BZ117" s="12" t="n"/>
      <c r="CA117" s="12" t="n"/>
      <c r="CB117" s="12" t="n"/>
      <c r="CC117" s="12" t="n"/>
      <c r="CD117" s="12" t="n"/>
      <c r="CE117" s="12" t="n"/>
      <c r="CF117" s="12" t="n"/>
      <c r="CG117" s="12" t="n"/>
      <c r="CH117" s="12" t="n"/>
      <c r="CI117" s="12" t="n"/>
      <c r="CJ117" s="12" t="n"/>
      <c r="CK117" s="12" t="n"/>
      <c r="CL117" s="12" t="n"/>
      <c r="CM117" s="12" t="n"/>
      <c r="CN117" s="12" t="n"/>
      <c r="CO117" s="12" t="n"/>
      <c r="CP117" s="12" t="n"/>
      <c r="CQ117" s="12" t="n"/>
      <c r="CR117" s="12" t="n"/>
      <c r="CS117" s="12" t="n"/>
      <c r="CT117" s="12" t="n"/>
      <c r="CU117" s="12" t="n"/>
      <c r="CV117" s="12" t="n"/>
      <c r="CW117" s="12" t="n"/>
      <c r="CX117" s="12" t="n"/>
      <c r="CY117" s="12" t="n"/>
    </row>
    <row r="118" collapsed="1" customFormat="1" s="32">
      <c r="A118" s="30" t="n"/>
      <c r="B118" s="3" t="n"/>
      <c r="C118" s="33" t="inlineStr">
        <is>
          <t>Pretax Income - EBT</t>
        </is>
      </c>
      <c r="D118" s="35" t="n"/>
      <c r="E118" s="35" t="n"/>
      <c r="F118" s="35" t="n"/>
      <c r="G118" s="35" t="n"/>
      <c r="H118" s="35" t="n"/>
      <c r="I118" s="35">
        <f>SUM(I61,I62,I111)</f>
        <v>-947</v>
      </c>
      <c r="J118" s="35">
        <f>SUM(J61,J62,J111)</f>
        <v>124</v>
      </c>
      <c r="K118" s="35">
        <f>SUM(K61,K62,K111)</f>
        <v>814</v>
      </c>
      <c r="L118" s="35">
        <f>SUM(L61,L62,L111)</f>
        <v>160</v>
      </c>
      <c r="M118" s="35">
        <f>SUM(I118:L118)</f>
        <v>151</v>
      </c>
      <c r="N118" s="35">
        <f>SUM(N61,N62,N111)</f>
        <v>61</v>
      </c>
      <c r="O118" s="35">
        <f>SUM(O61,O62,O111)</f>
        <v>-438</v>
      </c>
      <c r="P118" s="35">
        <f>SUM(P61,P62,P111)</f>
        <v>-312</v>
      </c>
      <c r="Q118" s="35">
        <f>SUM(Q61,Q62,Q111)</f>
        <v>147</v>
      </c>
      <c r="R118" s="35">
        <f>SUM(N118:Q118)</f>
        <v>-542</v>
      </c>
      <c r="S118" s="35">
        <f>SUM(S61,S62,S111)</f>
        <v>238</v>
      </c>
      <c r="T118" s="35">
        <f>SUM(T61,T62,T111)</f>
        <v>1171</v>
      </c>
      <c r="U118" s="35">
        <f>SUM(U61,U62,U111)</f>
        <v>895</v>
      </c>
      <c r="V118" s="35">
        <f>SUM(V61,V62,V111)</f>
        <v>143</v>
      </c>
      <c r="W118" s="35">
        <f>SUM(S118:V118)</f>
        <v>2447</v>
      </c>
      <c r="X118" s="35">
        <f>SUM(X61,X62,X111)</f>
        <v>1048</v>
      </c>
      <c r="Y118" s="35">
        <f>SUM(Y61,Y62,Y111)</f>
        <v>964</v>
      </c>
      <c r="Z118" s="35">
        <f>SUM(Z61,Z62,Z111)</f>
        <v>1645</v>
      </c>
      <c r="AA118" s="35">
        <f>SUM(AA61,AA62,AA111)</f>
        <v>859</v>
      </c>
      <c r="AB118" s="35">
        <f>SUM(X118:AA118)</f>
        <v>4516</v>
      </c>
      <c r="AC118" s="35">
        <f>SUM(AC61,AC62,AC111)</f>
        <v>151</v>
      </c>
      <c r="AD118" s="35">
        <f>SUM(AD61,AD62,AD111)</f>
        <v>1273</v>
      </c>
      <c r="AE118" s="35">
        <f>SUM(AE61,AE62,AE111)</f>
        <v>1395</v>
      </c>
      <c r="AF118" s="35">
        <f>SUM(AF61,AF62,AF111)</f>
        <v>692</v>
      </c>
      <c r="AG118" s="35">
        <f>SUM(AC118:AF118)</f>
        <v>3511</v>
      </c>
      <c r="AH118" s="35">
        <f>SUM(AH61,AH62,AH111)</f>
        <v>2125</v>
      </c>
      <c r="AI118" s="35">
        <f>SUM(AI61,AI62,AI111)</f>
        <v>900</v>
      </c>
      <c r="AJ118" s="35">
        <f>SUM(AJ61,AJ62,AJ111:AJ116)</f>
        <v>1301.66401571316</v>
      </c>
      <c r="AK118" s="35">
        <f>SUM(AK61,AK62,AK111:AK116)</f>
        <v>1203.39531681</v>
      </c>
      <c r="AL118" s="35">
        <f>SUM(AH118:AK118)</f>
        <v>5530.05933252316</v>
      </c>
      <c r="AM118" s="35">
        <f>SUM(AM61,AM62,AM111:AM116)</f>
        <v>2203.51707500179</v>
      </c>
      <c r="AN118" s="35">
        <f>SUM(AN61,AN62,AN111:AN116)</f>
        <v>1486.71031566386</v>
      </c>
      <c r="AO118" s="35">
        <f>SUM(AO61,AO62,AO111:AO116)</f>
        <v>1565.50680718381</v>
      </c>
      <c r="AP118" s="35">
        <f>SUM(AP61,AP62,AP111:AP116)</f>
        <v>1447.31938307983</v>
      </c>
      <c r="AQ118" s="35">
        <f>SUM(AM118:AP118)</f>
        <v>6703.05358092928</v>
      </c>
      <c r="AR118" s="35">
        <f>SUM(AR61,AR62,AR111:AR116)</f>
        <v>2639.14477527923</v>
      </c>
      <c r="AS118" s="35">
        <f>SUM(AS61,AS62,AS111:AS116)</f>
        <v>1780.62780018839</v>
      </c>
      <c r="AT118" s="35">
        <f>SUM(AT61,AT62,AT111:AT116)</f>
        <v>1875.00208540016</v>
      </c>
      <c r="AU118" s="35">
        <f>SUM(AU61,AU62,AU111:AU116)</f>
        <v>1733.44941654803</v>
      </c>
      <c r="AV118" s="35">
        <f>SUM(AR118:AU118)</f>
        <v>8028.22407741581</v>
      </c>
      <c r="AW118" s="35">
        <f>SUM(AW61,AW62,AW111:AW116)</f>
        <v>3147.69884049996</v>
      </c>
      <c r="AX118" s="35">
        <f>SUM(AX61,AX62,AX111:AX116)</f>
        <v>2123.74861527708</v>
      </c>
      <c r="AY118" s="35">
        <f>SUM(AY61,AY62,AY111:AY116)</f>
        <v>2236.30849865925</v>
      </c>
      <c r="AZ118" s="35">
        <f>SUM(AZ61,AZ62,AZ111:AZ116)</f>
        <v>2067.47912037387</v>
      </c>
      <c r="BA118" s="35">
        <f>SUM(AW118:AZ118)</f>
        <v>9575.23507481016</v>
      </c>
      <c r="BB118" s="35">
        <f>SUM(BB61,BB62,BB111:BB116)</f>
        <v>3738.51101999344</v>
      </c>
      <c r="BC118" s="35">
        <f>SUM(BC61,BC62,BC111:BC116)</f>
        <v>2522.36888095943</v>
      </c>
      <c r="BD118" s="35">
        <f>SUM(BD61,BD62,BD111:BD116)</f>
        <v>2656.05586492978</v>
      </c>
      <c r="BE118" s="35">
        <f>SUM(BE61,BE62,BE111:BE116)</f>
        <v>2455.53779658805</v>
      </c>
      <c r="BF118" s="35">
        <f>SUM(BB118:BE118)</f>
        <v>11372.4735624707</v>
      </c>
      <c r="BG118" s="35" t="n"/>
      <c r="BH118" s="35" t="n"/>
      <c r="BI118" s="35" t="n"/>
      <c r="BJ118" s="35" t="n"/>
      <c r="BK118" s="35" t="n"/>
      <c r="BL118" s="35" t="n"/>
      <c r="BM118" s="35" t="n"/>
      <c r="BN118" s="35" t="n"/>
      <c r="BO118" s="35" t="n"/>
      <c r="BP118" s="35" t="n"/>
      <c r="BQ118" s="35" t="n"/>
      <c r="BR118" s="35" t="n"/>
      <c r="BS118" s="35" t="n"/>
      <c r="BT118" s="35" t="n"/>
      <c r="BU118" s="35" t="n"/>
      <c r="BV118" s="35" t="n"/>
      <c r="BW118" s="35" t="n"/>
      <c r="BX118" s="35" t="n"/>
      <c r="BY118" s="35" t="n"/>
      <c r="BZ118" s="35" t="n"/>
      <c r="CA118" s="35" t="n"/>
      <c r="CB118" s="35" t="n"/>
      <c r="CC118" s="35" t="n"/>
      <c r="CD118" s="35" t="n"/>
      <c r="CE118" s="35" t="n"/>
      <c r="CF118" s="35" t="n"/>
      <c r="CG118" s="35" t="n"/>
      <c r="CH118" s="35" t="n"/>
      <c r="CI118" s="35" t="n"/>
      <c r="CJ118" s="35" t="n"/>
      <c r="CK118" s="35" t="n"/>
      <c r="CL118" s="35" t="n"/>
      <c r="CM118" s="35" t="n"/>
      <c r="CN118" s="35" t="n"/>
      <c r="CO118" s="35" t="n"/>
      <c r="CP118" s="35" t="n"/>
      <c r="CQ118" s="35" t="n"/>
      <c r="CR118" s="35" t="n"/>
      <c r="CS118" s="35" t="n"/>
      <c r="CT118" s="35" t="n"/>
      <c r="CU118" s="35" t="n"/>
      <c r="CV118" s="35" t="n"/>
      <c r="CW118" s="35" t="n"/>
      <c r="CX118" s="35" t="n"/>
      <c r="CY118" s="35" t="n"/>
    </row>
    <row r="119">
      <c r="C119" s="14" t="inlineStr">
        <is>
          <t>Taxes</t>
        </is>
      </c>
      <c r="D119" s="46" t="n"/>
      <c r="E119" s="46" t="n"/>
      <c r="F119" s="46" t="n"/>
      <c r="G119" s="46" t="n"/>
      <c r="H119" s="12" t="n"/>
      <c r="I119" s="46">
        <f>'Inputs (2)'!D10</f>
        <v>179</v>
      </c>
      <c r="J119" s="46">
        <f>'Inputs (2)'!E10</f>
        <v>-110</v>
      </c>
      <c r="K119" s="46">
        <f>'Inputs (2)'!F10</f>
        <v>-177</v>
      </c>
      <c r="L119" s="46">
        <f>'Inputs (2)'!G10</f>
        <v>-117</v>
      </c>
      <c r="M119" s="12">
        <f>'Inputs (2)'!H10</f>
        <v>-225</v>
      </c>
      <c r="N119" s="46">
        <f>'Inputs (2)'!I10</f>
        <v>53</v>
      </c>
      <c r="O119" s="46">
        <f>'Inputs (2)'!J10</f>
        <v>328</v>
      </c>
      <c r="P119" s="46">
        <f>'Inputs (2)'!K10</f>
        <v>123</v>
      </c>
      <c r="Q119" s="46">
        <f>'Inputs (2)'!L10</f>
        <v>-116</v>
      </c>
      <c r="R119" s="12">
        <f>'Inputs (2)'!M10</f>
        <v>388</v>
      </c>
      <c r="S119" s="46">
        <f>'Inputs (2)'!N10</f>
        <v>-131</v>
      </c>
      <c r="T119" s="46">
        <f>'Inputs (2)'!O10</f>
        <v>-342</v>
      </c>
      <c r="U119" s="46">
        <f>'Inputs (2)'!P10</f>
        <v>-205</v>
      </c>
      <c r="V119" s="46">
        <f>'Inputs (2)'!Q10</f>
        <v>-182</v>
      </c>
      <c r="W119" s="12">
        <f>'Inputs (2)'!R10</f>
        <v>-860</v>
      </c>
      <c r="X119" s="46">
        <f>'Inputs (2)'!S10</f>
        <v>-165</v>
      </c>
      <c r="Y119" s="46">
        <f>'Inputs (2)'!T10</f>
        <v>-154</v>
      </c>
      <c r="Z119" s="46">
        <f>'Inputs (2)'!U10</f>
        <v>-449</v>
      </c>
      <c r="AA119" s="46">
        <f>'Inputs (2)'!V10</f>
        <v>-6</v>
      </c>
      <c r="AB119" s="12">
        <f>'Inputs (2)'!W10</f>
        <v>-774</v>
      </c>
      <c r="AC119" s="46">
        <f>'Inputs (2)'!X10</f>
        <v>-22</v>
      </c>
      <c r="AD119" s="46">
        <f>'Inputs (2)'!Y10</f>
        <v>-440</v>
      </c>
      <c r="AE119" s="46">
        <f>'Inputs (2)'!Z10</f>
        <v>-466</v>
      </c>
      <c r="AF119" s="46">
        <f>'Inputs (2)'!AA10</f>
        <v>-259</v>
      </c>
      <c r="AG119" s="12">
        <f>'Inputs (2)'!AB10</f>
        <v>-1187</v>
      </c>
      <c r="AH119" s="12">
        <f>'Inputs (2)'!AC10</f>
        <v>-530</v>
      </c>
      <c r="AI119" s="12">
        <f>'Inputs (2)'!AD10</f>
        <v>-398</v>
      </c>
      <c r="AJ119" s="12">
        <f>-AJ118*AJ120</f>
        <v>-410.305586223732</v>
      </c>
      <c r="AK119" s="12">
        <f>-AK118*AK120</f>
        <v>-379.329700262244</v>
      </c>
      <c r="AL119" s="12">
        <f>SUM(AH119:AK119)</f>
        <v>-1717.63528648598</v>
      </c>
      <c r="AM119" s="12">
        <f>-AM118*AM120</f>
        <v>-694.584281579961</v>
      </c>
      <c r="AN119" s="12">
        <f>-AN118*AN120</f>
        <v>-468.635177933468</v>
      </c>
      <c r="AO119" s="12">
        <f>-AO118*AO120</f>
        <v>-493.473108655363</v>
      </c>
      <c r="AP119" s="12">
        <f>-AP118*AP120</f>
        <v>-456.21851780406</v>
      </c>
      <c r="AQ119" s="12">
        <f>SUM(AM119:AP119)</f>
        <v>-2112.91108597285</v>
      </c>
      <c r="AR119" s="12">
        <f>-AR118*AR120</f>
        <v>-831.901190382807</v>
      </c>
      <c r="AS119" s="12">
        <f>-AS118*AS120</f>
        <v>-561.282730860689</v>
      </c>
      <c r="AT119" s="12">
        <f>-AT118*AT120</f>
        <v>-591.03103453262</v>
      </c>
      <c r="AU119" s="12">
        <f>-AU118*AU120</f>
        <v>-546.411339992562</v>
      </c>
      <c r="AV119" s="12">
        <f>SUM(AR119:AU119)</f>
        <v>-2530.62629576868</v>
      </c>
      <c r="AW119" s="12">
        <f>-AW118*AW120</f>
        <v>-992.205670907709</v>
      </c>
      <c r="AX119" s="12">
        <f>-AX118*AX120</f>
        <v>-669.439970732912</v>
      </c>
      <c r="AY119" s="12">
        <f>-AY118*AY120</f>
        <v>-704.920669575994</v>
      </c>
      <c r="AZ119" s="12">
        <f>-AZ118*AZ120</f>
        <v>-651.702914308157</v>
      </c>
      <c r="BA119" s="12">
        <f>SUM(AW119:AZ119)</f>
        <v>-3018.26922552477</v>
      </c>
      <c r="BB119" s="12">
        <f>-BB118*BB120</f>
        <v>-1178.4392417285</v>
      </c>
      <c r="BC119" s="12">
        <f>-BC118*BC120</f>
        <v>-795.091536587905</v>
      </c>
      <c r="BD119" s="12">
        <f>-BD118*BD120</f>
        <v>-837.231839819983</v>
      </c>
      <c r="BE119" s="12">
        <f>-BE118*BE120</f>
        <v>-774.025296052752</v>
      </c>
      <c r="BF119" s="12">
        <f>SUM(BB119:BE119)</f>
        <v>-3584.78791418914</v>
      </c>
      <c r="BG119" s="12" t="n"/>
      <c r="BH119" s="12" t="n"/>
      <c r="BI119" s="12" t="n"/>
      <c r="BJ119" s="12" t="n"/>
      <c r="BK119" s="12" t="n"/>
      <c r="BL119" s="12" t="n"/>
      <c r="BM119" s="12" t="n"/>
      <c r="BN119" s="12" t="n"/>
      <c r="BO119" s="12" t="n"/>
      <c r="BP119" s="12" t="n"/>
      <c r="BQ119" s="12" t="n"/>
      <c r="BR119" s="12" t="n"/>
      <c r="BS119" s="12" t="n"/>
      <c r="BT119" s="12" t="n"/>
      <c r="BU119" s="12" t="n"/>
      <c r="BV119" s="12" t="n"/>
      <c r="BW119" s="12" t="n"/>
      <c r="BX119" s="12" t="n"/>
      <c r="BY119" s="12" t="n"/>
      <c r="BZ119" s="12" t="n"/>
      <c r="CA119" s="12" t="n"/>
      <c r="CB119" s="12" t="n"/>
      <c r="CC119" s="12" t="n"/>
      <c r="CD119" s="12" t="n"/>
      <c r="CE119" s="12" t="n"/>
      <c r="CF119" s="12" t="n"/>
      <c r="CG119" s="12" t="n"/>
      <c r="CH119" s="12" t="n"/>
      <c r="CI119" s="12" t="n"/>
      <c r="CJ119" s="12" t="n"/>
      <c r="CK119" s="12" t="n"/>
      <c r="CL119" s="12" t="n"/>
      <c r="CM119" s="12" t="n"/>
      <c r="CN119" s="12" t="n"/>
      <c r="CO119" s="12" t="n"/>
      <c r="CP119" s="12" t="n"/>
      <c r="CQ119" s="12" t="n"/>
      <c r="CR119" s="12" t="n"/>
      <c r="CS119" s="12" t="n"/>
      <c r="CT119" s="12" t="n"/>
      <c r="CU119" s="12" t="n"/>
      <c r="CV119" s="12" t="n"/>
      <c r="CW119" s="12" t="n"/>
      <c r="CX119" s="12" t="n"/>
      <c r="CY119" s="12" t="n"/>
    </row>
    <row r="120" hidden="1" outlineLevel="1">
      <c r="C120" s="57" t="inlineStr">
        <is>
          <t>% ETR</t>
        </is>
      </c>
      <c r="D120" s="53" t="n"/>
      <c r="E120" s="53" t="n"/>
      <c r="F120" s="53" t="n"/>
      <c r="G120" s="53" t="n"/>
      <c r="H120" s="53" t="n"/>
      <c r="I120" s="53">
        <f>IFERROR(-I119/I118,"")</f>
        <v>0.189017951425554</v>
      </c>
      <c r="J120" s="53">
        <f>IFERROR(-J119/J118,"")</f>
        <v>0.887096774193548</v>
      </c>
      <c r="K120" s="53">
        <f>IFERROR(-K119/K118,"")</f>
        <v>0.217444717444717</v>
      </c>
      <c r="L120" s="53">
        <f>IFERROR(-L119/L118,"")</f>
        <v>0.73125</v>
      </c>
      <c r="M120" s="53">
        <f>IFERROR(-M119/M118,"")</f>
        <v>1.49006622516556</v>
      </c>
      <c r="N120" s="53">
        <f>IFERROR(-N119/N118,"")</f>
        <v>-0.868852459016393</v>
      </c>
      <c r="O120" s="53">
        <f>IFERROR(-O119/O118,"")</f>
        <v>0.748858447488584</v>
      </c>
      <c r="P120" s="53">
        <f>IFERROR(-P119/P118,"")</f>
        <v>0.394230769230769</v>
      </c>
      <c r="Q120" s="53">
        <f>IFERROR(-Q119/Q118,"")</f>
        <v>0.789115646258503</v>
      </c>
      <c r="R120" s="53">
        <f>IFERROR(-R119/R118,"")</f>
        <v>0.715867158671587</v>
      </c>
      <c r="S120" s="53">
        <f>IFERROR(-S119/S118,"")</f>
        <v>0.550420168067227</v>
      </c>
      <c r="T120" s="53">
        <f>IFERROR(-T119/T118,"")</f>
        <v>0.292058070025619</v>
      </c>
      <c r="U120" s="53">
        <f>IFERROR(-U119/U118,"")</f>
        <v>0.229050279329609</v>
      </c>
      <c r="V120" s="53">
        <f>IFERROR(-V119/V118,"")</f>
        <v>1.27272727272727</v>
      </c>
      <c r="W120" s="53">
        <f>IFERROR(-W119/W118,"")</f>
        <v>0.351450756027789</v>
      </c>
      <c r="X120" s="53">
        <f>IFERROR(-X119/X118,"")</f>
        <v>0.157442748091603</v>
      </c>
      <c r="Y120" s="53">
        <f>IFERROR(-Y119/Y118,"")</f>
        <v>0.159751037344398</v>
      </c>
      <c r="Z120" s="53">
        <f>IFERROR(-Z119/Z118,"")</f>
        <v>0.272948328267477</v>
      </c>
      <c r="AA120" s="53">
        <f>IFERROR(-AA119/AA118,"")</f>
        <v>0.0069848661233993</v>
      </c>
      <c r="AB120" s="53">
        <f>IFERROR(-AB119/AB118,"")</f>
        <v>0.171390611160319</v>
      </c>
      <c r="AC120" s="53">
        <f>IFERROR(-AC119/AC118,"")</f>
        <v>0.145695364238411</v>
      </c>
      <c r="AD120" s="53">
        <f>IFERROR(-AD119/AD118,"")</f>
        <v>0.345640219952867</v>
      </c>
      <c r="AE120" s="53">
        <f>IFERROR(-AE119/AE118,"")</f>
        <v>0.33405017921147</v>
      </c>
      <c r="AF120" s="41">
        <f>IFERROR(-AF119/AF118,"")</f>
        <v>0.374277456647399</v>
      </c>
      <c r="AG120" s="53">
        <f>IFERROR(-AG119/AG118,"")</f>
        <v>0.338080318997437</v>
      </c>
      <c r="AH120" s="41">
        <f>IFERROR(-AH119/AH118,"")</f>
        <v>0.249411764705882</v>
      </c>
      <c r="AI120" s="41">
        <f>IFERROR(-AI119/AI118,"")</f>
        <v>0.442222222222222</v>
      </c>
      <c r="AJ120" s="41">
        <f>Control!$B$22</f>
        <v>0.315216201163042</v>
      </c>
      <c r="AK120" s="41">
        <f>Control!$B$22</f>
        <v>0.315216201163042</v>
      </c>
      <c r="AL120" s="53">
        <f>IFERROR(-AL119/AL118,"")</f>
        <v>0.310599793456878</v>
      </c>
      <c r="AM120" s="41">
        <f>Control!$C$22</f>
        <v>0.315216201163042</v>
      </c>
      <c r="AN120" s="41">
        <f>Control!$C$22</f>
        <v>0.315216201163042</v>
      </c>
      <c r="AO120" s="41">
        <f>Control!$C$22</f>
        <v>0.315216201163042</v>
      </c>
      <c r="AP120" s="41">
        <f>Control!$C$22</f>
        <v>0.315216201163042</v>
      </c>
      <c r="AQ120" s="53">
        <f>IFERROR(-AQ119/AQ118,"")</f>
        <v>0.315216201163042</v>
      </c>
      <c r="AR120" s="41">
        <f>Control!$D$22</f>
        <v>0.315216201163042</v>
      </c>
      <c r="AS120" s="41">
        <f>Control!$D$22</f>
        <v>0.315216201163042</v>
      </c>
      <c r="AT120" s="41">
        <f>Control!$D$22</f>
        <v>0.315216201163042</v>
      </c>
      <c r="AU120" s="41">
        <f>Control!$D$22</f>
        <v>0.315216201163042</v>
      </c>
      <c r="AV120" s="53">
        <f>IFERROR(-AV119/AV118,"")</f>
        <v>0.315216201163042</v>
      </c>
      <c r="AW120" s="41">
        <f>Control!$E$22</f>
        <v>0.315216201163042</v>
      </c>
      <c r="AX120" s="41">
        <f>Control!$E$22</f>
        <v>0.315216201163042</v>
      </c>
      <c r="AY120" s="41">
        <f>Control!$E$22</f>
        <v>0.315216201163042</v>
      </c>
      <c r="AZ120" s="41">
        <f>Control!$E$22</f>
        <v>0.315216201163042</v>
      </c>
      <c r="BA120" s="53">
        <f>IFERROR(-BA119/BA118,"")</f>
        <v>0.315216201163042</v>
      </c>
      <c r="BB120" s="41">
        <f>Control!$F$22</f>
        <v>0.315216201163042</v>
      </c>
      <c r="BC120" s="41">
        <f>Control!$F$22</f>
        <v>0.315216201163042</v>
      </c>
      <c r="BD120" s="41">
        <f>Control!$F$22</f>
        <v>0.315216201163042</v>
      </c>
      <c r="BE120" s="41">
        <f>Control!$F$22</f>
        <v>0.315216201163042</v>
      </c>
      <c r="BF120" s="53">
        <f>IFERROR(-BF119/BF118,"")</f>
        <v>0.315216201163042</v>
      </c>
      <c r="BG120" s="41" t="n"/>
      <c r="BH120" s="41" t="n"/>
      <c r="BI120" s="41" t="n"/>
      <c r="BJ120" s="41" t="n"/>
      <c r="BK120" s="53" t="n"/>
      <c r="BL120" s="41" t="n"/>
      <c r="BM120" s="41" t="n"/>
      <c r="BN120" s="41" t="n"/>
      <c r="BO120" s="41" t="n"/>
      <c r="BP120" s="53" t="n"/>
      <c r="BQ120" s="41" t="n"/>
      <c r="BR120" s="41" t="n"/>
      <c r="BS120" s="41" t="n"/>
      <c r="BT120" s="41" t="n"/>
      <c r="BU120" s="53" t="n"/>
      <c r="BV120" s="41" t="n"/>
      <c r="BW120" s="41" t="n"/>
      <c r="BX120" s="41" t="n"/>
      <c r="BY120" s="41" t="n"/>
      <c r="BZ120" s="53" t="n"/>
      <c r="CA120" s="41" t="n"/>
      <c r="CB120" s="41" t="n"/>
      <c r="CC120" s="41" t="n"/>
      <c r="CD120" s="41" t="n"/>
      <c r="CE120" s="53" t="n"/>
      <c r="CF120" s="41" t="n"/>
      <c r="CG120" s="41" t="n"/>
      <c r="CH120" s="41" t="n"/>
      <c r="CI120" s="41" t="n"/>
      <c r="CJ120" s="53" t="n"/>
      <c r="CK120" s="41" t="n"/>
      <c r="CL120" s="41" t="n"/>
      <c r="CM120" s="41" t="n"/>
      <c r="CN120" s="41" t="n"/>
      <c r="CO120" s="53" t="n"/>
      <c r="CP120" s="41" t="n"/>
      <c r="CQ120" s="41" t="n"/>
      <c r="CR120" s="41" t="n"/>
      <c r="CS120" s="41" t="n"/>
      <c r="CT120" s="53" t="n"/>
      <c r="CU120" s="41" t="n"/>
      <c r="CV120" s="41" t="n"/>
      <c r="CW120" s="41" t="n"/>
      <c r="CX120" s="41" t="n"/>
      <c r="CY120" s="53" t="n"/>
    </row>
    <row r="121" hidden="1" outlineLevel="1">
      <c r="C121" s="57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2" t="n"/>
      <c r="AH121" s="12" t="n"/>
      <c r="AI121" s="12" t="n"/>
      <c r="AJ121" s="12" t="n"/>
      <c r="AK121" s="12" t="n"/>
      <c r="AL121" s="12" t="n"/>
      <c r="AM121" s="12" t="n"/>
      <c r="AN121" s="12" t="n"/>
      <c r="AO121" s="12" t="n"/>
      <c r="AP121" s="12" t="n"/>
      <c r="AQ121" s="12" t="n"/>
      <c r="AR121" s="12" t="n"/>
      <c r="AS121" s="12" t="n"/>
      <c r="AT121" s="12" t="n"/>
      <c r="AU121" s="12" t="n"/>
      <c r="AV121" s="12" t="n"/>
      <c r="AW121" s="12" t="n"/>
      <c r="AX121" s="12" t="n"/>
      <c r="AY121" s="12" t="n"/>
      <c r="AZ121" s="12" t="n"/>
      <c r="BA121" s="12" t="n"/>
      <c r="BB121" s="12" t="n"/>
      <c r="BC121" s="12" t="n"/>
      <c r="BD121" s="12" t="n"/>
      <c r="BE121" s="12" t="n"/>
      <c r="BF121" s="12" t="n"/>
      <c r="BG121" s="12" t="n"/>
      <c r="BH121" s="12" t="n"/>
      <c r="BI121" s="12" t="n"/>
      <c r="BJ121" s="12" t="n"/>
      <c r="BK121" s="12" t="n"/>
      <c r="BL121" s="12" t="n"/>
      <c r="BM121" s="12" t="n"/>
      <c r="BN121" s="12" t="n"/>
      <c r="BO121" s="12" t="n"/>
      <c r="BP121" s="12" t="n"/>
      <c r="BQ121" s="12" t="n"/>
      <c r="BR121" s="12" t="n"/>
      <c r="BS121" s="12" t="n"/>
      <c r="BT121" s="12" t="n"/>
      <c r="BU121" s="12" t="n"/>
      <c r="BV121" s="12" t="n"/>
      <c r="BW121" s="12" t="n"/>
      <c r="BX121" s="12" t="n"/>
      <c r="BY121" s="12" t="n"/>
      <c r="BZ121" s="12" t="n"/>
      <c r="CA121" s="12" t="n"/>
      <c r="CB121" s="12" t="n"/>
      <c r="CC121" s="12" t="n"/>
      <c r="CD121" s="12" t="n"/>
      <c r="CE121" s="12" t="n"/>
      <c r="CF121" s="12" t="n"/>
      <c r="CG121" s="12" t="n"/>
      <c r="CH121" s="12" t="n"/>
      <c r="CI121" s="12" t="n"/>
      <c r="CJ121" s="12" t="n"/>
      <c r="CK121" s="12" t="n"/>
      <c r="CL121" s="12" t="n"/>
      <c r="CM121" s="12" t="n"/>
      <c r="CN121" s="12" t="n"/>
      <c r="CO121" s="12" t="n"/>
      <c r="CP121" s="12" t="n"/>
      <c r="CQ121" s="12" t="n"/>
      <c r="CR121" s="12" t="n"/>
      <c r="CS121" s="12" t="n"/>
      <c r="CT121" s="12" t="n"/>
      <c r="CU121" s="12" t="n"/>
      <c r="CV121" s="12" t="n"/>
      <c r="CW121" s="12" t="n"/>
      <c r="CX121" s="12" t="n"/>
      <c r="CY121" s="12" t="n"/>
    </row>
    <row r="122" hidden="1" outlineLevel="1">
      <c r="C122" s="57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2" t="n"/>
      <c r="AH122" s="12" t="n"/>
      <c r="AI122" s="12" t="n"/>
      <c r="AJ122" s="12" t="n"/>
      <c r="AK122" s="12" t="n"/>
      <c r="AL122" s="12" t="n"/>
      <c r="AM122" s="12" t="n"/>
      <c r="AN122" s="12" t="n"/>
      <c r="AO122" s="12" t="n"/>
      <c r="AP122" s="12" t="n"/>
      <c r="AQ122" s="12" t="n"/>
      <c r="AR122" s="12" t="n"/>
      <c r="AS122" s="12" t="n"/>
      <c r="AT122" s="12" t="n"/>
      <c r="AU122" s="12" t="n"/>
      <c r="AV122" s="12" t="n"/>
      <c r="AW122" s="12" t="n"/>
      <c r="AX122" s="12" t="n"/>
      <c r="AY122" s="12" t="n"/>
      <c r="AZ122" s="12" t="n"/>
      <c r="BA122" s="12" t="n"/>
      <c r="BB122" s="12" t="n"/>
      <c r="BC122" s="12" t="n"/>
      <c r="BD122" s="12" t="n"/>
      <c r="BE122" s="12" t="n"/>
      <c r="BF122" s="12" t="n"/>
      <c r="BG122" s="12" t="n"/>
      <c r="BH122" s="12" t="n"/>
      <c r="BI122" s="12" t="n"/>
      <c r="BJ122" s="12" t="n"/>
      <c r="BK122" s="12" t="n"/>
      <c r="BL122" s="12" t="n"/>
      <c r="BM122" s="12" t="n"/>
      <c r="BN122" s="12" t="n"/>
      <c r="BO122" s="12" t="n"/>
      <c r="BP122" s="12" t="n"/>
      <c r="BQ122" s="12" t="n"/>
      <c r="BR122" s="12" t="n"/>
      <c r="BS122" s="12" t="n"/>
      <c r="BT122" s="12" t="n"/>
      <c r="BU122" s="12" t="n"/>
      <c r="BV122" s="12" t="n"/>
      <c r="BW122" s="12" t="n"/>
      <c r="BX122" s="12" t="n"/>
      <c r="BY122" s="12" t="n"/>
      <c r="BZ122" s="12" t="n"/>
      <c r="CA122" s="12" t="n"/>
      <c r="CB122" s="12" t="n"/>
      <c r="CC122" s="12" t="n"/>
      <c r="CD122" s="12" t="n"/>
      <c r="CE122" s="12" t="n"/>
      <c r="CF122" s="12" t="n"/>
      <c r="CG122" s="12" t="n"/>
      <c r="CH122" s="12" t="n"/>
      <c r="CI122" s="12" t="n"/>
      <c r="CJ122" s="12" t="n"/>
      <c r="CK122" s="12" t="n"/>
      <c r="CL122" s="12" t="n"/>
      <c r="CM122" s="12" t="n"/>
      <c r="CN122" s="12" t="n"/>
      <c r="CO122" s="12" t="n"/>
      <c r="CP122" s="12" t="n"/>
      <c r="CQ122" s="12" t="n"/>
      <c r="CR122" s="12" t="n"/>
      <c r="CS122" s="12" t="n"/>
      <c r="CT122" s="12" t="n"/>
      <c r="CU122" s="12" t="n"/>
      <c r="CV122" s="12" t="n"/>
      <c r="CW122" s="12" t="n"/>
      <c r="CX122" s="12" t="n"/>
      <c r="CY122" s="12" t="n"/>
    </row>
    <row r="123" collapsed="1">
      <c r="C123" s="14" t="inlineStr">
        <is>
          <t>Equity in Income of Affiliates, after tax (enter as +)</t>
        </is>
      </c>
      <c r="D123" s="46" t="n"/>
      <c r="E123" s="46" t="n"/>
      <c r="F123" s="46" t="n"/>
      <c r="G123" s="46" t="n"/>
      <c r="H123" s="12" t="n"/>
      <c r="I123" s="46">
        <f>'Inputs (2)'!D11</f>
        <v>-1</v>
      </c>
      <c r="J123" s="46">
        <f>'Inputs (2)'!E11</f>
        <v>-1</v>
      </c>
      <c r="K123" s="46">
        <f>'Inputs (2)'!F11</f>
        <v>-4</v>
      </c>
      <c r="L123" s="46">
        <f>'Inputs (2)'!G11</f>
        <v>-4</v>
      </c>
      <c r="M123" s="12">
        <f>'Inputs (2)'!H11</f>
        <v>-10</v>
      </c>
      <c r="N123" s="46">
        <f>'Inputs (2)'!I11</f>
        <v>-3</v>
      </c>
      <c r="O123" s="46">
        <f>'Inputs (2)'!J11</f>
        <v>-3</v>
      </c>
      <c r="P123" s="46">
        <f>'Inputs (2)'!K11</f>
        <v>-4</v>
      </c>
      <c r="Q123" s="46">
        <f>'Inputs (2)'!L11</f>
        <v>-3</v>
      </c>
      <c r="R123" s="12">
        <f>'Inputs (2)'!M11</f>
        <v>-13</v>
      </c>
      <c r="S123" s="46">
        <f>'Inputs (2)'!N11</f>
        <v>-5</v>
      </c>
      <c r="T123" s="46">
        <f>'Inputs (2)'!O11</f>
        <v>-5</v>
      </c>
      <c r="U123" s="46">
        <f>'Inputs (2)'!P11</f>
        <v>0</v>
      </c>
      <c r="V123" s="46">
        <f>'Inputs (2)'!Q11</f>
        <v>0</v>
      </c>
      <c r="W123" s="12">
        <f>'Inputs (2)'!R11</f>
        <v>-10</v>
      </c>
      <c r="X123" s="46">
        <f>'Inputs (2)'!S11</f>
        <v>0</v>
      </c>
      <c r="Y123" s="46">
        <f>'Inputs (2)'!T11</f>
        <v>-1</v>
      </c>
      <c r="Z123" s="46">
        <f>'Inputs (2)'!U11</f>
        <v>0</v>
      </c>
      <c r="AA123" s="46">
        <f>'Inputs (2)'!V11</f>
        <v>-3</v>
      </c>
      <c r="AB123" s="12">
        <f>'Inputs (2)'!W11</f>
        <v>-4</v>
      </c>
      <c r="AC123" s="46">
        <f>'Inputs (2)'!X11</f>
        <v>0</v>
      </c>
      <c r="AD123" s="46">
        <f>'Inputs (2)'!Y11</f>
        <v>0</v>
      </c>
      <c r="AE123" s="46">
        <f>'Inputs (2)'!Z11</f>
        <v>0</v>
      </c>
      <c r="AF123" s="46">
        <f>'Inputs (2)'!AA11</f>
        <v>-1</v>
      </c>
      <c r="AG123" s="12">
        <f>'Inputs (2)'!AB11</f>
        <v>-1</v>
      </c>
      <c r="AH123" s="12">
        <f>'Inputs (2)'!AC11</f>
        <v>8</v>
      </c>
      <c r="AI123" s="12">
        <f>'Inputs (2)'!AD11</f>
        <v>6</v>
      </c>
      <c r="AJ123" s="12">
        <f>0</f>
        <v>0</v>
      </c>
      <c r="AK123" s="12">
        <f>0</f>
        <v>0</v>
      </c>
      <c r="AL123" s="12">
        <f>SUM(AH123:AK123)</f>
        <v>14</v>
      </c>
      <c r="AM123" s="12">
        <f>0</f>
        <v>0</v>
      </c>
      <c r="AN123" s="12">
        <f>0</f>
        <v>0</v>
      </c>
      <c r="AO123" s="12">
        <f>0</f>
        <v>0</v>
      </c>
      <c r="AP123" s="12">
        <f>0</f>
        <v>0</v>
      </c>
      <c r="AQ123" s="12">
        <f>SUM(AM123:AP123)</f>
        <v>0</v>
      </c>
      <c r="AR123" s="12">
        <f>0</f>
        <v>0</v>
      </c>
      <c r="AS123" s="12">
        <f>0</f>
        <v>0</v>
      </c>
      <c r="AT123" s="12">
        <f>0</f>
        <v>0</v>
      </c>
      <c r="AU123" s="12">
        <f>0</f>
        <v>0</v>
      </c>
      <c r="AV123" s="12">
        <f>SUM(AR123:AU123)</f>
        <v>0</v>
      </c>
      <c r="AW123" s="12">
        <f>0</f>
        <v>0</v>
      </c>
      <c r="AX123" s="12">
        <f>0</f>
        <v>0</v>
      </c>
      <c r="AY123" s="12">
        <f>0</f>
        <v>0</v>
      </c>
      <c r="AZ123" s="12">
        <f>0</f>
        <v>0</v>
      </c>
      <c r="BA123" s="12">
        <f>SUM(AW123:AZ123)</f>
        <v>0</v>
      </c>
      <c r="BB123" s="12">
        <f>0</f>
        <v>0</v>
      </c>
      <c r="BC123" s="12">
        <f>0</f>
        <v>0</v>
      </c>
      <c r="BD123" s="12">
        <f>0</f>
        <v>0</v>
      </c>
      <c r="BE123" s="12">
        <f>0</f>
        <v>0</v>
      </c>
      <c r="BF123" s="12">
        <f>SUM(BB123:BE123)</f>
        <v>0</v>
      </c>
      <c r="BG123" s="12" t="n"/>
      <c r="BH123" s="12" t="n"/>
      <c r="BI123" s="12" t="n"/>
      <c r="BJ123" s="12" t="n"/>
      <c r="BK123" s="12" t="n"/>
      <c r="BL123" s="12" t="n"/>
      <c r="BM123" s="12" t="n"/>
      <c r="BN123" s="12" t="n"/>
      <c r="BO123" s="12" t="n"/>
      <c r="BP123" s="12" t="n"/>
      <c r="BQ123" s="12" t="n"/>
      <c r="BR123" s="12" t="n"/>
      <c r="BS123" s="12" t="n"/>
      <c r="BT123" s="12" t="n"/>
      <c r="BU123" s="12" t="n"/>
      <c r="BV123" s="12" t="n"/>
      <c r="BW123" s="12" t="n"/>
      <c r="BX123" s="12" t="n"/>
      <c r="BY123" s="12" t="n"/>
      <c r="BZ123" s="12" t="n"/>
      <c r="CA123" s="12" t="n"/>
      <c r="CB123" s="12" t="n"/>
      <c r="CC123" s="12" t="n"/>
      <c r="CD123" s="12" t="n"/>
      <c r="CE123" s="12" t="n"/>
      <c r="CF123" s="12" t="n"/>
      <c r="CG123" s="12" t="n"/>
      <c r="CH123" s="12" t="n"/>
      <c r="CI123" s="12" t="n"/>
      <c r="CJ123" s="12" t="n"/>
      <c r="CK123" s="12" t="n"/>
      <c r="CL123" s="12" t="n"/>
      <c r="CM123" s="12" t="n"/>
      <c r="CN123" s="12" t="n"/>
      <c r="CO123" s="12" t="n"/>
      <c r="CP123" s="12" t="n"/>
      <c r="CQ123" s="12" t="n"/>
      <c r="CR123" s="12" t="n"/>
      <c r="CS123" s="12" t="n"/>
      <c r="CT123" s="12" t="n"/>
      <c r="CU123" s="12" t="n"/>
      <c r="CV123" s="12" t="n"/>
      <c r="CW123" s="12" t="n"/>
      <c r="CX123" s="12" t="n"/>
      <c r="CY123" s="12" t="n"/>
    </row>
    <row r="124">
      <c r="C124" s="14" t="inlineStr">
        <is>
          <t>Minority Interest Expense, after tax (enter as - )</t>
        </is>
      </c>
      <c r="D124" s="46" t="n"/>
      <c r="E124" s="46" t="n"/>
      <c r="F124" s="46" t="n"/>
      <c r="G124" s="46" t="n"/>
      <c r="H124" s="12" t="n"/>
      <c r="I124" s="46">
        <f>'Inputs (2)'!D12</f>
        <v>-24</v>
      </c>
      <c r="J124" s="46">
        <f>'Inputs (2)'!E12</f>
        <v>-74</v>
      </c>
      <c r="K124" s="46">
        <f>'Inputs (2)'!F12</f>
        <v>-26</v>
      </c>
      <c r="L124" s="46">
        <f>'Inputs (2)'!G12</f>
        <v>3</v>
      </c>
      <c r="M124" s="12">
        <f>'Inputs (2)'!H12</f>
        <v>-121</v>
      </c>
      <c r="N124" s="46">
        <f>'Inputs (2)'!I12</f>
        <v>-5</v>
      </c>
      <c r="O124" s="46">
        <f>'Inputs (2)'!J12</f>
        <v>2</v>
      </c>
      <c r="P124" s="46">
        <f>'Inputs (2)'!K12</f>
        <v>5</v>
      </c>
      <c r="Q124" s="46">
        <f>'Inputs (2)'!L12</f>
        <v>6</v>
      </c>
      <c r="R124" s="12">
        <f>'Inputs (2)'!M12</f>
        <v>8</v>
      </c>
      <c r="S124" s="46">
        <f>'Inputs (2)'!N12</f>
        <v>-6</v>
      </c>
      <c r="T124" s="46">
        <f>'Inputs (2)'!O12</f>
        <v>9</v>
      </c>
      <c r="U124" s="46">
        <f>'Inputs (2)'!P12</f>
        <v>41</v>
      </c>
      <c r="V124" s="46">
        <f>'Inputs (2)'!Q12</f>
        <v>2</v>
      </c>
      <c r="W124" s="12">
        <f>'Inputs (2)'!R12</f>
        <v>46</v>
      </c>
      <c r="X124" s="46">
        <f>'Inputs (2)'!S12</f>
        <v>0</v>
      </c>
      <c r="Y124" s="46">
        <f>'Inputs (2)'!T12</f>
        <v>5</v>
      </c>
      <c r="Z124" s="46">
        <f>'Inputs (2)'!U12</f>
        <v>4</v>
      </c>
      <c r="AA124" s="46">
        <f>'Inputs (2)'!V12</f>
        <v>2</v>
      </c>
      <c r="AB124" s="12">
        <f>'Inputs (2)'!W12</f>
        <v>11</v>
      </c>
      <c r="AC124" s="46">
        <f>'Inputs (2)'!X12</f>
        <v>-11</v>
      </c>
      <c r="AD124" s="46">
        <f>'Inputs (2)'!Y12</f>
        <v>6</v>
      </c>
      <c r="AE124" s="46">
        <f>'Inputs (2)'!Z12</f>
        <v>1</v>
      </c>
      <c r="AF124" s="46">
        <f>'Inputs (2)'!AA12</f>
        <v>0</v>
      </c>
      <c r="AG124" s="12">
        <f>'Inputs (2)'!AB12</f>
        <v>-4</v>
      </c>
      <c r="AH124" s="12">
        <f>'Inputs (2)'!AC12</f>
        <v>-13</v>
      </c>
      <c r="AI124" s="12">
        <f>'Inputs (2)'!AD12</f>
        <v>5</v>
      </c>
      <c r="AJ124" s="12">
        <f>0</f>
        <v>0</v>
      </c>
      <c r="AK124" s="12">
        <f>0</f>
        <v>0</v>
      </c>
      <c r="AL124" s="12">
        <f>SUM(AH124:AK124)</f>
        <v>-8</v>
      </c>
      <c r="AM124" s="12">
        <f>0</f>
        <v>0</v>
      </c>
      <c r="AN124" s="12">
        <f>0</f>
        <v>0</v>
      </c>
      <c r="AO124" s="12">
        <f>0</f>
        <v>0</v>
      </c>
      <c r="AP124" s="12">
        <f>0</f>
        <v>0</v>
      </c>
      <c r="AQ124" s="12">
        <f>SUM(AM124:AP124)</f>
        <v>0</v>
      </c>
      <c r="AR124" s="12">
        <f>0</f>
        <v>0</v>
      </c>
      <c r="AS124" s="12">
        <f>0</f>
        <v>0</v>
      </c>
      <c r="AT124" s="12">
        <f>0</f>
        <v>0</v>
      </c>
      <c r="AU124" s="12">
        <f>0</f>
        <v>0</v>
      </c>
      <c r="AV124" s="12">
        <f>SUM(AR124:AU124)</f>
        <v>0</v>
      </c>
      <c r="AW124" s="12">
        <f>0</f>
        <v>0</v>
      </c>
      <c r="AX124" s="12">
        <f>0</f>
        <v>0</v>
      </c>
      <c r="AY124" s="12">
        <f>0</f>
        <v>0</v>
      </c>
      <c r="AZ124" s="12">
        <f>0</f>
        <v>0</v>
      </c>
      <c r="BA124" s="12">
        <f>SUM(AW124:AZ124)</f>
        <v>0</v>
      </c>
      <c r="BB124" s="12">
        <f>0</f>
        <v>0</v>
      </c>
      <c r="BC124" s="12">
        <f>0</f>
        <v>0</v>
      </c>
      <c r="BD124" s="12">
        <f>0</f>
        <v>0</v>
      </c>
      <c r="BE124" s="12">
        <f>0</f>
        <v>0</v>
      </c>
      <c r="BF124" s="12">
        <f>SUM(BB124:BE124)</f>
        <v>0</v>
      </c>
      <c r="BG124" s="12" t="n"/>
      <c r="BH124" s="12" t="n"/>
      <c r="BI124" s="12" t="n"/>
      <c r="BJ124" s="12" t="n"/>
      <c r="BK124" s="12" t="n"/>
      <c r="BL124" s="12" t="n"/>
      <c r="BM124" s="12" t="n"/>
      <c r="BN124" s="12" t="n"/>
      <c r="BO124" s="12" t="n"/>
      <c r="BP124" s="12" t="n"/>
      <c r="BQ124" s="12" t="n"/>
      <c r="BR124" s="12" t="n"/>
      <c r="BS124" s="12" t="n"/>
      <c r="BT124" s="12" t="n"/>
      <c r="BU124" s="12" t="n"/>
      <c r="BV124" s="12" t="n"/>
      <c r="BW124" s="12" t="n"/>
      <c r="BX124" s="12" t="n"/>
      <c r="BY124" s="12" t="n"/>
      <c r="BZ124" s="12" t="n"/>
      <c r="CA124" s="12" t="n"/>
      <c r="CB124" s="12" t="n"/>
      <c r="CC124" s="12" t="n"/>
      <c r="CD124" s="12" t="n"/>
      <c r="CE124" s="12" t="n"/>
      <c r="CF124" s="12" t="n"/>
      <c r="CG124" s="12" t="n"/>
      <c r="CH124" s="12" t="n"/>
      <c r="CI124" s="12" t="n"/>
      <c r="CJ124" s="12" t="n"/>
      <c r="CK124" s="12" t="n"/>
      <c r="CL124" s="12" t="n"/>
      <c r="CM124" s="12" t="n"/>
      <c r="CN124" s="12" t="n"/>
      <c r="CO124" s="12" t="n"/>
      <c r="CP124" s="12" t="n"/>
      <c r="CQ124" s="12" t="n"/>
      <c r="CR124" s="12" t="n"/>
      <c r="CS124" s="12" t="n"/>
      <c r="CT124" s="12" t="n"/>
      <c r="CU124" s="12" t="n"/>
      <c r="CV124" s="12" t="n"/>
      <c r="CW124" s="12" t="n"/>
      <c r="CX124" s="12" t="n"/>
      <c r="CY124" s="12" t="n"/>
    </row>
    <row r="125" customFormat="1" s="32">
      <c r="A125" s="30" t="n"/>
      <c r="B125" s="3" t="n"/>
      <c r="C125" s="33" t="inlineStr">
        <is>
          <t>Net Income</t>
        </is>
      </c>
      <c r="D125" s="35" t="n"/>
      <c r="E125" s="35" t="n"/>
      <c r="F125" s="35" t="n"/>
      <c r="G125" s="35" t="n"/>
      <c r="H125" s="35" t="n"/>
      <c r="I125" s="35">
        <f>SUM(I118,I119,I123,I124)</f>
        <v>-793</v>
      </c>
      <c r="J125" s="35">
        <f>SUM(J118,J119,J123,J124)</f>
        <v>-61</v>
      </c>
      <c r="K125" s="35">
        <f>SUM(K118,K119,K123,K124)</f>
        <v>607</v>
      </c>
      <c r="L125" s="35">
        <f>SUM(L118,L119,L123,L124)</f>
        <v>42</v>
      </c>
      <c r="M125" s="35">
        <f>SUM(I125:L125)</f>
        <v>-205</v>
      </c>
      <c r="N125" s="35">
        <f>SUM(N118,N119,N123,N124)</f>
        <v>106</v>
      </c>
      <c r="O125" s="35">
        <f>SUM(O118,O119,O123,O124)</f>
        <v>-111</v>
      </c>
      <c r="P125" s="35">
        <f>SUM(P118,P119,P123,P124)</f>
        <v>-188</v>
      </c>
      <c r="Q125" s="35">
        <f>SUM(Q118,Q119,Q123,Q124)</f>
        <v>34</v>
      </c>
      <c r="R125" s="35">
        <f>SUM(N125:Q125)</f>
        <v>-159</v>
      </c>
      <c r="S125" s="35">
        <f>SUM(S118,S119,S123,S124)</f>
        <v>96</v>
      </c>
      <c r="T125" s="35">
        <f>SUM(T118,T119,T123,T124)</f>
        <v>833</v>
      </c>
      <c r="U125" s="35">
        <f>SUM(U118,U119,U123,U124)</f>
        <v>731</v>
      </c>
      <c r="V125" s="35">
        <f>SUM(V118,V119,V123,V124)</f>
        <v>-37</v>
      </c>
      <c r="W125" s="35">
        <f>SUM(S125:V125)</f>
        <v>1623</v>
      </c>
      <c r="X125" s="35">
        <f>SUM(X118,X119,X123,X124)</f>
        <v>883</v>
      </c>
      <c r="Y125" s="35">
        <f>SUM(Y118,Y119,Y123,Y124)</f>
        <v>814</v>
      </c>
      <c r="Z125" s="35">
        <f>SUM(Z118,Z119,Z123,Z124)</f>
        <v>1200</v>
      </c>
      <c r="AA125" s="35">
        <f>SUM(AA118,AA119,AA123,AA124)</f>
        <v>852</v>
      </c>
      <c r="AB125" s="35">
        <f>SUM(X125:AA125)</f>
        <v>3749</v>
      </c>
      <c r="AC125" s="35">
        <f>SUM(AC118,AC119,AC123,AC124)</f>
        <v>118</v>
      </c>
      <c r="AD125" s="35">
        <f>SUM(AD118,AD119,AD123,AD124)</f>
        <v>839</v>
      </c>
      <c r="AE125" s="35">
        <f>SUM(AE118,AE119,AE123,AE124)</f>
        <v>930</v>
      </c>
      <c r="AF125" s="35">
        <f>SUM(AF118,AF119,AF123,AF124)</f>
        <v>432</v>
      </c>
      <c r="AG125" s="35">
        <f>SUM(AC125:AF125)</f>
        <v>2319</v>
      </c>
      <c r="AH125" s="35">
        <f>SUM(AH118,AH119,AH123,AH124)</f>
        <v>1590</v>
      </c>
      <c r="AI125" s="35">
        <f>SUM(AI118,AI119,AI123,AI124)</f>
        <v>513</v>
      </c>
      <c r="AJ125" s="35">
        <f>SUM(AJ118,AJ119,AJ123,AJ124)</f>
        <v>891.358429489427</v>
      </c>
      <c r="AK125" s="35">
        <f>SUM(AK118,AK119,AK123,AK124)</f>
        <v>824.065616547759</v>
      </c>
      <c r="AL125" s="35">
        <f>SUM(AH125:AK125)</f>
        <v>3818.42404603719</v>
      </c>
      <c r="AM125" s="35">
        <f>SUM(AM118,AM119,AM123,AM124)</f>
        <v>1508.93279342183</v>
      </c>
      <c r="AN125" s="35">
        <f>SUM(AN118,AN119,AN123,AN124)</f>
        <v>1018.07513773039</v>
      </c>
      <c r="AO125" s="35">
        <f>SUM(AO118,AO119,AO123,AO124)</f>
        <v>1072.03369852845</v>
      </c>
      <c r="AP125" s="35">
        <f>SUM(AP118,AP119,AP123,AP124)</f>
        <v>991.100865275767</v>
      </c>
      <c r="AQ125" s="35">
        <f>SUM(AM125:AP125)</f>
        <v>4590.14249495643</v>
      </c>
      <c r="AR125" s="35">
        <f>SUM(AR118,AR119,AR123,AR124)</f>
        <v>1807.24358489642</v>
      </c>
      <c r="AS125" s="35">
        <f>SUM(AS118,AS119,AS123,AS124)</f>
        <v>1219.3450693277</v>
      </c>
      <c r="AT125" s="35">
        <f>SUM(AT118,AT119,AT123,AT124)</f>
        <v>1283.97105086754</v>
      </c>
      <c r="AU125" s="35">
        <f>SUM(AU118,AU119,AU123,AU124)</f>
        <v>1187.03807655547</v>
      </c>
      <c r="AV125" s="35">
        <f>SUM(AR125:AU125)</f>
        <v>5497.59778164714</v>
      </c>
      <c r="AW125" s="35">
        <f>SUM(AW118,AW119,AW123,AW124)</f>
        <v>2155.49316959225</v>
      </c>
      <c r="AX125" s="35">
        <f>SUM(AX118,AX119,AX123,AX124)</f>
        <v>1454.30864454417</v>
      </c>
      <c r="AY125" s="35">
        <f>SUM(AY118,AY119,AY123,AY124)</f>
        <v>1531.38782908326</v>
      </c>
      <c r="AZ125" s="35">
        <f>SUM(AZ118,AZ119,AZ123,AZ124)</f>
        <v>1415.77620606571</v>
      </c>
      <c r="BA125" s="35">
        <f>SUM(AW125:AZ125)</f>
        <v>6556.96584928539</v>
      </c>
      <c r="BB125" s="35">
        <f>SUM(BB118,BB119,BB123,BB124)</f>
        <v>2560.07177826494</v>
      </c>
      <c r="BC125" s="35">
        <f>SUM(BC118,BC119,BC123,BC124)</f>
        <v>1727.27734437153</v>
      </c>
      <c r="BD125" s="35">
        <f>SUM(BD118,BD119,BD123,BD124)</f>
        <v>1818.8240251098</v>
      </c>
      <c r="BE125" s="35">
        <f>SUM(BE118,BE119,BE123,BE124)</f>
        <v>1681.5125005353</v>
      </c>
      <c r="BF125" s="35">
        <f>SUM(BB125:BE125)</f>
        <v>7787.68564828157</v>
      </c>
      <c r="BG125" s="35" t="n"/>
      <c r="BH125" s="35" t="n"/>
      <c r="BI125" s="35" t="n"/>
      <c r="BJ125" s="35" t="n"/>
      <c r="BK125" s="35" t="n"/>
      <c r="BL125" s="35" t="n"/>
      <c r="BM125" s="35" t="n"/>
      <c r="BN125" s="35" t="n"/>
      <c r="BO125" s="35" t="n"/>
      <c r="BP125" s="35" t="n"/>
      <c r="BQ125" s="35" t="n"/>
      <c r="BR125" s="35" t="n"/>
      <c r="BS125" s="35" t="n"/>
      <c r="BT125" s="35" t="n"/>
      <c r="BU125" s="35" t="n"/>
      <c r="BV125" s="35" t="n"/>
      <c r="BW125" s="35" t="n"/>
      <c r="BX125" s="35" t="n"/>
      <c r="BY125" s="35" t="n"/>
      <c r="BZ125" s="35" t="n"/>
      <c r="CA125" s="35" t="n"/>
      <c r="CB125" s="35" t="n"/>
      <c r="CC125" s="35" t="n"/>
      <c r="CD125" s="35" t="n"/>
      <c r="CE125" s="35" t="n"/>
      <c r="CF125" s="35" t="n"/>
      <c r="CG125" s="35" t="n"/>
      <c r="CH125" s="35" t="n"/>
      <c r="CI125" s="35" t="n"/>
      <c r="CJ125" s="35" t="n"/>
      <c r="CK125" s="35" t="n"/>
      <c r="CL125" s="35" t="n"/>
      <c r="CM125" s="35" t="n"/>
      <c r="CN125" s="35" t="n"/>
      <c r="CO125" s="35" t="n"/>
      <c r="CP125" s="35" t="n"/>
      <c r="CQ125" s="35" t="n"/>
      <c r="CR125" s="35" t="n"/>
      <c r="CS125" s="35" t="n"/>
      <c r="CT125" s="35" t="n"/>
      <c r="CU125" s="35" t="n"/>
      <c r="CV125" s="35" t="n"/>
      <c r="CW125" s="35" t="n"/>
      <c r="CX125" s="35" t="n"/>
      <c r="CY125" s="35" t="n"/>
    </row>
    <row r="126">
      <c r="C126" s="13" t="inlineStr">
        <is>
          <t>Common Dividends</t>
        </is>
      </c>
      <c r="D126" s="46" t="n"/>
      <c r="E126" s="46" t="n"/>
      <c r="F126" s="46" t="n"/>
      <c r="G126" s="46" t="n"/>
      <c r="H126" s="12" t="n"/>
      <c r="I126" s="46">
        <f>'Inputs (2)'!D13</f>
        <v>0</v>
      </c>
      <c r="J126" s="46">
        <f>'Inputs (2)'!E13</f>
        <v>0</v>
      </c>
      <c r="K126" s="46">
        <f>'Inputs (2)'!F13</f>
        <v>0</v>
      </c>
      <c r="L126" s="46">
        <f>'Inputs (2)'!G13</f>
        <v>0</v>
      </c>
      <c r="M126" s="12">
        <f>'Inputs (2)'!H13</f>
        <v>0</v>
      </c>
      <c r="N126" s="46">
        <f>'Inputs (2)'!I13</f>
        <v>-46</v>
      </c>
      <c r="O126" s="46">
        <f>'Inputs (2)'!J13</f>
        <v>-47</v>
      </c>
      <c r="P126" s="46">
        <f>'Inputs (2)'!K13</f>
        <v>-46</v>
      </c>
      <c r="Q126" s="46">
        <f>'Inputs (2)'!L13</f>
        <v>-46</v>
      </c>
      <c r="R126" s="12">
        <f>'Inputs (2)'!M13</f>
        <v>-185</v>
      </c>
      <c r="S126" s="46">
        <f>'Inputs (2)'!N13</f>
        <v>-93</v>
      </c>
      <c r="T126" s="46">
        <f>'Inputs (2)'!O13</f>
        <v>-92</v>
      </c>
      <c r="U126" s="46">
        <f>'Inputs (2)'!P13</f>
        <v>-92</v>
      </c>
      <c r="V126" s="46">
        <f>'Inputs (2)'!Q13</f>
        <v>-89</v>
      </c>
      <c r="W126" s="12">
        <f>'Inputs (2)'!R13</f>
        <v>-366</v>
      </c>
      <c r="X126" s="46">
        <f>'Inputs (2)'!S13</f>
        <v>-112</v>
      </c>
      <c r="Y126" s="46">
        <f>'Inputs (2)'!T13</f>
        <v>-110</v>
      </c>
      <c r="Z126" s="46">
        <f>'Inputs (2)'!U13</f>
        <v>-111</v>
      </c>
      <c r="AA126" s="46">
        <f>'Inputs (2)'!V13</f>
        <v>-111</v>
      </c>
      <c r="AB126" s="12">
        <f>'Inputs (2)'!W13</f>
        <v>-444</v>
      </c>
      <c r="AC126" s="46">
        <f>'Inputs (2)'!X13</f>
        <v>-122</v>
      </c>
      <c r="AD126" s="46">
        <f>'Inputs (2)'!Y13</f>
        <v>-122</v>
      </c>
      <c r="AE126" s="46">
        <f>'Inputs (2)'!Z13</f>
        <v>-121</v>
      </c>
      <c r="AF126" s="46">
        <f>'Inputs (2)'!AA13</f>
        <v>-121</v>
      </c>
      <c r="AG126" s="12">
        <f>'Inputs (2)'!AB13</f>
        <v>-486</v>
      </c>
      <c r="AH126" s="12">
        <f>'Inputs (2)'!AC13</f>
        <v>-155</v>
      </c>
      <c r="AI126" s="12">
        <f>'Inputs (2)'!AD13</f>
        <v>-154</v>
      </c>
      <c r="AJ126" s="12">
        <f>-MAX(0,AJ125)*Control!$E$15</f>
        <v>0</v>
      </c>
      <c r="AK126" s="12">
        <f>-MAX(0,AK125)*Control!$E$15</f>
        <v>0</v>
      </c>
      <c r="AL126" s="12">
        <f>SUM(AH126:AK126)</f>
        <v>-309</v>
      </c>
      <c r="AM126" s="12">
        <f>-MAX(0,AM125)*Control!$E$15</f>
        <v>0</v>
      </c>
      <c r="AN126" s="12">
        <f>-MAX(0,AN125)*Control!$E$15</f>
        <v>0</v>
      </c>
      <c r="AO126" s="12">
        <f>-MAX(0,AO125)*Control!$E$15</f>
        <v>0</v>
      </c>
      <c r="AP126" s="12">
        <f>-MAX(0,AP125)*Control!$E$15</f>
        <v>0</v>
      </c>
      <c r="AQ126" s="12">
        <f>SUM(AM126:AP126)</f>
        <v>0</v>
      </c>
      <c r="AR126" s="12">
        <f>-MAX(0,AR125)*Control!$E$15</f>
        <v>0</v>
      </c>
      <c r="AS126" s="12">
        <f>-MAX(0,AS125)*Control!$E$15</f>
        <v>0</v>
      </c>
      <c r="AT126" s="12">
        <f>-MAX(0,AT125)*Control!$E$15</f>
        <v>0</v>
      </c>
      <c r="AU126" s="12">
        <f>-MAX(0,AU125)*Control!$E$15</f>
        <v>0</v>
      </c>
      <c r="AV126" s="12">
        <f>SUM(AR126:AU126)</f>
        <v>0</v>
      </c>
      <c r="AW126" s="12">
        <f>-MAX(0,AW125)*Control!$E$15</f>
        <v>0</v>
      </c>
      <c r="AX126" s="12">
        <f>-MAX(0,AX125)*Control!$E$15</f>
        <v>0</v>
      </c>
      <c r="AY126" s="12">
        <f>-MAX(0,AY125)*Control!$E$15</f>
        <v>0</v>
      </c>
      <c r="AZ126" s="12">
        <f>-MAX(0,AZ125)*Control!$E$15</f>
        <v>0</v>
      </c>
      <c r="BA126" s="12">
        <f>SUM(AW126:AZ126)</f>
        <v>0</v>
      </c>
      <c r="BB126" s="12">
        <f>-MAX(0,BB125)*Control!$E$15</f>
        <v>0</v>
      </c>
      <c r="BC126" s="12">
        <f>-MAX(0,BC125)*Control!$E$15</f>
        <v>0</v>
      </c>
      <c r="BD126" s="12">
        <f>-MAX(0,BD125)*Control!$E$15</f>
        <v>0</v>
      </c>
      <c r="BE126" s="12">
        <f>-MAX(0,BE125)*Control!$E$15</f>
        <v>0</v>
      </c>
      <c r="BF126" s="12">
        <f>SUM(BB126:BE126)</f>
        <v>0</v>
      </c>
      <c r="BG126" s="12" t="n"/>
      <c r="BH126" s="12" t="n"/>
      <c r="BI126" s="12" t="n"/>
      <c r="BJ126" s="12" t="n"/>
      <c r="BK126" s="12" t="n"/>
      <c r="BL126" s="12" t="n"/>
      <c r="BM126" s="12" t="n"/>
      <c r="BN126" s="12" t="n"/>
      <c r="BO126" s="12" t="n"/>
      <c r="BP126" s="12" t="n"/>
      <c r="BQ126" s="12" t="n"/>
      <c r="BR126" s="12" t="n"/>
      <c r="BS126" s="12" t="n"/>
      <c r="BT126" s="12" t="n"/>
      <c r="BU126" s="12" t="n"/>
      <c r="BV126" s="12" t="n"/>
      <c r="BW126" s="12" t="n"/>
      <c r="BX126" s="12" t="n"/>
      <c r="BY126" s="12" t="n"/>
      <c r="BZ126" s="12" t="n"/>
      <c r="CA126" s="12" t="n"/>
      <c r="CB126" s="12" t="n"/>
      <c r="CC126" s="12" t="n"/>
      <c r="CD126" s="12" t="n"/>
      <c r="CE126" s="12" t="n"/>
      <c r="CF126" s="12" t="n"/>
      <c r="CG126" s="12" t="n"/>
      <c r="CH126" s="12" t="n"/>
      <c r="CI126" s="12" t="n"/>
      <c r="CJ126" s="12" t="n"/>
      <c r="CK126" s="12" t="n"/>
      <c r="CL126" s="12" t="n"/>
      <c r="CM126" s="12" t="n"/>
      <c r="CN126" s="12" t="n"/>
      <c r="CO126" s="12" t="n"/>
      <c r="CP126" s="12" t="n"/>
      <c r="CQ126" s="12" t="n"/>
      <c r="CR126" s="12" t="n"/>
      <c r="CS126" s="12" t="n"/>
      <c r="CT126" s="12" t="n"/>
      <c r="CU126" s="12" t="n"/>
      <c r="CV126" s="12" t="n"/>
      <c r="CW126" s="12" t="n"/>
      <c r="CX126" s="12" t="n"/>
      <c r="CY126" s="12" t="n"/>
    </row>
    <row r="127" hidden="1" outlineLevel="1">
      <c r="C127" s="50" t="inlineStr">
        <is>
          <t>% DVD Payout</t>
        </is>
      </c>
      <c r="D127" s="58" t="n"/>
      <c r="E127" s="58" t="n"/>
      <c r="F127" s="58" t="n"/>
      <c r="G127" s="58" t="n"/>
      <c r="H127" s="58" t="n"/>
      <c r="I127" s="58">
        <f>IF(I125=0,"",-I126/I125)</f>
        <v>0</v>
      </c>
      <c r="J127" s="58">
        <f>IF(J125=0,"",-J126/J125)</f>
        <v>0</v>
      </c>
      <c r="K127" s="58">
        <f>IF(K125=0,"",-K126/K125)</f>
        <v>0</v>
      </c>
      <c r="L127" s="58">
        <f>IF(L125=0,"",-L126/L125)</f>
        <v>0</v>
      </c>
      <c r="M127" s="58">
        <f>IF(M125=0,"",-M126/M125)</f>
        <v>0</v>
      </c>
      <c r="N127" s="58">
        <f>IF(N125=0,"",-N126/N125)</f>
        <v>0.433962264150943</v>
      </c>
      <c r="O127" s="58">
        <f>IF(O125=0,"",-O126/O125)</f>
        <v>-0.423423423423423</v>
      </c>
      <c r="P127" s="58">
        <f>IF(P125=0,"",-P126/P125)</f>
        <v>-0.24468085106383</v>
      </c>
      <c r="Q127" s="58">
        <f>IF(Q125=0,"",-Q126/Q125)</f>
        <v>1.35294117647059</v>
      </c>
      <c r="R127" s="58">
        <f>IF(R125=0,"",-R126/R125)</f>
        <v>-1.16352201257862</v>
      </c>
      <c r="S127" s="58">
        <f>IF(S125=0,"",-S126/S125)</f>
        <v>0.96875</v>
      </c>
      <c r="T127" s="58">
        <f>IF(T125=0,"",-T126/T125)</f>
        <v>0.110444177671068</v>
      </c>
      <c r="U127" s="58">
        <f>IF(U125=0,"",-U126/U125)</f>
        <v>0.125854993160055</v>
      </c>
      <c r="V127" s="58">
        <f>IF(V125=0,"",-V126/V125)</f>
        <v>-2.40540540540541</v>
      </c>
      <c r="W127" s="58">
        <f>IF(W125=0,"",-W126/W125)</f>
        <v>0.22550831792976</v>
      </c>
      <c r="X127" s="58">
        <f>IF(X125=0,"",-X126/X125)</f>
        <v>0.126840317100793</v>
      </c>
      <c r="Y127" s="58">
        <f>IF(Y125=0,"",-Y126/Y125)</f>
        <v>0.135135135135135</v>
      </c>
      <c r="Z127" s="58">
        <f>IF(Z125=0,"",-Z126/Z125)</f>
        <v>0.0925</v>
      </c>
      <c r="AA127" s="58">
        <f>IF(AA125=0,"",-AA126/AA125)</f>
        <v>0.130281690140845</v>
      </c>
      <c r="AB127" s="58">
        <f>IF(AB125=0,"",-AB126/AB125)</f>
        <v>0.118431581755135</v>
      </c>
      <c r="AC127" s="58">
        <f>IF(AC125=0,"",-AC126/AC125)</f>
        <v>1.03389830508475</v>
      </c>
      <c r="AD127" s="58">
        <f>IF(AD125=0,"",-AD126/AD125)</f>
        <v>0.145411203814064</v>
      </c>
      <c r="AE127" s="58">
        <f>IF(AE125=0,"",-AE126/AE125)</f>
        <v>0.13010752688172</v>
      </c>
      <c r="AF127" s="41">
        <f>IF(AF125=0,"",-AF126/AF125)</f>
        <v>0.280092592592593</v>
      </c>
      <c r="AG127" s="12">
        <f>IF(AG125=0,"",-AG126/AG125)</f>
        <v>0.209573091849935</v>
      </c>
      <c r="AH127" s="41">
        <f>IF(AH125=0,"",-AH126/AH125)</f>
        <v>0.0974842767295598</v>
      </c>
      <c r="AI127" s="41">
        <f>IF(AI125=0,"",-AI126/AI125)</f>
        <v>0.300194931773879</v>
      </c>
      <c r="AJ127" s="41">
        <f>IF(AJ125=0,"",-AJ126/AJ125)</f>
        <v>0</v>
      </c>
      <c r="AK127" s="41">
        <f>IF(AK125=0,"",-AK126/AK125)</f>
        <v>0</v>
      </c>
      <c r="AL127" s="12">
        <f>IF(AL125=0,"",-AL126/AL125)</f>
        <v>0.0809234375948068</v>
      </c>
      <c r="AM127" s="41">
        <f>IF(AM125=0,"",-AM126/AM125)</f>
        <v>0</v>
      </c>
      <c r="AN127" s="41">
        <f>IF(AN125=0,"",-AN126/AN125)</f>
        <v>0</v>
      </c>
      <c r="AO127" s="41">
        <f>IF(AO125=0,"",-AO126/AO125)</f>
        <v>0</v>
      </c>
      <c r="AP127" s="41">
        <f>IF(AP125=0,"",-AP126/AP125)</f>
        <v>0</v>
      </c>
      <c r="AQ127" s="12">
        <f>IF(AQ125=0,"",-AQ126/AQ125)</f>
        <v>0</v>
      </c>
      <c r="AR127" s="41">
        <f>IF(AR125=0,"",-AR126/AR125)</f>
        <v>0</v>
      </c>
      <c r="AS127" s="41">
        <f>IF(AS125=0,"",-AS126/AS125)</f>
        <v>0</v>
      </c>
      <c r="AT127" s="41">
        <f>IF(AT125=0,"",-AT126/AT125)</f>
        <v>0</v>
      </c>
      <c r="AU127" s="41">
        <f>IF(AU125=0,"",-AU126/AU125)</f>
        <v>0</v>
      </c>
      <c r="AV127" s="12">
        <f>IF(AV125=0,"",-AV126/AV125)</f>
        <v>0</v>
      </c>
      <c r="AW127" s="41">
        <f>IF(AW125=0,"",-AW126/AW125)</f>
        <v>0</v>
      </c>
      <c r="AX127" s="41">
        <f>IF(AX125=0,"",-AX126/AX125)</f>
        <v>0</v>
      </c>
      <c r="AY127" s="41">
        <f>IF(AY125=0,"",-AY126/AY125)</f>
        <v>0</v>
      </c>
      <c r="AZ127" s="41">
        <f>IF(AZ125=0,"",-AZ126/AZ125)</f>
        <v>0</v>
      </c>
      <c r="BA127" s="12">
        <f>IF(BA125=0,"",-BA126/BA125)</f>
        <v>0</v>
      </c>
      <c r="BB127" s="41">
        <f>IF(BB125=0,"",-BB126/BB125)</f>
        <v>0</v>
      </c>
      <c r="BC127" s="41">
        <f>IF(BC125=0,"",-BC126/BC125)</f>
        <v>0</v>
      </c>
      <c r="BD127" s="41">
        <f>IF(BD125=0,"",-BD126/BD125)</f>
        <v>0</v>
      </c>
      <c r="BE127" s="41">
        <f>IF(BE125=0,"",-BE126/BE125)</f>
        <v>0</v>
      </c>
      <c r="BF127" s="12">
        <f>IF(BF125=0,"",-BF126/BF125)</f>
        <v>0</v>
      </c>
      <c r="BG127" s="41" t="n"/>
      <c r="BH127" s="41" t="n"/>
      <c r="BI127" s="41" t="n"/>
      <c r="BJ127" s="41" t="n"/>
      <c r="BK127" s="12" t="n"/>
      <c r="BL127" s="41" t="n"/>
      <c r="BM127" s="41" t="n"/>
      <c r="BN127" s="41" t="n"/>
      <c r="BO127" s="41" t="n"/>
      <c r="BP127" s="12" t="n"/>
      <c r="BQ127" s="41" t="n"/>
      <c r="BR127" s="41" t="n"/>
      <c r="BS127" s="41" t="n"/>
      <c r="BT127" s="41" t="n"/>
      <c r="BU127" s="12" t="n"/>
      <c r="BV127" s="41" t="n"/>
      <c r="BW127" s="41" t="n"/>
      <c r="BX127" s="41" t="n"/>
      <c r="BY127" s="41" t="n"/>
      <c r="BZ127" s="12" t="n"/>
      <c r="CA127" s="41" t="n"/>
      <c r="CB127" s="41" t="n"/>
      <c r="CC127" s="41" t="n"/>
      <c r="CD127" s="41" t="n"/>
      <c r="CE127" s="12" t="n"/>
      <c r="CF127" s="41" t="n"/>
      <c r="CG127" s="41" t="n"/>
      <c r="CH127" s="41" t="n"/>
      <c r="CI127" s="41" t="n"/>
      <c r="CJ127" s="12" t="n"/>
      <c r="CK127" s="41" t="n"/>
      <c r="CL127" s="41" t="n"/>
      <c r="CM127" s="41" t="n"/>
      <c r="CN127" s="41" t="n"/>
      <c r="CO127" s="12" t="n"/>
      <c r="CP127" s="41" t="n"/>
      <c r="CQ127" s="41" t="n"/>
      <c r="CR127" s="41" t="n"/>
      <c r="CS127" s="41" t="n"/>
      <c r="CT127" s="12" t="n"/>
      <c r="CU127" s="41" t="n"/>
      <c r="CV127" s="41" t="n"/>
      <c r="CW127" s="41" t="n"/>
      <c r="CX127" s="41" t="n"/>
      <c r="CY127" s="12" t="n"/>
    </row>
    <row r="128" hidden="1" outlineLevel="1">
      <c r="C128" s="18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  <c r="CI128" s="3" t="n"/>
      <c r="CJ128" s="3" t="n"/>
      <c r="CK128" s="3" t="n"/>
      <c r="CL128" s="3" t="n"/>
      <c r="CM128" s="3" t="n"/>
      <c r="CN128" s="3" t="n"/>
      <c r="CO128" s="3" t="n"/>
      <c r="CP128" s="3" t="n"/>
      <c r="CQ128" s="3" t="n"/>
      <c r="CR128" s="3" t="n"/>
      <c r="CS128" s="3" t="n"/>
      <c r="CT128" s="3" t="n"/>
      <c r="CU128" s="3" t="n"/>
      <c r="CV128" s="3" t="n"/>
      <c r="CW128" s="3" t="n"/>
      <c r="CX128" s="3" t="n"/>
      <c r="CY128" s="3" t="n"/>
    </row>
    <row r="129" hidden="1" outlineLevel="1">
      <c r="C129" s="18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  <c r="BY129" s="3" t="n"/>
      <c r="BZ129" s="3" t="n"/>
      <c r="CA129" s="3" t="n"/>
      <c r="CB129" s="3" t="n"/>
      <c r="CC129" s="3" t="n"/>
      <c r="CD129" s="3" t="n"/>
      <c r="CE129" s="3" t="n"/>
      <c r="CF129" s="3" t="n"/>
      <c r="CG129" s="3" t="n"/>
      <c r="CH129" s="3" t="n"/>
      <c r="CI129" s="3" t="n"/>
      <c r="CJ129" s="3" t="n"/>
      <c r="CK129" s="3" t="n"/>
      <c r="CL129" s="3" t="n"/>
      <c r="CM129" s="3" t="n"/>
      <c r="CN129" s="3" t="n"/>
      <c r="CO129" s="3" t="n"/>
      <c r="CP129" s="3" t="n"/>
      <c r="CQ129" s="3" t="n"/>
      <c r="CR129" s="3" t="n"/>
      <c r="CS129" s="3" t="n"/>
      <c r="CT129" s="3" t="n"/>
      <c r="CU129" s="3" t="n"/>
      <c r="CV129" s="3" t="n"/>
      <c r="CW129" s="3" t="n"/>
      <c r="CX129" s="3" t="n"/>
      <c r="CY129" s="3" t="n"/>
    </row>
    <row r="130" collapsed="1" ht="11.25" customHeight="1">
      <c r="C130" s="31" t="inlineStr">
        <is>
          <t>Balance Sheet</t>
        </is>
      </c>
      <c r="D130" s="31" t="n"/>
      <c r="E130" s="31" t="n"/>
      <c r="F130" s="31" t="n"/>
      <c r="G130" s="31" t="n"/>
      <c r="H130" s="31" t="n"/>
      <c r="I130" s="31" t="str">
        <f>I13</f>
        <v>1Q21</v>
      </c>
      <c r="J130" s="31" t="str">
        <f>J13</f>
        <v>2Q21</v>
      </c>
      <c r="K130" s="31" t="str">
        <f>K13</f>
        <v>3Q21</v>
      </c>
      <c r="L130" s="31" t="str">
        <f>L13</f>
        <v>4Q21</v>
      </c>
      <c r="M130" s="31">
        <f>M13</f>
        <v>2021</v>
      </c>
      <c r="N130" s="31" t="str">
        <f>N13</f>
        <v>1Q22</v>
      </c>
      <c r="O130" s="31" t="str">
        <f>O13</f>
        <v>2Q22</v>
      </c>
      <c r="P130" s="31" t="str">
        <f>P13</f>
        <v>3Q22</v>
      </c>
      <c r="Q130" s="31" t="str">
        <f>Q13</f>
        <v>4Q22</v>
      </c>
      <c r="R130" s="31">
        <f>R13</f>
        <v>2022</v>
      </c>
      <c r="S130" s="31" t="str">
        <f>S13</f>
        <v>1Q23</v>
      </c>
      <c r="T130" s="31" t="str">
        <f>T13</f>
        <v>2Q23</v>
      </c>
      <c r="U130" s="31" t="str">
        <f>U13</f>
        <v>3Q23</v>
      </c>
      <c r="V130" s="31" t="str">
        <f>V13</f>
        <v>4Q23</v>
      </c>
      <c r="W130" s="31">
        <f>W13</f>
        <v>2023</v>
      </c>
      <c r="X130" s="31" t="str">
        <f>X13</f>
        <v>1Q24</v>
      </c>
      <c r="Y130" s="31" t="str">
        <f>Y13</f>
        <v>2Q24</v>
      </c>
      <c r="Z130" s="31" t="str">
        <f>Z13</f>
        <v>3Q24</v>
      </c>
      <c r="AA130" s="31" t="str">
        <f>AA13</f>
        <v>4Q24</v>
      </c>
      <c r="AB130" s="31">
        <f>AB13</f>
        <v>2024</v>
      </c>
      <c r="AC130" s="31" t="str">
        <f>AC13</f>
        <v>1Q25</v>
      </c>
      <c r="AD130" s="31" t="str">
        <f>AD13</f>
        <v>2Q25</v>
      </c>
      <c r="AE130" s="31" t="str">
        <f>AE13</f>
        <v>3Q25</v>
      </c>
      <c r="AF130" s="31" t="str">
        <f>AF13</f>
        <v>4Q25</v>
      </c>
      <c r="AG130" s="31">
        <f>AG13</f>
        <v>2025</v>
      </c>
      <c r="AH130" s="31" t="str">
        <f>AH13</f>
        <v>1Q26</v>
      </c>
      <c r="AI130" s="31" t="str">
        <f>AI13</f>
        <v>2Q26</v>
      </c>
      <c r="AJ130" s="31" t="str">
        <f>AJ13</f>
        <v>3Q26</v>
      </c>
      <c r="AK130" s="31" t="str">
        <f>AK13</f>
        <v>4Q26</v>
      </c>
      <c r="AL130" s="31">
        <f>AL13</f>
        <v>2026</v>
      </c>
      <c r="AM130" s="31" t="str">
        <f>AM13</f>
        <v>1Q27</v>
      </c>
      <c r="AN130" s="31" t="str">
        <f>AN13</f>
        <v>2Q27</v>
      </c>
      <c r="AO130" s="31" t="str">
        <f>AO13</f>
        <v>3Q27</v>
      </c>
      <c r="AP130" s="31" t="str">
        <f>AP13</f>
        <v>4Q27</v>
      </c>
      <c r="AQ130" s="31">
        <f>AQ13</f>
        <v>2027</v>
      </c>
      <c r="AR130" s="31" t="str">
        <f>AR13</f>
        <v>1Q28</v>
      </c>
      <c r="AS130" s="31" t="str">
        <f>AS13</f>
        <v>2Q28</v>
      </c>
      <c r="AT130" s="31" t="str">
        <f>AT13</f>
        <v>3Q28</v>
      </c>
      <c r="AU130" s="31" t="str">
        <f>AU13</f>
        <v>4Q28</v>
      </c>
      <c r="AV130" s="31">
        <f>AV13</f>
        <v>2028</v>
      </c>
      <c r="AW130" s="31" t="str">
        <f>AW13</f>
        <v>1Q29</v>
      </c>
      <c r="AX130" s="31" t="str">
        <f>AX13</f>
        <v>2Q29</v>
      </c>
      <c r="AY130" s="31" t="str">
        <f>AY13</f>
        <v>3Q29</v>
      </c>
      <c r="AZ130" s="31" t="str">
        <f>AZ13</f>
        <v>4Q29</v>
      </c>
      <c r="BA130" s="31">
        <f>BA13</f>
        <v>2029</v>
      </c>
      <c r="BB130" s="31" t="str">
        <f>BB13</f>
        <v>1Q30</v>
      </c>
      <c r="BC130" s="31" t="str">
        <f>BC13</f>
        <v>2Q30</v>
      </c>
      <c r="BD130" s="31" t="str">
        <f>BD13</f>
        <v>3Q30</v>
      </c>
      <c r="BE130" s="31" t="str">
        <f>BE13</f>
        <v>4Q30</v>
      </c>
      <c r="BF130" s="31">
        <f>BF13</f>
        <v>2030</v>
      </c>
      <c r="BG130" s="31" t="n"/>
      <c r="BH130" s="31" t="n"/>
      <c r="BI130" s="31" t="n"/>
      <c r="BJ130" s="31" t="n"/>
      <c r="BK130" s="31" t="n"/>
      <c r="BL130" s="31" t="n"/>
      <c r="BM130" s="31" t="n"/>
      <c r="BN130" s="31" t="n"/>
      <c r="BO130" s="31" t="n"/>
      <c r="BP130" s="31" t="n"/>
      <c r="BQ130" s="31" t="n"/>
      <c r="BR130" s="31" t="n"/>
      <c r="BS130" s="31" t="n"/>
      <c r="BT130" s="31" t="n"/>
      <c r="BU130" s="31" t="n"/>
      <c r="BV130" s="31" t="n"/>
      <c r="BW130" s="31" t="n"/>
      <c r="BX130" s="31" t="n"/>
      <c r="BY130" s="31" t="n"/>
      <c r="BZ130" s="31" t="n"/>
      <c r="CA130" s="31" t="n"/>
      <c r="CB130" s="31" t="n"/>
      <c r="CC130" s="31" t="n"/>
      <c r="CD130" s="31" t="n"/>
      <c r="CE130" s="31" t="n"/>
      <c r="CF130" s="31" t="n"/>
      <c r="CG130" s="31" t="n"/>
      <c r="CH130" s="31" t="n"/>
      <c r="CI130" s="31" t="n"/>
      <c r="CJ130" s="31" t="n"/>
      <c r="CK130" s="31" t="n"/>
      <c r="CL130" s="31" t="n"/>
      <c r="CM130" s="31" t="n"/>
      <c r="CN130" s="31" t="n"/>
      <c r="CO130" s="31" t="n"/>
      <c r="CP130" s="31" t="n"/>
      <c r="CQ130" s="31" t="n"/>
      <c r="CR130" s="31" t="n"/>
      <c r="CS130" s="31" t="n"/>
      <c r="CT130" s="31" t="n"/>
      <c r="CU130" s="31" t="n"/>
      <c r="CV130" s="31" t="n"/>
      <c r="CW130" s="31" t="n"/>
      <c r="CX130" s="31" t="n"/>
      <c r="CY130" s="31" t="n"/>
    </row>
    <row r="131">
      <c r="C131" s="18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  <c r="AW131" s="3" t="n"/>
      <c r="AX131" s="3" t="n"/>
      <c r="AY131" s="3" t="n"/>
      <c r="AZ131" s="3" t="n"/>
      <c r="BA131" s="3" t="n"/>
      <c r="BB131" s="3" t="n"/>
      <c r="BC131" s="3" t="n"/>
      <c r="BD131" s="3" t="n"/>
      <c r="BE131" s="3" t="n"/>
      <c r="BF131" s="3" t="n"/>
      <c r="BG131" s="3" t="n"/>
      <c r="BH131" s="3" t="n"/>
      <c r="BI131" s="3" t="n"/>
      <c r="BJ131" s="3" t="n"/>
      <c r="BK131" s="3" t="n"/>
      <c r="BL131" s="3" t="n"/>
      <c r="BM131" s="3" t="n"/>
      <c r="BN131" s="3" t="n"/>
      <c r="BO131" s="3" t="n"/>
      <c r="BP131" s="3" t="n"/>
      <c r="BQ131" s="3" t="n"/>
      <c r="BR131" s="3" t="n"/>
      <c r="BS131" s="3" t="n"/>
      <c r="BT131" s="3" t="n"/>
      <c r="BU131" s="3" t="n"/>
      <c r="BV131" s="3" t="n"/>
      <c r="BW131" s="3" t="n"/>
      <c r="BX131" s="3" t="n"/>
      <c r="BY131" s="3" t="n"/>
      <c r="BZ131" s="3" t="n"/>
      <c r="CA131" s="3" t="n"/>
      <c r="CB131" s="3" t="n"/>
      <c r="CC131" s="3" t="n"/>
      <c r="CD131" s="3" t="n"/>
      <c r="CE131" s="3" t="n"/>
      <c r="CF131" s="3" t="n"/>
      <c r="CG131" s="3" t="n"/>
      <c r="CH131" s="3" t="n"/>
      <c r="CI131" s="3" t="n"/>
      <c r="CJ131" s="3" t="n"/>
      <c r="CK131" s="3" t="n"/>
      <c r="CL131" s="3" t="n"/>
      <c r="CM131" s="3" t="n"/>
      <c r="CN131" s="3" t="n"/>
      <c r="CO131" s="3" t="n"/>
      <c r="CP131" s="3" t="n"/>
      <c r="CQ131" s="3" t="n"/>
      <c r="CR131" s="3" t="n"/>
      <c r="CS131" s="3" t="n"/>
      <c r="CT131" s="3" t="n"/>
      <c r="CU131" s="3" t="n"/>
      <c r="CV131" s="3" t="n"/>
      <c r="CW131" s="3" t="n"/>
      <c r="CX131" s="3" t="n"/>
      <c r="CY131" s="3" t="n"/>
    </row>
    <row r="132">
      <c r="C132" s="13" t="inlineStr">
        <is>
          <t>Cash and equivalents (inc. investment securities)</t>
        </is>
      </c>
      <c r="D132" s="46" t="n"/>
      <c r="E132" s="46" t="n"/>
      <c r="F132" s="46" t="n"/>
      <c r="G132" s="46" t="n"/>
      <c r="H132" s="12" t="n"/>
      <c r="I132" s="46">
        <f>'Inputs (2)'!D15</f>
        <v>0</v>
      </c>
      <c r="J132" s="46">
        <f>'Inputs (2)'!E15</f>
        <v>0</v>
      </c>
      <c r="K132" s="46">
        <f>'Inputs (2)'!F15</f>
        <v>0</v>
      </c>
      <c r="L132" s="46">
        <f>'Inputs (2)'!G15</f>
        <v>1080</v>
      </c>
      <c r="M132" s="12">
        <f>'Inputs (2)'!H15</f>
        <v>1080</v>
      </c>
      <c r="N132" s="46">
        <f>'Inputs (2)'!I15</f>
        <v>3301</v>
      </c>
      <c r="O132" s="46">
        <f>'Inputs (2)'!J15</f>
        <v>1732</v>
      </c>
      <c r="P132" s="46">
        <f>'Inputs (2)'!K15</f>
        <v>2495</v>
      </c>
      <c r="Q132" s="46">
        <f>'Inputs (2)'!L15</f>
        <v>950</v>
      </c>
      <c r="R132" s="12">
        <f>'Inputs (2)'!M15</f>
        <v>950</v>
      </c>
      <c r="S132" s="46">
        <f>'Inputs (2)'!N15</f>
        <v>573</v>
      </c>
      <c r="T132" s="46">
        <f>'Inputs (2)'!O15</f>
        <v>594</v>
      </c>
      <c r="U132" s="46">
        <f>'Inputs (2)'!P15</f>
        <v>3866</v>
      </c>
      <c r="V132" s="46">
        <f>'Inputs (2)'!Q15</f>
        <v>822</v>
      </c>
      <c r="W132" s="12">
        <f>'Inputs (2)'!R15</f>
        <v>822</v>
      </c>
      <c r="X132" s="46">
        <f>'Inputs (2)'!S15</f>
        <v>1207</v>
      </c>
      <c r="Y132" s="46">
        <f>'Inputs (2)'!T15</f>
        <v>694</v>
      </c>
      <c r="Z132" s="46">
        <f>'Inputs (2)'!U15</f>
        <v>3675</v>
      </c>
      <c r="AA132" s="46">
        <f>'Inputs (2)'!V15</f>
        <v>6151</v>
      </c>
      <c r="AB132" s="12">
        <f>'Inputs (2)'!W15</f>
        <v>6151</v>
      </c>
      <c r="AC132" s="46">
        <f>'Inputs (2)'!X15</f>
        <v>3788</v>
      </c>
      <c r="AD132" s="46">
        <f>'Inputs (2)'!Y15</f>
        <v>4036</v>
      </c>
      <c r="AE132" s="46">
        <f>'Inputs (2)'!Z15</f>
        <v>8050</v>
      </c>
      <c r="AF132" s="46">
        <f>'Inputs (2)'!AA15</f>
        <v>7389</v>
      </c>
      <c r="AG132" s="12">
        <f>'Inputs (2)'!AB15</f>
        <v>7389</v>
      </c>
      <c r="AH132" s="12">
        <f>'Inputs (2)'!AC15</f>
        <v>1971</v>
      </c>
      <c r="AI132" s="12">
        <f>'Inputs (2)'!AD15</f>
        <v>1774</v>
      </c>
      <c r="AJ132" s="12">
        <f>AJ261-SUM(AJ133,AJ137,AJ141,AJ142,AJ143,AJ149,AJ154,AJ164,AJ167,AJ168,AJ177)</f>
        <v>-1434.78554203712</v>
      </c>
      <c r="AK132" s="12">
        <f>AK261-SUM(AK133,AK137,AK141,AK142,AK143,AK149,AK154,AK164,AK167,AK168,AK177)</f>
        <v>-3611.1547302189</v>
      </c>
      <c r="AL132" s="12">
        <f>AK132</f>
        <v>-3611.1547302189</v>
      </c>
      <c r="AM132" s="12">
        <f>AM261-SUM(AM133,AM137,AM141,AM142,AM143,AM149,AM154,AM164,AM167,AM168,AM177)</f>
        <v>-11482.21922489</v>
      </c>
      <c r="AN132" s="12">
        <f>AN261-SUM(AN133,AN137,AN141,AN142,AN143,AN149,AN154,AN164,AN167,AN168,AN177)</f>
        <v>-12185.2509545377</v>
      </c>
      <c r="AO132" s="12">
        <f>AO261-SUM(AO133,AO137,AO141,AO142,AO143,AO149,AO154,AO164,AO167,AO168,AO177)</f>
        <v>-15618.192403756</v>
      </c>
      <c r="AP132" s="12">
        <f>AP261-SUM(AP133,AP137,AP141,AP142,AP143,AP149,AP154,AP164,AP167,AP168,AP177)</f>
        <v>-18235.7040948793</v>
      </c>
      <c r="AQ132" s="12">
        <f>AP132</f>
        <v>-18235.7040948793</v>
      </c>
      <c r="AR132" s="12">
        <f>AR261-SUM(AR133,AR137,AR141,AR142,AR143,AR149,AR154,AR164,AR167,AR168,AR177)</f>
        <v>-27550.0909809435</v>
      </c>
      <c r="AS132" s="12">
        <f>AS261-SUM(AS133,AS137,AS141,AS142,AS143,AS149,AS154,AS164,AS167,AS168,AS177)</f>
        <v>-28485.8449277202</v>
      </c>
      <c r="AT132" s="12">
        <f>AT261-SUM(AT133,AT137,AT141,AT142,AT143,AT149,AT154,AT164,AT167,AT168,AT177)</f>
        <v>-32597.4670214753</v>
      </c>
      <c r="AU132" s="12">
        <f>AU261-SUM(AU133,AU137,AU141,AU142,AU143,AU149,AU154,AU164,AU167,AU168,AU177)</f>
        <v>-35732.4517158211</v>
      </c>
      <c r="AV132" s="12">
        <f>AU132</f>
        <v>-35732.4517158211</v>
      </c>
      <c r="AW132" s="12">
        <f>AW261-SUM(AW133,AW137,AW141,AW142,AW143,AW149,AW154,AW164,AW167,AW168,AW177)</f>
        <v>-46930.6057093929</v>
      </c>
      <c r="AX132" s="12">
        <f>AX261-SUM(AX133,AX137,AX141,AX142,AX143,AX149,AX154,AX164,AX167,AX168,AX177)</f>
        <v>-47934.8784628705</v>
      </c>
      <c r="AY132" s="12">
        <f>AY261-SUM(AY133,AY137,AY141,AY142,AY143,AY149,AY154,AY164,AY167,AY168,AY177)</f>
        <v>-52838.7959054889</v>
      </c>
      <c r="AZ132" s="12">
        <f>AZ261-SUM(AZ133,AZ137,AZ141,AZ142,AZ143,AZ149,AZ154,AZ164,AZ167,AZ168,AZ177)</f>
        <v>-56577.8813015651</v>
      </c>
      <c r="BA132" s="12">
        <f>AZ132</f>
        <v>-56577.8813015651</v>
      </c>
      <c r="BB132" s="12">
        <f>BB261-SUM(BB133,BB137,BB141,BB142,BB143,BB149,BB154,BB164,BB167,BB168,BB177)</f>
        <v>-69850.4858491193</v>
      </c>
      <c r="BC132" s="12">
        <f>BC261-SUM(BC133,BC137,BC141,BC142,BC143,BC149,BC154,BC164,BC167,BC168,BC177)</f>
        <v>-71043.2571230569</v>
      </c>
      <c r="BD132" s="12">
        <f>BD261-SUM(BD133,BD137,BD141,BD142,BD143,BD149,BD154,BD164,BD167,BD168,BD177)</f>
        <v>-76867.6228992487</v>
      </c>
      <c r="BE132" s="12">
        <f>BE261-SUM(BE133,BE137,BE141,BE142,BE143,BE149,BE154,BE164,BE167,BE168,BE177)</f>
        <v>-81308.5216847588</v>
      </c>
      <c r="BF132" s="12">
        <f>BE132</f>
        <v>-81308.5216847588</v>
      </c>
      <c r="BG132" s="12" t="n"/>
      <c r="BH132" s="12" t="n"/>
      <c r="BI132" s="12" t="n"/>
      <c r="BJ132" s="12" t="n"/>
      <c r="BK132" s="12" t="n"/>
      <c r="BL132" s="12" t="n"/>
      <c r="BM132" s="12" t="n"/>
      <c r="BN132" s="12" t="n"/>
      <c r="BO132" s="12" t="n"/>
      <c r="BP132" s="12" t="n"/>
      <c r="BQ132" s="12" t="n"/>
      <c r="BR132" s="12" t="n"/>
      <c r="BS132" s="12" t="n"/>
      <c r="BT132" s="12" t="n"/>
      <c r="BU132" s="12" t="n"/>
      <c r="BV132" s="12" t="n"/>
      <c r="BW132" s="12" t="n"/>
      <c r="BX132" s="12" t="n"/>
      <c r="BY132" s="12" t="n"/>
      <c r="BZ132" s="12" t="n"/>
      <c r="CA132" s="12" t="n"/>
      <c r="CB132" s="12" t="n"/>
      <c r="CC132" s="12" t="n"/>
      <c r="CD132" s="12" t="n"/>
      <c r="CE132" s="12" t="n"/>
      <c r="CF132" s="12" t="n"/>
      <c r="CG132" s="12" t="n"/>
      <c r="CH132" s="12" t="n"/>
      <c r="CI132" s="12" t="n"/>
      <c r="CJ132" s="12" t="n"/>
      <c r="CK132" s="12" t="n"/>
      <c r="CL132" s="12" t="n"/>
      <c r="CM132" s="12" t="n"/>
      <c r="CN132" s="12" t="n"/>
      <c r="CO132" s="12" t="n"/>
      <c r="CP132" s="12" t="n"/>
      <c r="CQ132" s="12" t="n"/>
      <c r="CR132" s="12" t="n"/>
      <c r="CS132" s="12" t="n"/>
      <c r="CT132" s="12" t="n"/>
      <c r="CU132" s="12" t="n"/>
      <c r="CV132" s="12" t="n"/>
      <c r="CW132" s="12" t="n"/>
      <c r="CX132" s="12" t="n"/>
      <c r="CY132" s="12" t="n"/>
    </row>
    <row r="133">
      <c r="C133" s="14" t="inlineStr">
        <is>
          <t>Accounts receivable</t>
        </is>
      </c>
      <c r="D133" s="46" t="n"/>
      <c r="E133" s="46" t="n"/>
      <c r="F133" s="46" t="n"/>
      <c r="G133" s="46" t="n"/>
      <c r="H133" s="12" t="n"/>
      <c r="I133" s="46">
        <f>'Inputs (2)'!D16</f>
        <v>0</v>
      </c>
      <c r="J133" s="46">
        <f>'Inputs (2)'!E16</f>
        <v>0</v>
      </c>
      <c r="K133" s="46">
        <f>'Inputs (2)'!F16</f>
        <v>0</v>
      </c>
      <c r="L133" s="46">
        <f>'Inputs (2)'!G16</f>
        <v>1669</v>
      </c>
      <c r="M133" s="12">
        <f>'Inputs (2)'!H16</f>
        <v>1669</v>
      </c>
      <c r="N133" s="46">
        <f>'Inputs (2)'!I16</f>
        <v>1936</v>
      </c>
      <c r="O133" s="46">
        <f>'Inputs (2)'!J16</f>
        <v>1734</v>
      </c>
      <c r="P133" s="46">
        <f>'Inputs (2)'!K16</f>
        <v>1819</v>
      </c>
      <c r="Q133" s="46">
        <f>'Inputs (2)'!L16</f>
        <v>2585</v>
      </c>
      <c r="R133" s="12">
        <f>'Inputs (2)'!M16</f>
        <v>2585</v>
      </c>
      <c r="S133" s="46">
        <f>'Inputs (2)'!N16</f>
        <v>2147</v>
      </c>
      <c r="T133" s="46">
        <f>'Inputs (2)'!O16</f>
        <v>1306</v>
      </c>
      <c r="U133" s="46">
        <f>'Inputs (2)'!P16</f>
        <v>1541</v>
      </c>
      <c r="V133" s="46">
        <f>'Inputs (2)'!Q16</f>
        <v>1934</v>
      </c>
      <c r="W133" s="12">
        <f>'Inputs (2)'!R16</f>
        <v>1934</v>
      </c>
      <c r="X133" s="46">
        <f>'Inputs (2)'!S16</f>
        <v>1855</v>
      </c>
      <c r="Y133" s="46">
        <f>'Inputs (2)'!T16</f>
        <v>1578</v>
      </c>
      <c r="Z133" s="46">
        <f>'Inputs (2)'!U16</f>
        <v>1208</v>
      </c>
      <c r="AA133" s="46">
        <f>'Inputs (2)'!V16</f>
        <v>3116</v>
      </c>
      <c r="AB133" s="12">
        <f>'Inputs (2)'!W16</f>
        <v>3116</v>
      </c>
      <c r="AC133" s="46">
        <f>'Inputs (2)'!X16</f>
        <v>3193</v>
      </c>
      <c r="AD133" s="46">
        <f>'Inputs (2)'!Y16</f>
        <v>2947</v>
      </c>
      <c r="AE133" s="46">
        <f>'Inputs (2)'!Z16</f>
        <v>3168</v>
      </c>
      <c r="AF133" s="46">
        <f>'Inputs (2)'!AA16</f>
        <v>4266</v>
      </c>
      <c r="AG133" s="12">
        <f>'Inputs (2)'!AB16</f>
        <v>4266</v>
      </c>
      <c r="AH133" s="12">
        <f>'Inputs (2)'!AC16</f>
        <v>4414</v>
      </c>
      <c r="AI133" s="12">
        <f>'Inputs (2)'!AD16</f>
        <v>4661</v>
      </c>
      <c r="AJ133" s="12">
        <f>(AJ134/(AJ$5-AI$5))*AJ$15</f>
        <v>4115.61580151889</v>
      </c>
      <c r="AK133" s="12">
        <f>(AK134/(AK$5-AJ$5))*AK$15</f>
        <v>3804.90873339813</v>
      </c>
      <c r="AL133" s="12">
        <f>AK133</f>
        <v>3804.90873339813</v>
      </c>
      <c r="AM133" s="12">
        <f>(AM134/(AM$5-AL$5))*AM$15</f>
        <v>7121.9294146683</v>
      </c>
      <c r="AN133" s="12">
        <f>(AN134/(AN$5-AM$5))*AN$15</f>
        <v>4752.35327021425</v>
      </c>
      <c r="AO133" s="12">
        <f>(AO134/(AO$5-AN$5))*AO$15</f>
        <v>4949.83688206288</v>
      </c>
      <c r="AP133" s="12">
        <f>(AP134/(AP$5-AO$5))*AP$15</f>
        <v>4576.15056646118</v>
      </c>
      <c r="AQ133" s="12">
        <f>AP133</f>
        <v>4576.15056646118</v>
      </c>
      <c r="AR133" s="12">
        <f>(AR134/(AR$5-AQ$5))*AR$15</f>
        <v>8436.17493685491</v>
      </c>
      <c r="AS133" s="12">
        <f>(AS134/(AS$5-AR$5))*AS$15</f>
        <v>5691.87706582982</v>
      </c>
      <c r="AT133" s="12">
        <f>(AT134/(AT$5-AS$5))*AT$15</f>
        <v>5928.4025043328</v>
      </c>
      <c r="AU133" s="12">
        <f>(AU134/(AU$5-AT$5))*AU$15</f>
        <v>5480.83969730859</v>
      </c>
      <c r="AV133" s="12">
        <f>AU133</f>
        <v>5480.83969730859</v>
      </c>
      <c r="AW133" s="12">
        <f>(AW134/(AW$5-AV$5))*AW$15</f>
        <v>10173.5943937062</v>
      </c>
      <c r="AX133" s="12">
        <f>(AX134/(AX$5-AW$5))*AX$15</f>
        <v>6788.68207921078</v>
      </c>
      <c r="AY133" s="12">
        <f>(AY134/(AY$5-AX$5))*AY$15</f>
        <v>7070.78515119772</v>
      </c>
      <c r="AZ133" s="12">
        <f>(AZ134/(AZ$5-AY$5))*AZ$15</f>
        <v>6536.97854008751</v>
      </c>
      <c r="BA133" s="12">
        <f>AZ133</f>
        <v>6536.97854008751</v>
      </c>
      <c r="BB133" s="12">
        <f>(BB134/(BB$5-BA$5))*BB$15</f>
        <v>12083.1428548523</v>
      </c>
      <c r="BC133" s="12">
        <f>(BC134/(BC$5-BB$5))*BC$15</f>
        <v>8062.89421269106</v>
      </c>
      <c r="BD133" s="12">
        <f>(BD134/(BD$5-BC$5))*BD$15</f>
        <v>8397.94705504928</v>
      </c>
      <c r="BE133" s="12">
        <f>(BE134/(BE$5-BD$5))*BE$15</f>
        <v>7763.94679031497</v>
      </c>
      <c r="BF133" s="12">
        <f>BE133</f>
        <v>7763.94679031497</v>
      </c>
      <c r="BG133" s="12" t="n"/>
      <c r="BH133" s="12" t="n"/>
      <c r="BI133" s="12" t="n"/>
      <c r="BJ133" s="12" t="n"/>
      <c r="BK133" s="12" t="n"/>
      <c r="BL133" s="12" t="n"/>
      <c r="BM133" s="12" t="n"/>
      <c r="BN133" s="12" t="n"/>
      <c r="BO133" s="12" t="n"/>
      <c r="BP133" s="12" t="n"/>
      <c r="BQ133" s="12" t="n"/>
      <c r="BR133" s="12" t="n"/>
      <c r="BS133" s="12" t="n"/>
      <c r="BT133" s="12" t="n"/>
      <c r="BU133" s="12" t="n"/>
      <c r="BV133" s="12" t="n"/>
      <c r="BW133" s="12" t="n"/>
      <c r="BX133" s="12" t="n"/>
      <c r="BY133" s="12" t="n"/>
      <c r="BZ133" s="12" t="n"/>
      <c r="CA133" s="12" t="n"/>
      <c r="CB133" s="12" t="n"/>
      <c r="CC133" s="12" t="n"/>
      <c r="CD133" s="12" t="n"/>
      <c r="CE133" s="12" t="n"/>
      <c r="CF133" s="12" t="n"/>
      <c r="CG133" s="12" t="n"/>
      <c r="CH133" s="12" t="n"/>
      <c r="CI133" s="12" t="n"/>
      <c r="CJ133" s="12" t="n"/>
      <c r="CK133" s="12" t="n"/>
      <c r="CL133" s="12" t="n"/>
      <c r="CM133" s="12" t="n"/>
      <c r="CN133" s="12" t="n"/>
      <c r="CO133" s="12" t="n"/>
      <c r="CP133" s="12" t="n"/>
      <c r="CQ133" s="12" t="n"/>
      <c r="CR133" s="12" t="n"/>
      <c r="CS133" s="12" t="n"/>
      <c r="CT133" s="12" t="n"/>
      <c r="CU133" s="12" t="n"/>
      <c r="CV133" s="12" t="n"/>
      <c r="CW133" s="12" t="n"/>
      <c r="CX133" s="12" t="n"/>
      <c r="CY133" s="12" t="n"/>
    </row>
    <row r="134" hidden="1" outlineLevel="1">
      <c r="C134" s="57" t="inlineStr">
        <is>
          <t>DSO</t>
        </is>
      </c>
      <c r="D134" s="12" t="n"/>
      <c r="E134" s="12" t="n"/>
      <c r="F134" s="12" t="n"/>
      <c r="G134" s="12" t="n"/>
      <c r="H134" s="12" t="n"/>
      <c r="I134" s="12">
        <f>IFERROR((I133/I$15)*(I$5-H$5),"")</f>
        <v>0</v>
      </c>
      <c r="J134" s="12">
        <f>IFERROR((J133/J$15)*(J$5-I$5),"")</f>
        <v>0</v>
      </c>
      <c r="K134" s="12">
        <f>IFERROR((K133/K$15)*(K$5-J$5),"")</f>
        <v>0</v>
      </c>
      <c r="L134" s="12">
        <f>IFERROR((L133/L$15)*(L$5-K$5),"")</f>
        <v>27.7563268257411</v>
      </c>
      <c r="M134" s="12" t="n"/>
      <c r="N134" s="12">
        <f>IFERROR((N133/N$15)*(N$5-M$5),"")</f>
        <v>31.1643713110356</v>
      </c>
      <c r="O134" s="12">
        <f>IFERROR((O133/O$15)*(O$5-N$5),"")</f>
        <v>28.8735590118939</v>
      </c>
      <c r="P134" s="12">
        <f>IFERROR((P133/P$15)*(P$5-O$5),"")</f>
        <v>27.6562551644356</v>
      </c>
      <c r="Q134" s="12">
        <f>IFERROR((Q133/Q$15)*(Q$5-P$5),"")</f>
        <v>32.4314741579163</v>
      </c>
      <c r="R134" s="12" t="n"/>
      <c r="S134" s="12">
        <f>IFERROR((S133/S$15)*(S$5-R$5),"")</f>
        <v>25.5426305353602</v>
      </c>
      <c r="T134" s="12">
        <f>IFERROR((T133/T$15)*(T$5-S$5),"")</f>
        <v>21.8226221079692</v>
      </c>
      <c r="U134" s="12">
        <f>IFERROR((U133/U$15)*(U$5-T$5),"")</f>
        <v>23.1994763541155</v>
      </c>
      <c r="V134" s="12">
        <f>IFERROR((V133/V$15)*(V$5-U$5),"")</f>
        <v>30.6984126984127</v>
      </c>
      <c r="W134" s="12" t="n"/>
      <c r="X134" s="12">
        <f>IFERROR((X133/X$15)*(X$5-W$5),"")</f>
        <v>27.3989612075962</v>
      </c>
      <c r="Y134" s="12">
        <f>IFERROR((Y133/Y$15)*(Y$5-X$5),"")</f>
        <v>26.2279452054795</v>
      </c>
      <c r="Z134" s="12">
        <f>IFERROR((Z133/Z$15)*(Z$5-Y$5),"")</f>
        <v>16.9673282442748</v>
      </c>
      <c r="AA134" s="12">
        <f>IFERROR((AA133/AA$15)*(AA$5-Z$5),"")</f>
        <v>53.2649572649573</v>
      </c>
      <c r="AB134" s="12" t="n"/>
      <c r="AC134" s="12">
        <f>IFERROR((AC133/AC$15)*(AC$5-AB$5),"")</f>
        <v>42.335002946376</v>
      </c>
      <c r="AD134" s="12">
        <f>IFERROR((AD133/AD$15)*(AD$5-AC$5),"")</f>
        <v>43.9562366825111</v>
      </c>
      <c r="AE134" s="12">
        <f>IFERROR((AE133/AE$15)*(AE$5-AD$5),"")</f>
        <v>44.3616438356164</v>
      </c>
      <c r="AF134" s="11">
        <f>IFERROR((AF133/AF$15)*(AF$5-AE$5),"")</f>
        <v>64.6150806717155</v>
      </c>
      <c r="AG134" s="12" t="n"/>
      <c r="AH134" s="11">
        <f>IFERROR((AH133/AH$15)*(AH$5-AG$5),"")</f>
        <v>35.7183959719475</v>
      </c>
      <c r="AI134" s="11">
        <f>IFERROR((AI133/AI$15)*(AI$5-AH$5),"")</f>
        <v>56.5233208955224</v>
      </c>
      <c r="AJ134" s="11">
        <f>Control!$B$25</f>
        <v>47.9182801672815</v>
      </c>
      <c r="AK134" s="11">
        <f>Control!$B$25</f>
        <v>47.9182801672815</v>
      </c>
      <c r="AL134" s="12" t="n"/>
      <c r="AM134" s="11">
        <f>Control!$C$25</f>
        <v>47.9182801672815</v>
      </c>
      <c r="AN134" s="11">
        <f>Control!$C$25</f>
        <v>47.9182801672815</v>
      </c>
      <c r="AO134" s="11">
        <f>Control!$C$25</f>
        <v>47.9182801672815</v>
      </c>
      <c r="AP134" s="11">
        <f>Control!$C$25</f>
        <v>47.9182801672815</v>
      </c>
      <c r="AQ134" s="12" t="n"/>
      <c r="AR134" s="11">
        <f>Control!$D$25</f>
        <v>47.9182801672815</v>
      </c>
      <c r="AS134" s="11">
        <f>Control!$D$25</f>
        <v>47.9182801672815</v>
      </c>
      <c r="AT134" s="11">
        <f>Control!$D$25</f>
        <v>47.9182801672815</v>
      </c>
      <c r="AU134" s="11">
        <f>Control!$D$25</f>
        <v>47.9182801672815</v>
      </c>
      <c r="AV134" s="12" t="n"/>
      <c r="AW134" s="11">
        <f>Control!$E$25</f>
        <v>47.9182801672815</v>
      </c>
      <c r="AX134" s="11">
        <f>Control!$E$25</f>
        <v>47.9182801672815</v>
      </c>
      <c r="AY134" s="11">
        <f>Control!$E$25</f>
        <v>47.9182801672815</v>
      </c>
      <c r="AZ134" s="11">
        <f>Control!$E$25</f>
        <v>47.9182801672815</v>
      </c>
      <c r="BA134" s="12" t="n"/>
      <c r="BB134" s="11">
        <f>Control!$F$25</f>
        <v>47.9182801672815</v>
      </c>
      <c r="BC134" s="11">
        <f>Control!$F$25</f>
        <v>47.9182801672815</v>
      </c>
      <c r="BD134" s="11">
        <f>Control!$F$25</f>
        <v>47.9182801672815</v>
      </c>
      <c r="BE134" s="11">
        <f>Control!$F$25</f>
        <v>47.9182801672815</v>
      </c>
      <c r="BF134" s="12" t="n"/>
      <c r="BG134" s="11" t="n"/>
      <c r="BH134" s="11" t="n"/>
      <c r="BI134" s="11" t="n"/>
      <c r="BJ134" s="11" t="n"/>
      <c r="BK134" s="12" t="n"/>
      <c r="BL134" s="11" t="n"/>
      <c r="BM134" s="11" t="n"/>
      <c r="BN134" s="11" t="n"/>
      <c r="BO134" s="11" t="n"/>
      <c r="BP134" s="12" t="n"/>
      <c r="BQ134" s="11" t="n"/>
      <c r="BR134" s="11" t="n"/>
      <c r="BS134" s="11" t="n"/>
      <c r="BT134" s="11" t="n"/>
      <c r="BU134" s="12" t="n"/>
      <c r="BV134" s="11" t="n"/>
      <c r="BW134" s="11" t="n"/>
      <c r="BX134" s="11" t="n"/>
      <c r="BY134" s="11" t="n"/>
      <c r="BZ134" s="12" t="n"/>
      <c r="CA134" s="11" t="n"/>
      <c r="CB134" s="11" t="n"/>
      <c r="CC134" s="11" t="n"/>
      <c r="CD134" s="11" t="n"/>
      <c r="CE134" s="12" t="n"/>
      <c r="CF134" s="11" t="n"/>
      <c r="CG134" s="11" t="n"/>
      <c r="CH134" s="11" t="n"/>
      <c r="CI134" s="11" t="n"/>
      <c r="CJ134" s="12" t="n"/>
      <c r="CK134" s="11" t="n"/>
      <c r="CL134" s="11" t="n"/>
      <c r="CM134" s="11" t="n"/>
      <c r="CN134" s="11" t="n"/>
      <c r="CO134" s="12" t="n"/>
      <c r="CP134" s="11" t="n"/>
      <c r="CQ134" s="11" t="n"/>
      <c r="CR134" s="11" t="n"/>
      <c r="CS134" s="11" t="n"/>
      <c r="CT134" s="12" t="n"/>
      <c r="CU134" s="11" t="n"/>
      <c r="CV134" s="11" t="n"/>
      <c r="CW134" s="11" t="n"/>
      <c r="CX134" s="11" t="n"/>
      <c r="CY134" s="12" t="n"/>
    </row>
    <row r="135" hidden="1" outlineLevel="1">
      <c r="C135" s="57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2" t="n"/>
      <c r="AC135" s="12" t="n"/>
      <c r="AD135" s="12" t="n"/>
      <c r="AE135" s="12" t="n"/>
      <c r="AF135" s="12" t="n"/>
      <c r="AG135" s="12" t="n"/>
      <c r="AH135" s="12" t="n"/>
      <c r="AI135" s="12" t="n"/>
      <c r="AJ135" s="12" t="n"/>
      <c r="AK135" s="12" t="n"/>
      <c r="AL135" s="12" t="n"/>
      <c r="AM135" s="12" t="n"/>
      <c r="AN135" s="12" t="n"/>
      <c r="AO135" s="12" t="n"/>
      <c r="AP135" s="12" t="n"/>
      <c r="AQ135" s="12" t="n"/>
      <c r="AR135" s="12" t="n"/>
      <c r="AS135" s="12" t="n"/>
      <c r="AT135" s="12" t="n"/>
      <c r="AU135" s="12" t="n"/>
      <c r="AV135" s="12" t="n"/>
      <c r="AW135" s="12" t="n"/>
      <c r="AX135" s="12" t="n"/>
      <c r="AY135" s="12" t="n"/>
      <c r="AZ135" s="12" t="n"/>
      <c r="BA135" s="12" t="n"/>
      <c r="BB135" s="12" t="n"/>
      <c r="BC135" s="12" t="n"/>
      <c r="BD135" s="12" t="n"/>
      <c r="BE135" s="12" t="n"/>
      <c r="BF135" s="12" t="n"/>
      <c r="BG135" s="12" t="n"/>
      <c r="BH135" s="12" t="n"/>
      <c r="BI135" s="12" t="n"/>
      <c r="BJ135" s="12" t="n"/>
      <c r="BK135" s="12" t="n"/>
      <c r="BL135" s="12" t="n"/>
      <c r="BM135" s="12" t="n"/>
      <c r="BN135" s="12" t="n"/>
      <c r="BO135" s="12" t="n"/>
      <c r="BP135" s="12" t="n"/>
      <c r="BQ135" s="12" t="n"/>
      <c r="BR135" s="12" t="n"/>
      <c r="BS135" s="12" t="n"/>
      <c r="BT135" s="12" t="n"/>
      <c r="BU135" s="12" t="n"/>
      <c r="BV135" s="12" t="n"/>
      <c r="BW135" s="12" t="n"/>
      <c r="BX135" s="12" t="n"/>
      <c r="BY135" s="12" t="n"/>
      <c r="BZ135" s="12" t="n"/>
      <c r="CA135" s="12" t="n"/>
      <c r="CB135" s="12" t="n"/>
      <c r="CC135" s="12" t="n"/>
      <c r="CD135" s="12" t="n"/>
      <c r="CE135" s="12" t="n"/>
      <c r="CF135" s="12" t="n"/>
      <c r="CG135" s="12" t="n"/>
      <c r="CH135" s="12" t="n"/>
      <c r="CI135" s="12" t="n"/>
      <c r="CJ135" s="12" t="n"/>
      <c r="CK135" s="12" t="n"/>
      <c r="CL135" s="12" t="n"/>
      <c r="CM135" s="12" t="n"/>
      <c r="CN135" s="12" t="n"/>
      <c r="CO135" s="12" t="n"/>
      <c r="CP135" s="12" t="n"/>
      <c r="CQ135" s="12" t="n"/>
      <c r="CR135" s="12" t="n"/>
      <c r="CS135" s="12" t="n"/>
      <c r="CT135" s="12" t="n"/>
      <c r="CU135" s="12" t="n"/>
      <c r="CV135" s="12" t="n"/>
      <c r="CW135" s="12" t="n"/>
      <c r="CX135" s="12" t="n"/>
      <c r="CY135" s="12" t="n"/>
    </row>
    <row r="136" hidden="1" outlineLevel="1">
      <c r="C136" s="57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  <c r="AA136" s="12" t="n"/>
      <c r="AB136" s="12" t="n"/>
      <c r="AC136" s="12" t="n"/>
      <c r="AD136" s="12" t="n"/>
      <c r="AE136" s="12" t="n"/>
      <c r="AF136" s="12" t="n"/>
      <c r="AG136" s="12" t="n"/>
      <c r="AH136" s="12" t="n"/>
      <c r="AI136" s="12" t="n"/>
      <c r="AJ136" s="12" t="n"/>
      <c r="AK136" s="12" t="n"/>
      <c r="AL136" s="12" t="n"/>
      <c r="AM136" s="12" t="n"/>
      <c r="AN136" s="12" t="n"/>
      <c r="AO136" s="12" t="n"/>
      <c r="AP136" s="12" t="n"/>
      <c r="AQ136" s="12" t="n"/>
      <c r="AR136" s="12" t="n"/>
      <c r="AS136" s="12" t="n"/>
      <c r="AT136" s="12" t="n"/>
      <c r="AU136" s="12" t="n"/>
      <c r="AV136" s="12" t="n"/>
      <c r="AW136" s="12" t="n"/>
      <c r="AX136" s="12" t="n"/>
      <c r="AY136" s="12" t="n"/>
      <c r="AZ136" s="12" t="n"/>
      <c r="BA136" s="12" t="n"/>
      <c r="BB136" s="12" t="n"/>
      <c r="BC136" s="12" t="n"/>
      <c r="BD136" s="12" t="n"/>
      <c r="BE136" s="12" t="n"/>
      <c r="BF136" s="12" t="n"/>
      <c r="BG136" s="12" t="n"/>
      <c r="BH136" s="12" t="n"/>
      <c r="BI136" s="12" t="n"/>
      <c r="BJ136" s="12" t="n"/>
      <c r="BK136" s="12" t="n"/>
      <c r="BL136" s="12" t="n"/>
      <c r="BM136" s="12" t="n"/>
      <c r="BN136" s="12" t="n"/>
      <c r="BO136" s="12" t="n"/>
      <c r="BP136" s="12" t="n"/>
      <c r="BQ136" s="12" t="n"/>
      <c r="BR136" s="12" t="n"/>
      <c r="BS136" s="12" t="n"/>
      <c r="BT136" s="12" t="n"/>
      <c r="BU136" s="12" t="n"/>
      <c r="BV136" s="12" t="n"/>
      <c r="BW136" s="12" t="n"/>
      <c r="BX136" s="12" t="n"/>
      <c r="BY136" s="12" t="n"/>
      <c r="BZ136" s="12" t="n"/>
      <c r="CA136" s="12" t="n"/>
      <c r="CB136" s="12" t="n"/>
      <c r="CC136" s="12" t="n"/>
      <c r="CD136" s="12" t="n"/>
      <c r="CE136" s="12" t="n"/>
      <c r="CF136" s="12" t="n"/>
      <c r="CG136" s="12" t="n"/>
      <c r="CH136" s="12" t="n"/>
      <c r="CI136" s="12" t="n"/>
      <c r="CJ136" s="12" t="n"/>
      <c r="CK136" s="12" t="n"/>
      <c r="CL136" s="12" t="n"/>
      <c r="CM136" s="12" t="n"/>
      <c r="CN136" s="12" t="n"/>
      <c r="CO136" s="12" t="n"/>
      <c r="CP136" s="12" t="n"/>
      <c r="CQ136" s="12" t="n"/>
      <c r="CR136" s="12" t="n"/>
      <c r="CS136" s="12" t="n"/>
      <c r="CT136" s="12" t="n"/>
      <c r="CU136" s="12" t="n"/>
      <c r="CV136" s="12" t="n"/>
      <c r="CW136" s="12" t="n"/>
      <c r="CX136" s="12" t="n"/>
      <c r="CY136" s="12" t="n"/>
    </row>
    <row r="137" collapsed="1">
      <c r="C137" s="14" t="inlineStr">
        <is>
          <t>Inventories</t>
        </is>
      </c>
      <c r="D137" s="46" t="n"/>
      <c r="E137" s="46" t="n"/>
      <c r="F137" s="46" t="n"/>
      <c r="G137" s="46" t="n"/>
      <c r="H137" s="12" t="n"/>
      <c r="I137" s="46">
        <f>'Inputs (2)'!D17</f>
        <v>0</v>
      </c>
      <c r="J137" s="46">
        <f>'Inputs (2)'!E17</f>
        <v>0</v>
      </c>
      <c r="K137" s="46">
        <f>'Inputs (2)'!F17</f>
        <v>0</v>
      </c>
      <c r="L137" s="46">
        <f>'Inputs (2)'!G17</f>
        <v>0</v>
      </c>
      <c r="M137" s="12">
        <f>'Inputs (2)'!H17</f>
        <v>0</v>
      </c>
      <c r="N137" s="46">
        <f>'Inputs (2)'!I17</f>
        <v>0</v>
      </c>
      <c r="O137" s="46">
        <f>'Inputs (2)'!J17</f>
        <v>0</v>
      </c>
      <c r="P137" s="46">
        <f>'Inputs (2)'!K17</f>
        <v>0</v>
      </c>
      <c r="Q137" s="46">
        <f>'Inputs (2)'!L17</f>
        <v>0</v>
      </c>
      <c r="R137" s="12">
        <f>'Inputs (2)'!M17</f>
        <v>0</v>
      </c>
      <c r="S137" s="46">
        <f>'Inputs (2)'!N17</f>
        <v>0</v>
      </c>
      <c r="T137" s="46">
        <f>'Inputs (2)'!O17</f>
        <v>0</v>
      </c>
      <c r="U137" s="46">
        <f>'Inputs (2)'!P17</f>
        <v>0</v>
      </c>
      <c r="V137" s="46">
        <f>'Inputs (2)'!Q17</f>
        <v>0</v>
      </c>
      <c r="W137" s="12">
        <f>'Inputs (2)'!R17</f>
        <v>0</v>
      </c>
      <c r="X137" s="46">
        <f>'Inputs (2)'!S17</f>
        <v>0</v>
      </c>
      <c r="Y137" s="46">
        <f>'Inputs (2)'!T17</f>
        <v>0</v>
      </c>
      <c r="Z137" s="46">
        <f>'Inputs (2)'!U17</f>
        <v>0</v>
      </c>
      <c r="AA137" s="46">
        <f>'Inputs (2)'!V17</f>
        <v>0</v>
      </c>
      <c r="AB137" s="12">
        <f>'Inputs (2)'!W17</f>
        <v>0</v>
      </c>
      <c r="AC137" s="46">
        <f>'Inputs (2)'!X17</f>
        <v>0</v>
      </c>
      <c r="AD137" s="46">
        <f>'Inputs (2)'!Y17</f>
        <v>0</v>
      </c>
      <c r="AE137" s="46">
        <f>'Inputs (2)'!Z17</f>
        <v>0</v>
      </c>
      <c r="AF137" s="46">
        <f>'Inputs (2)'!AA17</f>
        <v>1736</v>
      </c>
      <c r="AG137" s="12">
        <f>'Inputs (2)'!AB17</f>
        <v>1736</v>
      </c>
      <c r="AH137" s="12">
        <f>'Inputs (2)'!AC17</f>
        <v>2582</v>
      </c>
      <c r="AI137" s="12">
        <f>'Inputs (2)'!AD17</f>
        <v>3368</v>
      </c>
      <c r="AJ137" s="12">
        <f>(AJ138/(AJ$5-AI$5))*-AJ$42</f>
        <v>0</v>
      </c>
      <c r="AK137" s="12">
        <f>(AK138/(AK$5-AJ$5))*-AK$42</f>
        <v>0</v>
      </c>
      <c r="AL137" s="12">
        <f>AK137</f>
        <v>0</v>
      </c>
      <c r="AM137" s="12">
        <f>(AM138/(AM$5-AL$5))*-AM$42</f>
        <v>0</v>
      </c>
      <c r="AN137" s="12">
        <f>(AN138/(AN$5-AM$5))*-AN$42</f>
        <v>0</v>
      </c>
      <c r="AO137" s="12">
        <f>(AO138/(AO$5-AN$5))*-AO$42</f>
        <v>0</v>
      </c>
      <c r="AP137" s="12">
        <f>(AP138/(AP$5-AO$5))*-AP$42</f>
        <v>0</v>
      </c>
      <c r="AQ137" s="12">
        <f>AP137</f>
        <v>0</v>
      </c>
      <c r="AR137" s="12">
        <f>(AR138/(AR$5-AQ$5))*-AR$42</f>
        <v>0</v>
      </c>
      <c r="AS137" s="12">
        <f>(AS138/(AS$5-AR$5))*-AS$42</f>
        <v>0</v>
      </c>
      <c r="AT137" s="12">
        <f>(AT138/(AT$5-AS$5))*-AT$42</f>
        <v>0</v>
      </c>
      <c r="AU137" s="12">
        <f>(AU138/(AU$5-AT$5))*-AU$42</f>
        <v>0</v>
      </c>
      <c r="AV137" s="12">
        <f>AU137</f>
        <v>0</v>
      </c>
      <c r="AW137" s="12">
        <f>(AW138/(AW$5-AV$5))*-AW$42</f>
        <v>0</v>
      </c>
      <c r="AX137" s="12">
        <f>(AX138/(AX$5-AW$5))*-AX$42</f>
        <v>0</v>
      </c>
      <c r="AY137" s="12">
        <f>(AY138/(AY$5-AX$5))*-AY$42</f>
        <v>0</v>
      </c>
      <c r="AZ137" s="12">
        <f>(AZ138/(AZ$5-AY$5))*-AZ$42</f>
        <v>0</v>
      </c>
      <c r="BA137" s="12">
        <f>AZ137</f>
        <v>0</v>
      </c>
      <c r="BB137" s="12">
        <f>(BB138/(BB$5-BA$5))*-BB$42</f>
        <v>0</v>
      </c>
      <c r="BC137" s="12">
        <f>(BC138/(BC$5-BB$5))*-BC$42</f>
        <v>0</v>
      </c>
      <c r="BD137" s="12">
        <f>(BD138/(BD$5-BC$5))*-BD$42</f>
        <v>0</v>
      </c>
      <c r="BE137" s="12">
        <f>(BE138/(BE$5-BD$5))*-BE$42</f>
        <v>0</v>
      </c>
      <c r="BF137" s="12">
        <f>BE137</f>
        <v>0</v>
      </c>
      <c r="BG137" s="12" t="n"/>
      <c r="BH137" s="12" t="n"/>
      <c r="BI137" s="12" t="n"/>
      <c r="BJ137" s="12" t="n"/>
      <c r="BK137" s="12" t="n"/>
      <c r="BL137" s="12" t="n"/>
      <c r="BM137" s="12" t="n"/>
      <c r="BN137" s="12" t="n"/>
      <c r="BO137" s="12" t="n"/>
      <c r="BP137" s="12" t="n"/>
      <c r="BQ137" s="12" t="n"/>
      <c r="BR137" s="12" t="n"/>
      <c r="BS137" s="12" t="n"/>
      <c r="BT137" s="12" t="n"/>
      <c r="BU137" s="12" t="n"/>
      <c r="BV137" s="12" t="n"/>
      <c r="BW137" s="12" t="n"/>
      <c r="BX137" s="12" t="n"/>
      <c r="BY137" s="12" t="n"/>
      <c r="BZ137" s="12" t="n"/>
      <c r="CA137" s="12" t="n"/>
      <c r="CB137" s="12" t="n"/>
      <c r="CC137" s="12" t="n"/>
      <c r="CD137" s="12" t="n"/>
      <c r="CE137" s="12" t="n"/>
      <c r="CF137" s="12" t="n"/>
      <c r="CG137" s="12" t="n"/>
      <c r="CH137" s="12" t="n"/>
      <c r="CI137" s="12" t="n"/>
      <c r="CJ137" s="12" t="n"/>
      <c r="CK137" s="12" t="n"/>
      <c r="CL137" s="12" t="n"/>
      <c r="CM137" s="12" t="n"/>
      <c r="CN137" s="12" t="n"/>
      <c r="CO137" s="12" t="n"/>
      <c r="CP137" s="12" t="n"/>
      <c r="CQ137" s="12" t="n"/>
      <c r="CR137" s="12" t="n"/>
      <c r="CS137" s="12" t="n"/>
      <c r="CT137" s="12" t="n"/>
      <c r="CU137" s="12" t="n"/>
      <c r="CV137" s="12" t="n"/>
      <c r="CW137" s="12" t="n"/>
      <c r="CX137" s="12" t="n"/>
      <c r="CY137" s="12" t="n"/>
    </row>
    <row r="138" hidden="1" outlineLevel="1">
      <c r="C138" s="57" t="inlineStr">
        <is>
          <t>DIO</t>
        </is>
      </c>
      <c r="D138" s="12" t="n"/>
      <c r="E138" s="12" t="n"/>
      <c r="F138" s="12" t="n"/>
      <c r="G138" s="12" t="n"/>
      <c r="H138" s="12" t="n"/>
      <c r="I138" s="12" t="str">
        <f>IFERROR(((I137/I$42)*(I$5-H$5))*-1,"")</f>
        <v/>
      </c>
      <c r="J138" s="12" t="str">
        <f>IFERROR(((J137/J$42)*(J$5-I$5))*-1,"")</f>
        <v/>
      </c>
      <c r="K138" s="12" t="str">
        <f>IFERROR(((K137/K$42)*(K$5-J$5))*-1,"")</f>
        <v/>
      </c>
      <c r="L138" s="12" t="str">
        <f>IFERROR(((L137/L$42)*(L$5-K$5))*-1,"")</f>
        <v/>
      </c>
      <c r="M138" s="12" t="n"/>
      <c r="N138" s="12" t="str">
        <f>IFERROR(((N137/N$42)*(N$5-M$5))*-1,"")</f>
        <v/>
      </c>
      <c r="O138" s="12" t="str">
        <f>IFERROR(((O137/O$42)*(O$5-N$5))*-1,"")</f>
        <v/>
      </c>
      <c r="P138" s="12" t="str">
        <f>IFERROR(((P137/P$42)*(P$5-O$5))*-1,"")</f>
        <v/>
      </c>
      <c r="Q138" s="12" t="str">
        <f>IFERROR(((Q137/Q$42)*(Q$5-P$5))*-1,"")</f>
        <v/>
      </c>
      <c r="R138" s="12" t="n"/>
      <c r="S138" s="12" t="str">
        <f>IFERROR(((S137/S$42)*(S$5-R$5))*-1,"")</f>
        <v/>
      </c>
      <c r="T138" s="12" t="str">
        <f>IFERROR(((T137/T$42)*(T$5-S$5))*-1,"")</f>
        <v/>
      </c>
      <c r="U138" s="12" t="str">
        <f>IFERROR(((U137/U$42)*(U$5-T$5))*-1,"")</f>
        <v/>
      </c>
      <c r="V138" s="12" t="str">
        <f>IFERROR(((V137/V$42)*(V$5-U$5))*-1,"")</f>
        <v/>
      </c>
      <c r="W138" s="12" t="n"/>
      <c r="X138" s="12" t="str">
        <f>IFERROR(((X137/X$42)*(X$5-W$5))*-1,"")</f>
        <v/>
      </c>
      <c r="Y138" s="12" t="str">
        <f>IFERROR(((Y137/Y$42)*(Y$5-X$5))*-1,"")</f>
        <v/>
      </c>
      <c r="Z138" s="12" t="str">
        <f>IFERROR(((Z137/Z$42)*(Z$5-Y$5))*-1,"")</f>
        <v/>
      </c>
      <c r="AA138" s="12" t="str">
        <f>IFERROR(((AA137/AA$42)*(AA$5-Z$5))*-1,"")</f>
        <v/>
      </c>
      <c r="AB138" s="12" t="n"/>
      <c r="AC138" s="12" t="str">
        <f>IFERROR(((AC137/AC$42)*(AC$5-AB$5))*-1,"")</f>
        <v/>
      </c>
      <c r="AD138" s="12" t="str">
        <f>IFERROR(((AD137/AD$42)*(AD$5-AC$5))*-1,"")</f>
        <v/>
      </c>
      <c r="AE138" s="12" t="str">
        <f>IFERROR(((AE137/AE$42)*(AE$5-AD$5))*-1,"")</f>
        <v/>
      </c>
      <c r="AF138" s="11" t="str">
        <f>IFERROR(((AF137/AF$42)*(AF$5-AE$5))*-1,"")</f>
        <v/>
      </c>
      <c r="AG138" s="12" t="n"/>
      <c r="AH138" s="11" t="str">
        <f>IFERROR(((AH137/AH$42)*(AH$5-AG$5))*-1,"")</f>
        <v/>
      </c>
      <c r="AI138" s="11" t="str">
        <f>IFERROR(((AI137/AI$42)*(AI$5-AH$5))*-1,"")</f>
        <v/>
      </c>
      <c r="AJ138" s="11">
        <f>Control!$B$26</f>
        <v>0</v>
      </c>
      <c r="AK138" s="11">
        <f>Control!$B$26</f>
        <v>0</v>
      </c>
      <c r="AL138" s="12" t="n"/>
      <c r="AM138" s="11">
        <f>Control!$C$26</f>
        <v>0</v>
      </c>
      <c r="AN138" s="11">
        <f>Control!$C$26</f>
        <v>0</v>
      </c>
      <c r="AO138" s="11">
        <f>Control!$C$26</f>
        <v>0</v>
      </c>
      <c r="AP138" s="11">
        <f>Control!$C$26</f>
        <v>0</v>
      </c>
      <c r="AQ138" s="12" t="n"/>
      <c r="AR138" s="11">
        <f>Control!$D$26</f>
        <v>0</v>
      </c>
      <c r="AS138" s="11">
        <f>Control!$D$26</f>
        <v>0</v>
      </c>
      <c r="AT138" s="11">
        <f>Control!$D$26</f>
        <v>0</v>
      </c>
      <c r="AU138" s="11">
        <f>Control!$D$26</f>
        <v>0</v>
      </c>
      <c r="AV138" s="12" t="n"/>
      <c r="AW138" s="11">
        <f>Control!$E$26</f>
        <v>0</v>
      </c>
      <c r="AX138" s="11">
        <f>Control!$E$26</f>
        <v>0</v>
      </c>
      <c r="AY138" s="11">
        <f>Control!$E$26</f>
        <v>0</v>
      </c>
      <c r="AZ138" s="11">
        <f>Control!$E$26</f>
        <v>0</v>
      </c>
      <c r="BA138" s="12" t="n"/>
      <c r="BB138" s="11">
        <f>Control!$F$26</f>
        <v>0</v>
      </c>
      <c r="BC138" s="11">
        <f>Control!$F$26</f>
        <v>0</v>
      </c>
      <c r="BD138" s="11">
        <f>Control!$F$26</f>
        <v>0</v>
      </c>
      <c r="BE138" s="11">
        <f>Control!$F$26</f>
        <v>0</v>
      </c>
      <c r="BF138" s="12" t="n"/>
      <c r="BG138" s="11" t="n"/>
      <c r="BH138" s="11" t="n"/>
      <c r="BI138" s="11" t="n"/>
      <c r="BJ138" s="11" t="n"/>
      <c r="BK138" s="12" t="n"/>
      <c r="BL138" s="11" t="n"/>
      <c r="BM138" s="11" t="n"/>
      <c r="BN138" s="11" t="n"/>
      <c r="BO138" s="11" t="n"/>
      <c r="BP138" s="12" t="n"/>
      <c r="BQ138" s="11" t="n"/>
      <c r="BR138" s="11" t="n"/>
      <c r="BS138" s="11" t="n"/>
      <c r="BT138" s="11" t="n"/>
      <c r="BU138" s="12" t="n"/>
      <c r="BV138" s="11" t="n"/>
      <c r="BW138" s="11" t="n"/>
      <c r="BX138" s="11" t="n"/>
      <c r="BY138" s="11" t="n"/>
      <c r="BZ138" s="12" t="n"/>
      <c r="CA138" s="11" t="n"/>
      <c r="CB138" s="11" t="n"/>
      <c r="CC138" s="11" t="n"/>
      <c r="CD138" s="11" t="n"/>
      <c r="CE138" s="12" t="n"/>
      <c r="CF138" s="11" t="n"/>
      <c r="CG138" s="11" t="n"/>
      <c r="CH138" s="11" t="n"/>
      <c r="CI138" s="11" t="n"/>
      <c r="CJ138" s="12" t="n"/>
      <c r="CK138" s="11" t="n"/>
      <c r="CL138" s="11" t="n"/>
      <c r="CM138" s="11" t="n"/>
      <c r="CN138" s="11" t="n"/>
      <c r="CO138" s="12" t="n"/>
      <c r="CP138" s="11" t="n"/>
      <c r="CQ138" s="11" t="n"/>
      <c r="CR138" s="11" t="n"/>
      <c r="CS138" s="11" t="n"/>
      <c r="CT138" s="12" t="n"/>
      <c r="CU138" s="11" t="n"/>
      <c r="CV138" s="11" t="n"/>
      <c r="CW138" s="11" t="n"/>
      <c r="CX138" s="11" t="n"/>
      <c r="CY138" s="12" t="n"/>
    </row>
    <row r="139" hidden="1" outlineLevel="1">
      <c r="C139" s="57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  <c r="AC139" s="12" t="n"/>
      <c r="AD139" s="12" t="n"/>
      <c r="AE139" s="12" t="n"/>
      <c r="AF139" s="12" t="n"/>
      <c r="AG139" s="12" t="n"/>
      <c r="AH139" s="12" t="n"/>
      <c r="AI139" s="12" t="n"/>
      <c r="AJ139" s="12" t="n"/>
      <c r="AK139" s="12" t="n"/>
      <c r="AL139" s="12" t="n"/>
      <c r="AM139" s="12" t="n"/>
      <c r="AN139" s="12" t="n"/>
      <c r="AO139" s="12" t="n"/>
      <c r="AP139" s="12" t="n"/>
      <c r="AQ139" s="12" t="n"/>
      <c r="AR139" s="12" t="n"/>
      <c r="AS139" s="12" t="n"/>
      <c r="AT139" s="12" t="n"/>
      <c r="AU139" s="12" t="n"/>
      <c r="AV139" s="12" t="n"/>
      <c r="AW139" s="12" t="n"/>
      <c r="AX139" s="12" t="n"/>
      <c r="AY139" s="12" t="n"/>
      <c r="AZ139" s="12" t="n"/>
      <c r="BA139" s="12" t="n"/>
      <c r="BB139" s="12" t="n"/>
      <c r="BC139" s="12" t="n"/>
      <c r="BD139" s="12" t="n"/>
      <c r="BE139" s="12" t="n"/>
      <c r="BF139" s="12" t="n"/>
      <c r="BG139" s="12" t="n"/>
      <c r="BH139" s="12" t="n"/>
      <c r="BI139" s="12" t="n"/>
      <c r="BJ139" s="12" t="n"/>
      <c r="BK139" s="12" t="n"/>
      <c r="BL139" s="12" t="n"/>
      <c r="BM139" s="12" t="n"/>
      <c r="BN139" s="12" t="n"/>
      <c r="BO139" s="12" t="n"/>
      <c r="BP139" s="12" t="n"/>
      <c r="BQ139" s="12" t="n"/>
      <c r="BR139" s="12" t="n"/>
      <c r="BS139" s="12" t="n"/>
      <c r="BT139" s="12" t="n"/>
      <c r="BU139" s="12" t="n"/>
      <c r="BV139" s="12" t="n"/>
      <c r="BW139" s="12" t="n"/>
      <c r="BX139" s="12" t="n"/>
      <c r="BY139" s="12" t="n"/>
      <c r="BZ139" s="12" t="n"/>
      <c r="CA139" s="12" t="n"/>
      <c r="CB139" s="12" t="n"/>
      <c r="CC139" s="12" t="n"/>
      <c r="CD139" s="12" t="n"/>
      <c r="CE139" s="12" t="n"/>
      <c r="CF139" s="12" t="n"/>
      <c r="CG139" s="12" t="n"/>
      <c r="CH139" s="12" t="n"/>
      <c r="CI139" s="12" t="n"/>
      <c r="CJ139" s="12" t="n"/>
      <c r="CK139" s="12" t="n"/>
      <c r="CL139" s="12" t="n"/>
      <c r="CM139" s="12" t="n"/>
      <c r="CN139" s="12" t="n"/>
      <c r="CO139" s="12" t="n"/>
      <c r="CP139" s="12" t="n"/>
      <c r="CQ139" s="12" t="n"/>
      <c r="CR139" s="12" t="n"/>
      <c r="CS139" s="12" t="n"/>
      <c r="CT139" s="12" t="n"/>
      <c r="CU139" s="12" t="n"/>
      <c r="CV139" s="12" t="n"/>
      <c r="CW139" s="12" t="n"/>
      <c r="CX139" s="12" t="n"/>
      <c r="CY139" s="12" t="n"/>
    </row>
    <row r="140" hidden="1" outlineLevel="1">
      <c r="C140" s="57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  <c r="AE140" s="12" t="n"/>
      <c r="AF140" s="12" t="n"/>
      <c r="AG140" s="12" t="n"/>
      <c r="AH140" s="12" t="n"/>
      <c r="AI140" s="12" t="n"/>
      <c r="AJ140" s="12" t="n"/>
      <c r="AK140" s="12" t="n"/>
      <c r="AL140" s="12" t="n"/>
      <c r="AM140" s="12" t="n"/>
      <c r="AN140" s="12" t="n"/>
      <c r="AO140" s="12" t="n"/>
      <c r="AP140" s="12" t="n"/>
      <c r="AQ140" s="12" t="n"/>
      <c r="AR140" s="12" t="n"/>
      <c r="AS140" s="12" t="n"/>
      <c r="AT140" s="12" t="n"/>
      <c r="AU140" s="12" t="n"/>
      <c r="AV140" s="12" t="n"/>
      <c r="AW140" s="12" t="n"/>
      <c r="AX140" s="12" t="n"/>
      <c r="AY140" s="12" t="n"/>
      <c r="AZ140" s="12" t="n"/>
      <c r="BA140" s="12" t="n"/>
      <c r="BB140" s="12" t="n"/>
      <c r="BC140" s="12" t="n"/>
      <c r="BD140" s="12" t="n"/>
      <c r="BE140" s="12" t="n"/>
      <c r="BF140" s="12" t="n"/>
      <c r="BG140" s="12" t="n"/>
      <c r="BH140" s="12" t="n"/>
      <c r="BI140" s="12" t="n"/>
      <c r="BJ140" s="12" t="n"/>
      <c r="BK140" s="12" t="n"/>
      <c r="BL140" s="12" t="n"/>
      <c r="BM140" s="12" t="n"/>
      <c r="BN140" s="12" t="n"/>
      <c r="BO140" s="12" t="n"/>
      <c r="BP140" s="12" t="n"/>
      <c r="BQ140" s="12" t="n"/>
      <c r="BR140" s="12" t="n"/>
      <c r="BS140" s="12" t="n"/>
      <c r="BT140" s="12" t="n"/>
      <c r="BU140" s="12" t="n"/>
      <c r="BV140" s="12" t="n"/>
      <c r="BW140" s="12" t="n"/>
      <c r="BX140" s="12" t="n"/>
      <c r="BY140" s="12" t="n"/>
      <c r="BZ140" s="12" t="n"/>
      <c r="CA140" s="12" t="n"/>
      <c r="CB140" s="12" t="n"/>
      <c r="CC140" s="12" t="n"/>
      <c r="CD140" s="12" t="n"/>
      <c r="CE140" s="12" t="n"/>
      <c r="CF140" s="12" t="n"/>
      <c r="CG140" s="12" t="n"/>
      <c r="CH140" s="12" t="n"/>
      <c r="CI140" s="12" t="n"/>
      <c r="CJ140" s="12" t="n"/>
      <c r="CK140" s="12" t="n"/>
      <c r="CL140" s="12" t="n"/>
      <c r="CM140" s="12" t="n"/>
      <c r="CN140" s="12" t="n"/>
      <c r="CO140" s="12" t="n"/>
      <c r="CP140" s="12" t="n"/>
      <c r="CQ140" s="12" t="n"/>
      <c r="CR140" s="12" t="n"/>
      <c r="CS140" s="12" t="n"/>
      <c r="CT140" s="12" t="n"/>
      <c r="CU140" s="12" t="n"/>
      <c r="CV140" s="12" t="n"/>
      <c r="CW140" s="12" t="n"/>
      <c r="CX140" s="12" t="n"/>
      <c r="CY140" s="12" t="n"/>
    </row>
    <row r="141" collapsed="1">
      <c r="C141" s="14" t="inlineStr">
        <is>
          <t>Deferred income taxes</t>
        </is>
      </c>
      <c r="D141" s="46" t="n"/>
      <c r="E141" s="46" t="n"/>
      <c r="F141" s="46" t="n"/>
      <c r="G141" s="46" t="n"/>
      <c r="H141" s="12" t="n"/>
      <c r="I141" s="46">
        <f>'Inputs (2)'!D18</f>
        <v>0</v>
      </c>
      <c r="J141" s="46">
        <f>'Inputs (2)'!E18</f>
        <v>0</v>
      </c>
      <c r="K141" s="46">
        <f>'Inputs (2)'!F18</f>
        <v>0</v>
      </c>
      <c r="L141" s="46">
        <f>'Inputs (2)'!G18</f>
        <v>32</v>
      </c>
      <c r="M141" s="12">
        <f>'Inputs (2)'!H18</f>
        <v>32</v>
      </c>
      <c r="N141" s="46">
        <f>'Inputs (2)'!I18</f>
        <v>36</v>
      </c>
      <c r="O141" s="46">
        <f>'Inputs (2)'!J18</f>
        <v>34</v>
      </c>
      <c r="P141" s="46">
        <f>'Inputs (2)'!K18</f>
        <v>23</v>
      </c>
      <c r="Q141" s="46">
        <f>'Inputs (2)'!L18</f>
        <v>44</v>
      </c>
      <c r="R141" s="12">
        <f>'Inputs (2)'!M18</f>
        <v>44</v>
      </c>
      <c r="S141" s="46">
        <f>'Inputs (2)'!N18</f>
        <v>45</v>
      </c>
      <c r="T141" s="46">
        <f>'Inputs (2)'!O18</f>
        <v>43</v>
      </c>
      <c r="U141" s="46">
        <f>'Inputs (2)'!P18</f>
        <v>43</v>
      </c>
      <c r="V141" s="46">
        <f>'Inputs (2)'!Q18</f>
        <v>52</v>
      </c>
      <c r="W141" s="12">
        <f>'Inputs (2)'!R18</f>
        <v>52</v>
      </c>
      <c r="X141" s="46">
        <f>'Inputs (2)'!S18</f>
        <v>38</v>
      </c>
      <c r="Y141" s="46">
        <f>'Inputs (2)'!T18</f>
        <v>25</v>
      </c>
      <c r="Z141" s="46">
        <f>'Inputs (2)'!U18</f>
        <v>35</v>
      </c>
      <c r="AA141" s="46">
        <f>'Inputs (2)'!V18</f>
        <v>0</v>
      </c>
      <c r="AB141" s="12">
        <f>'Inputs (2)'!W18</f>
        <v>0</v>
      </c>
      <c r="AC141" s="46">
        <f>'Inputs (2)'!X18</f>
        <v>0</v>
      </c>
      <c r="AD141" s="46">
        <f>'Inputs (2)'!Y18</f>
        <v>0</v>
      </c>
      <c r="AE141" s="46">
        <f>'Inputs (2)'!Z18</f>
        <v>0</v>
      </c>
      <c r="AF141" s="46">
        <f>'Inputs (2)'!AA18</f>
        <v>0</v>
      </c>
      <c r="AG141" s="12">
        <f>'Inputs (2)'!AB18</f>
        <v>0</v>
      </c>
      <c r="AH141" s="12">
        <f>'Inputs (2)'!AC18</f>
        <v>0</v>
      </c>
      <c r="AI141" s="12">
        <f>'Inputs (2)'!AD18</f>
        <v>0</v>
      </c>
      <c r="AJ141" s="12">
        <f>AI141</f>
        <v>0</v>
      </c>
      <c r="AK141" s="12">
        <f>AJ141</f>
        <v>0</v>
      </c>
      <c r="AL141" s="12">
        <f>AK141</f>
        <v>0</v>
      </c>
      <c r="AM141" s="12">
        <f>AL141</f>
        <v>0</v>
      </c>
      <c r="AN141" s="12">
        <f>AM141</f>
        <v>0</v>
      </c>
      <c r="AO141" s="12">
        <f>AN141</f>
        <v>0</v>
      </c>
      <c r="AP141" s="12">
        <f>AO141</f>
        <v>0</v>
      </c>
      <c r="AQ141" s="12">
        <f>AP141</f>
        <v>0</v>
      </c>
      <c r="AR141" s="12">
        <f>AQ141</f>
        <v>0</v>
      </c>
      <c r="AS141" s="12">
        <f>AR141</f>
        <v>0</v>
      </c>
      <c r="AT141" s="12">
        <f>AS141</f>
        <v>0</v>
      </c>
      <c r="AU141" s="12">
        <f>AT141</f>
        <v>0</v>
      </c>
      <c r="AV141" s="12">
        <f>AU141</f>
        <v>0</v>
      </c>
      <c r="AW141" s="12">
        <f>AV141</f>
        <v>0</v>
      </c>
      <c r="AX141" s="12">
        <f>AW141</f>
        <v>0</v>
      </c>
      <c r="AY141" s="12">
        <f>AX141</f>
        <v>0</v>
      </c>
      <c r="AZ141" s="12">
        <f>AY141</f>
        <v>0</v>
      </c>
      <c r="BA141" s="12">
        <f>AZ141</f>
        <v>0</v>
      </c>
      <c r="BB141" s="12">
        <f>BA141</f>
        <v>0</v>
      </c>
      <c r="BC141" s="12">
        <f>BB141</f>
        <v>0</v>
      </c>
      <c r="BD141" s="12">
        <f>BC141</f>
        <v>0</v>
      </c>
      <c r="BE141" s="12">
        <f>BD141</f>
        <v>0</v>
      </c>
      <c r="BF141" s="12">
        <f>BE141</f>
        <v>0</v>
      </c>
      <c r="BG141" s="12" t="n"/>
      <c r="BH141" s="12" t="n"/>
      <c r="BI141" s="12" t="n"/>
      <c r="BJ141" s="12" t="n"/>
      <c r="BK141" s="12" t="n"/>
      <c r="BL141" s="12" t="n"/>
      <c r="BM141" s="12" t="n"/>
      <c r="BN141" s="12" t="n"/>
      <c r="BO141" s="12" t="n"/>
      <c r="BP141" s="12" t="n"/>
      <c r="BQ141" s="12" t="n"/>
      <c r="BR141" s="12" t="n"/>
      <c r="BS141" s="12" t="n"/>
      <c r="BT141" s="12" t="n"/>
      <c r="BU141" s="12" t="n"/>
      <c r="BV141" s="12" t="n"/>
      <c r="BW141" s="12" t="n"/>
      <c r="BX141" s="12" t="n"/>
      <c r="BY141" s="12" t="n"/>
      <c r="BZ141" s="12" t="n"/>
      <c r="CA141" s="12" t="n"/>
      <c r="CB141" s="12" t="n"/>
      <c r="CC141" s="12" t="n"/>
      <c r="CD141" s="12" t="n"/>
      <c r="CE141" s="12" t="n"/>
      <c r="CF141" s="12" t="n"/>
      <c r="CG141" s="12" t="n"/>
      <c r="CH141" s="12" t="n"/>
      <c r="CI141" s="12" t="n"/>
      <c r="CJ141" s="12" t="n"/>
      <c r="CK141" s="12" t="n"/>
      <c r="CL141" s="12" t="n"/>
      <c r="CM141" s="12" t="n"/>
      <c r="CN141" s="12" t="n"/>
      <c r="CO141" s="12" t="n"/>
      <c r="CP141" s="12" t="n"/>
      <c r="CQ141" s="12" t="n"/>
      <c r="CR141" s="12" t="n"/>
      <c r="CS141" s="12" t="n"/>
      <c r="CT141" s="12" t="n"/>
      <c r="CU141" s="12" t="n"/>
      <c r="CV141" s="12" t="n"/>
      <c r="CW141" s="12" t="n"/>
      <c r="CX141" s="12" t="n"/>
      <c r="CY141" s="12" t="n"/>
    </row>
    <row r="142">
      <c r="C142" s="14" t="inlineStr">
        <is>
          <t>Prepaid expenses</t>
        </is>
      </c>
      <c r="D142" s="46" t="n"/>
      <c r="E142" s="46" t="n"/>
      <c r="F142" s="46" t="n"/>
      <c r="G142" s="46" t="n"/>
      <c r="H142" s="12" t="n"/>
      <c r="I142" s="46">
        <f>'Inputs (2)'!D19</f>
        <v>0</v>
      </c>
      <c r="J142" s="46">
        <f>'Inputs (2)'!E19</f>
        <v>0</v>
      </c>
      <c r="K142" s="46">
        <f>'Inputs (2)'!F19</f>
        <v>0</v>
      </c>
      <c r="L142" s="46">
        <f>'Inputs (2)'!G19</f>
        <v>0</v>
      </c>
      <c r="M142" s="12">
        <f>'Inputs (2)'!H19</f>
        <v>0</v>
      </c>
      <c r="N142" s="46">
        <f>'Inputs (2)'!I19</f>
        <v>0</v>
      </c>
      <c r="O142" s="46">
        <f>'Inputs (2)'!J19</f>
        <v>0</v>
      </c>
      <c r="P142" s="46">
        <f>'Inputs (2)'!K19</f>
        <v>0</v>
      </c>
      <c r="Q142" s="46">
        <f>'Inputs (2)'!L19</f>
        <v>0</v>
      </c>
      <c r="R142" s="12">
        <f>'Inputs (2)'!M19</f>
        <v>0</v>
      </c>
      <c r="S142" s="46">
        <f>'Inputs (2)'!N19</f>
        <v>0</v>
      </c>
      <c r="T142" s="46">
        <f>'Inputs (2)'!O19</f>
        <v>0</v>
      </c>
      <c r="U142" s="46">
        <f>'Inputs (2)'!P19</f>
        <v>0</v>
      </c>
      <c r="V142" s="46">
        <f>'Inputs (2)'!Q19</f>
        <v>0</v>
      </c>
      <c r="W142" s="12">
        <f>'Inputs (2)'!R19</f>
        <v>0</v>
      </c>
      <c r="X142" s="46">
        <f>'Inputs (2)'!S19</f>
        <v>0</v>
      </c>
      <c r="Y142" s="46">
        <f>'Inputs (2)'!T19</f>
        <v>0</v>
      </c>
      <c r="Z142" s="46">
        <f>'Inputs (2)'!U19</f>
        <v>0</v>
      </c>
      <c r="AA142" s="46">
        <f>'Inputs (2)'!V19</f>
        <v>0</v>
      </c>
      <c r="AB142" s="12">
        <f>'Inputs (2)'!W19</f>
        <v>0</v>
      </c>
      <c r="AC142" s="46">
        <f>'Inputs (2)'!X19</f>
        <v>0</v>
      </c>
      <c r="AD142" s="46">
        <f>'Inputs (2)'!Y19</f>
        <v>0</v>
      </c>
      <c r="AE142" s="46">
        <f>'Inputs (2)'!Z19</f>
        <v>0</v>
      </c>
      <c r="AF142" s="46">
        <f>'Inputs (2)'!AA19</f>
        <v>0</v>
      </c>
      <c r="AG142" s="12">
        <f>'Inputs (2)'!AB19</f>
        <v>0</v>
      </c>
      <c r="AH142" s="12">
        <f>'Inputs (2)'!AC19</f>
        <v>0</v>
      </c>
      <c r="AI142" s="12">
        <f>'Inputs (2)'!AD19</f>
        <v>0</v>
      </c>
      <c r="AJ142" s="12">
        <f>AI142</f>
        <v>0</v>
      </c>
      <c r="AK142" s="12">
        <f>AJ142</f>
        <v>0</v>
      </c>
      <c r="AL142" s="12">
        <f>AK142</f>
        <v>0</v>
      </c>
      <c r="AM142" s="12">
        <f>AL142</f>
        <v>0</v>
      </c>
      <c r="AN142" s="12">
        <f>AM142</f>
        <v>0</v>
      </c>
      <c r="AO142" s="12">
        <f>AN142</f>
        <v>0</v>
      </c>
      <c r="AP142" s="12">
        <f>AO142</f>
        <v>0</v>
      </c>
      <c r="AQ142" s="12">
        <f>AP142</f>
        <v>0</v>
      </c>
      <c r="AR142" s="12">
        <f>AQ142</f>
        <v>0</v>
      </c>
      <c r="AS142" s="12">
        <f>AR142</f>
        <v>0</v>
      </c>
      <c r="AT142" s="12">
        <f>AS142</f>
        <v>0</v>
      </c>
      <c r="AU142" s="12">
        <f>AT142</f>
        <v>0</v>
      </c>
      <c r="AV142" s="12">
        <f>AU142</f>
        <v>0</v>
      </c>
      <c r="AW142" s="12">
        <f>AV142</f>
        <v>0</v>
      </c>
      <c r="AX142" s="12">
        <f>AW142</f>
        <v>0</v>
      </c>
      <c r="AY142" s="12">
        <f>AX142</f>
        <v>0</v>
      </c>
      <c r="AZ142" s="12">
        <f>AY142</f>
        <v>0</v>
      </c>
      <c r="BA142" s="12">
        <f>AZ142</f>
        <v>0</v>
      </c>
      <c r="BB142" s="12">
        <f>BA142</f>
        <v>0</v>
      </c>
      <c r="BC142" s="12">
        <f>BB142</f>
        <v>0</v>
      </c>
      <c r="BD142" s="12">
        <f>BC142</f>
        <v>0</v>
      </c>
      <c r="BE142" s="12">
        <f>BD142</f>
        <v>0</v>
      </c>
      <c r="BF142" s="12">
        <f>BE142</f>
        <v>0</v>
      </c>
      <c r="BG142" s="12" t="n"/>
      <c r="BH142" s="12" t="n"/>
      <c r="BI142" s="12" t="n"/>
      <c r="BJ142" s="12" t="n"/>
      <c r="BK142" s="12" t="n"/>
      <c r="BL142" s="12" t="n"/>
      <c r="BM142" s="12" t="n"/>
      <c r="BN142" s="12" t="n"/>
      <c r="BO142" s="12" t="n"/>
      <c r="BP142" s="12" t="n"/>
      <c r="BQ142" s="12" t="n"/>
      <c r="BR142" s="12" t="n"/>
      <c r="BS142" s="12" t="n"/>
      <c r="BT142" s="12" t="n"/>
      <c r="BU142" s="12" t="n"/>
      <c r="BV142" s="12" t="n"/>
      <c r="BW142" s="12" t="n"/>
      <c r="BX142" s="12" t="n"/>
      <c r="BY142" s="12" t="n"/>
      <c r="BZ142" s="12" t="n"/>
      <c r="CA142" s="12" t="n"/>
      <c r="CB142" s="12" t="n"/>
      <c r="CC142" s="12" t="n"/>
      <c r="CD142" s="12" t="n"/>
      <c r="CE142" s="12" t="n"/>
      <c r="CF142" s="12" t="n"/>
      <c r="CG142" s="12" t="n"/>
      <c r="CH142" s="12" t="n"/>
      <c r="CI142" s="12" t="n"/>
      <c r="CJ142" s="12" t="n"/>
      <c r="CK142" s="12" t="n"/>
      <c r="CL142" s="12" t="n"/>
      <c r="CM142" s="12" t="n"/>
      <c r="CN142" s="12" t="n"/>
      <c r="CO142" s="12" t="n"/>
      <c r="CP142" s="12" t="n"/>
      <c r="CQ142" s="12" t="n"/>
      <c r="CR142" s="12" t="n"/>
      <c r="CS142" s="12" t="n"/>
      <c r="CT142" s="12" t="n"/>
      <c r="CU142" s="12" t="n"/>
      <c r="CV142" s="12" t="n"/>
      <c r="CW142" s="12" t="n"/>
      <c r="CX142" s="12" t="n"/>
      <c r="CY142" s="12" t="n"/>
    </row>
    <row r="143">
      <c r="C143" s="14" t="inlineStr">
        <is>
          <t>Other current assets</t>
        </is>
      </c>
      <c r="D143" s="46" t="n"/>
      <c r="E143" s="46" t="n"/>
      <c r="F143" s="46" t="n"/>
      <c r="G143" s="46" t="n"/>
      <c r="H143" s="12" t="n"/>
      <c r="I143" s="46">
        <f>'Inputs (2)'!D20</f>
        <v>0</v>
      </c>
      <c r="J143" s="46">
        <f>'Inputs (2)'!E20</f>
        <v>0</v>
      </c>
      <c r="K143" s="46">
        <f>'Inputs (2)'!F20</f>
        <v>0</v>
      </c>
      <c r="L143" s="46">
        <f>'Inputs (2)'!G20</f>
        <v>5232</v>
      </c>
      <c r="M143" s="12">
        <f>'Inputs (2)'!H20</f>
        <v>5232</v>
      </c>
      <c r="N143" s="46">
        <f>'Inputs (2)'!I20</f>
        <v>3530</v>
      </c>
      <c r="O143" s="46">
        <f>'Inputs (2)'!J20</f>
        <v>4624</v>
      </c>
      <c r="P143" s="46">
        <f>'Inputs (2)'!K20</f>
        <v>5539</v>
      </c>
      <c r="Q143" s="46">
        <f>'Inputs (2)'!L20</f>
        <v>5825</v>
      </c>
      <c r="R143" s="12">
        <f>'Inputs (2)'!M20</f>
        <v>5825</v>
      </c>
      <c r="S143" s="46">
        <f>'Inputs (2)'!N20</f>
        <v>5388</v>
      </c>
      <c r="T143" s="46">
        <f>'Inputs (2)'!O20</f>
        <v>5675</v>
      </c>
      <c r="U143" s="46">
        <f>'Inputs (2)'!P20</f>
        <v>4495</v>
      </c>
      <c r="V143" s="46">
        <f>'Inputs (2)'!Q20</f>
        <v>5543</v>
      </c>
      <c r="W143" s="12">
        <f>'Inputs (2)'!R20</f>
        <v>5543</v>
      </c>
      <c r="X143" s="46">
        <f>'Inputs (2)'!S20</f>
        <v>5398</v>
      </c>
      <c r="Y143" s="46">
        <f>'Inputs (2)'!T20</f>
        <v>5580</v>
      </c>
      <c r="Z143" s="46">
        <f>'Inputs (2)'!U20</f>
        <v>4387</v>
      </c>
      <c r="AA143" s="46">
        <f>'Inputs (2)'!V20</f>
        <v>1509</v>
      </c>
      <c r="AB143" s="12">
        <f>'Inputs (2)'!W20</f>
        <v>1509</v>
      </c>
      <c r="AC143" s="46">
        <f>'Inputs (2)'!X20</f>
        <v>2650</v>
      </c>
      <c r="AD143" s="46">
        <f>'Inputs (2)'!Y20</f>
        <v>2250</v>
      </c>
      <c r="AE143" s="46">
        <f>'Inputs (2)'!Z20</f>
        <v>431</v>
      </c>
      <c r="AF143" s="46">
        <f>'Inputs (2)'!AA20</f>
        <v>-1272</v>
      </c>
      <c r="AG143" s="12">
        <f>'Inputs (2)'!AB20</f>
        <v>-1272</v>
      </c>
      <c r="AH143" s="12">
        <f>'Inputs (2)'!AC20</f>
        <v>9042</v>
      </c>
      <c r="AI143" s="12">
        <f>'Inputs (2)'!AD20</f>
        <v>9162</v>
      </c>
      <c r="AJ143" s="12">
        <f>AI143</f>
        <v>9162</v>
      </c>
      <c r="AK143" s="12">
        <f>AJ143</f>
        <v>9162</v>
      </c>
      <c r="AL143" s="12">
        <f>AK143</f>
        <v>9162</v>
      </c>
      <c r="AM143" s="12">
        <f>AL143</f>
        <v>9162</v>
      </c>
      <c r="AN143" s="12">
        <f>AM143</f>
        <v>9162</v>
      </c>
      <c r="AO143" s="12">
        <f>AN143</f>
        <v>9162</v>
      </c>
      <c r="AP143" s="12">
        <f>AO143</f>
        <v>9162</v>
      </c>
      <c r="AQ143" s="12">
        <f>AP143</f>
        <v>9162</v>
      </c>
      <c r="AR143" s="12">
        <f>AQ143</f>
        <v>9162</v>
      </c>
      <c r="AS143" s="12">
        <f>AR143</f>
        <v>9162</v>
      </c>
      <c r="AT143" s="12">
        <f>AS143</f>
        <v>9162</v>
      </c>
      <c r="AU143" s="12">
        <f>AT143</f>
        <v>9162</v>
      </c>
      <c r="AV143" s="12">
        <f>AU143</f>
        <v>9162</v>
      </c>
      <c r="AW143" s="12">
        <f>AV143</f>
        <v>9162</v>
      </c>
      <c r="AX143" s="12">
        <f>AW143</f>
        <v>9162</v>
      </c>
      <c r="AY143" s="12">
        <f>AX143</f>
        <v>9162</v>
      </c>
      <c r="AZ143" s="12">
        <f>AY143</f>
        <v>9162</v>
      </c>
      <c r="BA143" s="12">
        <f>AZ143</f>
        <v>9162</v>
      </c>
      <c r="BB143" s="12">
        <f>BA143</f>
        <v>9162</v>
      </c>
      <c r="BC143" s="12">
        <f>BB143</f>
        <v>9162</v>
      </c>
      <c r="BD143" s="12">
        <f>BC143</f>
        <v>9162</v>
      </c>
      <c r="BE143" s="12">
        <f>BD143</f>
        <v>9162</v>
      </c>
      <c r="BF143" s="12">
        <f>BE143</f>
        <v>9162</v>
      </c>
      <c r="BG143" s="12" t="n"/>
      <c r="BH143" s="12" t="n"/>
      <c r="BI143" s="12" t="n"/>
      <c r="BJ143" s="12" t="n"/>
      <c r="BK143" s="12" t="n"/>
      <c r="BL143" s="12" t="n"/>
      <c r="BM143" s="12" t="n"/>
      <c r="BN143" s="12" t="n"/>
      <c r="BO143" s="12" t="n"/>
      <c r="BP143" s="12" t="n"/>
      <c r="BQ143" s="12" t="n"/>
      <c r="BR143" s="12" t="n"/>
      <c r="BS143" s="12" t="n"/>
      <c r="BT143" s="12" t="n"/>
      <c r="BU143" s="12" t="n"/>
      <c r="BV143" s="12" t="n"/>
      <c r="BW143" s="12" t="n"/>
      <c r="BX143" s="12" t="n"/>
      <c r="BY143" s="12" t="n"/>
      <c r="BZ143" s="12" t="n"/>
      <c r="CA143" s="12" t="n"/>
      <c r="CB143" s="12" t="n"/>
      <c r="CC143" s="12" t="n"/>
      <c r="CD143" s="12" t="n"/>
      <c r="CE143" s="12" t="n"/>
      <c r="CF143" s="12" t="n"/>
      <c r="CG143" s="12" t="n"/>
      <c r="CH143" s="12" t="n"/>
      <c r="CI143" s="12" t="n"/>
      <c r="CJ143" s="12" t="n"/>
      <c r="CK143" s="12" t="n"/>
      <c r="CL143" s="12" t="n"/>
      <c r="CM143" s="12" t="n"/>
      <c r="CN143" s="12" t="n"/>
      <c r="CO143" s="12" t="n"/>
      <c r="CP143" s="12" t="n"/>
      <c r="CQ143" s="12" t="n"/>
      <c r="CR143" s="12" t="n"/>
      <c r="CS143" s="12" t="n"/>
      <c r="CT143" s="12" t="n"/>
      <c r="CU143" s="12" t="n"/>
      <c r="CV143" s="12" t="n"/>
      <c r="CW143" s="12" t="n"/>
      <c r="CX143" s="12" t="n"/>
      <c r="CY143" s="12" t="n"/>
    </row>
    <row r="144" hidden="1" outlineLevel="1">
      <c r="C144" s="59" t="inlineStr">
        <is>
          <t>%(Var.)</t>
        </is>
      </c>
      <c r="D144" s="12" t="n"/>
      <c r="E144" s="40" t="n"/>
      <c r="F144" s="40" t="n"/>
      <c r="G144" s="40" t="n"/>
      <c r="H144" s="12" t="n"/>
      <c r="I144" s="40" t="str">
        <f>""</f>
        <v/>
      </c>
      <c r="J144" s="40" t="str">
        <f>IFERROR(IF(I143=0,"",J143/I143-1),"")</f>
        <v/>
      </c>
      <c r="K144" s="40" t="str">
        <f>IFERROR(IF(J143=0,"",K143/J143-1),"")</f>
        <v/>
      </c>
      <c r="L144" s="40" t="str">
        <f>IFERROR(IF(K143=0,"",L143/K143-1),"")</f>
        <v/>
      </c>
      <c r="M144" s="12">
        <f>IFERROR(IF(L143=0,"",M143/L143-1),"")</f>
        <v>0</v>
      </c>
      <c r="N144" s="40">
        <f>IFERROR(IF(M143=0,"",N143/M143-1),"")</f>
        <v>-0.325305810397553</v>
      </c>
      <c r="O144" s="40">
        <f>IFERROR(IF(N143=0,"",O143/N143-1),"")</f>
        <v>0.309915014164306</v>
      </c>
      <c r="P144" s="40">
        <f>IFERROR(IF(O143=0,"",P143/O143-1),"")</f>
        <v>0.19788062283737</v>
      </c>
      <c r="Q144" s="40">
        <f>IFERROR(IF(P143=0,"",Q143/P143-1),"")</f>
        <v>0.0516338689294096</v>
      </c>
      <c r="R144" s="12">
        <f>IFERROR(IF(Q143=0,"",R143/Q143-1),"")</f>
        <v>0</v>
      </c>
      <c r="S144" s="40">
        <f>IFERROR(IF(R143=0,"",S143/R143-1),"")</f>
        <v>-0.0750214592274678</v>
      </c>
      <c r="T144" s="40">
        <f>IFERROR(IF(S143=0,"",T143/S143-1),"")</f>
        <v>0.0532665181885672</v>
      </c>
      <c r="U144" s="40">
        <f>IFERROR(IF(T143=0,"",U143/T143-1),"")</f>
        <v>-0.207929515418502</v>
      </c>
      <c r="V144" s="40">
        <f>IFERROR(IF(U143=0,"",V143/U143-1),"")</f>
        <v>0.233147942157953</v>
      </c>
      <c r="W144" s="12">
        <f>IFERROR(IF(V143=0,"",W143/V143-1),"")</f>
        <v>0</v>
      </c>
      <c r="X144" s="40">
        <f>IFERROR(IF(W143=0,"",X143/W143-1),"")</f>
        <v>-0.0261591196103194</v>
      </c>
      <c r="Y144" s="40">
        <f>IFERROR(IF(X143=0,"",Y143/X143-1),"")</f>
        <v>0.0337161911819193</v>
      </c>
      <c r="Z144" s="40">
        <f>IFERROR(IF(Y143=0,"",Z143/Y143-1),"")</f>
        <v>-0.213799283154122</v>
      </c>
      <c r="AA144" s="40">
        <f>IFERROR(IF(Z143=0,"",AA143/Z143-1),"")</f>
        <v>-0.656029177114201</v>
      </c>
      <c r="AB144" s="12">
        <f>IFERROR(IF(AA143=0,"",AB143/AA143-1),"")</f>
        <v>0</v>
      </c>
      <c r="AC144" s="40">
        <f>IFERROR(IF(AB143=0,"",AC143/AB143-1),"")</f>
        <v>0.756129887342611</v>
      </c>
      <c r="AD144" s="40">
        <f>IFERROR(IF(AC143=0,"",AD143/AC143-1),"")</f>
        <v>-0.150943396226415</v>
      </c>
      <c r="AE144" s="40">
        <f>IFERROR(IF(AD143=0,"",AE143/AD143-1),"")</f>
        <v>-0.808444444444444</v>
      </c>
      <c r="AF144" s="55">
        <f>IFERROR(IF(AE143=0,"",AF143/AE143-1),"")</f>
        <v>-3.95127610208817</v>
      </c>
      <c r="AG144" s="12">
        <f>IFERROR(IF(AF143=0,"",AG143/AF143-1),"")</f>
        <v>0</v>
      </c>
      <c r="AH144" s="12">
        <f>IFERROR(IF(AG143=0,"",AH143/AG143-1),"")</f>
        <v>-8.10849056603774</v>
      </c>
      <c r="AI144" s="12">
        <f>IFERROR(IF(AH143=0,"",AI143/AH143-1),"")</f>
        <v>0.0132714001327141</v>
      </c>
      <c r="AJ144" s="12">
        <f>IFERROR(IF(AI143=0,"",AJ143/AI143-1),"")</f>
        <v>0</v>
      </c>
      <c r="AK144" s="12">
        <f>IFERROR(IF(AJ143=0,"",AK143/AJ143-1),"")</f>
        <v>0</v>
      </c>
      <c r="AL144" s="12">
        <f>IFERROR(IF(AK143=0,"",AL143/AK143-1),"")</f>
        <v>0</v>
      </c>
      <c r="AM144" s="12">
        <f>IFERROR(IF(AL143=0,"",AM143/AL143-1),"")</f>
        <v>0</v>
      </c>
      <c r="AN144" s="12">
        <f>IFERROR(IF(AM143=0,"",AN143/AM143-1),"")</f>
        <v>0</v>
      </c>
      <c r="AO144" s="12">
        <f>IFERROR(IF(AN143=0,"",AO143/AN143-1),"")</f>
        <v>0</v>
      </c>
      <c r="AP144" s="12">
        <f>IFERROR(IF(AO143=0,"",AP143/AO143-1),"")</f>
        <v>0</v>
      </c>
      <c r="AQ144" s="12">
        <f>IFERROR(IF(AP143=0,"",AQ143/AP143-1),"")</f>
        <v>0</v>
      </c>
      <c r="AR144" s="12">
        <f>IFERROR(IF(AQ143=0,"",AR143/AQ143-1),"")</f>
        <v>0</v>
      </c>
      <c r="AS144" s="12">
        <f>IFERROR(IF(AR143=0,"",AS143/AR143-1),"")</f>
        <v>0</v>
      </c>
      <c r="AT144" s="12">
        <f>IFERROR(IF(AS143=0,"",AT143/AS143-1),"")</f>
        <v>0</v>
      </c>
      <c r="AU144" s="12">
        <f>IFERROR(IF(AT143=0,"",AU143/AT143-1),"")</f>
        <v>0</v>
      </c>
      <c r="AV144" s="12">
        <f>IFERROR(IF(AU143=0,"",AV143/AU143-1),"")</f>
        <v>0</v>
      </c>
      <c r="AW144" s="12">
        <f>IFERROR(IF(AV143=0,"",AW143/AV143-1),"")</f>
        <v>0</v>
      </c>
      <c r="AX144" s="12">
        <f>IFERROR(IF(AW143=0,"",AX143/AW143-1),"")</f>
        <v>0</v>
      </c>
      <c r="AY144" s="12">
        <f>IFERROR(IF(AX143=0,"",AY143/AX143-1),"")</f>
        <v>0</v>
      </c>
      <c r="AZ144" s="12">
        <f>IFERROR(IF(AY143=0,"",AZ143/AY143-1),"")</f>
        <v>0</v>
      </c>
      <c r="BA144" s="12">
        <f>IFERROR(IF(AZ143=0,"",BA143/AZ143-1),"")</f>
        <v>0</v>
      </c>
      <c r="BB144" s="12">
        <f>IFERROR(IF(BA143=0,"",BB143/BA143-1),"")</f>
        <v>0</v>
      </c>
      <c r="BC144" s="12">
        <f>IFERROR(IF(BB143=0,"",BC143/BB143-1),"")</f>
        <v>0</v>
      </c>
      <c r="BD144" s="12">
        <f>IFERROR(IF(BC143=0,"",BD143/BC143-1),"")</f>
        <v>0</v>
      </c>
      <c r="BE144" s="12">
        <f>IFERROR(IF(BD143=0,"",BE143/BD143-1),"")</f>
        <v>0</v>
      </c>
      <c r="BF144" s="12">
        <f>IFERROR(IF(BE143=0,"",BF143/BE143-1),"")</f>
        <v>0</v>
      </c>
      <c r="BG144" s="12" t="n"/>
      <c r="BH144" s="12" t="n"/>
      <c r="BI144" s="12" t="n"/>
      <c r="BJ144" s="12" t="n"/>
      <c r="BK144" s="12" t="n"/>
      <c r="BL144" s="12" t="n"/>
      <c r="BM144" s="12" t="n"/>
      <c r="BN144" s="12" t="n"/>
      <c r="BO144" s="12" t="n"/>
      <c r="BP144" s="12" t="n"/>
      <c r="BQ144" s="12" t="n"/>
      <c r="BR144" s="12" t="n"/>
      <c r="BS144" s="12" t="n"/>
      <c r="BT144" s="12" t="n"/>
      <c r="BU144" s="12" t="n"/>
      <c r="BV144" s="12" t="n"/>
      <c r="BW144" s="12" t="n"/>
      <c r="BX144" s="12" t="n"/>
      <c r="BY144" s="12" t="n"/>
      <c r="BZ144" s="12" t="n"/>
      <c r="CA144" s="12" t="n"/>
      <c r="CB144" s="12" t="n"/>
      <c r="CC144" s="12" t="n"/>
      <c r="CD144" s="12" t="n"/>
      <c r="CE144" s="12" t="n"/>
      <c r="CF144" s="12" t="n"/>
      <c r="CG144" s="12" t="n"/>
      <c r="CH144" s="12" t="n"/>
      <c r="CI144" s="12" t="n"/>
      <c r="CJ144" s="12" t="n"/>
      <c r="CK144" s="12" t="n"/>
      <c r="CL144" s="12" t="n"/>
      <c r="CM144" s="12" t="n"/>
      <c r="CN144" s="12" t="n"/>
      <c r="CO144" s="12" t="n"/>
      <c r="CP144" s="12" t="n"/>
      <c r="CQ144" s="12" t="n"/>
      <c r="CR144" s="12" t="n"/>
      <c r="CS144" s="12" t="n"/>
      <c r="CT144" s="12" t="n"/>
      <c r="CU144" s="12" t="n"/>
      <c r="CV144" s="12" t="n"/>
      <c r="CW144" s="12" t="n"/>
      <c r="CX144" s="12" t="n"/>
      <c r="CY144" s="12" t="n"/>
    </row>
    <row r="145" hidden="1" outlineLevel="1">
      <c r="C145" s="57" t="n"/>
      <c r="D145" s="12" t="n"/>
      <c r="E145" s="40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2" t="n"/>
      <c r="AC145" s="12" t="n"/>
      <c r="AD145" s="12" t="n"/>
      <c r="AE145" s="12" t="n"/>
      <c r="AF145" s="12" t="n"/>
      <c r="AG145" s="12" t="n"/>
      <c r="AH145" s="12" t="n"/>
      <c r="AI145" s="12" t="n"/>
      <c r="AJ145" s="12" t="n"/>
      <c r="AK145" s="12" t="n"/>
      <c r="AL145" s="12" t="n"/>
      <c r="AM145" s="12" t="n"/>
      <c r="AN145" s="12" t="n"/>
      <c r="AO145" s="12" t="n"/>
      <c r="AP145" s="12" t="n"/>
      <c r="AQ145" s="12" t="n"/>
      <c r="AR145" s="12" t="n"/>
      <c r="AS145" s="12" t="n"/>
      <c r="AT145" s="12" t="n"/>
      <c r="AU145" s="12" t="n"/>
      <c r="AV145" s="12" t="n"/>
      <c r="AW145" s="12" t="n"/>
      <c r="AX145" s="12" t="n"/>
      <c r="AY145" s="12" t="n"/>
      <c r="AZ145" s="12" t="n"/>
      <c r="BA145" s="12" t="n"/>
      <c r="BB145" s="12" t="n"/>
      <c r="BC145" s="12" t="n"/>
      <c r="BD145" s="12" t="n"/>
      <c r="BE145" s="12" t="n"/>
      <c r="BF145" s="12" t="n"/>
      <c r="BG145" s="12" t="n"/>
      <c r="BH145" s="12" t="n"/>
      <c r="BI145" s="12" t="n"/>
      <c r="BJ145" s="12" t="n"/>
      <c r="BK145" s="12" t="n"/>
      <c r="BL145" s="12" t="n"/>
      <c r="BM145" s="12" t="n"/>
      <c r="BN145" s="12" t="n"/>
      <c r="BO145" s="12" t="n"/>
      <c r="BP145" s="12" t="n"/>
      <c r="BQ145" s="12" t="n"/>
      <c r="BR145" s="12" t="n"/>
      <c r="BS145" s="12" t="n"/>
      <c r="BT145" s="12" t="n"/>
      <c r="BU145" s="12" t="n"/>
      <c r="BV145" s="12" t="n"/>
      <c r="BW145" s="12" t="n"/>
      <c r="BX145" s="12" t="n"/>
      <c r="BY145" s="12" t="n"/>
      <c r="BZ145" s="12" t="n"/>
      <c r="CA145" s="12" t="n"/>
      <c r="CB145" s="12" t="n"/>
      <c r="CC145" s="12" t="n"/>
      <c r="CD145" s="12" t="n"/>
      <c r="CE145" s="12" t="n"/>
      <c r="CF145" s="12" t="n"/>
      <c r="CG145" s="12" t="n"/>
      <c r="CH145" s="12" t="n"/>
      <c r="CI145" s="12" t="n"/>
      <c r="CJ145" s="12" t="n"/>
      <c r="CK145" s="12" t="n"/>
      <c r="CL145" s="12" t="n"/>
      <c r="CM145" s="12" t="n"/>
      <c r="CN145" s="12" t="n"/>
      <c r="CO145" s="12" t="n"/>
      <c r="CP145" s="12" t="n"/>
      <c r="CQ145" s="12" t="n"/>
      <c r="CR145" s="12" t="n"/>
      <c r="CS145" s="12" t="n"/>
      <c r="CT145" s="12" t="n"/>
      <c r="CU145" s="12" t="n"/>
      <c r="CV145" s="12" t="n"/>
      <c r="CW145" s="12" t="n"/>
      <c r="CX145" s="12" t="n"/>
      <c r="CY145" s="12" t="n"/>
    </row>
    <row r="146" hidden="1" outlineLevel="1">
      <c r="C146" s="60" t="inlineStr">
        <is>
          <t xml:space="preserve">Impostos e Contribuições a Recuperar </t>
        </is>
      </c>
      <c r="D146" s="11" t="n"/>
      <c r="E146" s="11" t="n"/>
      <c r="F146" s="11" t="n"/>
      <c r="G146" s="11" t="n"/>
      <c r="H146" s="12" t="n"/>
      <c r="I146" s="11" t="n"/>
      <c r="J146" s="11" t="n"/>
      <c r="K146" s="11" t="n"/>
      <c r="L146" s="11" t="n"/>
      <c r="M146" s="12" t="n"/>
      <c r="N146" s="11" t="n"/>
      <c r="O146" s="11" t="n"/>
      <c r="P146" s="11" t="n"/>
      <c r="Q146" s="11" t="n"/>
      <c r="R146" s="12" t="n"/>
      <c r="S146" s="11" t="n"/>
      <c r="T146" s="11" t="n"/>
      <c r="U146" s="11" t="n"/>
      <c r="V146" s="11" t="n"/>
      <c r="W146" s="12" t="n"/>
      <c r="X146" s="11" t="n"/>
      <c r="Y146" s="11" t="n"/>
      <c r="Z146" s="11" t="n"/>
      <c r="AA146" s="11" t="n"/>
      <c r="AB146" s="12" t="n"/>
      <c r="AC146" s="11" t="n"/>
      <c r="AD146" s="11" t="n"/>
      <c r="AE146" s="11" t="n"/>
      <c r="AF146" s="11" t="n"/>
      <c r="AG146" s="12">
        <f>AF146</f>
        <v>0</v>
      </c>
      <c r="AH146" s="61">
        <f>IFERROR(AG146*AH15/AG15,"")</f>
        <v>0</v>
      </c>
      <c r="AI146" s="61">
        <f>IFERROR(AH146*AI15/AH15,"")</f>
        <v>0</v>
      </c>
      <c r="AJ146" s="61">
        <f>IFERROR(AI146*AJ15/AI15,"")</f>
        <v>0</v>
      </c>
      <c r="AK146" s="61">
        <f>IFERROR(AJ146*AK15/AJ15,"")</f>
        <v>0</v>
      </c>
      <c r="AL146" s="12">
        <f>IFERROR(AK146,"")</f>
        <v>0</v>
      </c>
      <c r="AM146" s="12" t="n"/>
      <c r="AN146" s="12" t="n"/>
      <c r="AO146" s="12" t="n"/>
      <c r="AP146" s="12" t="n"/>
      <c r="AQ146" s="12" t="n"/>
      <c r="AR146" s="12" t="n"/>
      <c r="AS146" s="12" t="n"/>
      <c r="AT146" s="12" t="n"/>
      <c r="AU146" s="12" t="n"/>
      <c r="AV146" s="12" t="n"/>
      <c r="AW146" s="12" t="n"/>
      <c r="AX146" s="12" t="n"/>
      <c r="AY146" s="12" t="n"/>
      <c r="AZ146" s="12" t="n"/>
      <c r="BA146" s="12" t="n"/>
      <c r="BB146" s="12" t="n"/>
      <c r="BC146" s="12" t="n"/>
      <c r="BD146" s="12" t="n"/>
      <c r="BE146" s="12" t="n"/>
      <c r="BF146" s="12" t="n"/>
      <c r="BG146" s="12" t="n"/>
      <c r="BH146" s="12" t="n"/>
      <c r="BI146" s="12" t="n"/>
      <c r="BJ146" s="12" t="n"/>
      <c r="BK146" s="12" t="n"/>
      <c r="BL146" s="12" t="n"/>
      <c r="BM146" s="12" t="n"/>
      <c r="BN146" s="12" t="n"/>
      <c r="BO146" s="12" t="n"/>
      <c r="BP146" s="12" t="n"/>
      <c r="BQ146" s="12" t="n"/>
      <c r="BR146" s="12" t="n"/>
      <c r="BS146" s="12" t="n"/>
      <c r="BT146" s="12" t="n"/>
      <c r="BU146" s="12" t="n"/>
      <c r="BV146" s="12" t="n"/>
      <c r="BW146" s="12" t="n"/>
      <c r="BX146" s="12" t="n"/>
      <c r="BY146" s="12" t="n"/>
      <c r="BZ146" s="12" t="n"/>
      <c r="CA146" s="12" t="n"/>
      <c r="CB146" s="12" t="n"/>
      <c r="CC146" s="12" t="n"/>
      <c r="CD146" s="12" t="n"/>
      <c r="CE146" s="12" t="n"/>
      <c r="CF146" s="12" t="n"/>
      <c r="CG146" s="12" t="n"/>
      <c r="CH146" s="12" t="n"/>
      <c r="CI146" s="12" t="n"/>
      <c r="CJ146" s="12" t="n"/>
      <c r="CK146" s="12" t="n"/>
      <c r="CL146" s="12" t="n"/>
      <c r="CM146" s="12" t="n"/>
      <c r="CN146" s="12" t="n"/>
      <c r="CO146" s="12" t="n"/>
      <c r="CP146" s="12" t="n"/>
      <c r="CQ146" s="12" t="n"/>
      <c r="CR146" s="12" t="n"/>
      <c r="CS146" s="12" t="n"/>
      <c r="CT146" s="12" t="n"/>
      <c r="CU146" s="12" t="n"/>
      <c r="CV146" s="12" t="n"/>
      <c r="CW146" s="12" t="n"/>
      <c r="CX146" s="12" t="n"/>
      <c r="CY146" s="12" t="n"/>
    </row>
    <row r="147" hidden="1" outlineLevel="1">
      <c r="C147" s="60" t="inlineStr">
        <is>
          <t>Outros Créditos</t>
        </is>
      </c>
      <c r="D147" s="11" t="n"/>
      <c r="E147" s="11" t="n"/>
      <c r="F147" s="11" t="n"/>
      <c r="G147" s="11" t="n"/>
      <c r="H147" s="12" t="n"/>
      <c r="I147" s="11" t="n"/>
      <c r="J147" s="11" t="n"/>
      <c r="K147" s="11" t="n"/>
      <c r="L147" s="11" t="n"/>
      <c r="M147" s="12" t="n"/>
      <c r="N147" s="11" t="n"/>
      <c r="O147" s="11" t="n"/>
      <c r="P147" s="11" t="n"/>
      <c r="Q147" s="11" t="n"/>
      <c r="R147" s="12" t="n"/>
      <c r="S147" s="11" t="n"/>
      <c r="T147" s="11" t="n"/>
      <c r="U147" s="11" t="n"/>
      <c r="V147" s="11" t="n"/>
      <c r="W147" s="12" t="n"/>
      <c r="X147" s="11" t="n"/>
      <c r="Y147" s="11" t="n"/>
      <c r="Z147" s="11" t="n"/>
      <c r="AA147" s="11" t="n"/>
      <c r="AB147" s="12" t="n"/>
      <c r="AC147" s="11" t="n"/>
      <c r="AD147" s="11" t="n"/>
      <c r="AE147" s="11" t="n"/>
      <c r="AF147" s="11" t="n"/>
      <c r="AG147" s="12">
        <f>AF147</f>
        <v>0</v>
      </c>
      <c r="AH147" s="12">
        <f>AG147</f>
        <v>0</v>
      </c>
      <c r="AI147" s="12">
        <f>AH147</f>
        <v>0</v>
      </c>
      <c r="AJ147" s="12">
        <f>AI147</f>
        <v>0</v>
      </c>
      <c r="AK147" s="12">
        <f>AJ147</f>
        <v>0</v>
      </c>
      <c r="AL147" s="12">
        <f>AK147</f>
        <v>0</v>
      </c>
      <c r="AM147" s="12" t="n"/>
      <c r="AN147" s="12" t="n"/>
      <c r="AO147" s="12" t="n"/>
      <c r="AP147" s="12" t="n"/>
      <c r="AQ147" s="12" t="n"/>
      <c r="AR147" s="12" t="n"/>
      <c r="AS147" s="12" t="n"/>
      <c r="AT147" s="12" t="n"/>
      <c r="AU147" s="12" t="n"/>
      <c r="AV147" s="12" t="n"/>
      <c r="AW147" s="12" t="n"/>
      <c r="AX147" s="12" t="n"/>
      <c r="AY147" s="12" t="n"/>
      <c r="AZ147" s="12" t="n"/>
      <c r="BA147" s="12" t="n"/>
      <c r="BB147" s="12" t="n"/>
      <c r="BC147" s="12" t="n"/>
      <c r="BD147" s="12" t="n"/>
      <c r="BE147" s="12" t="n"/>
      <c r="BF147" s="12" t="n"/>
      <c r="BG147" s="12" t="n"/>
      <c r="BH147" s="12" t="n"/>
      <c r="BI147" s="12" t="n"/>
      <c r="BJ147" s="12" t="n"/>
      <c r="BK147" s="12" t="n"/>
      <c r="BL147" s="12" t="n"/>
      <c r="BM147" s="12" t="n"/>
      <c r="BN147" s="12" t="n"/>
      <c r="BO147" s="12" t="n"/>
      <c r="BP147" s="12" t="n"/>
      <c r="BQ147" s="12" t="n"/>
      <c r="BR147" s="12" t="n"/>
      <c r="BS147" s="12" t="n"/>
      <c r="BT147" s="12" t="n"/>
      <c r="BU147" s="12" t="n"/>
      <c r="BV147" s="12" t="n"/>
      <c r="BW147" s="12" t="n"/>
      <c r="BX147" s="12" t="n"/>
      <c r="BY147" s="12" t="n"/>
      <c r="BZ147" s="12" t="n"/>
      <c r="CA147" s="12" t="n"/>
      <c r="CB147" s="12" t="n"/>
      <c r="CC147" s="12" t="n"/>
      <c r="CD147" s="12" t="n"/>
      <c r="CE147" s="12" t="n"/>
      <c r="CF147" s="12" t="n"/>
      <c r="CG147" s="12" t="n"/>
      <c r="CH147" s="12" t="n"/>
      <c r="CI147" s="12" t="n"/>
      <c r="CJ147" s="12" t="n"/>
      <c r="CK147" s="12" t="n"/>
      <c r="CL147" s="12" t="n"/>
      <c r="CM147" s="12" t="n"/>
      <c r="CN147" s="12" t="n"/>
      <c r="CO147" s="12" t="n"/>
      <c r="CP147" s="12" t="n"/>
      <c r="CQ147" s="12" t="n"/>
      <c r="CR147" s="12" t="n"/>
      <c r="CS147" s="12" t="n"/>
      <c r="CT147" s="12" t="n"/>
      <c r="CU147" s="12" t="n"/>
      <c r="CV147" s="12" t="n"/>
      <c r="CW147" s="12" t="n"/>
      <c r="CX147" s="12" t="n"/>
      <c r="CY147" s="12" t="n"/>
    </row>
    <row r="148" hidden="1" outlineLevel="1">
      <c r="C148" s="57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  <c r="AF148" s="12" t="n"/>
      <c r="AG148" s="12" t="n"/>
      <c r="AH148" s="12" t="n"/>
      <c r="AI148" s="12" t="n"/>
      <c r="AJ148" s="12" t="n"/>
      <c r="AK148" s="12" t="n"/>
      <c r="AL148" s="12" t="n"/>
      <c r="AM148" s="12" t="n"/>
      <c r="AN148" s="12" t="n"/>
      <c r="AO148" s="12" t="n"/>
      <c r="AP148" s="12" t="n"/>
      <c r="AQ148" s="12" t="n"/>
      <c r="AR148" s="12" t="n"/>
      <c r="AS148" s="12" t="n"/>
      <c r="AT148" s="12" t="n"/>
      <c r="AU148" s="12" t="n"/>
      <c r="AV148" s="12" t="n"/>
      <c r="AW148" s="12" t="n"/>
      <c r="AX148" s="12" t="n"/>
      <c r="AY148" s="12" t="n"/>
      <c r="AZ148" s="12" t="n"/>
      <c r="BA148" s="12" t="n"/>
      <c r="BB148" s="12" t="n"/>
      <c r="BC148" s="12" t="n"/>
      <c r="BD148" s="12" t="n"/>
      <c r="BE148" s="12" t="n"/>
      <c r="BF148" s="12" t="n"/>
      <c r="BG148" s="12" t="n"/>
      <c r="BH148" s="12" t="n"/>
      <c r="BI148" s="12" t="n"/>
      <c r="BJ148" s="12" t="n"/>
      <c r="BK148" s="12" t="n"/>
      <c r="BL148" s="12" t="n"/>
      <c r="BM148" s="12" t="n"/>
      <c r="BN148" s="12" t="n"/>
      <c r="BO148" s="12" t="n"/>
      <c r="BP148" s="12" t="n"/>
      <c r="BQ148" s="12" t="n"/>
      <c r="BR148" s="12" t="n"/>
      <c r="BS148" s="12" t="n"/>
      <c r="BT148" s="12" t="n"/>
      <c r="BU148" s="12" t="n"/>
      <c r="BV148" s="12" t="n"/>
      <c r="BW148" s="12" t="n"/>
      <c r="BX148" s="12" t="n"/>
      <c r="BY148" s="12" t="n"/>
      <c r="BZ148" s="12" t="n"/>
      <c r="CA148" s="12" t="n"/>
      <c r="CB148" s="12" t="n"/>
      <c r="CC148" s="12" t="n"/>
      <c r="CD148" s="12" t="n"/>
      <c r="CE148" s="12" t="n"/>
      <c r="CF148" s="12" t="n"/>
      <c r="CG148" s="12" t="n"/>
      <c r="CH148" s="12" t="n"/>
      <c r="CI148" s="12" t="n"/>
      <c r="CJ148" s="12" t="n"/>
      <c r="CK148" s="12" t="n"/>
      <c r="CL148" s="12" t="n"/>
      <c r="CM148" s="12" t="n"/>
      <c r="CN148" s="12" t="n"/>
      <c r="CO148" s="12" t="n"/>
      <c r="CP148" s="12" t="n"/>
      <c r="CQ148" s="12" t="n"/>
      <c r="CR148" s="12" t="n"/>
      <c r="CS148" s="12" t="n"/>
      <c r="CT148" s="12" t="n"/>
      <c r="CU148" s="12" t="n"/>
      <c r="CV148" s="12" t="n"/>
      <c r="CW148" s="12" t="n"/>
      <c r="CX148" s="12" t="n"/>
      <c r="CY148" s="12" t="n"/>
    </row>
    <row r="149" collapsed="1">
      <c r="C149" s="14" t="inlineStr">
        <is>
          <t>Equity in affiliates</t>
        </is>
      </c>
      <c r="D149" s="46" t="n"/>
      <c r="E149" s="46" t="n"/>
      <c r="F149" s="46" t="n"/>
      <c r="G149" s="46" t="n"/>
      <c r="H149" s="12" t="n"/>
      <c r="I149" s="46">
        <f>'Inputs (2)'!D21</f>
        <v>0</v>
      </c>
      <c r="J149" s="46">
        <f>'Inputs (2)'!E21</f>
        <v>0</v>
      </c>
      <c r="K149" s="46">
        <f>'Inputs (2)'!F21</f>
        <v>0</v>
      </c>
      <c r="L149" s="46">
        <f>'Inputs (2)'!G21</f>
        <v>0</v>
      </c>
      <c r="M149" s="12">
        <f>'Inputs (2)'!H21</f>
        <v>0</v>
      </c>
      <c r="N149" s="46">
        <f>'Inputs (2)'!I21</f>
        <v>0</v>
      </c>
      <c r="O149" s="46">
        <f>'Inputs (2)'!J21</f>
        <v>0</v>
      </c>
      <c r="P149" s="46">
        <f>'Inputs (2)'!K21</f>
        <v>0</v>
      </c>
      <c r="Q149" s="46">
        <f>'Inputs (2)'!L21</f>
        <v>0</v>
      </c>
      <c r="R149" s="12">
        <f>'Inputs (2)'!M21</f>
        <v>0</v>
      </c>
      <c r="S149" s="46">
        <f>'Inputs (2)'!N21</f>
        <v>0</v>
      </c>
      <c r="T149" s="46">
        <f>'Inputs (2)'!O21</f>
        <v>0</v>
      </c>
      <c r="U149" s="46">
        <f>'Inputs (2)'!P21</f>
        <v>0</v>
      </c>
      <c r="V149" s="46">
        <f>'Inputs (2)'!Q21</f>
        <v>0</v>
      </c>
      <c r="W149" s="12">
        <f>'Inputs (2)'!R21</f>
        <v>0</v>
      </c>
      <c r="X149" s="46">
        <f>'Inputs (2)'!S21</f>
        <v>0</v>
      </c>
      <c r="Y149" s="46">
        <f>'Inputs (2)'!T21</f>
        <v>0</v>
      </c>
      <c r="Z149" s="46">
        <f>'Inputs (2)'!U21</f>
        <v>0</v>
      </c>
      <c r="AA149" s="46">
        <f>'Inputs (2)'!V21</f>
        <v>0</v>
      </c>
      <c r="AB149" s="12">
        <f>'Inputs (2)'!W21</f>
        <v>0</v>
      </c>
      <c r="AC149" s="46">
        <f>'Inputs (2)'!X21</f>
        <v>0</v>
      </c>
      <c r="AD149" s="46">
        <f>'Inputs (2)'!Y21</f>
        <v>0</v>
      </c>
      <c r="AE149" s="46">
        <f>'Inputs (2)'!Z21</f>
        <v>0</v>
      </c>
      <c r="AF149" s="46">
        <f>'Inputs (2)'!AA21</f>
        <v>0</v>
      </c>
      <c r="AG149" s="12">
        <f>'Inputs (2)'!AB21</f>
        <v>0</v>
      </c>
      <c r="AH149" s="12">
        <f>'Inputs (2)'!AC21</f>
        <v>0</v>
      </c>
      <c r="AI149" s="12">
        <f>'Inputs (2)'!AD21</f>
        <v>0</v>
      </c>
      <c r="AJ149" s="12">
        <f>AI149+AJ123</f>
        <v>0</v>
      </c>
      <c r="AK149" s="12">
        <f>AJ149+AK123</f>
        <v>0</v>
      </c>
      <c r="AL149" s="12">
        <f>AK149</f>
        <v>0</v>
      </c>
      <c r="AM149" s="12">
        <f>AL149+AM123</f>
        <v>0</v>
      </c>
      <c r="AN149" s="12">
        <f>AM149+AN123</f>
        <v>0</v>
      </c>
      <c r="AO149" s="12">
        <f>AN149+AO123</f>
        <v>0</v>
      </c>
      <c r="AP149" s="12">
        <f>AO149+AP123</f>
        <v>0</v>
      </c>
      <c r="AQ149" s="12">
        <f>AP149</f>
        <v>0</v>
      </c>
      <c r="AR149" s="12">
        <f>AQ149+AR123</f>
        <v>0</v>
      </c>
      <c r="AS149" s="12">
        <f>AR149+AS123</f>
        <v>0</v>
      </c>
      <c r="AT149" s="12">
        <f>AS149+AT123</f>
        <v>0</v>
      </c>
      <c r="AU149" s="12">
        <f>AT149+AU123</f>
        <v>0</v>
      </c>
      <c r="AV149" s="12">
        <f>AU149</f>
        <v>0</v>
      </c>
      <c r="AW149" s="12">
        <f>AV149+AW123</f>
        <v>0</v>
      </c>
      <c r="AX149" s="12">
        <f>AW149+AX123</f>
        <v>0</v>
      </c>
      <c r="AY149" s="12">
        <f>AX149+AY123</f>
        <v>0</v>
      </c>
      <c r="AZ149" s="12">
        <f>AY149+AZ123</f>
        <v>0</v>
      </c>
      <c r="BA149" s="12">
        <f>AZ149</f>
        <v>0</v>
      </c>
      <c r="BB149" s="12">
        <f>BA149+BB123</f>
        <v>0</v>
      </c>
      <c r="BC149" s="12">
        <f>BB149+BC123</f>
        <v>0</v>
      </c>
      <c r="BD149" s="12">
        <f>BC149+BD123</f>
        <v>0</v>
      </c>
      <c r="BE149" s="12">
        <f>BD149+BE123</f>
        <v>0</v>
      </c>
      <c r="BF149" s="12">
        <f>BE149</f>
        <v>0</v>
      </c>
      <c r="BG149" s="12" t="n"/>
      <c r="BH149" s="12" t="n"/>
      <c r="BI149" s="12" t="n"/>
      <c r="BJ149" s="12" t="n"/>
      <c r="BK149" s="12" t="n"/>
      <c r="BL149" s="12" t="n"/>
      <c r="BM149" s="12" t="n"/>
      <c r="BN149" s="12" t="n"/>
      <c r="BO149" s="12" t="n"/>
      <c r="BP149" s="12" t="n"/>
      <c r="BQ149" s="12" t="n"/>
      <c r="BR149" s="12" t="n"/>
      <c r="BS149" s="12" t="n"/>
      <c r="BT149" s="12" t="n"/>
      <c r="BU149" s="12" t="n"/>
      <c r="BV149" s="12" t="n"/>
      <c r="BW149" s="12" t="n"/>
      <c r="BX149" s="12" t="n"/>
      <c r="BY149" s="12" t="n"/>
      <c r="BZ149" s="12" t="n"/>
      <c r="CA149" s="12" t="n"/>
      <c r="CB149" s="12" t="n"/>
      <c r="CC149" s="12" t="n"/>
      <c r="CD149" s="12" t="n"/>
      <c r="CE149" s="12" t="n"/>
      <c r="CF149" s="12" t="n"/>
      <c r="CG149" s="12" t="n"/>
      <c r="CH149" s="12" t="n"/>
      <c r="CI149" s="12" t="n"/>
      <c r="CJ149" s="12" t="n"/>
      <c r="CK149" s="12" t="n"/>
      <c r="CL149" s="12" t="n"/>
      <c r="CM149" s="12" t="n"/>
      <c r="CN149" s="12" t="n"/>
      <c r="CO149" s="12" t="n"/>
      <c r="CP149" s="12" t="n"/>
      <c r="CQ149" s="12" t="n"/>
      <c r="CR149" s="12" t="n"/>
      <c r="CS149" s="12" t="n"/>
      <c r="CT149" s="12" t="n"/>
      <c r="CU149" s="12" t="n"/>
      <c r="CV149" s="12" t="n"/>
      <c r="CW149" s="12" t="n"/>
      <c r="CX149" s="12" t="n"/>
      <c r="CY149" s="12" t="n"/>
    </row>
    <row r="150" hidden="1" outlineLevel="1">
      <c r="C150" s="57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/>
      <c r="AC150" s="12" t="n"/>
      <c r="AD150" s="12" t="n"/>
      <c r="AE150" s="12" t="n"/>
      <c r="AF150" s="12" t="n"/>
      <c r="AG150" s="12" t="n"/>
      <c r="AH150" s="12" t="n"/>
      <c r="AI150" s="12" t="n"/>
      <c r="AJ150" s="12" t="n"/>
      <c r="AK150" s="12" t="n"/>
      <c r="AL150" s="12" t="n"/>
      <c r="AM150" s="12" t="n"/>
      <c r="AN150" s="12" t="n"/>
      <c r="AO150" s="12" t="n"/>
      <c r="AP150" s="12" t="n"/>
      <c r="AQ150" s="12" t="n"/>
      <c r="AR150" s="12" t="n"/>
      <c r="AS150" s="12" t="n"/>
      <c r="AT150" s="12" t="n"/>
      <c r="AU150" s="12" t="n"/>
      <c r="AV150" s="12" t="n"/>
      <c r="AW150" s="12" t="n"/>
      <c r="AX150" s="12" t="n"/>
      <c r="AY150" s="12" t="n"/>
      <c r="AZ150" s="12" t="n"/>
      <c r="BA150" s="12" t="n"/>
      <c r="BB150" s="12" t="n"/>
      <c r="BC150" s="12" t="n"/>
      <c r="BD150" s="12" t="n"/>
      <c r="BE150" s="12" t="n"/>
      <c r="BF150" s="12" t="n"/>
      <c r="BG150" s="12" t="n"/>
      <c r="BH150" s="12" t="n"/>
      <c r="BI150" s="12" t="n"/>
      <c r="BJ150" s="12" t="n"/>
      <c r="BK150" s="12" t="n"/>
      <c r="BL150" s="12" t="n"/>
      <c r="BM150" s="12" t="n"/>
      <c r="BN150" s="12" t="n"/>
      <c r="BO150" s="12" t="n"/>
      <c r="BP150" s="12" t="n"/>
      <c r="BQ150" s="12" t="n"/>
      <c r="BR150" s="12" t="n"/>
      <c r="BS150" s="12" t="n"/>
      <c r="BT150" s="12" t="n"/>
      <c r="BU150" s="12" t="n"/>
      <c r="BV150" s="12" t="n"/>
      <c r="BW150" s="12" t="n"/>
      <c r="BX150" s="12" t="n"/>
      <c r="BY150" s="12" t="n"/>
      <c r="BZ150" s="12" t="n"/>
      <c r="CA150" s="12" t="n"/>
      <c r="CB150" s="12" t="n"/>
      <c r="CC150" s="12" t="n"/>
      <c r="CD150" s="12" t="n"/>
      <c r="CE150" s="12" t="n"/>
      <c r="CF150" s="12" t="n"/>
      <c r="CG150" s="12" t="n"/>
      <c r="CH150" s="12" t="n"/>
      <c r="CI150" s="12" t="n"/>
      <c r="CJ150" s="12" t="n"/>
      <c r="CK150" s="12" t="n"/>
      <c r="CL150" s="12" t="n"/>
      <c r="CM150" s="12" t="n"/>
      <c r="CN150" s="12" t="n"/>
      <c r="CO150" s="12" t="n"/>
      <c r="CP150" s="12" t="n"/>
      <c r="CQ150" s="12" t="n"/>
      <c r="CR150" s="12" t="n"/>
      <c r="CS150" s="12" t="n"/>
      <c r="CT150" s="12" t="n"/>
      <c r="CU150" s="12" t="n"/>
      <c r="CV150" s="12" t="n"/>
      <c r="CW150" s="12" t="n"/>
      <c r="CX150" s="12" t="n"/>
      <c r="CY150" s="12" t="n"/>
    </row>
    <row r="151" hidden="1" outlineLevel="1">
      <c r="C151" s="57" t="inlineStr">
        <is>
          <t>Equity in Income - % YoY</t>
        </is>
      </c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>
        <f>IF(I123=0,0,N123/I123-1)</f>
        <v>2</v>
      </c>
      <c r="O151" s="12">
        <f>IF(J123=0,0,O123/J123-1)</f>
        <v>2</v>
      </c>
      <c r="P151" s="12">
        <f>IF(K123=0,0,P123/K123-1)</f>
        <v>0</v>
      </c>
      <c r="Q151" s="12">
        <f>IF(L123=0,0,Q123/L123-1)</f>
        <v>-0.25</v>
      </c>
      <c r="R151" s="12" t="n"/>
      <c r="S151" s="12">
        <f>IF(N123=0,0,S123/N123-1)</f>
        <v>0.666666666666667</v>
      </c>
      <c r="T151" s="12">
        <f>IF(O123=0,0,T123/O123-1)</f>
        <v>0.666666666666667</v>
      </c>
      <c r="U151" s="12">
        <f>IF(P123=0,0,U123/P123-1)</f>
        <v>-1</v>
      </c>
      <c r="V151" s="12">
        <f>IF(Q123=0,0,V123/Q123-1)</f>
        <v>-1</v>
      </c>
      <c r="W151" s="12" t="n"/>
      <c r="X151" s="12">
        <f>IF(S123=0,0,X123/S123-1)</f>
        <v>-1</v>
      </c>
      <c r="Y151" s="12">
        <f>IF(T123=0,0,Y123/T123-1)</f>
        <v>-0.8</v>
      </c>
      <c r="Z151" s="12">
        <f>IF(U123=0,0,Z123/U123-1)</f>
        <v>0</v>
      </c>
      <c r="AA151" s="12">
        <f>IF(V123=0,0,AA123/V123-1)</f>
        <v>0</v>
      </c>
      <c r="AB151" s="12" t="n"/>
      <c r="AC151" s="12">
        <f>IF(X123=0,0,AC123/X123-1)</f>
        <v>0</v>
      </c>
      <c r="AD151" s="12">
        <f>IF(Y123=0,0,AD123/Y123-1)</f>
        <v>-1</v>
      </c>
      <c r="AE151" s="12">
        <f>IF(Z123=0,0,AE123/Z123-1)</f>
        <v>0</v>
      </c>
      <c r="AF151" s="12">
        <f>IF(AA123=0,0,AF123/AA123-1)</f>
        <v>-0.666666666666667</v>
      </c>
      <c r="AG151" s="12" t="n"/>
      <c r="AH151" s="11">
        <f>IF(AC123=0,0,AH123/AC123-1)</f>
        <v>0</v>
      </c>
      <c r="AI151" s="11">
        <f>IF(AD123=0,0,AI123/AD123-1)</f>
        <v>0</v>
      </c>
      <c r="AJ151" s="11" t="n"/>
      <c r="AK151" s="11" t="n"/>
      <c r="AL151" s="12" t="n"/>
      <c r="AM151" s="11" t="n"/>
      <c r="AN151" s="11" t="n"/>
      <c r="AO151" s="11" t="n"/>
      <c r="AP151" s="11" t="n"/>
      <c r="AQ151" s="12" t="n"/>
      <c r="AR151" s="11" t="n"/>
      <c r="AS151" s="11" t="n"/>
      <c r="AT151" s="11" t="n"/>
      <c r="AU151" s="11" t="n"/>
      <c r="AV151" s="12" t="n"/>
      <c r="AW151" s="11" t="n"/>
      <c r="AX151" s="11" t="n"/>
      <c r="AY151" s="11" t="n"/>
      <c r="AZ151" s="11" t="n"/>
      <c r="BA151" s="12" t="n"/>
      <c r="BB151" s="11" t="n"/>
      <c r="BC151" s="11" t="n"/>
      <c r="BD151" s="11" t="n"/>
      <c r="BE151" s="11" t="n"/>
      <c r="BF151" s="12" t="n"/>
      <c r="BG151" s="11" t="n"/>
      <c r="BH151" s="11" t="n"/>
      <c r="BI151" s="11" t="n"/>
      <c r="BJ151" s="11" t="n"/>
      <c r="BK151" s="12" t="n"/>
      <c r="BL151" s="11" t="n"/>
      <c r="BM151" s="11" t="n"/>
      <c r="BN151" s="11" t="n"/>
      <c r="BO151" s="11" t="n"/>
      <c r="BP151" s="12" t="n"/>
      <c r="BQ151" s="11" t="n"/>
      <c r="BR151" s="11" t="n"/>
      <c r="BS151" s="11" t="n"/>
      <c r="BT151" s="11" t="n"/>
      <c r="BU151" s="12" t="n"/>
      <c r="BV151" s="11" t="n"/>
      <c r="BW151" s="11" t="n"/>
      <c r="BX151" s="11" t="n"/>
      <c r="BY151" s="11" t="n"/>
      <c r="BZ151" s="12" t="n"/>
      <c r="CA151" s="11" t="n"/>
      <c r="CB151" s="11" t="n"/>
      <c r="CC151" s="11" t="n"/>
      <c r="CD151" s="11" t="n"/>
      <c r="CE151" s="12" t="n"/>
      <c r="CF151" s="11" t="n"/>
      <c r="CG151" s="11" t="n"/>
      <c r="CH151" s="11" t="n"/>
      <c r="CI151" s="11" t="n"/>
      <c r="CJ151" s="12" t="n"/>
      <c r="CK151" s="11" t="n"/>
      <c r="CL151" s="11" t="n"/>
      <c r="CM151" s="11" t="n"/>
      <c r="CN151" s="11" t="n"/>
      <c r="CO151" s="12" t="n"/>
      <c r="CP151" s="11" t="n"/>
      <c r="CQ151" s="11" t="n"/>
      <c r="CR151" s="11" t="n"/>
      <c r="CS151" s="11" t="n"/>
      <c r="CT151" s="12" t="n"/>
      <c r="CU151" s="11" t="n"/>
      <c r="CV151" s="11" t="n"/>
      <c r="CW151" s="11" t="n"/>
      <c r="CX151" s="11" t="n"/>
      <c r="CY151" s="12" t="n"/>
    </row>
    <row r="152" hidden="1" outlineLevel="1">
      <c r="C152" s="57" t="inlineStr">
        <is>
          <t>Dividends (enter as -)</t>
        </is>
      </c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2" t="n"/>
      <c r="AH152" s="11" t="n"/>
      <c r="AI152" s="11" t="n"/>
      <c r="AJ152" s="11" t="n"/>
      <c r="AK152" s="11" t="n"/>
      <c r="AL152" s="12" t="n"/>
      <c r="AM152" s="11" t="n"/>
      <c r="AN152" s="11" t="n"/>
      <c r="AO152" s="11" t="n"/>
      <c r="AP152" s="11" t="n"/>
      <c r="AQ152" s="12" t="n"/>
      <c r="AR152" s="11" t="n"/>
      <c r="AS152" s="11" t="n"/>
      <c r="AT152" s="11" t="n"/>
      <c r="AU152" s="11" t="n"/>
      <c r="AV152" s="12" t="n"/>
      <c r="AW152" s="11" t="n"/>
      <c r="AX152" s="11" t="n"/>
      <c r="AY152" s="11" t="n"/>
      <c r="AZ152" s="11" t="n"/>
      <c r="BA152" s="12" t="n"/>
      <c r="BB152" s="11" t="n"/>
      <c r="BC152" s="11" t="n"/>
      <c r="BD152" s="11" t="n"/>
      <c r="BE152" s="11" t="n"/>
      <c r="BF152" s="12" t="n"/>
      <c r="BG152" s="11" t="n"/>
      <c r="BH152" s="11" t="n"/>
      <c r="BI152" s="11" t="n"/>
      <c r="BJ152" s="11" t="n"/>
      <c r="BK152" s="12" t="n"/>
      <c r="BL152" s="11" t="n"/>
      <c r="BM152" s="11" t="n"/>
      <c r="BN152" s="11" t="n"/>
      <c r="BO152" s="11" t="n"/>
      <c r="BP152" s="12" t="n"/>
      <c r="BQ152" s="11" t="n"/>
      <c r="BR152" s="11" t="n"/>
      <c r="BS152" s="11" t="n"/>
      <c r="BT152" s="11" t="n"/>
      <c r="BU152" s="12" t="n"/>
      <c r="BV152" s="11" t="n"/>
      <c r="BW152" s="11" t="n"/>
      <c r="BX152" s="11" t="n"/>
      <c r="BY152" s="11" t="n"/>
      <c r="BZ152" s="12" t="n"/>
      <c r="CA152" s="11" t="n"/>
      <c r="CB152" s="11" t="n"/>
      <c r="CC152" s="11" t="n"/>
      <c r="CD152" s="11" t="n"/>
      <c r="CE152" s="12" t="n"/>
      <c r="CF152" s="11" t="n"/>
      <c r="CG152" s="11" t="n"/>
      <c r="CH152" s="11" t="n"/>
      <c r="CI152" s="11" t="n"/>
      <c r="CJ152" s="12" t="n"/>
      <c r="CK152" s="11" t="n"/>
      <c r="CL152" s="11" t="n"/>
      <c r="CM152" s="11" t="n"/>
      <c r="CN152" s="11" t="n"/>
      <c r="CO152" s="12" t="n"/>
      <c r="CP152" s="11" t="n"/>
      <c r="CQ152" s="11" t="n"/>
      <c r="CR152" s="11" t="n"/>
      <c r="CS152" s="11" t="n"/>
      <c r="CT152" s="12" t="n"/>
      <c r="CU152" s="11" t="n"/>
      <c r="CV152" s="11" t="n"/>
      <c r="CW152" s="11" t="n"/>
      <c r="CX152" s="11" t="n"/>
      <c r="CY152" s="12" t="n"/>
    </row>
    <row r="153" hidden="1" outlineLevel="1">
      <c r="C153" s="57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2" t="n"/>
      <c r="AC153" s="12" t="n"/>
      <c r="AD153" s="12" t="n"/>
      <c r="AE153" s="12" t="n"/>
      <c r="AF153" s="12" t="n"/>
      <c r="AG153" s="12" t="n"/>
      <c r="AH153" s="12" t="n"/>
      <c r="AI153" s="12" t="n"/>
      <c r="AJ153" s="12" t="n"/>
      <c r="AK153" s="12" t="n"/>
      <c r="AL153" s="12" t="n"/>
      <c r="AM153" s="12" t="n"/>
      <c r="AN153" s="12" t="n"/>
      <c r="AO153" s="12" t="n"/>
      <c r="AP153" s="12" t="n"/>
      <c r="AQ153" s="12" t="n"/>
      <c r="AR153" s="12" t="n"/>
      <c r="AS153" s="12" t="n"/>
      <c r="AT153" s="12" t="n"/>
      <c r="AU153" s="12" t="n"/>
      <c r="AV153" s="12" t="n"/>
      <c r="AW153" s="12" t="n"/>
      <c r="AX153" s="12" t="n"/>
      <c r="AY153" s="12" t="n"/>
      <c r="AZ153" s="12" t="n"/>
      <c r="BA153" s="12" t="n"/>
      <c r="BB153" s="12" t="n"/>
      <c r="BC153" s="12" t="n"/>
      <c r="BD153" s="12" t="n"/>
      <c r="BE153" s="12" t="n"/>
      <c r="BF153" s="12" t="n"/>
      <c r="BG153" s="12" t="n"/>
      <c r="BH153" s="12" t="n"/>
      <c r="BI153" s="12" t="n"/>
      <c r="BJ153" s="12" t="n"/>
      <c r="BK153" s="12" t="n"/>
      <c r="BL153" s="12" t="n"/>
      <c r="BM153" s="12" t="n"/>
      <c r="BN153" s="12" t="n"/>
      <c r="BO153" s="12" t="n"/>
      <c r="BP153" s="12" t="n"/>
      <c r="BQ153" s="12" t="n"/>
      <c r="BR153" s="12" t="n"/>
      <c r="BS153" s="12" t="n"/>
      <c r="BT153" s="12" t="n"/>
      <c r="BU153" s="12" t="n"/>
      <c r="BV153" s="12" t="n"/>
      <c r="BW153" s="12" t="n"/>
      <c r="BX153" s="12" t="n"/>
      <c r="BY153" s="12" t="n"/>
      <c r="BZ153" s="12" t="n"/>
      <c r="CA153" s="12" t="n"/>
      <c r="CB153" s="12" t="n"/>
      <c r="CC153" s="12" t="n"/>
      <c r="CD153" s="12" t="n"/>
      <c r="CE153" s="12" t="n"/>
      <c r="CF153" s="12" t="n"/>
      <c r="CG153" s="12" t="n"/>
      <c r="CH153" s="12" t="n"/>
      <c r="CI153" s="12" t="n"/>
      <c r="CJ153" s="12" t="n"/>
      <c r="CK153" s="12" t="n"/>
      <c r="CL153" s="12" t="n"/>
      <c r="CM153" s="12" t="n"/>
      <c r="CN153" s="12" t="n"/>
      <c r="CO153" s="12" t="n"/>
      <c r="CP153" s="12" t="n"/>
      <c r="CQ153" s="12" t="n"/>
      <c r="CR153" s="12" t="n"/>
      <c r="CS153" s="12" t="n"/>
      <c r="CT153" s="12" t="n"/>
      <c r="CU153" s="12" t="n"/>
      <c r="CV153" s="12" t="n"/>
      <c r="CW153" s="12" t="n"/>
      <c r="CX153" s="12" t="n"/>
      <c r="CY153" s="12" t="n"/>
    </row>
    <row r="154" collapsed="1">
      <c r="C154" s="14" t="inlineStr">
        <is>
          <t>PP&amp;E</t>
        </is>
      </c>
      <c r="D154" s="46" t="n"/>
      <c r="E154" s="46" t="n"/>
      <c r="F154" s="46" t="n"/>
      <c r="G154" s="46" t="n"/>
      <c r="H154" s="12" t="n"/>
      <c r="I154" s="46">
        <f>'Inputs (2)'!D22</f>
        <v>0</v>
      </c>
      <c r="J154" s="46">
        <f>'Inputs (2)'!E22</f>
        <v>0</v>
      </c>
      <c r="K154" s="46">
        <f>'Inputs (2)'!F22</f>
        <v>0</v>
      </c>
      <c r="L154" s="46">
        <f>'Inputs (2)'!G22</f>
        <v>19612</v>
      </c>
      <c r="M154" s="12">
        <f>'Inputs (2)'!H22</f>
        <v>19612</v>
      </c>
      <c r="N154" s="46">
        <f>'Inputs (2)'!I22</f>
        <v>19837</v>
      </c>
      <c r="O154" s="46">
        <f>'Inputs (2)'!J22</f>
        <v>19739</v>
      </c>
      <c r="P154" s="46">
        <f>'Inputs (2)'!K22</f>
        <v>19705</v>
      </c>
      <c r="Q154" s="46">
        <f>'Inputs (2)'!L22</f>
        <v>19822</v>
      </c>
      <c r="R154" s="12">
        <f>'Inputs (2)'!M22</f>
        <v>19822</v>
      </c>
      <c r="S154" s="46">
        <f>'Inputs (2)'!N22</f>
        <v>20074</v>
      </c>
      <c r="T154" s="46">
        <f>'Inputs (2)'!O22</f>
        <v>20239</v>
      </c>
      <c r="U154" s="46">
        <f>'Inputs (2)'!P22</f>
        <v>20849</v>
      </c>
      <c r="V154" s="46">
        <f>'Inputs (2)'!Q22</f>
        <v>22116</v>
      </c>
      <c r="W154" s="12">
        <f>'Inputs (2)'!R22</f>
        <v>22116</v>
      </c>
      <c r="X154" s="46">
        <f>'Inputs (2)'!S22</f>
        <v>22446</v>
      </c>
      <c r="Y154" s="46">
        <f>'Inputs (2)'!T22</f>
        <v>21973</v>
      </c>
      <c r="Z154" s="46">
        <f>'Inputs (2)'!U22</f>
        <v>20892</v>
      </c>
      <c r="AA154" s="46">
        <f>'Inputs (2)'!V22</f>
        <v>21235</v>
      </c>
      <c r="AB154" s="12">
        <f>'Inputs (2)'!W22</f>
        <v>21235</v>
      </c>
      <c r="AC154" s="46">
        <f>'Inputs (2)'!X22</f>
        <v>21566</v>
      </c>
      <c r="AD154" s="46">
        <f>'Inputs (2)'!Y22</f>
        <v>21820</v>
      </c>
      <c r="AE154" s="46">
        <f>'Inputs (2)'!Z22</f>
        <v>21990</v>
      </c>
      <c r="AF154" s="46">
        <f>'Inputs (2)'!AA22</f>
        <v>22474</v>
      </c>
      <c r="AG154" s="12">
        <f>'Inputs (2)'!AB22</f>
        <v>22474</v>
      </c>
      <c r="AH154" s="12">
        <f>'Inputs (2)'!AC22</f>
        <v>40769</v>
      </c>
      <c r="AI154" s="12">
        <f>'Inputs (2)'!AD22</f>
        <v>41228</v>
      </c>
      <c r="AJ154" s="12">
        <f>AJ159</f>
        <v>44809.5281700077</v>
      </c>
      <c r="AK154" s="12">
        <f>AK159</f>
        <v>48120.670042858</v>
      </c>
      <c r="AL154" s="12">
        <f>AK154</f>
        <v>48120.670042858</v>
      </c>
      <c r="AM154" s="12">
        <f>AM159</f>
        <v>54183.6466496807</v>
      </c>
      <c r="AN154" s="12">
        <f>AN159</f>
        <v>58274.3296615129</v>
      </c>
      <c r="AO154" s="12">
        <f>AO159</f>
        <v>62581.821197411</v>
      </c>
      <c r="AP154" s="12">
        <f>AP159</f>
        <v>66564.1200694117</v>
      </c>
      <c r="AQ154" s="12">
        <f>AP154</f>
        <v>66564.1200694117</v>
      </c>
      <c r="AR154" s="12">
        <f>AR159</f>
        <v>73825.7261699786</v>
      </c>
      <c r="AS154" s="12">
        <f>AS159</f>
        <v>78725.1230571081</v>
      </c>
      <c r="AT154" s="12">
        <f>AT159</f>
        <v>83884.1907632278</v>
      </c>
      <c r="AU154" s="12">
        <f>AU159</f>
        <v>88653.7763411533</v>
      </c>
      <c r="AV154" s="12">
        <f>AU154</f>
        <v>88653.7763411533</v>
      </c>
      <c r="AW154" s="12">
        <f>AW159</f>
        <v>97314.6688079198</v>
      </c>
      <c r="AX154" s="12">
        <f>AX159</f>
        <v>103158.162520437</v>
      </c>
      <c r="AY154" s="12">
        <f>AY159</f>
        <v>109311.364720152</v>
      </c>
      <c r="AZ154" s="12">
        <f>AZ159</f>
        <v>115000.032933404</v>
      </c>
      <c r="BA154" s="12">
        <f>AZ154</f>
        <v>115000.032933404</v>
      </c>
      <c r="BB154" s="12">
        <f>BB159</f>
        <v>125286.544944458</v>
      </c>
      <c r="BC154" s="12">
        <f>BC159</f>
        <v>132226.842204928</v>
      </c>
      <c r="BD154" s="12">
        <f>BD159</f>
        <v>139534.979163872</v>
      </c>
      <c r="BE154" s="12">
        <f>BE159</f>
        <v>146291.390714652</v>
      </c>
      <c r="BF154" s="12">
        <f>BE154</f>
        <v>146291.390714652</v>
      </c>
      <c r="BG154" s="12" t="n"/>
      <c r="BH154" s="12" t="n"/>
      <c r="BI154" s="12" t="n"/>
      <c r="BJ154" s="12" t="n"/>
      <c r="BK154" s="12" t="n"/>
      <c r="BL154" s="12" t="n"/>
      <c r="BM154" s="12" t="n"/>
      <c r="BN154" s="12" t="n"/>
      <c r="BO154" s="12" t="n"/>
      <c r="BP154" s="12" t="n"/>
      <c r="BQ154" s="12" t="n"/>
      <c r="BR154" s="12" t="n"/>
      <c r="BS154" s="12" t="n"/>
      <c r="BT154" s="12" t="n"/>
      <c r="BU154" s="12" t="n"/>
      <c r="BV154" s="12" t="n"/>
      <c r="BW154" s="12" t="n"/>
      <c r="BX154" s="12" t="n"/>
      <c r="BY154" s="12" t="n"/>
      <c r="BZ154" s="12" t="n"/>
      <c r="CA154" s="12" t="n"/>
      <c r="CB154" s="12" t="n"/>
      <c r="CC154" s="12" t="n"/>
      <c r="CD154" s="12" t="n"/>
      <c r="CE154" s="12" t="n"/>
      <c r="CF154" s="12" t="n"/>
      <c r="CG154" s="12" t="n"/>
      <c r="CH154" s="12" t="n"/>
      <c r="CI154" s="12" t="n"/>
      <c r="CJ154" s="12" t="n"/>
      <c r="CK154" s="12" t="n"/>
      <c r="CL154" s="12" t="n"/>
      <c r="CM154" s="12" t="n"/>
      <c r="CN154" s="12" t="n"/>
      <c r="CO154" s="12" t="n"/>
      <c r="CP154" s="12" t="n"/>
      <c r="CQ154" s="12" t="n"/>
      <c r="CR154" s="12" t="n"/>
      <c r="CS154" s="12" t="n"/>
      <c r="CT154" s="12" t="n"/>
      <c r="CU154" s="12" t="n"/>
      <c r="CV154" s="12" t="n"/>
      <c r="CW154" s="12" t="n"/>
      <c r="CX154" s="12" t="n"/>
      <c r="CY154" s="12" t="n"/>
    </row>
    <row r="155" hidden="1" outlineLevel="1">
      <c r="C155" s="57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2" t="n"/>
      <c r="AC155" s="12" t="n"/>
      <c r="AD155" s="12" t="n"/>
      <c r="AE155" s="12" t="n"/>
      <c r="AF155" s="12" t="n"/>
      <c r="AG155" s="12" t="n"/>
      <c r="AH155" s="12" t="n"/>
      <c r="AI155" s="12" t="n"/>
      <c r="AJ155" s="12" t="n"/>
      <c r="AK155" s="12" t="n"/>
      <c r="AL155" s="12" t="n"/>
      <c r="AM155" s="12" t="n"/>
      <c r="AN155" s="12" t="n"/>
      <c r="AO155" s="12" t="n"/>
      <c r="AP155" s="12" t="n"/>
      <c r="AQ155" s="12" t="n"/>
      <c r="AR155" s="12" t="n"/>
      <c r="AS155" s="12" t="n"/>
      <c r="AT155" s="12" t="n"/>
      <c r="AU155" s="12" t="n"/>
      <c r="AV155" s="12" t="n"/>
      <c r="AW155" s="12" t="n"/>
      <c r="AX155" s="12" t="n"/>
      <c r="AY155" s="12" t="n"/>
      <c r="AZ155" s="12" t="n"/>
      <c r="BA155" s="12" t="n"/>
      <c r="BB155" s="12" t="n"/>
      <c r="BC155" s="12" t="n"/>
      <c r="BD155" s="12" t="n"/>
      <c r="BE155" s="12" t="n"/>
      <c r="BF155" s="12" t="n"/>
      <c r="BG155" s="12" t="n"/>
      <c r="BH155" s="12" t="n"/>
      <c r="BI155" s="12" t="n"/>
      <c r="BJ155" s="12" t="n"/>
      <c r="BK155" s="12" t="n"/>
      <c r="BL155" s="12" t="n"/>
      <c r="BM155" s="12" t="n"/>
      <c r="BN155" s="12" t="n"/>
      <c r="BO155" s="12" t="n"/>
      <c r="BP155" s="12" t="n"/>
      <c r="BQ155" s="12" t="n"/>
      <c r="BR155" s="12" t="n"/>
      <c r="BS155" s="12" t="n"/>
      <c r="BT155" s="12" t="n"/>
      <c r="BU155" s="12" t="n"/>
      <c r="BV155" s="12" t="n"/>
      <c r="BW155" s="12" t="n"/>
      <c r="BX155" s="12" t="n"/>
      <c r="BY155" s="12" t="n"/>
      <c r="BZ155" s="12" t="n"/>
      <c r="CA155" s="12" t="n"/>
      <c r="CB155" s="12" t="n"/>
      <c r="CC155" s="12" t="n"/>
      <c r="CD155" s="12" t="n"/>
      <c r="CE155" s="12" t="n"/>
      <c r="CF155" s="12" t="n"/>
      <c r="CG155" s="12" t="n"/>
      <c r="CH155" s="12" t="n"/>
      <c r="CI155" s="12" t="n"/>
      <c r="CJ155" s="12" t="n"/>
      <c r="CK155" s="12" t="n"/>
      <c r="CL155" s="12" t="n"/>
      <c r="CM155" s="12" t="n"/>
      <c r="CN155" s="12" t="n"/>
      <c r="CO155" s="12" t="n"/>
      <c r="CP155" s="12" t="n"/>
      <c r="CQ155" s="12" t="n"/>
      <c r="CR155" s="12" t="n"/>
      <c r="CS155" s="12" t="n"/>
      <c r="CT155" s="12" t="n"/>
      <c r="CU155" s="12" t="n"/>
      <c r="CV155" s="12" t="n"/>
      <c r="CW155" s="12" t="n"/>
      <c r="CX155" s="12" t="n"/>
      <c r="CY155" s="12" t="n"/>
    </row>
    <row r="156" hidden="1" outlineLevel="1">
      <c r="C156" s="57" t="inlineStr">
        <is>
          <t>Capital expenditures</t>
        </is>
      </c>
      <c r="D156" s="12" t="n"/>
      <c r="E156" s="12" t="n"/>
      <c r="F156" s="12" t="n"/>
      <c r="G156" s="12" t="n"/>
      <c r="H156" s="12" t="n"/>
      <c r="I156" s="12" t="n"/>
      <c r="J156" s="12">
        <f>J154-I154-J58</f>
        <v>1340</v>
      </c>
      <c r="K156" s="12">
        <f>K154-J154-K58</f>
        <v>1265</v>
      </c>
      <c r="L156" s="12">
        <f>L154-K154-L58</f>
        <v>20201</v>
      </c>
      <c r="M156" s="12" t="n"/>
      <c r="N156" s="12">
        <f>N154-M154-N58</f>
        <v>827</v>
      </c>
      <c r="O156" s="12">
        <f>O154-N154-O58</f>
        <v>507</v>
      </c>
      <c r="P156" s="12">
        <f>P154-O154-P58</f>
        <v>569</v>
      </c>
      <c r="Q156" s="12">
        <f>Q154-P154-Q58</f>
        <v>734</v>
      </c>
      <c r="R156" s="12" t="n"/>
      <c r="S156" s="12">
        <f>S154-R154-S58</f>
        <v>857</v>
      </c>
      <c r="T156" s="12">
        <f>T154-S154-T58</f>
        <v>779</v>
      </c>
      <c r="U156" s="12">
        <f>U154-T154-U58</f>
        <v>1231</v>
      </c>
      <c r="V156" s="12">
        <f>V154-U154-V58</f>
        <v>1941</v>
      </c>
      <c r="W156" s="12" t="n"/>
      <c r="X156" s="12">
        <f>X154-W154-X58</f>
        <v>1024</v>
      </c>
      <c r="Y156" s="12">
        <f>Y154-X154-Y58</f>
        <v>221</v>
      </c>
      <c r="Z156" s="12">
        <f>Z154-Y154-Z58</f>
        <v>-420</v>
      </c>
      <c r="AA156" s="12">
        <f>AA154-Z154-AA58</f>
        <v>994</v>
      </c>
      <c r="AB156" s="12" t="n"/>
      <c r="AC156" s="12">
        <f>AC154-AB154-AC58</f>
        <v>971</v>
      </c>
      <c r="AD156" s="12">
        <f>AD154-AC154-AD58</f>
        <v>914</v>
      </c>
      <c r="AE156" s="12">
        <f>AE154-AD154-AE58</f>
        <v>815</v>
      </c>
      <c r="AF156" s="11">
        <f>AF154-AE154-AF58</f>
        <v>1140</v>
      </c>
      <c r="AG156" s="12">
        <f>SUM(AC156:AF156)</f>
        <v>3840</v>
      </c>
      <c r="AH156" s="11">
        <f>AH154-AG154-AH58</f>
        <v>19497</v>
      </c>
      <c r="AI156" s="11">
        <f>AI154-AH154-AI58</f>
        <v>1625</v>
      </c>
      <c r="AJ156" s="11">
        <f>AJ15*Control!$B$24</f>
        <v>4466.64646802369</v>
      </c>
      <c r="AK156" s="11">
        <f>AK15*Control!$B$24</f>
        <v>4129.4384546082</v>
      </c>
      <c r="AL156" s="12" t="n"/>
      <c r="AM156" s="11">
        <f>AM15*Control!$C$24</f>
        <v>7561.34581694969</v>
      </c>
      <c r="AN156" s="11">
        <f>AN15*Control!$C$24</f>
        <v>5101.63091264076</v>
      </c>
      <c r="AO156" s="11">
        <f>AO15*Control!$C$24</f>
        <v>5372.02024989798</v>
      </c>
      <c r="AP156" s="11">
        <f>AP15*Control!$C$24</f>
        <v>4966.46133909898</v>
      </c>
      <c r="AQ156" s="12" t="n"/>
      <c r="AR156" s="11">
        <f>AR15*Control!$D$24</f>
        <v>9056.19771830723</v>
      </c>
      <c r="AS156" s="11">
        <f>AS15*Control!$D$24</f>
        <v>6110.2056894603</v>
      </c>
      <c r="AT156" s="11">
        <f>AT15*Control!$D$24</f>
        <v>6434.05006298894</v>
      </c>
      <c r="AU156" s="11">
        <f>AU15*Control!$D$24</f>
        <v>5948.31355899465</v>
      </c>
      <c r="AV156" s="12" t="n"/>
      <c r="AW156" s="11">
        <f>AW15*Control!$E$24</f>
        <v>10801.2956789148</v>
      </c>
      <c r="AX156" s="11">
        <f>AX15*Control!$E$24</f>
        <v>7287.62118095456</v>
      </c>
      <c r="AY156" s="11">
        <f>AY15*Control!$E$24</f>
        <v>7673.86924457232</v>
      </c>
      <c r="AZ156" s="11">
        <f>AZ15*Control!$E$24</f>
        <v>7094.53299718908</v>
      </c>
      <c r="BA156" s="12" t="n"/>
      <c r="BB156" s="11">
        <f>BB15*Control!$F$24</f>
        <v>12828.6614990831</v>
      </c>
      <c r="BC156" s="11">
        <f>BC15*Control!$F$24</f>
        <v>8655.48245721273</v>
      </c>
      <c r="BD156" s="11">
        <f>BD15*Control!$F$24</f>
        <v>9114.22794572864</v>
      </c>
      <c r="BE156" s="11">
        <f>BE15*Control!$F$24</f>
        <v>8426.15228955186</v>
      </c>
      <c r="BF156" s="12" t="n"/>
      <c r="BG156" s="11" t="n"/>
      <c r="BH156" s="11" t="n"/>
      <c r="BI156" s="11" t="n"/>
      <c r="BJ156" s="11" t="n"/>
      <c r="BK156" s="12" t="n"/>
      <c r="BL156" s="11" t="n"/>
      <c r="BM156" s="11" t="n"/>
      <c r="BN156" s="11" t="n"/>
      <c r="BO156" s="11" t="n"/>
      <c r="BP156" s="12" t="n"/>
      <c r="BQ156" s="11" t="n"/>
      <c r="BR156" s="11" t="n"/>
      <c r="BS156" s="11" t="n"/>
      <c r="BT156" s="11" t="n"/>
      <c r="BU156" s="12" t="n"/>
      <c r="BV156" s="11" t="n"/>
      <c r="BW156" s="11" t="n"/>
      <c r="BX156" s="11" t="n"/>
      <c r="BY156" s="11" t="n"/>
      <c r="BZ156" s="12" t="n"/>
      <c r="CA156" s="11" t="n"/>
      <c r="CB156" s="11" t="n"/>
      <c r="CC156" s="11" t="n"/>
      <c r="CD156" s="11" t="n"/>
      <c r="CE156" s="12" t="n"/>
      <c r="CF156" s="11" t="n"/>
      <c r="CG156" s="11" t="n"/>
      <c r="CH156" s="11" t="n"/>
      <c r="CI156" s="11" t="n"/>
      <c r="CJ156" s="12" t="n"/>
      <c r="CK156" s="11" t="n"/>
      <c r="CL156" s="11" t="n"/>
      <c r="CM156" s="11" t="n"/>
      <c r="CN156" s="11" t="n"/>
      <c r="CO156" s="12" t="n"/>
      <c r="CP156" s="11" t="n"/>
      <c r="CQ156" s="11" t="n"/>
      <c r="CR156" s="11" t="n"/>
      <c r="CS156" s="11" t="n"/>
      <c r="CT156" s="12" t="n"/>
      <c r="CU156" s="11" t="n"/>
      <c r="CV156" s="11" t="n"/>
      <c r="CW156" s="11" t="n"/>
      <c r="CX156" s="11" t="n"/>
      <c r="CY156" s="12" t="n"/>
    </row>
    <row r="157" hidden="1" outlineLevel="1">
      <c r="C157" s="57" t="inlineStr">
        <is>
          <t>Recurring asset sales (enter as -)</t>
        </is>
      </c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>
        <f>SUM(I157:L157)</f>
        <v>0</v>
      </c>
      <c r="N157" s="12" t="n"/>
      <c r="O157" s="12" t="n"/>
      <c r="P157" s="12" t="n"/>
      <c r="Q157" s="12" t="n"/>
      <c r="R157" s="12">
        <f>SUM(N157:Q157)</f>
        <v>0</v>
      </c>
      <c r="S157" s="12" t="n"/>
      <c r="T157" s="12" t="n"/>
      <c r="U157" s="12" t="n"/>
      <c r="V157" s="12" t="n"/>
      <c r="W157" s="12">
        <f>SUM(S157:V157)</f>
        <v>0</v>
      </c>
      <c r="X157" s="12" t="n"/>
      <c r="Y157" s="12" t="n"/>
      <c r="Z157" s="12" t="n"/>
      <c r="AA157" s="12" t="n"/>
      <c r="AB157" s="12">
        <f>SUM(X157:AA157)</f>
        <v>0</v>
      </c>
      <c r="AC157" s="12" t="n"/>
      <c r="AD157" s="12" t="n"/>
      <c r="AE157" s="12" t="n"/>
      <c r="AF157" s="11" t="n"/>
      <c r="AG157" s="12">
        <f>SUM(AC157:AF157)</f>
        <v>0</v>
      </c>
      <c r="AH157" s="11" t="n"/>
      <c r="AI157" s="11" t="n"/>
      <c r="AJ157" s="11">
        <f>0</f>
        <v>0</v>
      </c>
      <c r="AK157" s="11">
        <f>0</f>
        <v>0</v>
      </c>
      <c r="AL157" s="12" t="n"/>
      <c r="AM157" s="11">
        <f>0</f>
        <v>0</v>
      </c>
      <c r="AN157" s="11">
        <f>0</f>
        <v>0</v>
      </c>
      <c r="AO157" s="11">
        <f>0</f>
        <v>0</v>
      </c>
      <c r="AP157" s="11">
        <f>0</f>
        <v>0</v>
      </c>
      <c r="AQ157" s="12" t="n"/>
      <c r="AR157" s="11">
        <f>0</f>
        <v>0</v>
      </c>
      <c r="AS157" s="11">
        <f>0</f>
        <v>0</v>
      </c>
      <c r="AT157" s="11">
        <f>0</f>
        <v>0</v>
      </c>
      <c r="AU157" s="11">
        <f>0</f>
        <v>0</v>
      </c>
      <c r="AV157" s="12" t="n"/>
      <c r="AW157" s="11">
        <f>0</f>
        <v>0</v>
      </c>
      <c r="AX157" s="11">
        <f>0</f>
        <v>0</v>
      </c>
      <c r="AY157" s="11">
        <f>0</f>
        <v>0</v>
      </c>
      <c r="AZ157" s="11">
        <f>0</f>
        <v>0</v>
      </c>
      <c r="BA157" s="12" t="n"/>
      <c r="BB157" s="11">
        <f>0</f>
        <v>0</v>
      </c>
      <c r="BC157" s="11">
        <f>0</f>
        <v>0</v>
      </c>
      <c r="BD157" s="11">
        <f>0</f>
        <v>0</v>
      </c>
      <c r="BE157" s="11">
        <f>0</f>
        <v>0</v>
      </c>
      <c r="BF157" s="12" t="n"/>
      <c r="BG157" s="11" t="n"/>
      <c r="BH157" s="11" t="n"/>
      <c r="BI157" s="11" t="n"/>
      <c r="BJ157" s="11" t="n"/>
      <c r="BK157" s="12" t="n"/>
      <c r="BL157" s="11" t="n"/>
      <c r="BM157" s="11" t="n"/>
      <c r="BN157" s="11" t="n"/>
      <c r="BO157" s="11" t="n"/>
      <c r="BP157" s="12" t="n"/>
      <c r="BQ157" s="11" t="n"/>
      <c r="BR157" s="11" t="n"/>
      <c r="BS157" s="11" t="n"/>
      <c r="BT157" s="11" t="n"/>
      <c r="BU157" s="12" t="n"/>
      <c r="BV157" s="11" t="n"/>
      <c r="BW157" s="11" t="n"/>
      <c r="BX157" s="11" t="n"/>
      <c r="BY157" s="11" t="n"/>
      <c r="BZ157" s="12" t="n"/>
      <c r="CA157" s="11" t="n"/>
      <c r="CB157" s="11" t="n"/>
      <c r="CC157" s="11" t="n"/>
      <c r="CD157" s="11" t="n"/>
      <c r="CE157" s="12" t="n"/>
      <c r="CF157" s="11" t="n"/>
      <c r="CG157" s="11" t="n"/>
      <c r="CH157" s="11" t="n"/>
      <c r="CI157" s="11" t="n"/>
      <c r="CJ157" s="12" t="n"/>
      <c r="CK157" s="11" t="n"/>
      <c r="CL157" s="11" t="n"/>
      <c r="CM157" s="11" t="n"/>
      <c r="CN157" s="11" t="n"/>
      <c r="CO157" s="12" t="n"/>
      <c r="CP157" s="11" t="n"/>
      <c r="CQ157" s="11" t="n"/>
      <c r="CR157" s="11" t="n"/>
      <c r="CS157" s="11" t="n"/>
      <c r="CT157" s="12" t="n"/>
      <c r="CU157" s="11" t="n"/>
      <c r="CV157" s="11" t="n"/>
      <c r="CW157" s="11" t="n"/>
      <c r="CX157" s="11" t="n"/>
      <c r="CY157" s="12" t="n"/>
    </row>
    <row r="158" hidden="1" outlineLevel="1">
      <c r="C158" s="57" t="inlineStr">
        <is>
          <t>Depreciation</t>
        </is>
      </c>
      <c r="D158" s="12" t="n"/>
      <c r="E158" s="12" t="n"/>
      <c r="F158" s="12" t="n"/>
      <c r="G158" s="12" t="n"/>
      <c r="H158" s="12" t="n"/>
      <c r="I158" s="12">
        <f>I58</f>
        <v>-1346</v>
      </c>
      <c r="J158" s="12">
        <f>J58</f>
        <v>-1340</v>
      </c>
      <c r="K158" s="12">
        <f>K58</f>
        <v>-1265</v>
      </c>
      <c r="L158" s="12">
        <f>L58</f>
        <v>-589</v>
      </c>
      <c r="M158" s="12" t="n"/>
      <c r="N158" s="12">
        <f>N58</f>
        <v>-602</v>
      </c>
      <c r="O158" s="12">
        <f>O58</f>
        <v>-605</v>
      </c>
      <c r="P158" s="12">
        <f>P58</f>
        <v>-603</v>
      </c>
      <c r="Q158" s="12">
        <f>Q58</f>
        <v>-617</v>
      </c>
      <c r="R158" s="12" t="n"/>
      <c r="S158" s="12">
        <f>S58</f>
        <v>-605</v>
      </c>
      <c r="T158" s="12">
        <f>T58</f>
        <v>-614</v>
      </c>
      <c r="U158" s="12">
        <f>U58</f>
        <v>-621</v>
      </c>
      <c r="V158" s="12">
        <f>V58</f>
        <v>-674</v>
      </c>
      <c r="W158" s="12" t="n"/>
      <c r="X158" s="12">
        <f>X58</f>
        <v>-694</v>
      </c>
      <c r="Y158" s="12">
        <f>Y58</f>
        <v>-694</v>
      </c>
      <c r="Z158" s="12">
        <f>Z58</f>
        <v>-661</v>
      </c>
      <c r="AA158" s="12">
        <f>AA58</f>
        <v>-651</v>
      </c>
      <c r="AB158" s="12" t="n"/>
      <c r="AC158" s="12">
        <f>AC58</f>
        <v>-640</v>
      </c>
      <c r="AD158" s="12">
        <f>AD58</f>
        <v>-660</v>
      </c>
      <c r="AE158" s="12">
        <f>AE58</f>
        <v>-645</v>
      </c>
      <c r="AF158" s="12">
        <f>AF58</f>
        <v>-656</v>
      </c>
      <c r="AG158" s="12" t="n"/>
      <c r="AH158" s="12">
        <f>AH58</f>
        <v>-1202</v>
      </c>
      <c r="AI158" s="12">
        <f>AI58</f>
        <v>-1166</v>
      </c>
      <c r="AJ158" s="12">
        <f>AJ58</f>
        <v>-885.118298016032</v>
      </c>
      <c r="AK158" s="12">
        <f>AK58</f>
        <v>-818.296581757896</v>
      </c>
      <c r="AL158" s="12" t="n"/>
      <c r="AM158" s="12">
        <f>AM58</f>
        <v>-1498.36921012699</v>
      </c>
      <c r="AN158" s="12">
        <f>AN58</f>
        <v>-1010.94790080857</v>
      </c>
      <c r="AO158" s="12">
        <f>AO58</f>
        <v>-1064.52871399988</v>
      </c>
      <c r="AP158" s="12">
        <f>AP58</f>
        <v>-984.162467098213</v>
      </c>
      <c r="AQ158" s="12" t="n"/>
      <c r="AR158" s="12">
        <f>AR58</f>
        <v>-1794.59161774033</v>
      </c>
      <c r="AS158" s="12">
        <f>AS58</f>
        <v>-1210.80880233083</v>
      </c>
      <c r="AT158" s="12">
        <f>AT58</f>
        <v>-1274.98235686928</v>
      </c>
      <c r="AU158" s="12">
        <f>AU58</f>
        <v>-1178.72798106911</v>
      </c>
      <c r="AV158" s="12" t="n"/>
      <c r="AW158" s="12">
        <f>AW58</f>
        <v>-2140.40321214835</v>
      </c>
      <c r="AX158" s="12">
        <f>AX58</f>
        <v>-1444.12746843744</v>
      </c>
      <c r="AY158" s="12">
        <f>AY58</f>
        <v>-1520.66704485764</v>
      </c>
      <c r="AZ158" s="12">
        <f>AZ58</f>
        <v>-1405.86478393688</v>
      </c>
      <c r="BA158" s="12" t="n"/>
      <c r="BB158" s="12">
        <f>BB58</f>
        <v>-2542.14948802884</v>
      </c>
      <c r="BC158" s="12">
        <f>BC58</f>
        <v>-1715.18519674235</v>
      </c>
      <c r="BD158" s="12">
        <f>BD58</f>
        <v>-1806.09098678519</v>
      </c>
      <c r="BE158" s="12">
        <f>BE58</f>
        <v>-1669.74073877218</v>
      </c>
      <c r="BF158" s="12" t="n"/>
      <c r="BG158" s="12" t="n"/>
      <c r="BH158" s="12" t="n"/>
      <c r="BI158" s="12" t="n"/>
      <c r="BJ158" s="12" t="n"/>
      <c r="BK158" s="12" t="n"/>
      <c r="BL158" s="12" t="n"/>
      <c r="BM158" s="12" t="n"/>
      <c r="BN158" s="12" t="n"/>
      <c r="BO158" s="12" t="n"/>
      <c r="BP158" s="12" t="n"/>
      <c r="BQ158" s="12" t="n"/>
      <c r="BR158" s="12" t="n"/>
      <c r="BS158" s="12" t="n"/>
      <c r="BT158" s="12" t="n"/>
      <c r="BU158" s="12" t="n"/>
      <c r="BV158" s="12" t="n"/>
      <c r="BW158" s="12" t="n"/>
      <c r="BX158" s="12" t="n"/>
      <c r="BY158" s="12" t="n"/>
      <c r="BZ158" s="12" t="n"/>
      <c r="CA158" s="12" t="n"/>
      <c r="CB158" s="12" t="n"/>
      <c r="CC158" s="12" t="n"/>
      <c r="CD158" s="12" t="n"/>
      <c r="CE158" s="12" t="n"/>
      <c r="CF158" s="12" t="n"/>
      <c r="CG158" s="12" t="n"/>
      <c r="CH158" s="12" t="n"/>
      <c r="CI158" s="12" t="n"/>
      <c r="CJ158" s="12" t="n"/>
      <c r="CK158" s="12" t="n"/>
      <c r="CL158" s="12" t="n"/>
      <c r="CM158" s="12" t="n"/>
      <c r="CN158" s="12" t="n"/>
      <c r="CO158" s="12" t="n"/>
      <c r="CP158" s="12" t="n"/>
      <c r="CQ158" s="12" t="n"/>
      <c r="CR158" s="12" t="n"/>
      <c r="CS158" s="12" t="n"/>
      <c r="CT158" s="12" t="n"/>
      <c r="CU158" s="12" t="n"/>
      <c r="CV158" s="12" t="n"/>
      <c r="CW158" s="12" t="n"/>
      <c r="CX158" s="12" t="n"/>
      <c r="CY158" s="12" t="n"/>
    </row>
    <row r="159" hidden="1" outlineLevel="1">
      <c r="C159" s="57" t="inlineStr">
        <is>
          <t>PP&amp;E</t>
        </is>
      </c>
      <c r="D159" s="12" t="n"/>
      <c r="E159" s="12" t="n"/>
      <c r="F159" s="12" t="n"/>
      <c r="G159" s="12" t="n"/>
      <c r="H159" s="12" t="n"/>
      <c r="I159" s="12">
        <f>I154</f>
        <v>0</v>
      </c>
      <c r="J159" s="12">
        <f>J154</f>
        <v>0</v>
      </c>
      <c r="K159" s="12">
        <f>K154</f>
        <v>0</v>
      </c>
      <c r="L159" s="12">
        <f>L154</f>
        <v>19612</v>
      </c>
      <c r="M159" s="12" t="n"/>
      <c r="N159" s="12">
        <f>N154</f>
        <v>19837</v>
      </c>
      <c r="O159" s="12">
        <f>O154</f>
        <v>19739</v>
      </c>
      <c r="P159" s="12">
        <f>P154</f>
        <v>19705</v>
      </c>
      <c r="Q159" s="12">
        <f>Q154</f>
        <v>19822</v>
      </c>
      <c r="R159" s="12" t="n"/>
      <c r="S159" s="12">
        <f>S154</f>
        <v>20074</v>
      </c>
      <c r="T159" s="12">
        <f>T154</f>
        <v>20239</v>
      </c>
      <c r="U159" s="12">
        <f>U154</f>
        <v>20849</v>
      </c>
      <c r="V159" s="12">
        <f>V154</f>
        <v>22116</v>
      </c>
      <c r="W159" s="12" t="n"/>
      <c r="X159" s="12">
        <f>X154</f>
        <v>22446</v>
      </c>
      <c r="Y159" s="12">
        <f>Y154</f>
        <v>21973</v>
      </c>
      <c r="Z159" s="12">
        <f>Z154</f>
        <v>20892</v>
      </c>
      <c r="AA159" s="12">
        <f>Y159+SUM(AA156:AA158)</f>
        <v>22316</v>
      </c>
      <c r="AB159" s="12" t="n"/>
      <c r="AC159" s="12">
        <f>AC154</f>
        <v>21566</v>
      </c>
      <c r="AD159" s="12">
        <f>AD154</f>
        <v>21820</v>
      </c>
      <c r="AE159" s="12">
        <f>AE154</f>
        <v>21990</v>
      </c>
      <c r="AF159" s="12">
        <f>AF154</f>
        <v>22474</v>
      </c>
      <c r="AG159" s="12" t="n"/>
      <c r="AH159" s="12">
        <f>AH154</f>
        <v>40769</v>
      </c>
      <c r="AI159" s="12">
        <f>AI154</f>
        <v>41228</v>
      </c>
      <c r="AJ159" s="12">
        <f>AI159+SUM(AJ156:AJ158)</f>
        <v>44809.5281700077</v>
      </c>
      <c r="AK159" s="12">
        <f>AJ159+SUM(AK156:AK158)</f>
        <v>48120.670042858</v>
      </c>
      <c r="AL159" s="12" t="n"/>
      <c r="AM159" s="12">
        <f>AK159+SUM(AM156:AM158)</f>
        <v>54183.6466496807</v>
      </c>
      <c r="AN159" s="12">
        <f>AM159+SUM(AN156:AN158)</f>
        <v>58274.3296615129</v>
      </c>
      <c r="AO159" s="12">
        <f>AN159+SUM(AO156:AO158)</f>
        <v>62581.821197411</v>
      </c>
      <c r="AP159" s="12">
        <f>AO159+SUM(AP156:AP158)</f>
        <v>66564.1200694117</v>
      </c>
      <c r="AQ159" s="12" t="n"/>
      <c r="AR159" s="12">
        <f>AP159+SUM(AR156:AR158)</f>
        <v>73825.7261699786</v>
      </c>
      <c r="AS159" s="12">
        <f>AR159+SUM(AS156:AS158)</f>
        <v>78725.1230571081</v>
      </c>
      <c r="AT159" s="12">
        <f>AS159+SUM(AT156:AT158)</f>
        <v>83884.1907632278</v>
      </c>
      <c r="AU159" s="12">
        <f>AT159+SUM(AU156:AU158)</f>
        <v>88653.7763411533</v>
      </c>
      <c r="AV159" s="12" t="n"/>
      <c r="AW159" s="12">
        <f>AU159+SUM(AW156:AW158)</f>
        <v>97314.6688079198</v>
      </c>
      <c r="AX159" s="12">
        <f>AW159+SUM(AX156:AX158)</f>
        <v>103158.162520437</v>
      </c>
      <c r="AY159" s="12">
        <f>AX159+SUM(AY156:AY158)</f>
        <v>109311.364720152</v>
      </c>
      <c r="AZ159" s="12">
        <f>AY159+SUM(AZ156:AZ158)</f>
        <v>115000.032933404</v>
      </c>
      <c r="BA159" s="12" t="n"/>
      <c r="BB159" s="12">
        <f>AZ159+SUM(BB156:BB158)</f>
        <v>125286.544944458</v>
      </c>
      <c r="BC159" s="12">
        <f>BB159+SUM(BC156:BC158)</f>
        <v>132226.842204928</v>
      </c>
      <c r="BD159" s="12">
        <f>BC159+SUM(BD156:BD158)</f>
        <v>139534.979163872</v>
      </c>
      <c r="BE159" s="12">
        <f>BD159+SUM(BE156:BE158)</f>
        <v>146291.390714652</v>
      </c>
      <c r="BF159" s="12" t="n"/>
      <c r="BG159" s="12" t="n"/>
      <c r="BH159" s="12" t="n"/>
      <c r="BI159" s="12" t="n"/>
      <c r="BJ159" s="12" t="n"/>
      <c r="BK159" s="12" t="n"/>
      <c r="BL159" s="12" t="n"/>
      <c r="BM159" s="12" t="n"/>
      <c r="BN159" s="12" t="n"/>
      <c r="BO159" s="12" t="n"/>
      <c r="BP159" s="12" t="n"/>
      <c r="BQ159" s="12" t="n"/>
      <c r="BR159" s="12" t="n"/>
      <c r="BS159" s="12" t="n"/>
      <c r="BT159" s="12" t="n"/>
      <c r="BU159" s="12" t="n"/>
      <c r="BV159" s="12" t="n"/>
      <c r="BW159" s="12" t="n"/>
      <c r="BX159" s="12" t="n"/>
      <c r="BY159" s="12" t="n"/>
      <c r="BZ159" s="12" t="n"/>
      <c r="CA159" s="12" t="n"/>
      <c r="CB159" s="12" t="n"/>
      <c r="CC159" s="12" t="n"/>
      <c r="CD159" s="12" t="n"/>
      <c r="CE159" s="12" t="n"/>
      <c r="CF159" s="12" t="n"/>
      <c r="CG159" s="12" t="n"/>
      <c r="CH159" s="12" t="n"/>
      <c r="CI159" s="12" t="n"/>
      <c r="CJ159" s="12" t="n"/>
      <c r="CK159" s="12" t="n"/>
      <c r="CL159" s="12" t="n"/>
      <c r="CM159" s="12" t="n"/>
      <c r="CN159" s="12" t="n"/>
      <c r="CO159" s="12" t="n"/>
      <c r="CP159" s="12" t="n"/>
      <c r="CQ159" s="12" t="n"/>
      <c r="CR159" s="12" t="n"/>
      <c r="CS159" s="12" t="n"/>
      <c r="CT159" s="12" t="n"/>
      <c r="CU159" s="12" t="n"/>
      <c r="CV159" s="12" t="n"/>
      <c r="CW159" s="12" t="n"/>
      <c r="CX159" s="12" t="n"/>
      <c r="CY159" s="12" t="n"/>
    </row>
    <row r="160" hidden="1" outlineLevel="1">
      <c r="C160" s="57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12" t="n"/>
      <c r="AJ160" s="12">
        <f>IF(AJ15=0,"",AJ156/AJ15)</f>
        <v>0.565275481781743</v>
      </c>
      <c r="AK160" s="12">
        <f>IF(AK15=0,"",AK156/AK15)</f>
        <v>0.565275481781743</v>
      </c>
      <c r="AL160" s="12" t="n"/>
      <c r="AM160" s="12">
        <f>IF(AM15=0,"",AM156/AM15)</f>
        <v>0.565275481781743</v>
      </c>
      <c r="AN160" s="12">
        <f>IF(AN15=0,"",AN156/AN15)</f>
        <v>0.565275481781743</v>
      </c>
      <c r="AO160" s="12">
        <f>IF(AO15=0,"",AO156/AO15)</f>
        <v>0.565275481781743</v>
      </c>
      <c r="AP160" s="12">
        <f>IF(AP15=0,"",AP156/AP15)</f>
        <v>0.565275481781743</v>
      </c>
      <c r="AQ160" s="12" t="n"/>
      <c r="AR160" s="12">
        <f>IF(AR15=0,"",AR156/AR15)</f>
        <v>0.565275481781743</v>
      </c>
      <c r="AS160" s="12">
        <f>IF(AS15=0,"",AS156/AS15)</f>
        <v>0.565275481781743</v>
      </c>
      <c r="AT160" s="12">
        <f>IF(AT15=0,"",AT156/AT15)</f>
        <v>0.565275481781743</v>
      </c>
      <c r="AU160" s="12">
        <f>IF(AU15=0,"",AU156/AU15)</f>
        <v>0.565275481781743</v>
      </c>
      <c r="AV160" s="12" t="n"/>
      <c r="AW160" s="12">
        <f>IF(AW15=0,"",AW156/AW15)</f>
        <v>0.565275481781743</v>
      </c>
      <c r="AX160" s="12">
        <f>IF(AX15=0,"",AX156/AX15)</f>
        <v>0.565275481781743</v>
      </c>
      <c r="AY160" s="12">
        <f>IF(AY15=0,"",AY156/AY15)</f>
        <v>0.565275481781743</v>
      </c>
      <c r="AZ160" s="12">
        <f>IF(AZ15=0,"",AZ156/AZ15)</f>
        <v>0.565275481781743</v>
      </c>
      <c r="BA160" s="12" t="n"/>
      <c r="BB160" s="12">
        <f>IF(BB15=0,"",BB156/BB15)</f>
        <v>0.565275481781743</v>
      </c>
      <c r="BC160" s="12">
        <f>IF(BC15=0,"",BC156/BC15)</f>
        <v>0.565275481781743</v>
      </c>
      <c r="BD160" s="12">
        <f>IF(BD15=0,"",BD156/BD15)</f>
        <v>0.565275481781743</v>
      </c>
      <c r="BE160" s="12">
        <f>IF(BE15=0,"",BE156/BE15)</f>
        <v>0.565275481781743</v>
      </c>
      <c r="BF160" s="12" t="n"/>
      <c r="BG160" s="12" t="n"/>
      <c r="BH160" s="12" t="n"/>
      <c r="BI160" s="12" t="n"/>
      <c r="BJ160" s="12" t="n"/>
      <c r="BK160" s="12" t="n"/>
      <c r="BL160" s="12" t="n"/>
      <c r="BM160" s="12" t="n"/>
      <c r="BN160" s="12" t="n"/>
      <c r="BO160" s="12" t="n"/>
      <c r="BP160" s="12" t="n"/>
      <c r="BQ160" s="12" t="n"/>
      <c r="BR160" s="12" t="n"/>
      <c r="BS160" s="12" t="n"/>
      <c r="BT160" s="12" t="n"/>
      <c r="BU160" s="12" t="n"/>
      <c r="BV160" s="12" t="n"/>
      <c r="BW160" s="12" t="n"/>
      <c r="BX160" s="12" t="n"/>
      <c r="BY160" s="12" t="n"/>
      <c r="BZ160" s="12" t="n"/>
      <c r="CA160" s="12" t="n"/>
      <c r="CB160" s="12" t="n"/>
      <c r="CC160" s="12" t="n"/>
      <c r="CD160" s="12" t="n"/>
      <c r="CE160" s="12" t="n"/>
      <c r="CF160" s="12" t="n"/>
      <c r="CG160" s="12" t="n"/>
      <c r="CH160" s="12" t="n"/>
      <c r="CI160" s="12" t="n"/>
      <c r="CJ160" s="12" t="n"/>
      <c r="CK160" s="12" t="n"/>
      <c r="CL160" s="12" t="n"/>
      <c r="CM160" s="12" t="n"/>
      <c r="CN160" s="12" t="n"/>
      <c r="CO160" s="12" t="n"/>
      <c r="CP160" s="12" t="n"/>
      <c r="CQ160" s="12" t="n"/>
      <c r="CR160" s="12" t="n"/>
      <c r="CS160" s="12" t="n"/>
      <c r="CT160" s="12" t="n"/>
      <c r="CU160" s="12" t="n"/>
      <c r="CV160" s="12" t="n"/>
      <c r="CW160" s="12" t="n"/>
      <c r="CX160" s="12" t="n"/>
      <c r="CY160" s="12" t="n"/>
    </row>
    <row r="161" hidden="1" outlineLevel="1">
      <c r="C161" s="57" t="inlineStr">
        <is>
          <t>Capital expenditures (% Net Revenues)</t>
        </is>
      </c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2" t="n"/>
      <c r="AC161" s="12" t="n"/>
      <c r="AD161" s="12" t="n"/>
      <c r="AE161" s="12" t="n"/>
      <c r="AF161" s="58">
        <f>IFERROR(AF156/AF15,"")</f>
        <v>0.187685215673362</v>
      </c>
      <c r="AG161" s="58">
        <f>IFERROR(AG156/AG15,"")</f>
        <v>0.150393608271648</v>
      </c>
      <c r="AH161" s="58">
        <f>IFERROR(AH156/AH15,"")</f>
        <v>1.75301204819277</v>
      </c>
      <c r="AI161" s="58">
        <f>IFERROR(AI156/AI15,"")</f>
        <v>0.216551172707889</v>
      </c>
      <c r="AJ161" s="58">
        <f>IFERROR(AJ156/AJ15,"")</f>
        <v>0.565275481781743</v>
      </c>
      <c r="AK161" s="58">
        <f>IFERROR(AK156/AK15,"")</f>
        <v>0.565275481781743</v>
      </c>
      <c r="AL161" s="58">
        <f>IFERROR(AL156/AL15,"")</f>
        <v>0</v>
      </c>
      <c r="AM161" s="58">
        <f>IFERROR(AM156/AM15,"")</f>
        <v>0.565275481781743</v>
      </c>
      <c r="AN161" s="58">
        <f>IFERROR(AN156/AN15,"")</f>
        <v>0.565275481781743</v>
      </c>
      <c r="AO161" s="58">
        <f>IFERROR(AO156/AO15,"")</f>
        <v>0.565275481781743</v>
      </c>
      <c r="AP161" s="58">
        <f>IFERROR(AP156/AP15,"")</f>
        <v>0.565275481781743</v>
      </c>
      <c r="AQ161" s="58">
        <f>IFERROR(AQ156/AQ15,"")</f>
        <v>0</v>
      </c>
      <c r="AR161" s="58">
        <f>IFERROR(AR156/AR15,"")</f>
        <v>0.565275481781743</v>
      </c>
      <c r="AS161" s="58">
        <f>IFERROR(AS156/AS15,"")</f>
        <v>0.565275481781743</v>
      </c>
      <c r="AT161" s="58">
        <f>IFERROR(AT156/AT15,"")</f>
        <v>0.565275481781743</v>
      </c>
      <c r="AU161" s="58">
        <f>IFERROR(AU156/AU15,"")</f>
        <v>0.565275481781743</v>
      </c>
      <c r="AV161" s="58">
        <f>IFERROR(AV156/AV15,"")</f>
        <v>0</v>
      </c>
      <c r="AW161" s="58">
        <f>IFERROR(AW156/AW15,"")</f>
        <v>0.565275481781743</v>
      </c>
      <c r="AX161" s="58">
        <f>IFERROR(AX156/AX15,"")</f>
        <v>0.565275481781743</v>
      </c>
      <c r="AY161" s="58">
        <f>IFERROR(AY156/AY15,"")</f>
        <v>0.565275481781743</v>
      </c>
      <c r="AZ161" s="58">
        <f>IFERROR(AZ156/AZ15,"")</f>
        <v>0.565275481781743</v>
      </c>
      <c r="BA161" s="58">
        <f>IFERROR(BA156/BA15,"")</f>
        <v>0</v>
      </c>
      <c r="BB161" s="58">
        <f>IFERROR(BB156/BB15,"")</f>
        <v>0.565275481781743</v>
      </c>
      <c r="BC161" s="58">
        <f>IFERROR(BC156/BC15,"")</f>
        <v>0.565275481781743</v>
      </c>
      <c r="BD161" s="58">
        <f>IFERROR(BD156/BD15,"")</f>
        <v>0.565275481781743</v>
      </c>
      <c r="BE161" s="58">
        <f>IFERROR(BE156/BE15,"")</f>
        <v>0.565275481781743</v>
      </c>
      <c r="BF161" s="58">
        <f>IFERROR(BF156/BF15,"")</f>
        <v>0</v>
      </c>
      <c r="BG161" s="58" t="n"/>
      <c r="BH161" s="58" t="n"/>
      <c r="BI161" s="58" t="n"/>
      <c r="BJ161" s="58" t="n"/>
      <c r="BK161" s="58" t="n"/>
      <c r="BL161" s="58" t="n"/>
      <c r="BM161" s="58" t="n"/>
      <c r="BN161" s="58" t="n"/>
      <c r="BO161" s="58" t="n"/>
      <c r="BP161" s="58" t="n"/>
      <c r="BQ161" s="58" t="n"/>
      <c r="BR161" s="58" t="n"/>
      <c r="BS161" s="58" t="n"/>
      <c r="BT161" s="58" t="n"/>
      <c r="BU161" s="58" t="n"/>
      <c r="BV161" s="58" t="n"/>
      <c r="BW161" s="58" t="n"/>
      <c r="BX161" s="58" t="n"/>
      <c r="BY161" s="58" t="n"/>
      <c r="BZ161" s="58" t="n"/>
      <c r="CA161" s="58" t="n"/>
      <c r="CB161" s="58" t="n"/>
      <c r="CC161" s="58" t="n"/>
      <c r="CD161" s="58" t="n"/>
      <c r="CE161" s="58" t="n"/>
      <c r="CF161" s="58" t="n"/>
      <c r="CG161" s="58" t="n"/>
      <c r="CH161" s="58" t="n"/>
      <c r="CI161" s="58" t="n"/>
      <c r="CJ161" s="58" t="n"/>
      <c r="CK161" s="58" t="n"/>
      <c r="CL161" s="58" t="n"/>
      <c r="CM161" s="58" t="n"/>
      <c r="CN161" s="58" t="n"/>
      <c r="CO161" s="58" t="n"/>
      <c r="CP161" s="58" t="n"/>
      <c r="CQ161" s="58" t="n"/>
      <c r="CR161" s="58" t="n"/>
      <c r="CS161" s="58" t="n"/>
      <c r="CT161" s="58" t="n"/>
      <c r="CU161" s="58" t="n"/>
      <c r="CV161" s="58" t="n"/>
      <c r="CW161" s="58" t="n"/>
      <c r="CX161" s="58" t="n"/>
      <c r="CY161" s="58" t="n"/>
    </row>
    <row r="162" hidden="1" outlineLevel="1">
      <c r="C162" s="57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  <c r="AJ162" s="12" t="n"/>
      <c r="AK162" s="12" t="n"/>
      <c r="AL162" s="12" t="n"/>
      <c r="AM162" s="12" t="n"/>
      <c r="AN162" s="12" t="n"/>
      <c r="AO162" s="12" t="n"/>
      <c r="AP162" s="12" t="n"/>
      <c r="AQ162" s="12" t="n"/>
      <c r="AR162" s="12" t="n"/>
      <c r="AS162" s="12" t="n"/>
      <c r="AT162" s="12" t="n"/>
      <c r="AU162" s="12" t="n"/>
      <c r="AV162" s="12" t="n"/>
      <c r="AW162" s="12" t="n"/>
      <c r="AX162" s="12" t="n"/>
      <c r="AY162" s="12" t="n"/>
      <c r="AZ162" s="12" t="n"/>
      <c r="BA162" s="12" t="n"/>
      <c r="BB162" s="12" t="n"/>
      <c r="BC162" s="12" t="n"/>
      <c r="BD162" s="12" t="n"/>
      <c r="BE162" s="12" t="n"/>
      <c r="BF162" s="12" t="n"/>
      <c r="BG162" s="12" t="n"/>
      <c r="BH162" s="12" t="n"/>
      <c r="BI162" s="12" t="n"/>
      <c r="BJ162" s="12" t="n"/>
      <c r="BK162" s="12" t="n"/>
      <c r="BL162" s="12" t="n"/>
      <c r="BM162" s="12" t="n"/>
      <c r="BN162" s="12" t="n"/>
      <c r="BO162" s="12" t="n"/>
      <c r="BP162" s="12" t="n"/>
      <c r="BQ162" s="12" t="n"/>
      <c r="BR162" s="12" t="n"/>
      <c r="BS162" s="12" t="n"/>
      <c r="BT162" s="12" t="n"/>
      <c r="BU162" s="12" t="n"/>
      <c r="BV162" s="12" t="n"/>
      <c r="BW162" s="12" t="n"/>
      <c r="BX162" s="12" t="n"/>
      <c r="BY162" s="12" t="n"/>
      <c r="BZ162" s="12" t="n"/>
      <c r="CA162" s="12" t="n"/>
      <c r="CB162" s="12" t="n"/>
      <c r="CC162" s="12" t="n"/>
      <c r="CD162" s="12" t="n"/>
      <c r="CE162" s="12" t="n"/>
      <c r="CF162" s="12" t="n"/>
      <c r="CG162" s="12" t="n"/>
      <c r="CH162" s="12" t="n"/>
      <c r="CI162" s="12" t="n"/>
      <c r="CJ162" s="12" t="n"/>
      <c r="CK162" s="12" t="n"/>
      <c r="CL162" s="12" t="n"/>
      <c r="CM162" s="12" t="n"/>
      <c r="CN162" s="12" t="n"/>
      <c r="CO162" s="12" t="n"/>
      <c r="CP162" s="12" t="n"/>
      <c r="CQ162" s="12" t="n"/>
      <c r="CR162" s="12" t="n"/>
      <c r="CS162" s="12" t="n"/>
      <c r="CT162" s="12" t="n"/>
      <c r="CU162" s="12" t="n"/>
      <c r="CV162" s="12" t="n"/>
      <c r="CW162" s="12" t="n"/>
      <c r="CX162" s="12" t="n"/>
      <c r="CY162" s="12" t="n"/>
    </row>
    <row r="163" hidden="1" outlineLevel="1">
      <c r="C163" s="57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2" t="n"/>
      <c r="AC163" s="12" t="n"/>
      <c r="AD163" s="12" t="n"/>
      <c r="AE163" s="12" t="n"/>
      <c r="AF163" s="12" t="n"/>
      <c r="AG163" s="12" t="n"/>
      <c r="AH163" s="12" t="n"/>
      <c r="AI163" s="12" t="n"/>
      <c r="AJ163" s="12" t="n"/>
      <c r="AK163" s="12" t="n"/>
      <c r="AL163" s="12" t="n"/>
      <c r="AM163" s="12" t="n"/>
      <c r="AN163" s="12" t="n"/>
      <c r="AO163" s="12" t="n"/>
      <c r="AP163" s="12" t="n"/>
      <c r="AQ163" s="12" t="n"/>
      <c r="AR163" s="12" t="n"/>
      <c r="AS163" s="12" t="n"/>
      <c r="AT163" s="12" t="n"/>
      <c r="AU163" s="12" t="n"/>
      <c r="AV163" s="12" t="n"/>
      <c r="AW163" s="12" t="n"/>
      <c r="AX163" s="12" t="n"/>
      <c r="AY163" s="12" t="n"/>
      <c r="AZ163" s="12" t="n"/>
      <c r="BA163" s="12" t="n"/>
      <c r="BB163" s="12" t="n"/>
      <c r="BC163" s="12" t="n"/>
      <c r="BD163" s="12" t="n"/>
      <c r="BE163" s="12" t="n"/>
      <c r="BF163" s="12" t="n"/>
      <c r="BG163" s="12" t="n"/>
      <c r="BH163" s="12" t="n"/>
      <c r="BI163" s="12" t="n"/>
      <c r="BJ163" s="12" t="n"/>
      <c r="BK163" s="12" t="n"/>
      <c r="BL163" s="12" t="n"/>
      <c r="BM163" s="12" t="n"/>
      <c r="BN163" s="12" t="n"/>
      <c r="BO163" s="12" t="n"/>
      <c r="BP163" s="12" t="n"/>
      <c r="BQ163" s="12" t="n"/>
      <c r="BR163" s="12" t="n"/>
      <c r="BS163" s="12" t="n"/>
      <c r="BT163" s="12" t="n"/>
      <c r="BU163" s="12" t="n"/>
      <c r="BV163" s="12" t="n"/>
      <c r="BW163" s="12" t="n"/>
      <c r="BX163" s="12" t="n"/>
      <c r="BY163" s="12" t="n"/>
      <c r="BZ163" s="12" t="n"/>
      <c r="CA163" s="12" t="n"/>
      <c r="CB163" s="12" t="n"/>
      <c r="CC163" s="12" t="n"/>
      <c r="CD163" s="12" t="n"/>
      <c r="CE163" s="12" t="n"/>
      <c r="CF163" s="12" t="n"/>
      <c r="CG163" s="12" t="n"/>
      <c r="CH163" s="12" t="n"/>
      <c r="CI163" s="12" t="n"/>
      <c r="CJ163" s="12" t="n"/>
      <c r="CK163" s="12" t="n"/>
      <c r="CL163" s="12" t="n"/>
      <c r="CM163" s="12" t="n"/>
      <c r="CN163" s="12" t="n"/>
      <c r="CO163" s="12" t="n"/>
      <c r="CP163" s="12" t="n"/>
      <c r="CQ163" s="12" t="n"/>
      <c r="CR163" s="12" t="n"/>
      <c r="CS163" s="12" t="n"/>
      <c r="CT163" s="12" t="n"/>
      <c r="CU163" s="12" t="n"/>
      <c r="CV163" s="12" t="n"/>
      <c r="CW163" s="12" t="n"/>
      <c r="CX163" s="12" t="n"/>
      <c r="CY163" s="12" t="n"/>
    </row>
    <row r="164" collapsed="1">
      <c r="C164" s="14" t="inlineStr">
        <is>
          <t>Right-of-use-assets</t>
        </is>
      </c>
      <c r="D164" s="46" t="n"/>
      <c r="E164" s="46" t="n"/>
      <c r="F164" s="46" t="n"/>
      <c r="G164" s="46" t="n"/>
      <c r="H164" s="12" t="n"/>
      <c r="I164" s="46">
        <f>'Inputs (2)'!D23</f>
        <v>0</v>
      </c>
      <c r="J164" s="46">
        <f>'Inputs (2)'!E23</f>
        <v>0</v>
      </c>
      <c r="K164" s="46">
        <f>'Inputs (2)'!F23</f>
        <v>0</v>
      </c>
      <c r="L164" s="46">
        <f>'Inputs (2)'!G23</f>
        <v>0</v>
      </c>
      <c r="M164" s="12">
        <f>'Inputs (2)'!H23</f>
        <v>0</v>
      </c>
      <c r="N164" s="46">
        <f>'Inputs (2)'!I23</f>
        <v>0</v>
      </c>
      <c r="O164" s="46">
        <f>'Inputs (2)'!J23</f>
        <v>0</v>
      </c>
      <c r="P164" s="46">
        <f>'Inputs (2)'!K23</f>
        <v>0</v>
      </c>
      <c r="Q164" s="46">
        <f>'Inputs (2)'!L23</f>
        <v>0</v>
      </c>
      <c r="R164" s="12">
        <f>'Inputs (2)'!M23</f>
        <v>0</v>
      </c>
      <c r="S164" s="46">
        <f>'Inputs (2)'!N23</f>
        <v>0</v>
      </c>
      <c r="T164" s="46">
        <f>'Inputs (2)'!O23</f>
        <v>0</v>
      </c>
      <c r="U164" s="46">
        <f>'Inputs (2)'!P23</f>
        <v>0</v>
      </c>
      <c r="V164" s="46">
        <f>'Inputs (2)'!Q23</f>
        <v>0</v>
      </c>
      <c r="W164" s="12">
        <f>'Inputs (2)'!R23</f>
        <v>0</v>
      </c>
      <c r="X164" s="46">
        <f>'Inputs (2)'!S23</f>
        <v>0</v>
      </c>
      <c r="Y164" s="46">
        <f>'Inputs (2)'!T23</f>
        <v>0</v>
      </c>
      <c r="Z164" s="46">
        <f>'Inputs (2)'!U23</f>
        <v>0</v>
      </c>
      <c r="AA164" s="46">
        <f>'Inputs (2)'!V23</f>
        <v>0</v>
      </c>
      <c r="AB164" s="12">
        <f>'Inputs (2)'!W23</f>
        <v>0</v>
      </c>
      <c r="AC164" s="46">
        <f>'Inputs (2)'!X23</f>
        <v>0</v>
      </c>
      <c r="AD164" s="46">
        <f>'Inputs (2)'!Y23</f>
        <v>0</v>
      </c>
      <c r="AE164" s="46">
        <f>'Inputs (2)'!Z23</f>
        <v>0</v>
      </c>
      <c r="AF164" s="46">
        <f>'Inputs (2)'!AA23</f>
        <v>0</v>
      </c>
      <c r="AG164" s="12">
        <f>'Inputs (2)'!AB23</f>
        <v>0</v>
      </c>
      <c r="AH164" s="12">
        <f>'Inputs (2)'!AC23</f>
        <v>0</v>
      </c>
      <c r="AI164" s="12">
        <f>'Inputs (2)'!AD23</f>
        <v>0</v>
      </c>
      <c r="AJ164" s="12">
        <f>AI164</f>
        <v>0</v>
      </c>
      <c r="AK164" s="12">
        <f>AJ164</f>
        <v>0</v>
      </c>
      <c r="AL164" s="12">
        <f>AK164</f>
        <v>0</v>
      </c>
      <c r="AM164" s="12">
        <f>AL164</f>
        <v>0</v>
      </c>
      <c r="AN164" s="12">
        <f>AM164</f>
        <v>0</v>
      </c>
      <c r="AO164" s="12">
        <f>AN164</f>
        <v>0</v>
      </c>
      <c r="AP164" s="12">
        <f>AO164</f>
        <v>0</v>
      </c>
      <c r="AQ164" s="12">
        <f>AP164</f>
        <v>0</v>
      </c>
      <c r="AR164" s="12">
        <f>AQ164</f>
        <v>0</v>
      </c>
      <c r="AS164" s="12">
        <f>AR164</f>
        <v>0</v>
      </c>
      <c r="AT164" s="12">
        <f>AS164</f>
        <v>0</v>
      </c>
      <c r="AU164" s="12">
        <f>AT164</f>
        <v>0</v>
      </c>
      <c r="AV164" s="12">
        <f>AU164</f>
        <v>0</v>
      </c>
      <c r="AW164" s="12">
        <f>AV164</f>
        <v>0</v>
      </c>
      <c r="AX164" s="12">
        <f>AW164</f>
        <v>0</v>
      </c>
      <c r="AY164" s="12">
        <f>AX164</f>
        <v>0</v>
      </c>
      <c r="AZ164" s="12">
        <f>AY164</f>
        <v>0</v>
      </c>
      <c r="BA164" s="12">
        <f>AZ164</f>
        <v>0</v>
      </c>
      <c r="BB164" s="12">
        <f>BA164</f>
        <v>0</v>
      </c>
      <c r="BC164" s="12">
        <f>BB164</f>
        <v>0</v>
      </c>
      <c r="BD164" s="12">
        <f>BC164</f>
        <v>0</v>
      </c>
      <c r="BE164" s="12">
        <f>BD164</f>
        <v>0</v>
      </c>
      <c r="BF164" s="12">
        <f>BE164</f>
        <v>0</v>
      </c>
      <c r="BG164" s="12" t="n"/>
      <c r="BH164" s="12" t="n"/>
      <c r="BI164" s="12" t="n"/>
      <c r="BJ164" s="12" t="n"/>
      <c r="BK164" s="12" t="n"/>
      <c r="BL164" s="12" t="n"/>
      <c r="BM164" s="12" t="n"/>
      <c r="BN164" s="12" t="n"/>
      <c r="BO164" s="12" t="n"/>
      <c r="BP164" s="12" t="n"/>
      <c r="BQ164" s="12" t="n"/>
      <c r="BR164" s="12" t="n"/>
      <c r="BS164" s="12" t="n"/>
      <c r="BT164" s="12" t="n"/>
      <c r="BU164" s="12" t="n"/>
      <c r="BV164" s="12" t="n"/>
      <c r="BW164" s="12" t="n"/>
      <c r="BX164" s="12" t="n"/>
      <c r="BY164" s="12" t="n"/>
      <c r="BZ164" s="12" t="n"/>
      <c r="CA164" s="12" t="n"/>
      <c r="CB164" s="12" t="n"/>
      <c r="CC164" s="12" t="n"/>
      <c r="CD164" s="12" t="n"/>
      <c r="CE164" s="12" t="n"/>
      <c r="CF164" s="12" t="n"/>
      <c r="CG164" s="12" t="n"/>
      <c r="CH164" s="12" t="n"/>
      <c r="CI164" s="12" t="n"/>
      <c r="CJ164" s="12" t="n"/>
      <c r="CK164" s="12" t="n"/>
      <c r="CL164" s="12" t="n"/>
      <c r="CM164" s="12" t="n"/>
      <c r="CN164" s="12" t="n"/>
      <c r="CO164" s="12" t="n"/>
      <c r="CP164" s="12" t="n"/>
      <c r="CQ164" s="12" t="n"/>
      <c r="CR164" s="12" t="n"/>
      <c r="CS164" s="12" t="n"/>
      <c r="CT164" s="12" t="n"/>
      <c r="CU164" s="12" t="n"/>
      <c r="CV164" s="12" t="n"/>
      <c r="CW164" s="12" t="n"/>
      <c r="CX164" s="12" t="n"/>
      <c r="CY164" s="12" t="n"/>
    </row>
    <row r="165" hidden="1" outlineLevel="1">
      <c r="C165" s="59" t="inlineStr">
        <is>
          <t>%(Var.)</t>
        </is>
      </c>
      <c r="D165" s="12" t="n"/>
      <c r="E165" s="40" t="n"/>
      <c r="F165" s="40" t="n"/>
      <c r="G165" s="40" t="n"/>
      <c r="H165" s="12" t="n"/>
      <c r="I165" s="40" t="str">
        <f>""</f>
        <v/>
      </c>
      <c r="J165" s="40" t="str">
        <f>IFERROR(IF(I164=0,"",J164/I164-1),"")</f>
        <v/>
      </c>
      <c r="K165" s="40" t="str">
        <f>IFERROR(IF(J164=0,"",K164/J164-1),"")</f>
        <v/>
      </c>
      <c r="L165" s="40" t="str">
        <f>IFERROR(IF(K164=0,"",L164/K164-1),"")</f>
        <v/>
      </c>
      <c r="M165" s="12" t="str">
        <f>IFERROR(IF(L164=0,"",M164/L164-1),"")</f>
        <v/>
      </c>
      <c r="N165" s="40" t="str">
        <f>IFERROR(IF(M164=0,"",N164/M164-1),"")</f>
        <v/>
      </c>
      <c r="O165" s="40" t="str">
        <f>IFERROR(IF(N164=0,"",O164/N164-1),"")</f>
        <v/>
      </c>
      <c r="P165" s="40" t="str">
        <f>IFERROR(IF(O164=0,"",P164/O164-1),"")</f>
        <v/>
      </c>
      <c r="Q165" s="40" t="str">
        <f>IFERROR(IF(P164=0,"",Q164/P164-1),"")</f>
        <v/>
      </c>
      <c r="R165" s="12" t="str">
        <f>IFERROR(IF(Q164=0,"",R164/Q164-1),"")</f>
        <v/>
      </c>
      <c r="S165" s="40" t="str">
        <f>IFERROR(IF(R164=0,"",S164/R164-1),"")</f>
        <v/>
      </c>
      <c r="T165" s="40" t="str">
        <f>IFERROR(IF(S164=0,"",T164/S164-1),"")</f>
        <v/>
      </c>
      <c r="U165" s="40" t="str">
        <f>IFERROR(IF(T164=0,"",U164/T164-1),"")</f>
        <v/>
      </c>
      <c r="V165" s="40" t="str">
        <f>IFERROR(IF(U164=0,"",V164/U164-1),"")</f>
        <v/>
      </c>
      <c r="W165" s="12" t="str">
        <f>IFERROR(IF(V164=0,"",W164/V164-1),"")</f>
        <v/>
      </c>
      <c r="X165" s="40" t="str">
        <f>IFERROR(IF(W164=0,"",X164/W164-1),"")</f>
        <v/>
      </c>
      <c r="Y165" s="40" t="str">
        <f>IFERROR(IF(X164=0,"",Y164/X164-1),"")</f>
        <v/>
      </c>
      <c r="Z165" s="40" t="str">
        <f>IFERROR(IF(Y164=0,"",Z164/Y164-1),"")</f>
        <v/>
      </c>
      <c r="AA165" s="40" t="str">
        <f>IFERROR(IF(Z164=0,"",AA164/Z164-1),"")</f>
        <v/>
      </c>
      <c r="AB165" s="12" t="str">
        <f>IFERROR(IF(AA164=0,"",AB164/AA164-1),"")</f>
        <v/>
      </c>
      <c r="AC165" s="40" t="str">
        <f>IFERROR(IF(AB164=0,"",AC164/AB164-1),"")</f>
        <v/>
      </c>
      <c r="AD165" s="40" t="str">
        <f>IFERROR(IF(AC164=0,"",AD164/AC164-1),"")</f>
        <v/>
      </c>
      <c r="AE165" s="40" t="str">
        <f>IFERROR(IF(AD164=0,"",AE164/AD164-1),"")</f>
        <v/>
      </c>
      <c r="AF165" s="55" t="str">
        <f>IFERROR(IF(AE164=0,"",AF164/AE164-1),"")</f>
        <v/>
      </c>
      <c r="AG165" s="12" t="str">
        <f>IFERROR(IF(AF164=0,"",AG164/AF164-1),"")</f>
        <v/>
      </c>
      <c r="AH165" s="55" t="str">
        <f>IFERROR(IF(AG164=0,"",AH164/AG164-1),"")</f>
        <v/>
      </c>
      <c r="AI165" s="55" t="str">
        <f>IFERROR(IF(AH164=0,"",AI164/AH164-1),"")</f>
        <v/>
      </c>
      <c r="AJ165" s="55" t="str">
        <f>IFERROR(IF(AI164=0,"",AJ164/AI164-1),"")</f>
        <v/>
      </c>
      <c r="AK165" s="55" t="str">
        <f>IFERROR(IF(AJ164=0,"",AK164/AJ164-1),"")</f>
        <v/>
      </c>
      <c r="AL165" s="12" t="str">
        <f>IFERROR(IF(AK164=0,"",AL164/AK164-1),"")</f>
        <v/>
      </c>
      <c r="AM165" s="55" t="str">
        <f>IFERROR(IF(AL164=0,"",AM164/AL164-1),"")</f>
        <v/>
      </c>
      <c r="AN165" s="55" t="str">
        <f>IFERROR(IF(AM164=0,"",AN164/AM164-1),"")</f>
        <v/>
      </c>
      <c r="AO165" s="55" t="str">
        <f>IFERROR(IF(AN164=0,"",AO164/AN164-1),"")</f>
        <v/>
      </c>
      <c r="AP165" s="55" t="str">
        <f>IFERROR(IF(AO164=0,"",AP164/AO164-1),"")</f>
        <v/>
      </c>
      <c r="AQ165" s="12" t="str">
        <f>IFERROR(IF(AP164=0,"",AQ164/AP164-1),"")</f>
        <v/>
      </c>
      <c r="AR165" s="55" t="str">
        <f>IFERROR(IF(AQ164=0,"",AR164/AQ164-1),"")</f>
        <v/>
      </c>
      <c r="AS165" s="55" t="str">
        <f>IFERROR(IF(AR164=0,"",AS164/AR164-1),"")</f>
        <v/>
      </c>
      <c r="AT165" s="55" t="str">
        <f>IFERROR(IF(AS164=0,"",AT164/AS164-1),"")</f>
        <v/>
      </c>
      <c r="AU165" s="55" t="str">
        <f>IFERROR(IF(AT164=0,"",AU164/AT164-1),"")</f>
        <v/>
      </c>
      <c r="AV165" s="12" t="str">
        <f>IFERROR(IF(AU164=0,"",AV164/AU164-1),"")</f>
        <v/>
      </c>
      <c r="AW165" s="55" t="str">
        <f>IFERROR(IF(AV164=0,"",AW164/AV164-1),"")</f>
        <v/>
      </c>
      <c r="AX165" s="55" t="str">
        <f>IFERROR(IF(AW164=0,"",AX164/AW164-1),"")</f>
        <v/>
      </c>
      <c r="AY165" s="55" t="str">
        <f>IFERROR(IF(AX164=0,"",AY164/AX164-1),"")</f>
        <v/>
      </c>
      <c r="AZ165" s="55" t="str">
        <f>IFERROR(IF(AY164=0,"",AZ164/AY164-1),"")</f>
        <v/>
      </c>
      <c r="BA165" s="12" t="str">
        <f>IFERROR(IF(AZ164=0,"",BA164/AZ164-1),"")</f>
        <v/>
      </c>
      <c r="BB165" s="55" t="str">
        <f>IFERROR(IF(BA164=0,"",BB164/BA164-1),"")</f>
        <v/>
      </c>
      <c r="BC165" s="55" t="str">
        <f>IFERROR(IF(BB164=0,"",BC164/BB164-1),"")</f>
        <v/>
      </c>
      <c r="BD165" s="55" t="str">
        <f>IFERROR(IF(BC164=0,"",BD164/BC164-1),"")</f>
        <v/>
      </c>
      <c r="BE165" s="55" t="str">
        <f>IFERROR(IF(BD164=0,"",BE164/BD164-1),"")</f>
        <v/>
      </c>
      <c r="BF165" s="12" t="str">
        <f>IFERROR(IF(BE164=0,"",BF164/BE164-1),"")</f>
        <v/>
      </c>
      <c r="BG165" s="55" t="n"/>
      <c r="BH165" s="55" t="n"/>
      <c r="BI165" s="55" t="n"/>
      <c r="BJ165" s="55" t="n"/>
      <c r="BK165" s="12" t="n"/>
      <c r="BL165" s="55" t="n"/>
      <c r="BM165" s="55" t="n"/>
      <c r="BN165" s="55" t="n"/>
      <c r="BO165" s="55" t="n"/>
      <c r="BP165" s="12" t="n"/>
      <c r="BQ165" s="55" t="n"/>
      <c r="BR165" s="55" t="n"/>
      <c r="BS165" s="55" t="n"/>
      <c r="BT165" s="55" t="n"/>
      <c r="BU165" s="12" t="n"/>
      <c r="BV165" s="55" t="n"/>
      <c r="BW165" s="55" t="n"/>
      <c r="BX165" s="55" t="n"/>
      <c r="BY165" s="55" t="n"/>
      <c r="BZ165" s="12" t="n"/>
      <c r="CA165" s="55" t="n"/>
      <c r="CB165" s="55" t="n"/>
      <c r="CC165" s="55" t="n"/>
      <c r="CD165" s="55" t="n"/>
      <c r="CE165" s="12" t="n"/>
      <c r="CF165" s="55" t="n"/>
      <c r="CG165" s="55" t="n"/>
      <c r="CH165" s="55" t="n"/>
      <c r="CI165" s="55" t="n"/>
      <c r="CJ165" s="12" t="n"/>
      <c r="CK165" s="55" t="n"/>
      <c r="CL165" s="55" t="n"/>
      <c r="CM165" s="55" t="n"/>
      <c r="CN165" s="55" t="n"/>
      <c r="CO165" s="12" t="n"/>
      <c r="CP165" s="55" t="n"/>
      <c r="CQ165" s="55" t="n"/>
      <c r="CR165" s="55" t="n"/>
      <c r="CS165" s="55" t="n"/>
      <c r="CT165" s="12" t="n"/>
      <c r="CU165" s="55" t="n"/>
      <c r="CV165" s="55" t="n"/>
      <c r="CW165" s="55" t="n"/>
      <c r="CX165" s="55" t="n"/>
      <c r="CY165" s="12" t="n"/>
    </row>
    <row r="166" hidden="1" outlineLevel="1">
      <c r="C166" s="57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  <c r="AA166" s="12" t="n"/>
      <c r="AB166" s="12" t="n"/>
      <c r="AC166" s="12" t="n"/>
      <c r="AD166" s="12" t="n"/>
      <c r="AE166" s="12" t="n"/>
      <c r="AF166" s="12" t="n"/>
      <c r="AG166" s="12" t="n"/>
      <c r="AH166" s="12" t="n"/>
      <c r="AI166" s="12" t="n"/>
      <c r="AJ166" s="12" t="n"/>
      <c r="AK166" s="12" t="n"/>
      <c r="AL166" s="12" t="n"/>
      <c r="AM166" s="12" t="n"/>
      <c r="AN166" s="12" t="n"/>
      <c r="AO166" s="12" t="n"/>
      <c r="AP166" s="12" t="n"/>
      <c r="AQ166" s="12" t="n"/>
      <c r="AR166" s="12" t="n"/>
      <c r="AS166" s="12" t="n"/>
      <c r="AT166" s="12" t="n"/>
      <c r="AU166" s="12" t="n"/>
      <c r="AV166" s="12" t="n"/>
      <c r="AW166" s="12" t="n"/>
      <c r="AX166" s="12" t="n"/>
      <c r="AY166" s="12" t="n"/>
      <c r="AZ166" s="12" t="n"/>
      <c r="BA166" s="12" t="n"/>
      <c r="BB166" s="12" t="n"/>
      <c r="BC166" s="12" t="n"/>
      <c r="BD166" s="12" t="n"/>
      <c r="BE166" s="12" t="n"/>
      <c r="BF166" s="12" t="n"/>
      <c r="BG166" s="12" t="n"/>
      <c r="BH166" s="12" t="n"/>
      <c r="BI166" s="12" t="n"/>
      <c r="BJ166" s="12" t="n"/>
      <c r="BK166" s="12" t="n"/>
      <c r="BL166" s="12" t="n"/>
      <c r="BM166" s="12" t="n"/>
      <c r="BN166" s="12" t="n"/>
      <c r="BO166" s="12" t="n"/>
      <c r="BP166" s="12" t="n"/>
      <c r="BQ166" s="12" t="n"/>
      <c r="BR166" s="12" t="n"/>
      <c r="BS166" s="12" t="n"/>
      <c r="BT166" s="12" t="n"/>
      <c r="BU166" s="12" t="n"/>
      <c r="BV166" s="12" t="n"/>
      <c r="BW166" s="12" t="n"/>
      <c r="BX166" s="12" t="n"/>
      <c r="BY166" s="12" t="n"/>
      <c r="BZ166" s="12" t="n"/>
      <c r="CA166" s="12" t="n"/>
      <c r="CB166" s="12" t="n"/>
      <c r="CC166" s="12" t="n"/>
      <c r="CD166" s="12" t="n"/>
      <c r="CE166" s="12" t="n"/>
      <c r="CF166" s="12" t="n"/>
      <c r="CG166" s="12" t="n"/>
      <c r="CH166" s="12" t="n"/>
      <c r="CI166" s="12" t="n"/>
      <c r="CJ166" s="12" t="n"/>
      <c r="CK166" s="12" t="n"/>
      <c r="CL166" s="12" t="n"/>
      <c r="CM166" s="12" t="n"/>
      <c r="CN166" s="12" t="n"/>
      <c r="CO166" s="12" t="n"/>
      <c r="CP166" s="12" t="n"/>
      <c r="CQ166" s="12" t="n"/>
      <c r="CR166" s="12" t="n"/>
      <c r="CS166" s="12" t="n"/>
      <c r="CT166" s="12" t="n"/>
      <c r="CU166" s="12" t="n"/>
      <c r="CV166" s="12" t="n"/>
      <c r="CW166" s="12" t="n"/>
      <c r="CX166" s="12" t="n"/>
      <c r="CY166" s="12" t="n"/>
    </row>
    <row r="167" collapsed="1">
      <c r="C167" s="14" t="inlineStr">
        <is>
          <t>Goodwill</t>
        </is>
      </c>
      <c r="D167" s="46" t="n"/>
      <c r="E167" s="46" t="n"/>
      <c r="F167" s="46" t="n"/>
      <c r="G167" s="46" t="n"/>
      <c r="H167" s="12" t="n"/>
      <c r="I167" s="46">
        <f>'Inputs (2)'!D24</f>
        <v>0</v>
      </c>
      <c r="J167" s="46">
        <f>'Inputs (2)'!E24</f>
        <v>0</v>
      </c>
      <c r="K167" s="46">
        <f>'Inputs (2)'!F24</f>
        <v>0</v>
      </c>
      <c r="L167" s="46">
        <f>'Inputs (2)'!G24</f>
        <v>0</v>
      </c>
      <c r="M167" s="12">
        <f>'Inputs (2)'!H24</f>
        <v>0</v>
      </c>
      <c r="N167" s="46">
        <f>'Inputs (2)'!I24</f>
        <v>0</v>
      </c>
      <c r="O167" s="46">
        <f>'Inputs (2)'!J24</f>
        <v>0</v>
      </c>
      <c r="P167" s="46">
        <f>'Inputs (2)'!K24</f>
        <v>0</v>
      </c>
      <c r="Q167" s="46">
        <f>'Inputs (2)'!L24</f>
        <v>0</v>
      </c>
      <c r="R167" s="12">
        <f>'Inputs (2)'!M24</f>
        <v>0</v>
      </c>
      <c r="S167" s="46">
        <f>'Inputs (2)'!N24</f>
        <v>0</v>
      </c>
      <c r="T167" s="46">
        <f>'Inputs (2)'!O24</f>
        <v>0</v>
      </c>
      <c r="U167" s="46">
        <f>'Inputs (2)'!P24</f>
        <v>0</v>
      </c>
      <c r="V167" s="46">
        <f>'Inputs (2)'!Q24</f>
        <v>425</v>
      </c>
      <c r="W167" s="12">
        <f>'Inputs (2)'!R24</f>
        <v>425</v>
      </c>
      <c r="X167" s="46">
        <f>'Inputs (2)'!S24</f>
        <v>425</v>
      </c>
      <c r="Y167" s="46">
        <f>'Inputs (2)'!T24</f>
        <v>420</v>
      </c>
      <c r="Z167" s="46">
        <f>'Inputs (2)'!U24</f>
        <v>420</v>
      </c>
      <c r="AA167" s="46">
        <f>'Inputs (2)'!V24</f>
        <v>420</v>
      </c>
      <c r="AB167" s="12">
        <f>'Inputs (2)'!W24</f>
        <v>420</v>
      </c>
      <c r="AC167" s="46">
        <f>'Inputs (2)'!X24</f>
        <v>420</v>
      </c>
      <c r="AD167" s="46">
        <f>'Inputs (2)'!Y24</f>
        <v>420</v>
      </c>
      <c r="AE167" s="46">
        <f>'Inputs (2)'!Z24</f>
        <v>420</v>
      </c>
      <c r="AF167" s="46">
        <f>'Inputs (2)'!AA24</f>
        <v>420</v>
      </c>
      <c r="AG167" s="12">
        <f>'Inputs (2)'!AB24</f>
        <v>420</v>
      </c>
      <c r="AH167" s="12">
        <f>'Inputs (2)'!AC24</f>
        <v>11527</v>
      </c>
      <c r="AI167" s="12">
        <f>'Inputs (2)'!AD24</f>
        <v>11527</v>
      </c>
      <c r="AJ167" s="12">
        <f>AI167</f>
        <v>11527</v>
      </c>
      <c r="AK167" s="12">
        <f>AJ167</f>
        <v>11527</v>
      </c>
      <c r="AL167" s="12">
        <f>AK167</f>
        <v>11527</v>
      </c>
      <c r="AM167" s="12">
        <f>AL167</f>
        <v>11527</v>
      </c>
      <c r="AN167" s="12">
        <f>AM167</f>
        <v>11527</v>
      </c>
      <c r="AO167" s="12">
        <f>AN167</f>
        <v>11527</v>
      </c>
      <c r="AP167" s="12">
        <f>AO167</f>
        <v>11527</v>
      </c>
      <c r="AQ167" s="12">
        <f>AP167</f>
        <v>11527</v>
      </c>
      <c r="AR167" s="12">
        <f>AQ167</f>
        <v>11527</v>
      </c>
      <c r="AS167" s="12">
        <f>AR167</f>
        <v>11527</v>
      </c>
      <c r="AT167" s="12">
        <f>AS167</f>
        <v>11527</v>
      </c>
      <c r="AU167" s="12">
        <f>AT167</f>
        <v>11527</v>
      </c>
      <c r="AV167" s="12">
        <f>AU167</f>
        <v>11527</v>
      </c>
      <c r="AW167" s="12">
        <f>AV167</f>
        <v>11527</v>
      </c>
      <c r="AX167" s="12">
        <f>AW167</f>
        <v>11527</v>
      </c>
      <c r="AY167" s="12">
        <f>AX167</f>
        <v>11527</v>
      </c>
      <c r="AZ167" s="12">
        <f>AY167</f>
        <v>11527</v>
      </c>
      <c r="BA167" s="12">
        <f>AZ167</f>
        <v>11527</v>
      </c>
      <c r="BB167" s="12">
        <f>BA167</f>
        <v>11527</v>
      </c>
      <c r="BC167" s="12">
        <f>BB167</f>
        <v>11527</v>
      </c>
      <c r="BD167" s="12">
        <f>BC167</f>
        <v>11527</v>
      </c>
      <c r="BE167" s="12">
        <f>BD167</f>
        <v>11527</v>
      </c>
      <c r="BF167" s="12">
        <f>BE167</f>
        <v>11527</v>
      </c>
      <c r="BG167" s="12" t="n"/>
      <c r="BH167" s="12" t="n"/>
      <c r="BI167" s="12" t="n"/>
      <c r="BJ167" s="12" t="n"/>
      <c r="BK167" s="12" t="n"/>
      <c r="BL167" s="12" t="n"/>
      <c r="BM167" s="12" t="n"/>
      <c r="BN167" s="12" t="n"/>
      <c r="BO167" s="12" t="n"/>
      <c r="BP167" s="12" t="n"/>
      <c r="BQ167" s="12" t="n"/>
      <c r="BR167" s="12" t="n"/>
      <c r="BS167" s="12" t="n"/>
      <c r="BT167" s="12" t="n"/>
      <c r="BU167" s="12" t="n"/>
      <c r="BV167" s="12" t="n"/>
      <c r="BW167" s="12" t="n"/>
      <c r="BX167" s="12" t="n"/>
      <c r="BY167" s="12" t="n"/>
      <c r="BZ167" s="12" t="n"/>
      <c r="CA167" s="12" t="n"/>
      <c r="CB167" s="12" t="n"/>
      <c r="CC167" s="12" t="n"/>
      <c r="CD167" s="12" t="n"/>
      <c r="CE167" s="12" t="n"/>
      <c r="CF167" s="12" t="n"/>
      <c r="CG167" s="12" t="n"/>
      <c r="CH167" s="12" t="n"/>
      <c r="CI167" s="12" t="n"/>
      <c r="CJ167" s="12" t="n"/>
      <c r="CK167" s="12" t="n"/>
      <c r="CL167" s="12" t="n"/>
      <c r="CM167" s="12" t="n"/>
      <c r="CN167" s="12" t="n"/>
      <c r="CO167" s="12" t="n"/>
      <c r="CP167" s="12" t="n"/>
      <c r="CQ167" s="12" t="n"/>
      <c r="CR167" s="12" t="n"/>
      <c r="CS167" s="12" t="n"/>
      <c r="CT167" s="12" t="n"/>
      <c r="CU167" s="12" t="n"/>
      <c r="CV167" s="12" t="n"/>
      <c r="CW167" s="12" t="n"/>
      <c r="CX167" s="12" t="n"/>
      <c r="CY167" s="12" t="n"/>
    </row>
    <row r="168">
      <c r="C168" s="14" t="inlineStr">
        <is>
          <t>Intangibles</t>
        </is>
      </c>
      <c r="D168" s="46" t="n"/>
      <c r="E168" s="46" t="n"/>
      <c r="F168" s="46" t="n"/>
      <c r="G168" s="46" t="n"/>
      <c r="H168" s="12" t="n"/>
      <c r="I168" s="46">
        <f>'Inputs (2)'!D25</f>
        <v>0</v>
      </c>
      <c r="J168" s="46">
        <f>'Inputs (2)'!E25</f>
        <v>0</v>
      </c>
      <c r="K168" s="46">
        <f>'Inputs (2)'!F25</f>
        <v>0</v>
      </c>
      <c r="L168" s="46">
        <f>'Inputs (2)'!G25</f>
        <v>0</v>
      </c>
      <c r="M168" s="12">
        <f>'Inputs (2)'!H25</f>
        <v>0</v>
      </c>
      <c r="N168" s="46">
        <f>'Inputs (2)'!I25</f>
        <v>0</v>
      </c>
      <c r="O168" s="46">
        <f>'Inputs (2)'!J25</f>
        <v>0</v>
      </c>
      <c r="P168" s="46">
        <f>'Inputs (2)'!K25</f>
        <v>0</v>
      </c>
      <c r="Q168" s="46">
        <f>'Inputs (2)'!L25</f>
        <v>0</v>
      </c>
      <c r="R168" s="12">
        <f>'Inputs (2)'!M25</f>
        <v>0</v>
      </c>
      <c r="S168" s="46">
        <f>'Inputs (2)'!N25</f>
        <v>0</v>
      </c>
      <c r="T168" s="46">
        <f>'Inputs (2)'!O25</f>
        <v>0</v>
      </c>
      <c r="U168" s="46">
        <f>'Inputs (2)'!P25</f>
        <v>0</v>
      </c>
      <c r="V168" s="46">
        <f>'Inputs (2)'!Q25</f>
        <v>0</v>
      </c>
      <c r="W168" s="12">
        <f>'Inputs (2)'!R25</f>
        <v>0</v>
      </c>
      <c r="X168" s="46">
        <f>'Inputs (2)'!S25</f>
        <v>0</v>
      </c>
      <c r="Y168" s="46">
        <f>'Inputs (2)'!T25</f>
        <v>0</v>
      </c>
      <c r="Z168" s="46">
        <f>'Inputs (2)'!U25</f>
        <v>0</v>
      </c>
      <c r="AA168" s="46">
        <f>'Inputs (2)'!V25</f>
        <v>0</v>
      </c>
      <c r="AB168" s="12">
        <f>'Inputs (2)'!W25</f>
        <v>0</v>
      </c>
      <c r="AC168" s="46">
        <f>'Inputs (2)'!X25</f>
        <v>0</v>
      </c>
      <c r="AD168" s="46">
        <f>'Inputs (2)'!Y25</f>
        <v>0</v>
      </c>
      <c r="AE168" s="46">
        <f>'Inputs (2)'!Z25</f>
        <v>0</v>
      </c>
      <c r="AF168" s="46">
        <f>'Inputs (2)'!AA25</f>
        <v>0</v>
      </c>
      <c r="AG168" s="12">
        <f>'Inputs (2)'!AB25</f>
        <v>0</v>
      </c>
      <c r="AH168" s="12">
        <f>'Inputs (2)'!AC25</f>
        <v>0</v>
      </c>
      <c r="AI168" s="12">
        <f>'Inputs (2)'!AD25</f>
        <v>0</v>
      </c>
      <c r="AJ168" s="12">
        <f>AI168</f>
        <v>0</v>
      </c>
      <c r="AK168" s="12">
        <f>AJ168</f>
        <v>0</v>
      </c>
      <c r="AL168" s="12">
        <f>AK168</f>
        <v>0</v>
      </c>
      <c r="AM168" s="16">
        <f>AL168</f>
        <v>0</v>
      </c>
      <c r="AN168" s="12">
        <f>AM168</f>
        <v>0</v>
      </c>
      <c r="AO168" s="12">
        <f>AN168</f>
        <v>0</v>
      </c>
      <c r="AP168" s="12">
        <f>AO168</f>
        <v>0</v>
      </c>
      <c r="AQ168" s="12">
        <f>AP168</f>
        <v>0</v>
      </c>
      <c r="AR168" s="16">
        <f>AQ168</f>
        <v>0</v>
      </c>
      <c r="AS168" s="12">
        <f>AR168</f>
        <v>0</v>
      </c>
      <c r="AT168" s="12">
        <f>AS168</f>
        <v>0</v>
      </c>
      <c r="AU168" s="12">
        <f>AT168</f>
        <v>0</v>
      </c>
      <c r="AV168" s="12">
        <f>AU168</f>
        <v>0</v>
      </c>
      <c r="AW168" s="16">
        <f>AV168</f>
        <v>0</v>
      </c>
      <c r="AX168" s="12">
        <f>AW168</f>
        <v>0</v>
      </c>
      <c r="AY168" s="12">
        <f>AX168</f>
        <v>0</v>
      </c>
      <c r="AZ168" s="12">
        <f>AY168</f>
        <v>0</v>
      </c>
      <c r="BA168" s="12">
        <f>AZ168</f>
        <v>0</v>
      </c>
      <c r="BB168" s="16">
        <f>BA168</f>
        <v>0</v>
      </c>
      <c r="BC168" s="12">
        <f>BB168</f>
        <v>0</v>
      </c>
      <c r="BD168" s="12">
        <f>BC168</f>
        <v>0</v>
      </c>
      <c r="BE168" s="12">
        <f>BD168</f>
        <v>0</v>
      </c>
      <c r="BF168" s="12">
        <f>BE168</f>
        <v>0</v>
      </c>
      <c r="BH168" s="12" t="n"/>
      <c r="BI168" s="12" t="n"/>
      <c r="BJ168" s="12" t="n"/>
      <c r="BK168" s="12" t="n"/>
      <c r="BM168" s="12" t="n"/>
      <c r="BN168" s="12" t="n"/>
      <c r="BO168" s="12" t="n"/>
      <c r="BP168" s="12" t="n"/>
      <c r="BR168" s="12" t="n"/>
      <c r="BS168" s="12" t="n"/>
      <c r="BT168" s="12" t="n"/>
      <c r="BU168" s="12" t="n"/>
      <c r="BW168" s="12" t="n"/>
      <c r="BX168" s="12" t="n"/>
      <c r="BY168" s="12" t="n"/>
      <c r="BZ168" s="12" t="n"/>
      <c r="CB168" s="12" t="n"/>
      <c r="CC168" s="12" t="n"/>
      <c r="CD168" s="12" t="n"/>
      <c r="CE168" s="12" t="n"/>
      <c r="CG168" s="12" t="n"/>
      <c r="CH168" s="12" t="n"/>
      <c r="CI168" s="12" t="n"/>
      <c r="CJ168" s="12" t="n"/>
      <c r="CL168" s="12" t="n"/>
      <c r="CM168" s="12" t="n"/>
      <c r="CN168" s="12" t="n"/>
      <c r="CO168" s="12" t="n"/>
      <c r="CQ168" s="12" t="n"/>
      <c r="CR168" s="12" t="n"/>
      <c r="CS168" s="12" t="n"/>
      <c r="CT168" s="12" t="n"/>
      <c r="CV168" s="12" t="n"/>
      <c r="CW168" s="12" t="n"/>
      <c r="CX168" s="12" t="n"/>
      <c r="CY168" s="12" t="n"/>
    </row>
    <row r="169" hidden="1" outlineLevel="1">
      <c r="C169" s="57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2" t="n"/>
      <c r="AC169" s="12" t="n"/>
      <c r="AD169" s="12" t="n"/>
      <c r="AE169" s="12" t="n"/>
      <c r="AF169" s="12" t="n"/>
      <c r="AG169" s="12" t="n"/>
      <c r="AH169" s="12" t="n"/>
      <c r="AI169" s="12" t="n"/>
      <c r="AJ169" s="12" t="n"/>
      <c r="AK169" s="12" t="n"/>
      <c r="AL169" s="12" t="n"/>
      <c r="AM169" s="12" t="n"/>
      <c r="AN169" s="12" t="n"/>
      <c r="AO169" s="12" t="n"/>
      <c r="AP169" s="12" t="n"/>
      <c r="AQ169" s="12" t="n"/>
      <c r="AR169" s="12" t="n"/>
      <c r="AS169" s="12" t="n"/>
      <c r="AT169" s="12" t="n"/>
      <c r="AU169" s="12" t="n"/>
      <c r="AV169" s="12" t="n"/>
      <c r="AW169" s="12" t="n"/>
      <c r="AX169" s="12" t="n"/>
      <c r="AY169" s="12" t="n"/>
      <c r="AZ169" s="12" t="n"/>
      <c r="BA169" s="12" t="n"/>
      <c r="BB169" s="12" t="n"/>
      <c r="BC169" s="12" t="n"/>
      <c r="BD169" s="12" t="n"/>
      <c r="BE169" s="12" t="n"/>
      <c r="BF169" s="12" t="n"/>
      <c r="BG169" s="12" t="n"/>
      <c r="BH169" s="12" t="n"/>
      <c r="BI169" s="12" t="n"/>
      <c r="BJ169" s="12" t="n"/>
      <c r="BK169" s="12" t="n"/>
      <c r="BL169" s="12" t="n"/>
      <c r="BM169" s="12" t="n"/>
      <c r="BN169" s="12" t="n"/>
      <c r="BO169" s="12" t="n"/>
      <c r="BP169" s="12" t="n"/>
      <c r="BQ169" s="12" t="n"/>
      <c r="BR169" s="12" t="n"/>
      <c r="BS169" s="12" t="n"/>
      <c r="BT169" s="12" t="n"/>
      <c r="BU169" s="12" t="n"/>
      <c r="BV169" s="12" t="n"/>
      <c r="BW169" s="12" t="n"/>
      <c r="BX169" s="12" t="n"/>
      <c r="BY169" s="12" t="n"/>
      <c r="BZ169" s="12" t="n"/>
      <c r="CA169" s="12" t="n"/>
      <c r="CB169" s="12" t="n"/>
      <c r="CC169" s="12" t="n"/>
      <c r="CD169" s="12" t="n"/>
      <c r="CE169" s="12" t="n"/>
      <c r="CF169" s="12" t="n"/>
      <c r="CG169" s="12" t="n"/>
      <c r="CH169" s="12" t="n"/>
      <c r="CI169" s="12" t="n"/>
      <c r="CJ169" s="12" t="n"/>
      <c r="CK169" s="12" t="n"/>
      <c r="CL169" s="12" t="n"/>
      <c r="CM169" s="12" t="n"/>
      <c r="CN169" s="12" t="n"/>
      <c r="CO169" s="12" t="n"/>
      <c r="CP169" s="12" t="n"/>
      <c r="CQ169" s="12" t="n"/>
      <c r="CR169" s="12" t="n"/>
      <c r="CS169" s="12" t="n"/>
      <c r="CT169" s="12" t="n"/>
      <c r="CU169" s="12" t="n"/>
      <c r="CV169" s="12" t="n"/>
      <c r="CW169" s="12" t="n"/>
      <c r="CX169" s="12" t="n"/>
      <c r="CY169" s="12" t="n"/>
    </row>
    <row r="170" hidden="1" outlineLevel="1">
      <c r="C170" s="57" t="inlineStr">
        <is>
          <t>Purchase of intangible assets</t>
        </is>
      </c>
      <c r="D170" s="12" t="n"/>
      <c r="E170" s="12" t="n"/>
      <c r="F170" s="12" t="n"/>
      <c r="G170" s="12" t="n"/>
      <c r="H170" s="12" t="n"/>
      <c r="I170" s="12" t="str">
        <f>IF(COUNT(H168)=0,"",I168-H168-I72)</f>
        <v/>
      </c>
      <c r="J170" s="12">
        <f>J168-I168-J72</f>
        <v>0</v>
      </c>
      <c r="K170" s="12">
        <f>K168-J168-K72</f>
        <v>0</v>
      </c>
      <c r="L170" s="12">
        <f>L168-K168-L72</f>
        <v>0</v>
      </c>
      <c r="M170" s="12" t="n"/>
      <c r="N170" s="12">
        <f>N168-M168-N72</f>
        <v>0</v>
      </c>
      <c r="O170" s="12">
        <f>O168-N168-O72</f>
        <v>0</v>
      </c>
      <c r="P170" s="12">
        <f>P168-O168-P72</f>
        <v>0</v>
      </c>
      <c r="Q170" s="12">
        <f>Q168-P168-Q72</f>
        <v>0</v>
      </c>
      <c r="R170" s="12" t="n"/>
      <c r="S170" s="12">
        <f>S168-R168-S72</f>
        <v>0</v>
      </c>
      <c r="T170" s="12">
        <f>T168-S168-T72</f>
        <v>0</v>
      </c>
      <c r="U170" s="12">
        <f>U168-T168-U72</f>
        <v>0</v>
      </c>
      <c r="V170" s="12">
        <f>V168-U168-V72</f>
        <v>0</v>
      </c>
      <c r="W170" s="12" t="n"/>
      <c r="X170" s="12">
        <f>X168-W168-X72</f>
        <v>0</v>
      </c>
      <c r="Y170" s="12">
        <f>Y168-X168-Y72</f>
        <v>0</v>
      </c>
      <c r="Z170" s="12">
        <f>Z168-Y168-Z72</f>
        <v>0</v>
      </c>
      <c r="AA170" s="12">
        <f>AA168-Z168-AA72</f>
        <v>0</v>
      </c>
      <c r="AB170" s="12" t="n"/>
      <c r="AC170" s="12">
        <f>AC168-AB168-AC72</f>
        <v>0</v>
      </c>
      <c r="AD170" s="12">
        <f>AD168-AC168-AD72</f>
        <v>0</v>
      </c>
      <c r="AE170" s="12">
        <f>AE168-AD168-AE72</f>
        <v>0</v>
      </c>
      <c r="AF170" s="12">
        <f>AF168-AE168-AF72</f>
        <v>0</v>
      </c>
      <c r="AG170" s="12" t="n"/>
      <c r="AH170" s="11">
        <f>AH168-AG168-AH72</f>
        <v>0</v>
      </c>
      <c r="AI170" s="11">
        <f>AI168-AH168-AI72</f>
        <v>0</v>
      </c>
      <c r="AJ170" s="11" t="n"/>
      <c r="AK170" s="11" t="n"/>
      <c r="AL170" s="12" t="n"/>
      <c r="AM170" s="11" t="n"/>
      <c r="AN170" s="11" t="n"/>
      <c r="AO170" s="11" t="n"/>
      <c r="AP170" s="11" t="n"/>
      <c r="AQ170" s="12" t="n"/>
      <c r="AR170" s="11" t="n"/>
      <c r="AS170" s="11" t="n"/>
      <c r="AT170" s="11" t="n"/>
      <c r="AU170" s="11" t="n"/>
      <c r="AV170" s="12" t="n"/>
      <c r="AW170" s="11" t="n"/>
      <c r="AX170" s="11" t="n"/>
      <c r="AY170" s="11" t="n"/>
      <c r="AZ170" s="11" t="n"/>
      <c r="BA170" s="12" t="n"/>
      <c r="BB170" s="11" t="n"/>
      <c r="BC170" s="11" t="n"/>
      <c r="BD170" s="11" t="n"/>
      <c r="BE170" s="11" t="n"/>
      <c r="BF170" s="12" t="n"/>
      <c r="BG170" s="11" t="n"/>
      <c r="BH170" s="11" t="n"/>
      <c r="BI170" s="11" t="n"/>
      <c r="BJ170" s="11" t="n"/>
      <c r="BK170" s="12" t="n"/>
      <c r="BL170" s="11" t="n"/>
      <c r="BM170" s="11" t="n"/>
      <c r="BN170" s="11" t="n"/>
      <c r="BO170" s="11" t="n"/>
      <c r="BP170" s="12" t="n"/>
      <c r="BQ170" s="11" t="n"/>
      <c r="BR170" s="11" t="n"/>
      <c r="BS170" s="11" t="n"/>
      <c r="BT170" s="11" t="n"/>
      <c r="BU170" s="12" t="n"/>
      <c r="BV170" s="11" t="n"/>
      <c r="BW170" s="11" t="n"/>
      <c r="BX170" s="11" t="n"/>
      <c r="BY170" s="11" t="n"/>
      <c r="BZ170" s="12" t="n"/>
      <c r="CA170" s="11" t="n"/>
      <c r="CB170" s="11" t="n"/>
      <c r="CC170" s="11" t="n"/>
      <c r="CD170" s="11" t="n"/>
      <c r="CE170" s="12" t="n"/>
      <c r="CF170" s="11" t="n"/>
      <c r="CG170" s="11" t="n"/>
      <c r="CH170" s="11" t="n"/>
      <c r="CI170" s="11" t="n"/>
      <c r="CJ170" s="12" t="n"/>
      <c r="CK170" s="11" t="n"/>
      <c r="CL170" s="11" t="n"/>
      <c r="CM170" s="11" t="n"/>
      <c r="CN170" s="11" t="n"/>
      <c r="CO170" s="12" t="n"/>
      <c r="CP170" s="11" t="n"/>
      <c r="CQ170" s="11" t="n"/>
      <c r="CR170" s="11" t="n"/>
      <c r="CS170" s="11" t="n"/>
      <c r="CT170" s="12" t="n"/>
      <c r="CU170" s="11" t="n"/>
      <c r="CV170" s="11" t="n"/>
      <c r="CW170" s="11" t="n"/>
      <c r="CX170" s="11" t="n"/>
      <c r="CY170" s="12" t="n"/>
    </row>
    <row r="171" hidden="1" outlineLevel="1">
      <c r="C171" s="57" t="inlineStr">
        <is>
          <t>Amortization (enter as -)</t>
        </is>
      </c>
      <c r="D171" s="12" t="n"/>
      <c r="E171" s="12" t="n"/>
      <c r="F171" s="12" t="n"/>
      <c r="G171" s="12" t="n"/>
      <c r="H171" s="12" t="n"/>
      <c r="I171" s="12">
        <f>I71</f>
        <v>0</v>
      </c>
      <c r="J171" s="12">
        <f>J71</f>
        <v>0</v>
      </c>
      <c r="K171" s="12">
        <f>K71</f>
        <v>0</v>
      </c>
      <c r="L171" s="12">
        <f>L71</f>
        <v>0</v>
      </c>
      <c r="M171" s="12" t="n"/>
      <c r="N171" s="12">
        <f>N71</f>
        <v>0</v>
      </c>
      <c r="O171" s="12">
        <f>O71</f>
        <v>0</v>
      </c>
      <c r="P171" s="12">
        <f>P71</f>
        <v>0</v>
      </c>
      <c r="Q171" s="12">
        <f>Q71</f>
        <v>0</v>
      </c>
      <c r="R171" s="12" t="n"/>
      <c r="S171" s="12">
        <f>S71</f>
        <v>0</v>
      </c>
      <c r="T171" s="12">
        <f>T71</f>
        <v>0</v>
      </c>
      <c r="U171" s="12">
        <f>U71</f>
        <v>0</v>
      </c>
      <c r="V171" s="12">
        <f>V71</f>
        <v>0</v>
      </c>
      <c r="W171" s="12" t="n"/>
      <c r="X171" s="12">
        <f>X71</f>
        <v>0</v>
      </c>
      <c r="Y171" s="12">
        <f>Y71</f>
        <v>0</v>
      </c>
      <c r="Z171" s="12">
        <f>Z71</f>
        <v>0</v>
      </c>
      <c r="AA171" s="12">
        <f>AA71</f>
        <v>0</v>
      </c>
      <c r="AB171" s="12" t="n"/>
      <c r="AC171" s="12">
        <f>AC71</f>
        <v>0</v>
      </c>
      <c r="AD171" s="12">
        <f>AD71</f>
        <v>0</v>
      </c>
      <c r="AE171" s="12">
        <f>AE71</f>
        <v>0</v>
      </c>
      <c r="AF171" s="12">
        <f>AF71</f>
        <v>0</v>
      </c>
      <c r="AG171" s="12" t="n"/>
      <c r="AH171" s="12">
        <f>AH71</f>
        <v>0</v>
      </c>
      <c r="AI171" s="11">
        <f>AI71</f>
        <v>0</v>
      </c>
      <c r="AJ171" s="11" t="n"/>
      <c r="AK171" s="11" t="n"/>
      <c r="AL171" s="12" t="n"/>
      <c r="AM171" s="11" t="n"/>
      <c r="AN171" s="11" t="n"/>
      <c r="AO171" s="11" t="n"/>
      <c r="AP171" s="11" t="n"/>
      <c r="AQ171" s="12" t="n"/>
      <c r="AR171" s="11" t="n"/>
      <c r="AS171" s="11" t="n"/>
      <c r="AT171" s="11" t="n"/>
      <c r="AU171" s="11" t="n"/>
      <c r="AV171" s="12" t="n"/>
      <c r="AW171" s="11" t="n"/>
      <c r="AX171" s="11" t="n"/>
      <c r="AY171" s="11" t="n"/>
      <c r="AZ171" s="11" t="n"/>
      <c r="BA171" s="12" t="n"/>
      <c r="BB171" s="11" t="n"/>
      <c r="BC171" s="11" t="n"/>
      <c r="BD171" s="11" t="n"/>
      <c r="BE171" s="11" t="n"/>
      <c r="BF171" s="12" t="n"/>
      <c r="BG171" s="11" t="n"/>
      <c r="BH171" s="11" t="n"/>
      <c r="BI171" s="11" t="n"/>
      <c r="BJ171" s="11" t="n"/>
      <c r="BK171" s="12" t="n"/>
      <c r="BL171" s="11" t="n"/>
      <c r="BM171" s="11" t="n"/>
      <c r="BN171" s="11" t="n"/>
      <c r="BO171" s="11" t="n"/>
      <c r="BP171" s="12" t="n"/>
      <c r="BQ171" s="11" t="n"/>
      <c r="BR171" s="11" t="n"/>
      <c r="BS171" s="11" t="n"/>
      <c r="BT171" s="11" t="n"/>
      <c r="BU171" s="12" t="n"/>
      <c r="BV171" s="11" t="n"/>
      <c r="BW171" s="11" t="n"/>
      <c r="BX171" s="11" t="n"/>
      <c r="BY171" s="11" t="n"/>
      <c r="BZ171" s="12" t="n"/>
      <c r="CA171" s="11" t="n"/>
      <c r="CB171" s="11" t="n"/>
      <c r="CC171" s="11" t="n"/>
      <c r="CD171" s="11" t="n"/>
      <c r="CE171" s="12" t="n"/>
      <c r="CF171" s="11" t="n"/>
      <c r="CG171" s="11" t="n"/>
      <c r="CH171" s="11" t="n"/>
      <c r="CI171" s="11" t="n"/>
      <c r="CJ171" s="12" t="n"/>
      <c r="CK171" s="11" t="n"/>
      <c r="CL171" s="11" t="n"/>
      <c r="CM171" s="11" t="n"/>
      <c r="CN171" s="11" t="n"/>
      <c r="CO171" s="12" t="n"/>
      <c r="CP171" s="11" t="n"/>
      <c r="CQ171" s="11" t="n"/>
      <c r="CR171" s="11" t="n"/>
      <c r="CS171" s="11" t="n"/>
      <c r="CT171" s="12" t="n"/>
      <c r="CU171" s="11" t="n"/>
      <c r="CV171" s="11" t="n"/>
      <c r="CW171" s="11" t="n"/>
      <c r="CX171" s="11" t="n"/>
      <c r="CY171" s="12" t="n"/>
    </row>
    <row r="172" hidden="1" outlineLevel="1">
      <c r="C172" s="57" t="inlineStr">
        <is>
          <t>Intangibles</t>
        </is>
      </c>
      <c r="D172" s="12" t="n"/>
      <c r="E172" s="12" t="n"/>
      <c r="F172" s="12" t="n"/>
      <c r="G172" s="12" t="n"/>
      <c r="H172" s="12" t="n"/>
      <c r="I172" s="12">
        <f>I168</f>
        <v>0</v>
      </c>
      <c r="J172" s="12">
        <f>J168</f>
        <v>0</v>
      </c>
      <c r="K172" s="12">
        <f>K168</f>
        <v>0</v>
      </c>
      <c r="L172" s="12">
        <f>L168</f>
        <v>0</v>
      </c>
      <c r="M172" s="12">
        <f>M168</f>
        <v>0</v>
      </c>
      <c r="N172" s="12">
        <f>N168</f>
        <v>0</v>
      </c>
      <c r="O172" s="12">
        <f>O168</f>
        <v>0</v>
      </c>
      <c r="P172" s="12">
        <f>P168</f>
        <v>0</v>
      </c>
      <c r="Q172" s="12">
        <f>Q168</f>
        <v>0</v>
      </c>
      <c r="R172" s="12">
        <f>R168</f>
        <v>0</v>
      </c>
      <c r="S172" s="12">
        <f>S168</f>
        <v>0</v>
      </c>
      <c r="T172" s="12">
        <f>T168</f>
        <v>0</v>
      </c>
      <c r="U172" s="12">
        <f>U168</f>
        <v>0</v>
      </c>
      <c r="V172" s="12">
        <f>V168</f>
        <v>0</v>
      </c>
      <c r="W172" s="12">
        <f>W168</f>
        <v>0</v>
      </c>
      <c r="X172" s="12">
        <f>X168</f>
        <v>0</v>
      </c>
      <c r="Y172" s="12">
        <f>Y168</f>
        <v>0</v>
      </c>
      <c r="Z172" s="12">
        <f>Z168</f>
        <v>0</v>
      </c>
      <c r="AA172" s="12">
        <f>AA168</f>
        <v>0</v>
      </c>
      <c r="AB172" s="12">
        <f>AB168</f>
        <v>0</v>
      </c>
      <c r="AC172" s="12">
        <f>AC168</f>
        <v>0</v>
      </c>
      <c r="AD172" s="12">
        <f>AD168</f>
        <v>0</v>
      </c>
      <c r="AE172" s="12">
        <f>AE168</f>
        <v>0</v>
      </c>
      <c r="AF172" s="12">
        <f>AF168</f>
        <v>0</v>
      </c>
      <c r="AG172" s="12">
        <f>AG168</f>
        <v>0</v>
      </c>
      <c r="AH172" s="12">
        <f>AH168</f>
        <v>0</v>
      </c>
      <c r="AI172" s="12">
        <f>AI168</f>
        <v>0</v>
      </c>
      <c r="AJ172" s="12">
        <f>AJ168</f>
        <v>0</v>
      </c>
      <c r="AK172" s="12">
        <f>AK168</f>
        <v>0</v>
      </c>
      <c r="AL172" s="12" t="n"/>
      <c r="AM172" s="12">
        <f>AM168</f>
        <v>0</v>
      </c>
      <c r="AN172" s="12">
        <f>AN168</f>
        <v>0</v>
      </c>
      <c r="AO172" s="12">
        <f>AO168</f>
        <v>0</v>
      </c>
      <c r="AP172" s="12">
        <f>AP168</f>
        <v>0</v>
      </c>
      <c r="AQ172" s="12" t="n"/>
      <c r="AR172" s="12">
        <f>AR168</f>
        <v>0</v>
      </c>
      <c r="AS172" s="12">
        <f>AS168</f>
        <v>0</v>
      </c>
      <c r="AT172" s="12">
        <f>AT168</f>
        <v>0</v>
      </c>
      <c r="AU172" s="12">
        <f>AU168</f>
        <v>0</v>
      </c>
      <c r="AV172" s="12" t="n"/>
      <c r="AW172" s="12">
        <f>AW168</f>
        <v>0</v>
      </c>
      <c r="AX172" s="12">
        <f>AX168</f>
        <v>0</v>
      </c>
      <c r="AY172" s="12">
        <f>AY168</f>
        <v>0</v>
      </c>
      <c r="AZ172" s="12">
        <f>AZ168</f>
        <v>0</v>
      </c>
      <c r="BA172" s="12" t="n"/>
      <c r="BB172" s="12">
        <f>BB168</f>
        <v>0</v>
      </c>
      <c r="BC172" s="12">
        <f>BC168</f>
        <v>0</v>
      </c>
      <c r="BD172" s="12">
        <f>BD168</f>
        <v>0</v>
      </c>
      <c r="BE172" s="12">
        <f>BE168</f>
        <v>0</v>
      </c>
      <c r="BF172" s="12" t="n"/>
      <c r="BG172" s="12" t="n"/>
      <c r="BH172" s="12" t="n"/>
      <c r="BI172" s="12" t="n"/>
      <c r="BJ172" s="12" t="n"/>
      <c r="BK172" s="12" t="n"/>
      <c r="BL172" s="12" t="n"/>
      <c r="BM172" s="12" t="n"/>
      <c r="BN172" s="12" t="n"/>
      <c r="BO172" s="12" t="n"/>
      <c r="BP172" s="12" t="n"/>
      <c r="BQ172" s="12" t="n"/>
      <c r="BR172" s="12" t="n"/>
      <c r="BS172" s="12" t="n"/>
      <c r="BT172" s="12" t="n"/>
      <c r="BU172" s="12" t="n"/>
      <c r="BV172" s="12" t="n"/>
      <c r="BW172" s="12" t="n"/>
      <c r="BX172" s="12" t="n"/>
      <c r="BY172" s="12" t="n"/>
      <c r="BZ172" s="12" t="n"/>
      <c r="CA172" s="12" t="n"/>
      <c r="CB172" s="12" t="n"/>
      <c r="CC172" s="12" t="n"/>
      <c r="CD172" s="12" t="n"/>
      <c r="CE172" s="12" t="n"/>
      <c r="CF172" s="12" t="n"/>
      <c r="CG172" s="12" t="n"/>
      <c r="CH172" s="12" t="n"/>
      <c r="CI172" s="12" t="n"/>
      <c r="CJ172" s="12" t="n"/>
      <c r="CK172" s="12" t="n"/>
      <c r="CL172" s="12" t="n"/>
      <c r="CM172" s="12" t="n"/>
      <c r="CN172" s="12" t="n"/>
      <c r="CO172" s="12" t="n"/>
      <c r="CP172" s="12" t="n"/>
      <c r="CQ172" s="12" t="n"/>
      <c r="CR172" s="12" t="n"/>
      <c r="CS172" s="12" t="n"/>
      <c r="CT172" s="12" t="n"/>
      <c r="CU172" s="12" t="n"/>
      <c r="CV172" s="12" t="n"/>
      <c r="CW172" s="12" t="n"/>
      <c r="CX172" s="12" t="n"/>
      <c r="CY172" s="12" t="n"/>
    </row>
    <row r="173" hidden="1" outlineLevel="1">
      <c r="C173" s="57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2" t="n"/>
      <c r="AC173" s="12" t="n"/>
      <c r="AD173" s="12" t="n"/>
      <c r="AE173" s="12" t="n"/>
      <c r="AF173" s="12" t="n"/>
      <c r="AG173" s="12" t="n"/>
      <c r="AH173" s="12" t="n"/>
      <c r="AI173" s="12" t="n"/>
      <c r="AJ173" s="12" t="n"/>
      <c r="AK173" s="12" t="n"/>
      <c r="AL173" s="12" t="n"/>
      <c r="AM173" s="12" t="n"/>
      <c r="AN173" s="12" t="n"/>
      <c r="AO173" s="12" t="n"/>
      <c r="AP173" s="12" t="n"/>
      <c r="AQ173" s="12" t="n"/>
      <c r="AR173" s="12" t="n"/>
      <c r="AS173" s="12" t="n"/>
      <c r="AT173" s="12" t="n"/>
      <c r="AU173" s="12" t="n"/>
      <c r="AV173" s="12" t="n"/>
      <c r="AW173" s="12" t="n"/>
      <c r="AX173" s="12" t="n"/>
      <c r="AY173" s="12" t="n"/>
      <c r="AZ173" s="12" t="n"/>
      <c r="BA173" s="12" t="n"/>
      <c r="BB173" s="12" t="n"/>
      <c r="BC173" s="12" t="n"/>
      <c r="BD173" s="12" t="n"/>
      <c r="BE173" s="12" t="n"/>
      <c r="BF173" s="12" t="n"/>
      <c r="BG173" s="12" t="n"/>
      <c r="BH173" s="12" t="n"/>
      <c r="BI173" s="12" t="n"/>
      <c r="BJ173" s="12" t="n"/>
      <c r="BK173" s="12" t="n"/>
      <c r="BL173" s="12" t="n"/>
      <c r="BM173" s="12" t="n"/>
      <c r="BN173" s="12" t="n"/>
      <c r="BO173" s="12" t="n"/>
      <c r="BP173" s="12" t="n"/>
      <c r="BQ173" s="12" t="n"/>
      <c r="BR173" s="12" t="n"/>
      <c r="BS173" s="12" t="n"/>
      <c r="BT173" s="12" t="n"/>
      <c r="BU173" s="12" t="n"/>
      <c r="BV173" s="12" t="n"/>
      <c r="BW173" s="12" t="n"/>
      <c r="BX173" s="12" t="n"/>
      <c r="BY173" s="12" t="n"/>
      <c r="BZ173" s="12" t="n"/>
      <c r="CA173" s="12" t="n"/>
      <c r="CB173" s="12" t="n"/>
      <c r="CC173" s="12" t="n"/>
      <c r="CD173" s="12" t="n"/>
      <c r="CE173" s="12" t="n"/>
      <c r="CF173" s="12" t="n"/>
      <c r="CG173" s="12" t="n"/>
      <c r="CH173" s="12" t="n"/>
      <c r="CI173" s="12" t="n"/>
      <c r="CJ173" s="12" t="n"/>
      <c r="CK173" s="12" t="n"/>
      <c r="CL173" s="12" t="n"/>
      <c r="CM173" s="12" t="n"/>
      <c r="CN173" s="12" t="n"/>
      <c r="CO173" s="12" t="n"/>
      <c r="CP173" s="12" t="n"/>
      <c r="CQ173" s="12" t="n"/>
      <c r="CR173" s="12" t="n"/>
      <c r="CS173" s="12" t="n"/>
      <c r="CT173" s="12" t="n"/>
      <c r="CU173" s="12" t="n"/>
      <c r="CV173" s="12" t="n"/>
      <c r="CW173" s="12" t="n"/>
      <c r="CX173" s="12" t="n"/>
      <c r="CY173" s="12" t="n"/>
    </row>
    <row r="174" hidden="1" outlineLevel="1">
      <c r="C174" s="57" t="inlineStr">
        <is>
          <t>Definir % do D&amp;A No PPE and Intagibles</t>
        </is>
      </c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  <c r="AJ174" s="12" t="n"/>
      <c r="AK174" s="12" t="n"/>
      <c r="AL174" s="12" t="n"/>
      <c r="AM174" s="12" t="n"/>
      <c r="AN174" s="12" t="n"/>
      <c r="AO174" s="12" t="n"/>
      <c r="AP174" s="12" t="n"/>
      <c r="AQ174" s="12" t="n"/>
      <c r="AR174" s="12" t="n"/>
      <c r="AS174" s="12" t="n"/>
      <c r="AT174" s="12" t="n"/>
      <c r="AU174" s="12" t="n"/>
      <c r="AV174" s="12" t="n"/>
      <c r="AW174" s="12" t="n"/>
      <c r="AX174" s="12" t="n"/>
      <c r="AY174" s="12" t="n"/>
      <c r="AZ174" s="12" t="n"/>
      <c r="BA174" s="12" t="n"/>
      <c r="BB174" s="12" t="n"/>
      <c r="BC174" s="12" t="n"/>
      <c r="BD174" s="12" t="n"/>
      <c r="BE174" s="12" t="n"/>
      <c r="BF174" s="12" t="n"/>
      <c r="BG174" s="12" t="n"/>
      <c r="BH174" s="12" t="n"/>
      <c r="BI174" s="12" t="n"/>
      <c r="BJ174" s="12" t="n"/>
      <c r="BK174" s="12" t="n"/>
      <c r="BL174" s="12" t="n"/>
      <c r="BM174" s="12" t="n"/>
      <c r="BN174" s="12" t="n"/>
      <c r="BO174" s="12" t="n"/>
      <c r="BP174" s="12" t="n"/>
      <c r="BQ174" s="12" t="n"/>
      <c r="BR174" s="12" t="n"/>
      <c r="BS174" s="12" t="n"/>
      <c r="BT174" s="12" t="n"/>
      <c r="BU174" s="12" t="n"/>
      <c r="BV174" s="12" t="n"/>
      <c r="BW174" s="12" t="n"/>
      <c r="BX174" s="12" t="n"/>
      <c r="BY174" s="12" t="n"/>
      <c r="BZ174" s="12" t="n"/>
      <c r="CA174" s="12" t="n"/>
      <c r="CB174" s="12" t="n"/>
      <c r="CC174" s="12" t="n"/>
      <c r="CD174" s="12" t="n"/>
      <c r="CE174" s="12" t="n"/>
      <c r="CF174" s="12" t="n"/>
      <c r="CG174" s="12" t="n"/>
      <c r="CH174" s="12" t="n"/>
      <c r="CI174" s="12" t="n"/>
      <c r="CJ174" s="12" t="n"/>
      <c r="CK174" s="12" t="n"/>
      <c r="CL174" s="12" t="n"/>
      <c r="CM174" s="12" t="n"/>
      <c r="CN174" s="12" t="n"/>
      <c r="CO174" s="12" t="n"/>
      <c r="CP174" s="12" t="n"/>
      <c r="CQ174" s="12" t="n"/>
      <c r="CR174" s="12" t="n"/>
      <c r="CS174" s="12" t="n"/>
      <c r="CT174" s="12" t="n"/>
      <c r="CU174" s="12" t="n"/>
      <c r="CV174" s="12" t="n"/>
      <c r="CW174" s="12" t="n"/>
      <c r="CX174" s="12" t="n"/>
      <c r="CY174" s="12" t="n"/>
    </row>
    <row r="175" hidden="1" outlineLevel="1">
      <c r="C175" s="57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2" t="n"/>
      <c r="AC175" s="12" t="n"/>
      <c r="AD175" s="12" t="n"/>
      <c r="AE175" s="12" t="n"/>
      <c r="AF175" s="12" t="n"/>
      <c r="AG175" s="12" t="n"/>
      <c r="AH175" s="12" t="n"/>
      <c r="AI175" s="12" t="n"/>
      <c r="AJ175" s="12" t="n"/>
      <c r="AK175" s="12" t="n"/>
      <c r="AL175" s="12" t="n"/>
      <c r="AM175" s="12" t="n"/>
      <c r="AN175" s="12" t="n"/>
      <c r="AO175" s="12" t="n"/>
      <c r="AP175" s="12" t="n"/>
      <c r="AQ175" s="12" t="n"/>
      <c r="AR175" s="12" t="n"/>
      <c r="AS175" s="12" t="n"/>
      <c r="AT175" s="12" t="n"/>
      <c r="AU175" s="12" t="n"/>
      <c r="AV175" s="12" t="n"/>
      <c r="AW175" s="12" t="n"/>
      <c r="AX175" s="12" t="n"/>
      <c r="AY175" s="12" t="n"/>
      <c r="AZ175" s="12" t="n"/>
      <c r="BA175" s="12" t="n"/>
      <c r="BB175" s="12" t="n"/>
      <c r="BC175" s="12" t="n"/>
      <c r="BD175" s="12" t="n"/>
      <c r="BE175" s="12" t="n"/>
      <c r="BF175" s="12" t="n"/>
      <c r="BG175" s="12" t="n"/>
      <c r="BH175" s="12" t="n"/>
      <c r="BI175" s="12" t="n"/>
      <c r="BJ175" s="12" t="n"/>
      <c r="BK175" s="12" t="n"/>
      <c r="BL175" s="12" t="n"/>
      <c r="BM175" s="12" t="n"/>
      <c r="BN175" s="12" t="n"/>
      <c r="BO175" s="12" t="n"/>
      <c r="BP175" s="12" t="n"/>
      <c r="BQ175" s="12" t="n"/>
      <c r="BR175" s="12" t="n"/>
      <c r="BS175" s="12" t="n"/>
      <c r="BT175" s="12" t="n"/>
      <c r="BU175" s="12" t="n"/>
      <c r="BV175" s="12" t="n"/>
      <c r="BW175" s="12" t="n"/>
      <c r="BX175" s="12" t="n"/>
      <c r="BY175" s="12" t="n"/>
      <c r="BZ175" s="12" t="n"/>
      <c r="CA175" s="12" t="n"/>
      <c r="CB175" s="12" t="n"/>
      <c r="CC175" s="12" t="n"/>
      <c r="CD175" s="12" t="n"/>
      <c r="CE175" s="12" t="n"/>
      <c r="CF175" s="12" t="n"/>
      <c r="CG175" s="12" t="n"/>
      <c r="CH175" s="12" t="n"/>
      <c r="CI175" s="12" t="n"/>
      <c r="CJ175" s="12" t="n"/>
      <c r="CK175" s="12" t="n"/>
      <c r="CL175" s="12" t="n"/>
      <c r="CM175" s="12" t="n"/>
      <c r="CN175" s="12" t="n"/>
      <c r="CO175" s="12" t="n"/>
      <c r="CP175" s="12" t="n"/>
      <c r="CQ175" s="12" t="n"/>
      <c r="CR175" s="12" t="n"/>
      <c r="CS175" s="12" t="n"/>
      <c r="CT175" s="12" t="n"/>
      <c r="CU175" s="12" t="n"/>
      <c r="CV175" s="12" t="n"/>
      <c r="CW175" s="12" t="n"/>
      <c r="CX175" s="12" t="n"/>
      <c r="CY175" s="12" t="n"/>
    </row>
    <row r="176" hidden="1" outlineLevel="1">
      <c r="C176" s="57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  <c r="AA176" s="12" t="n"/>
      <c r="AB176" s="12" t="n"/>
      <c r="AC176" s="12" t="n"/>
      <c r="AD176" s="12" t="n"/>
      <c r="AE176" s="12" t="n"/>
      <c r="AF176" s="12" t="n"/>
      <c r="AG176" s="12" t="n"/>
      <c r="AH176" s="12" t="n"/>
      <c r="AI176" s="12" t="n"/>
      <c r="AJ176" s="12" t="n"/>
      <c r="AK176" s="12" t="n"/>
      <c r="AL176" s="12" t="n"/>
      <c r="AM176" s="12" t="n"/>
      <c r="AN176" s="12" t="n"/>
      <c r="AO176" s="12" t="n"/>
      <c r="AP176" s="12" t="n"/>
      <c r="AQ176" s="12" t="n"/>
      <c r="AR176" s="12" t="n"/>
      <c r="AS176" s="12" t="n"/>
      <c r="AT176" s="12" t="n"/>
      <c r="AU176" s="12" t="n"/>
      <c r="AV176" s="12" t="n"/>
      <c r="AW176" s="12" t="n"/>
      <c r="AX176" s="12" t="n"/>
      <c r="AY176" s="12" t="n"/>
      <c r="AZ176" s="12" t="n"/>
      <c r="BA176" s="12" t="n"/>
      <c r="BB176" s="12" t="n"/>
      <c r="BC176" s="12" t="n"/>
      <c r="BD176" s="12" t="n"/>
      <c r="BE176" s="12" t="n"/>
      <c r="BF176" s="12" t="n"/>
      <c r="BG176" s="12" t="n"/>
      <c r="BH176" s="12" t="n"/>
      <c r="BI176" s="12" t="n"/>
      <c r="BJ176" s="12" t="n"/>
      <c r="BK176" s="12" t="n"/>
      <c r="BL176" s="12" t="n"/>
      <c r="BM176" s="12" t="n"/>
      <c r="BN176" s="12" t="n"/>
      <c r="BO176" s="12" t="n"/>
      <c r="BP176" s="12" t="n"/>
      <c r="BQ176" s="12" t="n"/>
      <c r="BR176" s="12" t="n"/>
      <c r="BS176" s="12" t="n"/>
      <c r="BT176" s="12" t="n"/>
      <c r="BU176" s="12" t="n"/>
      <c r="BV176" s="12" t="n"/>
      <c r="BW176" s="12" t="n"/>
      <c r="BX176" s="12" t="n"/>
      <c r="BY176" s="12" t="n"/>
      <c r="BZ176" s="12" t="n"/>
      <c r="CA176" s="12" t="n"/>
      <c r="CB176" s="12" t="n"/>
      <c r="CC176" s="12" t="n"/>
      <c r="CD176" s="12" t="n"/>
      <c r="CE176" s="12" t="n"/>
      <c r="CF176" s="12" t="n"/>
      <c r="CG176" s="12" t="n"/>
      <c r="CH176" s="12" t="n"/>
      <c r="CI176" s="12" t="n"/>
      <c r="CJ176" s="12" t="n"/>
      <c r="CK176" s="12" t="n"/>
      <c r="CL176" s="12" t="n"/>
      <c r="CM176" s="12" t="n"/>
      <c r="CN176" s="12" t="n"/>
      <c r="CO176" s="12" t="n"/>
      <c r="CP176" s="12" t="n"/>
      <c r="CQ176" s="12" t="n"/>
      <c r="CR176" s="12" t="n"/>
      <c r="CS176" s="12" t="n"/>
      <c r="CT176" s="12" t="n"/>
      <c r="CU176" s="12" t="n"/>
      <c r="CV176" s="12" t="n"/>
      <c r="CW176" s="12" t="n"/>
      <c r="CX176" s="12" t="n"/>
      <c r="CY176" s="12" t="n"/>
    </row>
    <row r="177" collapsed="1">
      <c r="C177" s="14" t="inlineStr">
        <is>
          <t>Other non-current assets</t>
        </is>
      </c>
      <c r="D177" s="46" t="n"/>
      <c r="E177" s="46" t="n"/>
      <c r="F177" s="46" t="n"/>
      <c r="G177" s="46" t="n"/>
      <c r="H177" s="12" t="n"/>
      <c r="I177" s="46">
        <f>'Inputs (2)'!D26</f>
        <v>0</v>
      </c>
      <c r="J177" s="46">
        <f>'Inputs (2)'!E26</f>
        <v>0</v>
      </c>
      <c r="K177" s="46">
        <f>'Inputs (2)'!F26</f>
        <v>0</v>
      </c>
      <c r="L177" s="46">
        <f>'Inputs (2)'!G26</f>
        <v>20461</v>
      </c>
      <c r="M177" s="12">
        <f>'Inputs (2)'!H26</f>
        <v>20461</v>
      </c>
      <c r="N177" s="46">
        <f>'Inputs (2)'!I26</f>
        <v>18206</v>
      </c>
      <c r="O177" s="46">
        <f>'Inputs (2)'!J26</f>
        <v>17470</v>
      </c>
      <c r="P177" s="46">
        <f>'Inputs (2)'!K26</f>
        <v>17035</v>
      </c>
      <c r="Q177" s="46">
        <f>'Inputs (2)'!L26</f>
        <v>17683</v>
      </c>
      <c r="R177" s="12">
        <f>'Inputs (2)'!M26</f>
        <v>17683</v>
      </c>
      <c r="S177" s="46">
        <f>'Inputs (2)'!N26</f>
        <v>17931</v>
      </c>
      <c r="T177" s="46">
        <f>'Inputs (2)'!O26</f>
        <v>18702</v>
      </c>
      <c r="U177" s="46">
        <f>'Inputs (2)'!P26</f>
        <v>18171</v>
      </c>
      <c r="V177" s="46">
        <f>'Inputs (2)'!Q26</f>
        <v>19866</v>
      </c>
      <c r="W177" s="12">
        <f>'Inputs (2)'!R26</f>
        <v>19866</v>
      </c>
      <c r="X177" s="46">
        <f>'Inputs (2)'!S26</f>
        <v>20645</v>
      </c>
      <c r="Y177" s="46">
        <f>'Inputs (2)'!T26</f>
        <v>21070</v>
      </c>
      <c r="Z177" s="46">
        <f>'Inputs (2)'!U26</f>
        <v>21217</v>
      </c>
      <c r="AA177" s="46">
        <f>'Inputs (2)'!V26</f>
        <v>20495</v>
      </c>
      <c r="AB177" s="12">
        <f>'Inputs (2)'!W26</f>
        <v>20495</v>
      </c>
      <c r="AC177" s="46">
        <f>'Inputs (2)'!X26</f>
        <v>20635</v>
      </c>
      <c r="AD177" s="46">
        <f>'Inputs (2)'!Y26</f>
        <v>21565</v>
      </c>
      <c r="AE177" s="46">
        <f>'Inputs (2)'!Z26</f>
        <v>22102</v>
      </c>
      <c r="AF177" s="46">
        <f>'Inputs (2)'!AA26</f>
        <v>22236</v>
      </c>
      <c r="AG177" s="12">
        <f>'Inputs (2)'!AB26</f>
        <v>22236</v>
      </c>
      <c r="AH177" s="12">
        <f>'Inputs (2)'!AC26</f>
        <v>26606</v>
      </c>
      <c r="AI177" s="12">
        <f>'Inputs (2)'!AD26</f>
        <v>26533</v>
      </c>
      <c r="AJ177" s="12">
        <f>AI177</f>
        <v>26533</v>
      </c>
      <c r="AK177" s="12">
        <f>AJ177</f>
        <v>26533</v>
      </c>
      <c r="AL177" s="12">
        <f>AK177</f>
        <v>26533</v>
      </c>
      <c r="AM177" s="12">
        <f>AL177</f>
        <v>26533</v>
      </c>
      <c r="AN177" s="12">
        <f>AM177</f>
        <v>26533</v>
      </c>
      <c r="AO177" s="12">
        <f>AN177</f>
        <v>26533</v>
      </c>
      <c r="AP177" s="12">
        <f>AO177</f>
        <v>26533</v>
      </c>
      <c r="AQ177" s="12">
        <f>AP177</f>
        <v>26533</v>
      </c>
      <c r="AR177" s="12">
        <f>AQ177</f>
        <v>26533</v>
      </c>
      <c r="AS177" s="12">
        <f>AR177</f>
        <v>26533</v>
      </c>
      <c r="AT177" s="12">
        <f>AS177</f>
        <v>26533</v>
      </c>
      <c r="AU177" s="12">
        <f>AT177</f>
        <v>26533</v>
      </c>
      <c r="AV177" s="12">
        <f>AU177</f>
        <v>26533</v>
      </c>
      <c r="AW177" s="12">
        <f>AV177</f>
        <v>26533</v>
      </c>
      <c r="AX177" s="12">
        <f>AW177</f>
        <v>26533</v>
      </c>
      <c r="AY177" s="12">
        <f>AX177</f>
        <v>26533</v>
      </c>
      <c r="AZ177" s="12">
        <f>AY177</f>
        <v>26533</v>
      </c>
      <c r="BA177" s="12">
        <f>AZ177</f>
        <v>26533</v>
      </c>
      <c r="BB177" s="12">
        <f>BA177</f>
        <v>26533</v>
      </c>
      <c r="BC177" s="12">
        <f>BB177</f>
        <v>26533</v>
      </c>
      <c r="BD177" s="12">
        <f>BC177</f>
        <v>26533</v>
      </c>
      <c r="BE177" s="12">
        <f>BD177</f>
        <v>26533</v>
      </c>
      <c r="BF177" s="12">
        <f>BE177</f>
        <v>26533</v>
      </c>
      <c r="BG177" s="12" t="n"/>
      <c r="BH177" s="12" t="n"/>
      <c r="BI177" s="12" t="n"/>
      <c r="BJ177" s="12" t="n"/>
      <c r="BK177" s="12" t="n"/>
      <c r="BL177" s="12" t="n"/>
      <c r="BM177" s="12" t="n"/>
      <c r="BN177" s="12" t="n"/>
      <c r="BO177" s="12" t="n"/>
      <c r="BP177" s="12" t="n"/>
      <c r="BQ177" s="12" t="n"/>
      <c r="BR177" s="12" t="n"/>
      <c r="BS177" s="12" t="n"/>
      <c r="BT177" s="12" t="n"/>
      <c r="BU177" s="12" t="n"/>
      <c r="BV177" s="12" t="n"/>
      <c r="BW177" s="12" t="n"/>
      <c r="BX177" s="12" t="n"/>
      <c r="BY177" s="12" t="n"/>
      <c r="BZ177" s="12" t="n"/>
      <c r="CA177" s="12" t="n"/>
      <c r="CB177" s="12" t="n"/>
      <c r="CC177" s="12" t="n"/>
      <c r="CD177" s="12" t="n"/>
      <c r="CE177" s="12" t="n"/>
      <c r="CF177" s="12" t="n"/>
      <c r="CG177" s="12" t="n"/>
      <c r="CH177" s="12" t="n"/>
      <c r="CI177" s="12" t="n"/>
      <c r="CJ177" s="12" t="n"/>
      <c r="CK177" s="12" t="n"/>
      <c r="CL177" s="12" t="n"/>
      <c r="CM177" s="12" t="n"/>
      <c r="CN177" s="12" t="n"/>
      <c r="CO177" s="12" t="n"/>
      <c r="CP177" s="12" t="n"/>
      <c r="CQ177" s="12" t="n"/>
      <c r="CR177" s="12" t="n"/>
      <c r="CS177" s="12" t="n"/>
      <c r="CT177" s="12" t="n"/>
      <c r="CU177" s="12" t="n"/>
      <c r="CV177" s="12" t="n"/>
      <c r="CW177" s="12" t="n"/>
      <c r="CX177" s="12" t="n"/>
      <c r="CY177" s="12" t="n"/>
    </row>
    <row r="178" hidden="1" outlineLevel="1">
      <c r="C178" s="59" t="inlineStr">
        <is>
          <t>%(Var.)</t>
        </is>
      </c>
      <c r="D178" s="12" t="n"/>
      <c r="E178" s="40" t="n"/>
      <c r="F178" s="40" t="n"/>
      <c r="G178" s="40" t="n"/>
      <c r="H178" s="12" t="n"/>
      <c r="I178" s="40" t="str">
        <f>""</f>
        <v/>
      </c>
      <c r="J178" s="40" t="str">
        <f>IF(I177=0,"",J177/I177-1)</f>
        <v/>
      </c>
      <c r="K178" s="40" t="str">
        <f>IF(J177=0,"",K177/J177-1)</f>
        <v/>
      </c>
      <c r="L178" s="40" t="str">
        <f>IF(K177=0,"",L177/K177-1)</f>
        <v/>
      </c>
      <c r="M178" s="12">
        <f>IF(L177=0,"",M177/L177-1)</f>
        <v>0</v>
      </c>
      <c r="N178" s="40">
        <f>IF(M177=0,"",N177/M177-1)</f>
        <v>-0.110209667171692</v>
      </c>
      <c r="O178" s="40">
        <f>IF(N177=0,"",O177/N177-1)</f>
        <v>-0.0404262331099637</v>
      </c>
      <c r="P178" s="40">
        <f>IF(O177=0,"",P177/O177-1)</f>
        <v>-0.0248998282770464</v>
      </c>
      <c r="Q178" s="40">
        <f>IF(P177=0,"",Q177/P177-1)</f>
        <v>0.038039330789551</v>
      </c>
      <c r="R178" s="12">
        <f>IF(Q177=0,"",R177/Q177-1)</f>
        <v>0</v>
      </c>
      <c r="S178" s="40">
        <f>IF(R177=0,"",S177/R177-1)</f>
        <v>0.0140247695526776</v>
      </c>
      <c r="T178" s="40">
        <f>IF(S177=0,"",T177/S177-1)</f>
        <v>0.0429981596118454</v>
      </c>
      <c r="U178" s="40">
        <f>IF(T177=0,"",U177/T177-1)</f>
        <v>-0.0283926852743022</v>
      </c>
      <c r="V178" s="40">
        <f>IF(U177=0,"",V177/U177-1)</f>
        <v>0.0932805018986296</v>
      </c>
      <c r="W178" s="12">
        <f>IF(V177=0,"",W177/V177-1)</f>
        <v>0</v>
      </c>
      <c r="X178" s="40">
        <f>IF(W177=0,"",X177/W177-1)</f>
        <v>0.0392127252592369</v>
      </c>
      <c r="Y178" s="40">
        <f>IF(X177=0,"",Y177/X177-1)</f>
        <v>0.0205860983288932</v>
      </c>
      <c r="Z178" s="40">
        <f>IF(Y177=0,"",Z177/Y177-1)</f>
        <v>0.00697674418604644</v>
      </c>
      <c r="AA178" s="40">
        <f>IF(Z177=0,"",AA177/Z177-1)</f>
        <v>-0.0340293161144365</v>
      </c>
      <c r="AB178" s="12">
        <f>IF(AA177=0,"",AB177/AA177-1)</f>
        <v>0</v>
      </c>
      <c r="AC178" s="40">
        <f>IF(AB177=0,"",AC177/AB177-1)</f>
        <v>0.00683093437423765</v>
      </c>
      <c r="AD178" s="40">
        <f>IF(AC177=0,"",AD177/AC177-1)</f>
        <v>0.0450690574267023</v>
      </c>
      <c r="AE178" s="40">
        <f>IF(AD177=0,"",AE177/AD177-1)</f>
        <v>0.0249014607002087</v>
      </c>
      <c r="AF178" s="55">
        <f>IF(AE177=0,"",AF177/AE177-1)</f>
        <v>0.00606279974662916</v>
      </c>
      <c r="AG178" s="12">
        <f>IF(AF177=0,"",AG177/AF177-1)</f>
        <v>0</v>
      </c>
      <c r="AH178" s="55">
        <f>IF(AG177=0,"",AH177/AG177-1)</f>
        <v>0.196528152545422</v>
      </c>
      <c r="AI178" s="55">
        <f>IF(AH177=0,"",AI177/AH177-1)</f>
        <v>-0.00274374201307981</v>
      </c>
      <c r="AJ178" s="55">
        <f>IF(AI177=0,"",AJ177/AI177-1)</f>
        <v>0</v>
      </c>
      <c r="AK178" s="55">
        <f>IF(AJ177=0,"",AK177/AJ177-1)</f>
        <v>0</v>
      </c>
      <c r="AL178" s="12">
        <f>IF(AK177=0,"",AL177/AK177-1)</f>
        <v>0</v>
      </c>
      <c r="AM178" s="55">
        <f>IF(AL177=0,"",AM177/AL177-1)</f>
        <v>0</v>
      </c>
      <c r="AN178" s="55">
        <f>IF(AM177=0,"",AN177/AM177-1)</f>
        <v>0</v>
      </c>
      <c r="AO178" s="55">
        <f>IF(AN177=0,"",AO177/AN177-1)</f>
        <v>0</v>
      </c>
      <c r="AP178" s="55">
        <f>IF(AO177=0,"",AP177/AO177-1)</f>
        <v>0</v>
      </c>
      <c r="AQ178" s="12">
        <f>IF(AP177=0,"",AQ177/AP177-1)</f>
        <v>0</v>
      </c>
      <c r="AR178" s="55">
        <f>IF(AQ177=0,"",AR177/AQ177-1)</f>
        <v>0</v>
      </c>
      <c r="AS178" s="55">
        <f>IF(AR177=0,"",AS177/AR177-1)</f>
        <v>0</v>
      </c>
      <c r="AT178" s="55">
        <f>IF(AS177=0,"",AT177/AS177-1)</f>
        <v>0</v>
      </c>
      <c r="AU178" s="55">
        <f>IF(AT177=0,"",AU177/AT177-1)</f>
        <v>0</v>
      </c>
      <c r="AV178" s="12">
        <f>IF(AU177=0,"",AV177/AU177-1)</f>
        <v>0</v>
      </c>
      <c r="AW178" s="55">
        <f>IF(AV177=0,"",AW177/AV177-1)</f>
        <v>0</v>
      </c>
      <c r="AX178" s="55">
        <f>IF(AW177=0,"",AX177/AW177-1)</f>
        <v>0</v>
      </c>
      <c r="AY178" s="55">
        <f>IF(AX177=0,"",AY177/AX177-1)</f>
        <v>0</v>
      </c>
      <c r="AZ178" s="55">
        <f>IF(AY177=0,"",AZ177/AY177-1)</f>
        <v>0</v>
      </c>
      <c r="BA178" s="12">
        <f>IF(AZ177=0,"",BA177/AZ177-1)</f>
        <v>0</v>
      </c>
      <c r="BB178" s="55">
        <f>IF(BA177=0,"",BB177/BA177-1)</f>
        <v>0</v>
      </c>
      <c r="BC178" s="55">
        <f>IF(BB177=0,"",BC177/BB177-1)</f>
        <v>0</v>
      </c>
      <c r="BD178" s="55">
        <f>IF(BC177=0,"",BD177/BC177-1)</f>
        <v>0</v>
      </c>
      <c r="BE178" s="55">
        <f>IF(BD177=0,"",BE177/BD177-1)</f>
        <v>0</v>
      </c>
      <c r="BF178" s="12">
        <f>IF(BE177=0,"",BF177/BE177-1)</f>
        <v>0</v>
      </c>
      <c r="BG178" s="55" t="n"/>
      <c r="BH178" s="55" t="n"/>
      <c r="BI178" s="55" t="n"/>
      <c r="BJ178" s="55" t="n"/>
      <c r="BK178" s="12" t="n"/>
      <c r="BL178" s="55" t="n"/>
      <c r="BM178" s="55" t="n"/>
      <c r="BN178" s="55" t="n"/>
      <c r="BO178" s="55" t="n"/>
      <c r="BP178" s="12" t="n"/>
      <c r="BQ178" s="55" t="n"/>
      <c r="BR178" s="55" t="n"/>
      <c r="BS178" s="55" t="n"/>
      <c r="BT178" s="55" t="n"/>
      <c r="BU178" s="12" t="n"/>
      <c r="BV178" s="55" t="n"/>
      <c r="BW178" s="55" t="n"/>
      <c r="BX178" s="55" t="n"/>
      <c r="BY178" s="55" t="n"/>
      <c r="BZ178" s="12" t="n"/>
      <c r="CA178" s="55" t="n"/>
      <c r="CB178" s="55" t="n"/>
      <c r="CC178" s="55" t="n"/>
      <c r="CD178" s="55" t="n"/>
      <c r="CE178" s="12" t="n"/>
      <c r="CF178" s="55" t="n"/>
      <c r="CG178" s="55" t="n"/>
      <c r="CH178" s="55" t="n"/>
      <c r="CI178" s="55" t="n"/>
      <c r="CJ178" s="12" t="n"/>
      <c r="CK178" s="55" t="n"/>
      <c r="CL178" s="55" t="n"/>
      <c r="CM178" s="55" t="n"/>
      <c r="CN178" s="55" t="n"/>
      <c r="CO178" s="12" t="n"/>
      <c r="CP178" s="55" t="n"/>
      <c r="CQ178" s="55" t="n"/>
      <c r="CR178" s="55" t="n"/>
      <c r="CS178" s="55" t="n"/>
      <c r="CT178" s="12" t="n"/>
      <c r="CU178" s="55" t="n"/>
      <c r="CV178" s="55" t="n"/>
      <c r="CW178" s="55" t="n"/>
      <c r="CX178" s="55" t="n"/>
      <c r="CY178" s="12" t="n"/>
    </row>
    <row r="179" hidden="1" outlineLevel="1">
      <c r="C179" s="57" t="n"/>
      <c r="D179" s="12" t="n"/>
      <c r="E179" s="40" t="n"/>
      <c r="F179" s="40" t="n"/>
      <c r="G179" s="40" t="n"/>
      <c r="H179" s="12" t="n"/>
      <c r="I179" s="40" t="n"/>
      <c r="J179" s="40" t="n"/>
      <c r="K179" s="40" t="n"/>
      <c r="L179" s="40" t="n"/>
      <c r="M179" s="12" t="n"/>
      <c r="N179" s="40" t="n"/>
      <c r="O179" s="40" t="n"/>
      <c r="P179" s="40" t="n"/>
      <c r="Q179" s="40" t="n"/>
      <c r="R179" s="12" t="n"/>
      <c r="S179" s="40" t="n"/>
      <c r="T179" s="40" t="n"/>
      <c r="U179" s="40" t="n"/>
      <c r="V179" s="40" t="n"/>
      <c r="W179" s="12" t="n"/>
      <c r="X179" s="40" t="n"/>
      <c r="Y179" s="40" t="n"/>
      <c r="Z179" s="40" t="n"/>
      <c r="AA179" s="40" t="n"/>
      <c r="AB179" s="12" t="n"/>
      <c r="AC179" s="40" t="n"/>
      <c r="AD179" s="40" t="n"/>
      <c r="AE179" s="40" t="n"/>
      <c r="AF179" s="55" t="n"/>
      <c r="AG179" s="12" t="n"/>
      <c r="AH179" s="55" t="n"/>
      <c r="AI179" s="55" t="n"/>
      <c r="AJ179" s="55" t="n"/>
      <c r="AK179" s="55" t="n"/>
      <c r="AL179" s="12" t="n"/>
      <c r="AM179" s="55" t="n"/>
      <c r="AN179" s="55" t="n"/>
      <c r="AO179" s="55" t="n"/>
      <c r="AP179" s="55" t="n"/>
      <c r="AQ179" s="12" t="n"/>
      <c r="AR179" s="55" t="n"/>
      <c r="AS179" s="55" t="n"/>
      <c r="AT179" s="55" t="n"/>
      <c r="AU179" s="55" t="n"/>
      <c r="AV179" s="12" t="n"/>
      <c r="AW179" s="55" t="n"/>
      <c r="AX179" s="55" t="n"/>
      <c r="AY179" s="55" t="n"/>
      <c r="AZ179" s="55" t="n"/>
      <c r="BA179" s="12" t="n"/>
      <c r="BB179" s="55" t="n"/>
      <c r="BC179" s="55" t="n"/>
      <c r="BD179" s="55" t="n"/>
      <c r="BE179" s="55" t="n"/>
      <c r="BF179" s="12" t="n"/>
      <c r="BG179" s="55" t="n"/>
      <c r="BH179" s="55" t="n"/>
      <c r="BI179" s="55" t="n"/>
      <c r="BJ179" s="55" t="n"/>
      <c r="BK179" s="12" t="n"/>
      <c r="BL179" s="55" t="n"/>
      <c r="BM179" s="55" t="n"/>
      <c r="BN179" s="55" t="n"/>
      <c r="BO179" s="55" t="n"/>
      <c r="BP179" s="12" t="n"/>
      <c r="BQ179" s="55" t="n"/>
      <c r="BR179" s="55" t="n"/>
      <c r="BS179" s="55" t="n"/>
      <c r="BT179" s="55" t="n"/>
      <c r="BU179" s="12" t="n"/>
      <c r="BV179" s="55" t="n"/>
      <c r="BW179" s="55" t="n"/>
      <c r="BX179" s="55" t="n"/>
      <c r="BY179" s="55" t="n"/>
      <c r="BZ179" s="12" t="n"/>
      <c r="CA179" s="55" t="n"/>
      <c r="CB179" s="55" t="n"/>
      <c r="CC179" s="55" t="n"/>
      <c r="CD179" s="55" t="n"/>
      <c r="CE179" s="12" t="n"/>
      <c r="CF179" s="55" t="n"/>
      <c r="CG179" s="55" t="n"/>
      <c r="CH179" s="55" t="n"/>
      <c r="CI179" s="55" t="n"/>
      <c r="CJ179" s="12" t="n"/>
      <c r="CK179" s="55" t="n"/>
      <c r="CL179" s="55" t="n"/>
      <c r="CM179" s="55" t="n"/>
      <c r="CN179" s="55" t="n"/>
      <c r="CO179" s="12" t="n"/>
      <c r="CP179" s="55" t="n"/>
      <c r="CQ179" s="55" t="n"/>
      <c r="CR179" s="55" t="n"/>
      <c r="CS179" s="55" t="n"/>
      <c r="CT179" s="12" t="n"/>
      <c r="CU179" s="55" t="n"/>
      <c r="CV179" s="55" t="n"/>
      <c r="CW179" s="55" t="n"/>
      <c r="CX179" s="55" t="n"/>
      <c r="CY179" s="12" t="n"/>
    </row>
    <row r="180" hidden="1" outlineLevel="1">
      <c r="C180" s="60" t="inlineStr">
        <is>
          <t>Outros Créditos - LP</t>
        </is>
      </c>
      <c r="D180" s="11" t="n"/>
      <c r="E180" s="11" t="n"/>
      <c r="F180" s="11" t="n"/>
      <c r="G180" s="11" t="n"/>
      <c r="H180" s="12" t="n"/>
      <c r="I180" s="11" t="n"/>
      <c r="J180" s="11" t="n"/>
      <c r="K180" s="11" t="n"/>
      <c r="L180" s="11" t="n"/>
      <c r="M180" s="12" t="n"/>
      <c r="N180" s="11" t="n"/>
      <c r="O180" s="11" t="n"/>
      <c r="P180" s="11" t="n"/>
      <c r="Q180" s="11" t="n"/>
      <c r="R180" s="12" t="n"/>
      <c r="S180" s="11" t="n"/>
      <c r="T180" s="11" t="n"/>
      <c r="U180" s="11" t="n"/>
      <c r="V180" s="11" t="n"/>
      <c r="W180" s="12" t="n"/>
      <c r="X180" s="11" t="n"/>
      <c r="Y180" s="11" t="n"/>
      <c r="Z180" s="11" t="n"/>
      <c r="AA180" s="11" t="n"/>
      <c r="AB180" s="12" t="n"/>
      <c r="AC180" s="11" t="n"/>
      <c r="AD180" s="11" t="n"/>
      <c r="AE180" s="11" t="n"/>
      <c r="AF180" s="11" t="n"/>
      <c r="AG180" s="12" t="n"/>
      <c r="AH180" s="12" t="n"/>
      <c r="AI180" s="12" t="n"/>
      <c r="AJ180" s="12" t="n"/>
      <c r="AK180" s="12" t="n"/>
      <c r="AL180" s="12" t="n"/>
      <c r="AM180" s="12" t="n"/>
      <c r="AN180" s="12" t="n"/>
      <c r="AO180" s="12" t="n"/>
      <c r="AP180" s="12" t="n"/>
      <c r="AQ180" s="12" t="n"/>
      <c r="AR180" s="12" t="n"/>
      <c r="AS180" s="12" t="n"/>
      <c r="AT180" s="12" t="n"/>
      <c r="AU180" s="12" t="n"/>
      <c r="AV180" s="12" t="n"/>
      <c r="AW180" s="12" t="n"/>
      <c r="AX180" s="12" t="n"/>
      <c r="AY180" s="12" t="n"/>
      <c r="AZ180" s="12" t="n"/>
      <c r="BA180" s="12" t="n"/>
      <c r="BB180" s="12" t="n"/>
      <c r="BC180" s="12" t="n"/>
      <c r="BD180" s="12" t="n"/>
      <c r="BE180" s="12" t="n"/>
      <c r="BF180" s="12" t="n"/>
      <c r="BG180" s="12" t="n"/>
      <c r="BH180" s="12" t="n"/>
      <c r="BI180" s="12" t="n"/>
      <c r="BJ180" s="12" t="n"/>
      <c r="BK180" s="12" t="n"/>
      <c r="BL180" s="12" t="n"/>
      <c r="BM180" s="12" t="n"/>
      <c r="BN180" s="12" t="n"/>
      <c r="BO180" s="12" t="n"/>
      <c r="BP180" s="12" t="n"/>
      <c r="BQ180" s="12" t="n"/>
      <c r="BR180" s="12" t="n"/>
      <c r="BS180" s="12" t="n"/>
      <c r="BT180" s="12" t="n"/>
      <c r="BU180" s="12" t="n"/>
      <c r="BV180" s="12" t="n"/>
      <c r="BW180" s="12" t="n"/>
      <c r="BX180" s="12" t="n"/>
      <c r="BY180" s="12" t="n"/>
      <c r="BZ180" s="12" t="n"/>
      <c r="CA180" s="12" t="n"/>
      <c r="CB180" s="12" t="n"/>
      <c r="CC180" s="12" t="n"/>
      <c r="CD180" s="12" t="n"/>
      <c r="CE180" s="12" t="n"/>
      <c r="CF180" s="12" t="n"/>
      <c r="CG180" s="12" t="n"/>
      <c r="CH180" s="12" t="n"/>
      <c r="CI180" s="12" t="n"/>
      <c r="CJ180" s="12" t="n"/>
      <c r="CK180" s="12" t="n"/>
      <c r="CL180" s="12" t="n"/>
      <c r="CM180" s="12" t="n"/>
      <c r="CN180" s="12" t="n"/>
      <c r="CO180" s="12" t="n"/>
      <c r="CP180" s="12" t="n"/>
      <c r="CQ180" s="12" t="n"/>
      <c r="CR180" s="12" t="n"/>
      <c r="CS180" s="12" t="n"/>
      <c r="CT180" s="12" t="n"/>
      <c r="CU180" s="12" t="n"/>
      <c r="CV180" s="12" t="n"/>
      <c r="CW180" s="12" t="n"/>
      <c r="CX180" s="12" t="n"/>
      <c r="CY180" s="12" t="n"/>
    </row>
    <row r="181" hidden="1" outlineLevel="1">
      <c r="C181" s="60" t="inlineStr">
        <is>
          <t xml:space="preserve">Impostos e Contribuições a Recuperar </t>
        </is>
      </c>
      <c r="D181" s="11" t="n"/>
      <c r="E181" s="11" t="n"/>
      <c r="F181" s="11" t="n"/>
      <c r="G181" s="11" t="n"/>
      <c r="H181" s="12" t="n"/>
      <c r="I181" s="11" t="n"/>
      <c r="J181" s="11" t="n"/>
      <c r="K181" s="11" t="n"/>
      <c r="L181" s="11" t="n"/>
      <c r="M181" s="12" t="n"/>
      <c r="N181" s="11" t="n"/>
      <c r="O181" s="11" t="n"/>
      <c r="P181" s="11" t="n"/>
      <c r="Q181" s="11" t="n"/>
      <c r="R181" s="12" t="n"/>
      <c r="S181" s="11" t="n"/>
      <c r="T181" s="11" t="n"/>
      <c r="U181" s="11" t="n"/>
      <c r="V181" s="11" t="n"/>
      <c r="W181" s="12" t="n"/>
      <c r="X181" s="11" t="n"/>
      <c r="Y181" s="11" t="n"/>
      <c r="Z181" s="11" t="n"/>
      <c r="AA181" s="11" t="n"/>
      <c r="AB181" s="12" t="n"/>
      <c r="AC181" s="11" t="n"/>
      <c r="AD181" s="11" t="n"/>
      <c r="AE181" s="11" t="n"/>
      <c r="AF181" s="11" t="n"/>
      <c r="AG181" s="12" t="n"/>
      <c r="AH181" s="12" t="n"/>
      <c r="AI181" s="12" t="n"/>
      <c r="AJ181" s="12" t="n"/>
      <c r="AK181" s="12" t="n"/>
      <c r="AL181" s="12" t="n"/>
      <c r="AM181" s="12" t="n"/>
      <c r="AN181" s="12" t="n"/>
      <c r="AO181" s="12" t="n"/>
      <c r="AP181" s="12" t="n"/>
      <c r="AQ181" s="12" t="n"/>
      <c r="AR181" s="12" t="n"/>
      <c r="AS181" s="12" t="n"/>
      <c r="AT181" s="12" t="n"/>
      <c r="AU181" s="12" t="n"/>
      <c r="AV181" s="12" t="n"/>
      <c r="AW181" s="12" t="n"/>
      <c r="AX181" s="12" t="n"/>
      <c r="AY181" s="12" t="n"/>
      <c r="AZ181" s="12" t="n"/>
      <c r="BA181" s="12" t="n"/>
      <c r="BB181" s="12" t="n"/>
      <c r="BC181" s="12" t="n"/>
      <c r="BD181" s="12" t="n"/>
      <c r="BE181" s="12" t="n"/>
      <c r="BF181" s="12" t="n"/>
      <c r="BG181" s="12" t="n"/>
      <c r="BH181" s="12" t="n"/>
      <c r="BI181" s="12" t="n"/>
      <c r="BJ181" s="12" t="n"/>
      <c r="BK181" s="12" t="n"/>
      <c r="BL181" s="12" t="n"/>
      <c r="BM181" s="12" t="n"/>
      <c r="BN181" s="12" t="n"/>
      <c r="BO181" s="12" t="n"/>
      <c r="BP181" s="12" t="n"/>
      <c r="BQ181" s="12" t="n"/>
      <c r="BR181" s="12" t="n"/>
      <c r="BS181" s="12" t="n"/>
      <c r="BT181" s="12" t="n"/>
      <c r="BU181" s="12" t="n"/>
      <c r="BV181" s="12" t="n"/>
      <c r="BW181" s="12" t="n"/>
      <c r="BX181" s="12" t="n"/>
      <c r="BY181" s="12" t="n"/>
      <c r="BZ181" s="12" t="n"/>
      <c r="CA181" s="12" t="n"/>
      <c r="CB181" s="12" t="n"/>
      <c r="CC181" s="12" t="n"/>
      <c r="CD181" s="12" t="n"/>
      <c r="CE181" s="12" t="n"/>
      <c r="CF181" s="12" t="n"/>
      <c r="CG181" s="12" t="n"/>
      <c r="CH181" s="12" t="n"/>
      <c r="CI181" s="12" t="n"/>
      <c r="CJ181" s="12" t="n"/>
      <c r="CK181" s="12" t="n"/>
      <c r="CL181" s="12" t="n"/>
      <c r="CM181" s="12" t="n"/>
      <c r="CN181" s="12" t="n"/>
      <c r="CO181" s="12" t="n"/>
      <c r="CP181" s="12" t="n"/>
      <c r="CQ181" s="12" t="n"/>
      <c r="CR181" s="12" t="n"/>
      <c r="CS181" s="12" t="n"/>
      <c r="CT181" s="12" t="n"/>
      <c r="CU181" s="12" t="n"/>
      <c r="CV181" s="12" t="n"/>
      <c r="CW181" s="12" t="n"/>
      <c r="CX181" s="12" t="n"/>
      <c r="CY181" s="12" t="n"/>
    </row>
    <row r="182" hidden="1" outlineLevel="1">
      <c r="C182" s="60" t="inlineStr">
        <is>
          <t xml:space="preserve">Imposto de Renda e Contribuição Social Diferidos </t>
        </is>
      </c>
      <c r="D182" s="11" t="n"/>
      <c r="E182" s="11" t="n"/>
      <c r="F182" s="11" t="n"/>
      <c r="G182" s="11" t="n"/>
      <c r="H182" s="12" t="n"/>
      <c r="I182" s="11" t="n"/>
      <c r="J182" s="11" t="n"/>
      <c r="K182" s="11" t="n"/>
      <c r="L182" s="11" t="n"/>
      <c r="M182" s="12" t="n"/>
      <c r="N182" s="11" t="n"/>
      <c r="O182" s="11" t="n"/>
      <c r="P182" s="11" t="n"/>
      <c r="Q182" s="11" t="n"/>
      <c r="R182" s="12" t="n"/>
      <c r="S182" s="11" t="n"/>
      <c r="T182" s="11" t="n"/>
      <c r="U182" s="11" t="n"/>
      <c r="V182" s="11" t="n"/>
      <c r="W182" s="12" t="n"/>
      <c r="X182" s="11" t="n"/>
      <c r="Y182" s="11" t="n"/>
      <c r="Z182" s="11" t="n"/>
      <c r="AA182" s="11" t="n"/>
      <c r="AB182" s="12" t="n"/>
      <c r="AC182" s="11" t="n"/>
      <c r="AD182" s="11" t="n"/>
      <c r="AE182" s="11" t="n"/>
      <c r="AF182" s="11" t="n"/>
      <c r="AG182" s="12" t="n"/>
      <c r="AH182" s="12" t="n"/>
      <c r="AI182" s="12" t="n"/>
      <c r="AJ182" s="12" t="n"/>
      <c r="AK182" s="12" t="n"/>
      <c r="AL182" s="12" t="n"/>
      <c r="AM182" s="12" t="n"/>
      <c r="AN182" s="12" t="n"/>
      <c r="AO182" s="12" t="n"/>
      <c r="AP182" s="12" t="n"/>
      <c r="AQ182" s="12" t="n"/>
      <c r="AR182" s="12" t="n"/>
      <c r="AS182" s="12" t="n"/>
      <c r="AT182" s="12" t="n"/>
      <c r="AU182" s="12" t="n"/>
      <c r="AV182" s="12" t="n"/>
      <c r="AW182" s="12" t="n"/>
      <c r="AX182" s="12" t="n"/>
      <c r="AY182" s="12" t="n"/>
      <c r="AZ182" s="12" t="n"/>
      <c r="BA182" s="12" t="n"/>
      <c r="BB182" s="12" t="n"/>
      <c r="BC182" s="12" t="n"/>
      <c r="BD182" s="12" t="n"/>
      <c r="BE182" s="12" t="n"/>
      <c r="BF182" s="12" t="n"/>
      <c r="BG182" s="12" t="n"/>
      <c r="BH182" s="12" t="n"/>
      <c r="BI182" s="12" t="n"/>
      <c r="BJ182" s="12" t="n"/>
      <c r="BK182" s="12" t="n"/>
      <c r="BL182" s="12" t="n"/>
      <c r="BM182" s="12" t="n"/>
      <c r="BN182" s="12" t="n"/>
      <c r="BO182" s="12" t="n"/>
      <c r="BP182" s="12" t="n"/>
      <c r="BQ182" s="12" t="n"/>
      <c r="BR182" s="12" t="n"/>
      <c r="BS182" s="12" t="n"/>
      <c r="BT182" s="12" t="n"/>
      <c r="BU182" s="12" t="n"/>
      <c r="BV182" s="12" t="n"/>
      <c r="BW182" s="12" t="n"/>
      <c r="BX182" s="12" t="n"/>
      <c r="BY182" s="12" t="n"/>
      <c r="BZ182" s="12" t="n"/>
      <c r="CA182" s="12" t="n"/>
      <c r="CB182" s="12" t="n"/>
      <c r="CC182" s="12" t="n"/>
      <c r="CD182" s="12" t="n"/>
      <c r="CE182" s="12" t="n"/>
      <c r="CF182" s="12" t="n"/>
      <c r="CG182" s="12" t="n"/>
      <c r="CH182" s="12" t="n"/>
      <c r="CI182" s="12" t="n"/>
      <c r="CJ182" s="12" t="n"/>
      <c r="CK182" s="12" t="n"/>
      <c r="CL182" s="12" t="n"/>
      <c r="CM182" s="12" t="n"/>
      <c r="CN182" s="12" t="n"/>
      <c r="CO182" s="12" t="n"/>
      <c r="CP182" s="12" t="n"/>
      <c r="CQ182" s="12" t="n"/>
      <c r="CR182" s="12" t="n"/>
      <c r="CS182" s="12" t="n"/>
      <c r="CT182" s="12" t="n"/>
      <c r="CU182" s="12" t="n"/>
      <c r="CV182" s="12" t="n"/>
      <c r="CW182" s="12" t="n"/>
      <c r="CX182" s="12" t="n"/>
      <c r="CY182" s="12" t="n"/>
    </row>
    <row r="183" hidden="1" outlineLevel="1">
      <c r="C183" s="60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2" t="n"/>
      <c r="AC183" s="12" t="n"/>
      <c r="AD183" s="12" t="n"/>
      <c r="AE183" s="12" t="n"/>
      <c r="AF183" s="12" t="n"/>
      <c r="AG183" s="12" t="n"/>
      <c r="AH183" s="12" t="n"/>
      <c r="AI183" s="12" t="n"/>
      <c r="AJ183" s="12" t="n"/>
      <c r="AK183" s="12" t="n"/>
      <c r="AL183" s="12" t="n"/>
      <c r="AM183" s="12" t="n"/>
      <c r="AN183" s="12" t="n"/>
      <c r="AO183" s="12" t="n"/>
      <c r="AP183" s="12" t="n"/>
      <c r="AQ183" s="12" t="n"/>
      <c r="AR183" s="12" t="n"/>
      <c r="AS183" s="12" t="n"/>
      <c r="AT183" s="12" t="n"/>
      <c r="AU183" s="12" t="n"/>
      <c r="AV183" s="12" t="n"/>
      <c r="AW183" s="12" t="n"/>
      <c r="AX183" s="12" t="n"/>
      <c r="AY183" s="12" t="n"/>
      <c r="AZ183" s="12" t="n"/>
      <c r="BA183" s="12" t="n"/>
      <c r="BB183" s="12" t="n"/>
      <c r="BC183" s="12" t="n"/>
      <c r="BD183" s="12" t="n"/>
      <c r="BE183" s="12" t="n"/>
      <c r="BF183" s="12" t="n"/>
      <c r="BG183" s="12" t="n"/>
      <c r="BH183" s="12" t="n"/>
      <c r="BI183" s="12" t="n"/>
      <c r="BJ183" s="12" t="n"/>
      <c r="BK183" s="12" t="n"/>
      <c r="BL183" s="12" t="n"/>
      <c r="BM183" s="12" t="n"/>
      <c r="BN183" s="12" t="n"/>
      <c r="BO183" s="12" t="n"/>
      <c r="BP183" s="12" t="n"/>
      <c r="BQ183" s="12" t="n"/>
      <c r="BR183" s="12" t="n"/>
      <c r="BS183" s="12" t="n"/>
      <c r="BT183" s="12" t="n"/>
      <c r="BU183" s="12" t="n"/>
      <c r="BV183" s="12" t="n"/>
      <c r="BW183" s="12" t="n"/>
      <c r="BX183" s="12" t="n"/>
      <c r="BY183" s="12" t="n"/>
      <c r="BZ183" s="12" t="n"/>
      <c r="CA183" s="12" t="n"/>
      <c r="CB183" s="12" t="n"/>
      <c r="CC183" s="12" t="n"/>
      <c r="CD183" s="12" t="n"/>
      <c r="CE183" s="12" t="n"/>
      <c r="CF183" s="12" t="n"/>
      <c r="CG183" s="12" t="n"/>
      <c r="CH183" s="12" t="n"/>
      <c r="CI183" s="12" t="n"/>
      <c r="CJ183" s="12" t="n"/>
      <c r="CK183" s="12" t="n"/>
      <c r="CL183" s="12" t="n"/>
      <c r="CM183" s="12" t="n"/>
      <c r="CN183" s="12" t="n"/>
      <c r="CO183" s="12" t="n"/>
      <c r="CP183" s="12" t="n"/>
      <c r="CQ183" s="12" t="n"/>
      <c r="CR183" s="12" t="n"/>
      <c r="CS183" s="12" t="n"/>
      <c r="CT183" s="12" t="n"/>
      <c r="CU183" s="12" t="n"/>
      <c r="CV183" s="12" t="n"/>
      <c r="CW183" s="12" t="n"/>
      <c r="CX183" s="12" t="n"/>
      <c r="CY183" s="12" t="n"/>
    </row>
    <row r="184" hidden="1" outlineLevel="1">
      <c r="C184" s="57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  <c r="AA184" s="12" t="n"/>
      <c r="AB184" s="12" t="n"/>
      <c r="AC184" s="12" t="n"/>
      <c r="AD184" s="12" t="n"/>
      <c r="AE184" s="12" t="n"/>
      <c r="AF184" s="12" t="n"/>
      <c r="AG184" s="12" t="n"/>
      <c r="AH184" s="12" t="n"/>
      <c r="AI184" s="12" t="n"/>
      <c r="AJ184" s="12" t="n"/>
      <c r="AK184" s="12" t="n"/>
      <c r="AL184" s="12" t="n"/>
      <c r="AM184" s="12" t="n"/>
      <c r="AN184" s="12" t="n"/>
      <c r="AO184" s="12" t="n"/>
      <c r="AP184" s="12" t="n"/>
      <c r="AQ184" s="12" t="n"/>
      <c r="AR184" s="12" t="n"/>
      <c r="AS184" s="12" t="n"/>
      <c r="AT184" s="12" t="n"/>
      <c r="AU184" s="12" t="n"/>
      <c r="AV184" s="12" t="n"/>
      <c r="AW184" s="12" t="n"/>
      <c r="AX184" s="12" t="n"/>
      <c r="AY184" s="12" t="n"/>
      <c r="AZ184" s="12" t="n"/>
      <c r="BA184" s="12" t="n"/>
      <c r="BB184" s="12" t="n"/>
      <c r="BC184" s="12" t="n"/>
      <c r="BD184" s="12" t="n"/>
      <c r="BE184" s="12" t="n"/>
      <c r="BF184" s="12" t="n"/>
      <c r="BG184" s="12" t="n"/>
      <c r="BH184" s="12" t="n"/>
      <c r="BI184" s="12" t="n"/>
      <c r="BJ184" s="12" t="n"/>
      <c r="BK184" s="12" t="n"/>
      <c r="BL184" s="12" t="n"/>
      <c r="BM184" s="12" t="n"/>
      <c r="BN184" s="12" t="n"/>
      <c r="BO184" s="12" t="n"/>
      <c r="BP184" s="12" t="n"/>
      <c r="BQ184" s="12" t="n"/>
      <c r="BR184" s="12" t="n"/>
      <c r="BS184" s="12" t="n"/>
      <c r="BT184" s="12" t="n"/>
      <c r="BU184" s="12" t="n"/>
      <c r="BV184" s="12" t="n"/>
      <c r="BW184" s="12" t="n"/>
      <c r="BX184" s="12" t="n"/>
      <c r="BY184" s="12" t="n"/>
      <c r="BZ184" s="12" t="n"/>
      <c r="CA184" s="12" t="n"/>
      <c r="CB184" s="12" t="n"/>
      <c r="CC184" s="12" t="n"/>
      <c r="CD184" s="12" t="n"/>
      <c r="CE184" s="12" t="n"/>
      <c r="CF184" s="12" t="n"/>
      <c r="CG184" s="12" t="n"/>
      <c r="CH184" s="12" t="n"/>
      <c r="CI184" s="12" t="n"/>
      <c r="CJ184" s="12" t="n"/>
      <c r="CK184" s="12" t="n"/>
      <c r="CL184" s="12" t="n"/>
      <c r="CM184" s="12" t="n"/>
      <c r="CN184" s="12" t="n"/>
      <c r="CO184" s="12" t="n"/>
      <c r="CP184" s="12" t="n"/>
      <c r="CQ184" s="12" t="n"/>
      <c r="CR184" s="12" t="n"/>
      <c r="CS184" s="12" t="n"/>
      <c r="CT184" s="12" t="n"/>
      <c r="CU184" s="12" t="n"/>
      <c r="CV184" s="12" t="n"/>
      <c r="CW184" s="12" t="n"/>
      <c r="CX184" s="12" t="n"/>
      <c r="CY184" s="12" t="n"/>
    </row>
    <row r="185" collapsed="1" customFormat="1" s="32">
      <c r="A185" s="30" t="n"/>
      <c r="B185" s="3" t="n"/>
      <c r="C185" s="33" t="inlineStr">
        <is>
          <t>Total Assets</t>
        </is>
      </c>
      <c r="D185" s="35" t="n"/>
      <c r="E185" s="35" t="n"/>
      <c r="F185" s="35" t="n"/>
      <c r="G185" s="35" t="n"/>
      <c r="H185" s="35" t="n"/>
      <c r="I185" s="35">
        <f>SUM(I132,I133,I137,I141,I142,I143,I149,I154,I164,I167,I168,I177)</f>
        <v>0</v>
      </c>
      <c r="J185" s="35">
        <f>SUM(J132,J133,J137,J141,J142,J143,J149,J154,J164,J167,J168,J177)</f>
        <v>0</v>
      </c>
      <c r="K185" s="35">
        <f>SUM(K132,K133,K137,K141,K142,K143,K149,K154,K164,K167,K168,K177)</f>
        <v>0</v>
      </c>
      <c r="L185" s="35">
        <f>SUM(L132,L133,L137,L141,L142,L143,L149,L154,L164,L167,L168,L177)</f>
        <v>48086</v>
      </c>
      <c r="M185" s="35">
        <f>SUM(M132,M133,M137,M141,M142,M143,M149,M154,M164,M167,M168,M177)</f>
        <v>48086</v>
      </c>
      <c r="N185" s="35">
        <f>SUM(N132,N133,N137,N141,N142,N143,N149,N154,N164,N167,N168,N177)</f>
        <v>46846</v>
      </c>
      <c r="O185" s="35">
        <f>SUM(O132,O133,O137,O141,O142,O143,O149,O154,O164,O167,O168,O177)</f>
        <v>45333</v>
      </c>
      <c r="P185" s="35">
        <f>SUM(P132,P133,P137,P141,P142,P143,P149,P154,P164,P167,P168,P177)</f>
        <v>46616</v>
      </c>
      <c r="Q185" s="35">
        <f>SUM(Q132,Q133,Q137,Q141,Q142,Q143,Q149,Q154,Q164,Q167,Q168,Q177)</f>
        <v>46909</v>
      </c>
      <c r="R185" s="35">
        <f>SUM(R132,R133,R137,R141,R142,R143,R149,R154,R164,R167,R168,R177)</f>
        <v>46909</v>
      </c>
      <c r="S185" s="35">
        <f>SUM(S132,S133,S137,S141,S142,S143,S149,S154,S164,S167,S168,S177)</f>
        <v>46158</v>
      </c>
      <c r="T185" s="35">
        <f>SUM(T132,T133,T137,T141,T142,T143,T149,T154,T164,T167,T168,T177)</f>
        <v>46559</v>
      </c>
      <c r="U185" s="35">
        <f>SUM(U132,U133,U137,U141,U142,U143,U149,U154,U164,U167,U168,U177)</f>
        <v>48965</v>
      </c>
      <c r="V185" s="35">
        <f>SUM(V132,V133,V137,V141,V142,V143,V149,V154,V164,V167,V168,V177)</f>
        <v>50758</v>
      </c>
      <c r="W185" s="35">
        <f>SUM(W132,W133,W137,W141,W142,W143,W149,W154,W164,W167,W168,W177)</f>
        <v>50758</v>
      </c>
      <c r="X185" s="35">
        <f>SUM(X132,X133,X137,X141,X142,X143,X149,X154,X164,X167,X168,X177)</f>
        <v>52014</v>
      </c>
      <c r="Y185" s="35">
        <f>SUM(Y132,Y133,Y137,Y141,Y142,Y143,Y149,Y154,Y164,Y167,Y168,Y177)</f>
        <v>51340</v>
      </c>
      <c r="Z185" s="35">
        <f>SUM(Z132,Z133,Z137,Z141,Z142,Z143,Z149,Z154,Z164,Z167,Z168,Z177)</f>
        <v>51834</v>
      </c>
      <c r="AA185" s="35">
        <f>SUM(AA132,AA133,AA137,AA141,AA142,AA143,AA149,AA154,AA164,AA167,AA168,AA177)</f>
        <v>52926</v>
      </c>
      <c r="AB185" s="35">
        <f>SUM(AB132,AB133,AB137,AB141,AB142,AB143,AB149,AB154,AB164,AB167,AB168,AB177)</f>
        <v>52926</v>
      </c>
      <c r="AC185" s="35">
        <f>SUM(AC132,AC133,AC137,AC141,AC142,AC143,AC149,AC154,AC164,AC167,AC168,AC177)</f>
        <v>52252</v>
      </c>
      <c r="AD185" s="35">
        <f>SUM(AD132,AD133,AD137,AD141,AD142,AD143,AD149,AD154,AD164,AD167,AD168,AD177)</f>
        <v>53038</v>
      </c>
      <c r="AE185" s="35">
        <f>SUM(AE132,AE133,AE137,AE141,AE142,AE143,AE149,AE154,AE164,AE167,AE168,AE177)</f>
        <v>56161</v>
      </c>
      <c r="AF185" s="35">
        <f>SUM(AF132,AF133,AF137,AF141,AF142,AF143,AF149,AF154,AF164,AF167,AF168,AF177)</f>
        <v>57249</v>
      </c>
      <c r="AG185" s="35">
        <f>SUM(AG132,AG133,AG137,AG141,AG142,AG143,AG149,AG154,AG164,AG167,AG168,AG177)</f>
        <v>57249</v>
      </c>
      <c r="AH185" s="35">
        <f>SUM(AH132,AH133,AH137,AH141,AH142,AH143,AH149,AH154,AH164,AH167,AH168,AH177)</f>
        <v>96911</v>
      </c>
      <c r="AI185" s="35">
        <f>SUM(AI132,AI133,AI137,AI141,AI142,AI143,AI149,AI154,AI164,AI167,AI168,AI177)</f>
        <v>98253</v>
      </c>
      <c r="AJ185" s="35">
        <f>SUM(AJ132,AJ133,AJ137,AJ141,AJ142,AJ143,AJ149,AJ154,AJ164,AJ167,AJ168,AJ177)</f>
        <v>94712.3584294894</v>
      </c>
      <c r="AK185" s="35">
        <f>SUM(AK132,AK133,AK137,AK141,AK142,AK143,AK149,AK154,AK164,AK167,AK168,AK177)</f>
        <v>95536.4240460372</v>
      </c>
      <c r="AL185" s="35">
        <f>SUM(AL132,AL133,AL137,AL141,AL142,AL143,AL149,AL154,AL164,AL167,AL168,AL177)</f>
        <v>95536.4240460372</v>
      </c>
      <c r="AM185" s="35">
        <f>SUM(AM132,AM133,AM137,AM141,AM142,AM143,AM149,AM154,AM164,AM167,AM168,AM177)</f>
        <v>97045.356839459</v>
      </c>
      <c r="AN185" s="35">
        <f>SUM(AN132,AN133,AN137,AN141,AN142,AN143,AN149,AN154,AN164,AN167,AN168,AN177)</f>
        <v>98063.4319771894</v>
      </c>
      <c r="AO185" s="35">
        <f>SUM(AO132,AO133,AO137,AO141,AO142,AO143,AO149,AO154,AO164,AO167,AO168,AO177)</f>
        <v>99135.4656757179</v>
      </c>
      <c r="AP185" s="35">
        <f>SUM(AP132,AP133,AP137,AP141,AP142,AP143,AP149,AP154,AP164,AP167,AP168,AP177)</f>
        <v>100126.566540994</v>
      </c>
      <c r="AQ185" s="35">
        <f>SUM(AQ132,AQ133,AQ137,AQ141,AQ142,AQ143,AQ149,AQ154,AQ164,AQ167,AQ168,AQ177)</f>
        <v>100126.566540994</v>
      </c>
      <c r="AR185" s="35">
        <f>SUM(AR132,AR133,AR137,AR141,AR142,AR143,AR149,AR154,AR164,AR167,AR168,AR177)</f>
        <v>101933.81012589</v>
      </c>
      <c r="AS185" s="35">
        <f>SUM(AS132,AS133,AS137,AS141,AS142,AS143,AS149,AS154,AS164,AS167,AS168,AS177)</f>
        <v>103153.155195218</v>
      </c>
      <c r="AT185" s="35">
        <f>SUM(AT132,AT133,AT137,AT141,AT142,AT143,AT149,AT154,AT164,AT167,AT168,AT177)</f>
        <v>104437.126246085</v>
      </c>
      <c r="AU185" s="35">
        <f>SUM(AU132,AU133,AU137,AU141,AU142,AU143,AU149,AU154,AU164,AU167,AU168,AU177)</f>
        <v>105624.164322641</v>
      </c>
      <c r="AV185" s="35">
        <f>SUM(AV132,AV133,AV137,AV141,AV142,AV143,AV149,AV154,AV164,AV167,AV168,AV177)</f>
        <v>105624.164322641</v>
      </c>
      <c r="AW185" s="35">
        <f>SUM(AW132,AW133,AW137,AW141,AW142,AW143,AW149,AW154,AW164,AW167,AW168,AW177)</f>
        <v>107779.657492233</v>
      </c>
      <c r="AX185" s="35">
        <f>SUM(AX132,AX133,AX137,AX141,AX142,AX143,AX149,AX154,AX164,AX167,AX168,AX177)</f>
        <v>109233.966136777</v>
      </c>
      <c r="AY185" s="35">
        <f>SUM(AY132,AY133,AY137,AY141,AY142,AY143,AY149,AY154,AY164,AY167,AY168,AY177)</f>
        <v>110765.35396586</v>
      </c>
      <c r="AZ185" s="35">
        <f>SUM(AZ132,AZ133,AZ137,AZ141,AZ142,AZ143,AZ149,AZ154,AZ164,AZ167,AZ168,AZ177)</f>
        <v>112181.130171926</v>
      </c>
      <c r="BA185" s="35">
        <f>SUM(BA132,BA133,BA137,BA141,BA142,BA143,BA149,BA154,BA164,BA167,BA168,BA177)</f>
        <v>112181.130171926</v>
      </c>
      <c r="BB185" s="35">
        <f>SUM(BB132,BB133,BB137,BB141,BB142,BB143,BB149,BB154,BB164,BB167,BB168,BB177)</f>
        <v>114741.201950191</v>
      </c>
      <c r="BC185" s="35">
        <f>SUM(BC132,BC133,BC137,BC141,BC142,BC143,BC149,BC154,BC164,BC167,BC168,BC177)</f>
        <v>116468.479294563</v>
      </c>
      <c r="BD185" s="35">
        <f>SUM(BD132,BD133,BD137,BD141,BD142,BD143,BD149,BD154,BD164,BD167,BD168,BD177)</f>
        <v>118287.303319672</v>
      </c>
      <c r="BE185" s="35">
        <f>SUM(BE132,BE133,BE137,BE141,BE142,BE143,BE149,BE154,BE164,BE167,BE168,BE177)</f>
        <v>119968.815820208</v>
      </c>
      <c r="BF185" s="35">
        <f>SUM(BF132,BF133,BF137,BF141,BF142,BF143,BF149,BF154,BF164,BF167,BF168,BF177)</f>
        <v>119968.815820208</v>
      </c>
      <c r="BG185" s="35" t="n"/>
      <c r="BH185" s="35" t="n"/>
      <c r="BI185" s="35" t="n"/>
      <c r="BJ185" s="35" t="n"/>
      <c r="BK185" s="35" t="n"/>
      <c r="BL185" s="35" t="n"/>
      <c r="BM185" s="35" t="n"/>
      <c r="BN185" s="35" t="n"/>
      <c r="BO185" s="35" t="n"/>
      <c r="BP185" s="35" t="n"/>
      <c r="BQ185" s="35" t="n"/>
      <c r="BR185" s="35" t="n"/>
      <c r="BS185" s="35" t="n"/>
      <c r="BT185" s="35" t="n"/>
      <c r="BU185" s="35" t="n"/>
      <c r="BV185" s="35" t="n"/>
      <c r="BW185" s="35" t="n"/>
      <c r="BX185" s="35" t="n"/>
      <c r="BY185" s="35" t="n"/>
      <c r="BZ185" s="35" t="n"/>
      <c r="CA185" s="35" t="n"/>
      <c r="CB185" s="35" t="n"/>
      <c r="CC185" s="35" t="n"/>
      <c r="CD185" s="35" t="n"/>
      <c r="CE185" s="35" t="n"/>
      <c r="CF185" s="35" t="n"/>
      <c r="CG185" s="35" t="n"/>
      <c r="CH185" s="35" t="n"/>
      <c r="CI185" s="35" t="n"/>
      <c r="CJ185" s="35" t="n"/>
      <c r="CK185" s="35" t="n"/>
      <c r="CL185" s="35" t="n"/>
      <c r="CM185" s="35" t="n"/>
      <c r="CN185" s="35" t="n"/>
      <c r="CO185" s="35" t="n"/>
      <c r="CP185" s="35" t="n"/>
      <c r="CQ185" s="35" t="n"/>
      <c r="CR185" s="35" t="n"/>
      <c r="CS185" s="35" t="n"/>
      <c r="CT185" s="35" t="n"/>
      <c r="CU185" s="35" t="n"/>
      <c r="CV185" s="35" t="n"/>
      <c r="CW185" s="35" t="n"/>
      <c r="CX185" s="35" t="n"/>
      <c r="CY185" s="35" t="n"/>
    </row>
    <row r="186">
      <c r="C186" s="14" t="inlineStr">
        <is>
          <t>Accounts payable</t>
        </is>
      </c>
      <c r="D186" s="46" t="n"/>
      <c r="E186" s="46" t="n"/>
      <c r="F186" s="46" t="n"/>
      <c r="G186" s="46" t="n"/>
      <c r="H186" s="12" t="n"/>
      <c r="I186" s="46">
        <f>'Inputs (2)'!D28</f>
        <v>0</v>
      </c>
      <c r="J186" s="46">
        <f>'Inputs (2)'!E28</f>
        <v>0</v>
      </c>
      <c r="K186" s="46">
        <f>'Inputs (2)'!F28</f>
        <v>0</v>
      </c>
      <c r="L186" s="46">
        <f>'Inputs (2)'!G28</f>
        <v>1757</v>
      </c>
      <c r="M186" s="12">
        <f>'Inputs (2)'!H28</f>
        <v>1757</v>
      </c>
      <c r="N186" s="46">
        <f>'Inputs (2)'!I28</f>
        <v>1847</v>
      </c>
      <c r="O186" s="46">
        <f>'Inputs (2)'!J28</f>
        <v>2160</v>
      </c>
      <c r="P186" s="46">
        <f>'Inputs (2)'!K28</f>
        <v>2597</v>
      </c>
      <c r="Q186" s="46">
        <f>'Inputs (2)'!L28</f>
        <v>2828</v>
      </c>
      <c r="R186" s="12">
        <f>'Inputs (2)'!M28</f>
        <v>2828</v>
      </c>
      <c r="S186" s="46">
        <f>'Inputs (2)'!N28</f>
        <v>1558</v>
      </c>
      <c r="T186" s="46">
        <f>'Inputs (2)'!O28</f>
        <v>1260</v>
      </c>
      <c r="U186" s="46">
        <f>'Inputs (2)'!P28</f>
        <v>2252</v>
      </c>
      <c r="V186" s="46">
        <f>'Inputs (2)'!Q28</f>
        <v>2612</v>
      </c>
      <c r="W186" s="12">
        <f>'Inputs (2)'!R28</f>
        <v>2612</v>
      </c>
      <c r="X186" s="46">
        <f>'Inputs (2)'!S28</f>
        <v>2417</v>
      </c>
      <c r="Y186" s="46">
        <f>'Inputs (2)'!T28</f>
        <v>2422</v>
      </c>
      <c r="Z186" s="46">
        <f>'Inputs (2)'!U28</f>
        <v>2685</v>
      </c>
      <c r="AA186" s="46">
        <f>'Inputs (2)'!V28</f>
        <v>3943</v>
      </c>
      <c r="AB186" s="12">
        <f>'Inputs (2)'!W28</f>
        <v>3943</v>
      </c>
      <c r="AC186" s="46">
        <f>'Inputs (2)'!X28</f>
        <v>3614</v>
      </c>
      <c r="AD186" s="46">
        <f>'Inputs (2)'!Y28</f>
        <v>3659</v>
      </c>
      <c r="AE186" s="46">
        <f>'Inputs (2)'!Z28</f>
        <v>3926</v>
      </c>
      <c r="AF186" s="46">
        <f>'Inputs (2)'!AA28</f>
        <v>4294</v>
      </c>
      <c r="AG186" s="12">
        <f>'Inputs (2)'!AB28</f>
        <v>4294</v>
      </c>
      <c r="AH186" s="12">
        <f>'Inputs (2)'!AC28</f>
        <v>4449</v>
      </c>
      <c r="AI186" s="12">
        <f>'Inputs (2)'!AD28</f>
        <v>4432</v>
      </c>
      <c r="AJ186" s="12">
        <f>(AJ187/(AJ$5-AI$5))*-AJ$42</f>
        <v>0</v>
      </c>
      <c r="AK186" s="12">
        <f>(AK187/(AK$5-AJ$5))*-AK$42</f>
        <v>0</v>
      </c>
      <c r="AL186" s="12">
        <f>AK186</f>
        <v>0</v>
      </c>
      <c r="AM186" s="12">
        <f>(AM187/(AM$5-AL$5))*-AM$42</f>
        <v>0</v>
      </c>
      <c r="AN186" s="12">
        <f>(AN187/(AN$5-AM$5))*-AN$42</f>
        <v>0</v>
      </c>
      <c r="AO186" s="12">
        <f>(AO187/(AO$5-AN$5))*-AO$42</f>
        <v>0</v>
      </c>
      <c r="AP186" s="12">
        <f>(AP187/(AP$5-AO$5))*-AP$42</f>
        <v>0</v>
      </c>
      <c r="AQ186" s="12">
        <f>AP186</f>
        <v>0</v>
      </c>
      <c r="AR186" s="12">
        <f>(AR187/(AR$5-AQ$5))*-AR$42</f>
        <v>0</v>
      </c>
      <c r="AS186" s="12">
        <f>(AS187/(AS$5-AR$5))*-AS$42</f>
        <v>0</v>
      </c>
      <c r="AT186" s="12">
        <f>(AT187/(AT$5-AS$5))*-AT$42</f>
        <v>0</v>
      </c>
      <c r="AU186" s="12">
        <f>(AU187/(AU$5-AT$5))*-AU$42</f>
        <v>0</v>
      </c>
      <c r="AV186" s="12">
        <f>AU186</f>
        <v>0</v>
      </c>
      <c r="AW186" s="12">
        <f>(AW187/(AW$5-AV$5))*-AW$42</f>
        <v>0</v>
      </c>
      <c r="AX186" s="12">
        <f>(AX187/(AX$5-AW$5))*-AX$42</f>
        <v>0</v>
      </c>
      <c r="AY186" s="12">
        <f>(AY187/(AY$5-AX$5))*-AY$42</f>
        <v>0</v>
      </c>
      <c r="AZ186" s="12">
        <f>(AZ187/(AZ$5-AY$5))*-AZ$42</f>
        <v>0</v>
      </c>
      <c r="BA186" s="12">
        <f>AZ186</f>
        <v>0</v>
      </c>
      <c r="BB186" s="12">
        <f>(BB187/(BB$5-BA$5))*-BB$42</f>
        <v>0</v>
      </c>
      <c r="BC186" s="12">
        <f>(BC187/(BC$5-BB$5))*-BC$42</f>
        <v>0</v>
      </c>
      <c r="BD186" s="12">
        <f>(BD187/(BD$5-BC$5))*-BD$42</f>
        <v>0</v>
      </c>
      <c r="BE186" s="12">
        <f>(BE187/(BE$5-BD$5))*-BE$42</f>
        <v>0</v>
      </c>
      <c r="BF186" s="12">
        <f>BE186</f>
        <v>0</v>
      </c>
      <c r="BG186" s="12" t="n"/>
      <c r="BH186" s="12" t="n"/>
      <c r="BI186" s="12" t="n"/>
      <c r="BJ186" s="12" t="n"/>
      <c r="BK186" s="12" t="n"/>
      <c r="BL186" s="12" t="n"/>
      <c r="BM186" s="12" t="n"/>
      <c r="BN186" s="12" t="n"/>
      <c r="BO186" s="12" t="n"/>
      <c r="BP186" s="12" t="n"/>
      <c r="BQ186" s="12" t="n"/>
      <c r="BR186" s="12" t="n"/>
      <c r="BS186" s="12" t="n"/>
      <c r="BT186" s="12" t="n"/>
      <c r="BU186" s="12" t="n"/>
      <c r="BV186" s="12" t="n"/>
      <c r="BW186" s="12" t="n"/>
      <c r="BX186" s="12" t="n"/>
      <c r="BY186" s="12" t="n"/>
      <c r="BZ186" s="12" t="n"/>
      <c r="CA186" s="12" t="n"/>
      <c r="CB186" s="12" t="n"/>
      <c r="CC186" s="12" t="n"/>
      <c r="CD186" s="12" t="n"/>
      <c r="CE186" s="12" t="n"/>
      <c r="CF186" s="12" t="n"/>
      <c r="CG186" s="12" t="n"/>
      <c r="CH186" s="12" t="n"/>
      <c r="CI186" s="12" t="n"/>
      <c r="CJ186" s="12" t="n"/>
      <c r="CK186" s="12" t="n"/>
      <c r="CL186" s="12" t="n"/>
      <c r="CM186" s="12" t="n"/>
      <c r="CN186" s="12" t="n"/>
      <c r="CO186" s="12" t="n"/>
      <c r="CP186" s="12" t="n"/>
      <c r="CQ186" s="12" t="n"/>
      <c r="CR186" s="12" t="n"/>
      <c r="CS186" s="12" t="n"/>
      <c r="CT186" s="12" t="n"/>
      <c r="CU186" s="12" t="n"/>
      <c r="CV186" s="12" t="n"/>
      <c r="CW186" s="12" t="n"/>
      <c r="CX186" s="12" t="n"/>
      <c r="CY186" s="12" t="n"/>
    </row>
    <row r="187" hidden="1" outlineLevel="1">
      <c r="C187" s="57" t="inlineStr">
        <is>
          <t>DPO</t>
        </is>
      </c>
      <c r="D187" s="12" t="n"/>
      <c r="E187" s="12" t="n"/>
      <c r="F187" s="12" t="n"/>
      <c r="G187" s="12" t="n"/>
      <c r="H187" s="12" t="n"/>
      <c r="I187" s="12" t="str">
        <f>IFERROR(-(I186/I$42)*(I$5-H$5),"")</f>
        <v/>
      </c>
      <c r="J187" s="12" t="str">
        <f>IFERROR(-(J186/J$42)*(J$5-I$5),"")</f>
        <v/>
      </c>
      <c r="K187" s="12" t="str">
        <f>IFERROR(-(K186/K$42)*(K$5-J$5),"")</f>
        <v/>
      </c>
      <c r="L187" s="12" t="str">
        <f>IFERROR(-(L186/L$42)*(L$5-K$5),"")</f>
        <v/>
      </c>
      <c r="M187" s="12" t="n"/>
      <c r="N187" s="12" t="str">
        <f>IFERROR(-(N186/N$42)*(N$5-M$5),"")</f>
        <v/>
      </c>
      <c r="O187" s="12" t="str">
        <f>IFERROR(-(O186/O$42)*(O$5-N$5),"")</f>
        <v/>
      </c>
      <c r="P187" s="12" t="str">
        <f>IFERROR(-(P186/P$42)*(P$5-O$5),"")</f>
        <v/>
      </c>
      <c r="Q187" s="12" t="str">
        <f>IFERROR(-(Q186/Q$42)*(Q$5-P$5),"")</f>
        <v/>
      </c>
      <c r="R187" s="12" t="n"/>
      <c r="S187" s="12" t="str">
        <f>IFERROR(-(S186/S$42)*(S$5-R$5),"")</f>
        <v/>
      </c>
      <c r="T187" s="12" t="str">
        <f>IFERROR(-(T186/T$42)*(T$5-S$5),"")</f>
        <v/>
      </c>
      <c r="U187" s="12" t="str">
        <f>IFERROR(-(U186/U$42)*(U$5-T$5),"")</f>
        <v/>
      </c>
      <c r="V187" s="12" t="str">
        <f>IFERROR(-(V186/V$42)*(V$5-U$5),"")</f>
        <v/>
      </c>
      <c r="W187" s="12" t="n"/>
      <c r="X187" s="12" t="str">
        <f>IFERROR(-(X186/X$42)*(X$5-W$5),"")</f>
        <v/>
      </c>
      <c r="Y187" s="12" t="str">
        <f>IFERROR(-(Y186/Y$42)*(Y$5-X$5),"")</f>
        <v/>
      </c>
      <c r="Z187" s="12" t="str">
        <f>IFERROR(-(Z186/Z$42)*(Z$5-Y$5),"")</f>
        <v/>
      </c>
      <c r="AA187" s="12" t="str">
        <f>IFERROR(-(AA186/AA$42)*(AA$5-Z$5),"")</f>
        <v/>
      </c>
      <c r="AB187" s="12" t="n"/>
      <c r="AC187" s="12" t="str">
        <f>IFERROR(-(AC186/AC$42)*(AC$5-AB$5),"")</f>
        <v/>
      </c>
      <c r="AD187" s="12" t="str">
        <f>IFERROR(-(AD186/AD$42)*(AD$5-AC$5),"")</f>
        <v/>
      </c>
      <c r="AE187" s="12" t="str">
        <f>IFERROR(-(AE186/AE$42)*(AE$5-AD$5),"")</f>
        <v/>
      </c>
      <c r="AF187" s="11" t="str">
        <f>IFERROR(-(AF186/AF$42)*(AF$5-AE$5),"")</f>
        <v/>
      </c>
      <c r="AG187" s="12" t="n"/>
      <c r="AH187" s="11" t="str">
        <f>IFERROR(-(AH186/AH$42)*(AH$5-AG$5),"")</f>
        <v/>
      </c>
      <c r="AI187" s="11" t="str">
        <f>IFERROR(-(AI186/AI$42)*(AI$5-AH$5),"")</f>
        <v/>
      </c>
      <c r="AJ187" s="11">
        <f>Control!$B$27</f>
        <v>0</v>
      </c>
      <c r="AK187" s="11">
        <f>Control!$B$27</f>
        <v>0</v>
      </c>
      <c r="AL187" s="12" t="n"/>
      <c r="AM187" s="11">
        <f>Control!$C$27</f>
        <v>0</v>
      </c>
      <c r="AN187" s="11">
        <f>Control!$C$27</f>
        <v>0</v>
      </c>
      <c r="AO187" s="11">
        <f>Control!$C$27</f>
        <v>0</v>
      </c>
      <c r="AP187" s="11">
        <f>Control!$C$27</f>
        <v>0</v>
      </c>
      <c r="AQ187" s="12" t="n"/>
      <c r="AR187" s="11">
        <f>Control!$D$27</f>
        <v>0</v>
      </c>
      <c r="AS187" s="11">
        <f>Control!$D$27</f>
        <v>0</v>
      </c>
      <c r="AT187" s="11">
        <f>Control!$D$27</f>
        <v>0</v>
      </c>
      <c r="AU187" s="11">
        <f>Control!$D$27</f>
        <v>0</v>
      </c>
      <c r="AV187" s="12" t="n"/>
      <c r="AW187" s="11">
        <f>Control!$E$27</f>
        <v>0</v>
      </c>
      <c r="AX187" s="11">
        <f>Control!$E$27</f>
        <v>0</v>
      </c>
      <c r="AY187" s="11">
        <f>Control!$E$27</f>
        <v>0</v>
      </c>
      <c r="AZ187" s="11">
        <f>Control!$E$27</f>
        <v>0</v>
      </c>
      <c r="BA187" s="12" t="n"/>
      <c r="BB187" s="11">
        <f>Control!$F$27</f>
        <v>0</v>
      </c>
      <c r="BC187" s="11">
        <f>Control!$F$27</f>
        <v>0</v>
      </c>
      <c r="BD187" s="11">
        <f>Control!$F$27</f>
        <v>0</v>
      </c>
      <c r="BE187" s="11">
        <f>Control!$F$27</f>
        <v>0</v>
      </c>
      <c r="BF187" s="12" t="n"/>
      <c r="BG187" s="11" t="n"/>
      <c r="BH187" s="11" t="n"/>
      <c r="BI187" s="11" t="n"/>
      <c r="BJ187" s="11" t="n"/>
      <c r="BK187" s="12" t="n"/>
      <c r="BL187" s="11" t="n"/>
      <c r="BM187" s="11" t="n"/>
      <c r="BN187" s="11" t="n"/>
      <c r="BO187" s="11" t="n"/>
      <c r="BP187" s="12" t="n"/>
      <c r="BQ187" s="11" t="n"/>
      <c r="BR187" s="11" t="n"/>
      <c r="BS187" s="11" t="n"/>
      <c r="BT187" s="11" t="n"/>
      <c r="BU187" s="12" t="n"/>
      <c r="BV187" s="11" t="n"/>
      <c r="BW187" s="11" t="n"/>
      <c r="BX187" s="11" t="n"/>
      <c r="BY187" s="11" t="n"/>
      <c r="BZ187" s="12" t="n"/>
      <c r="CA187" s="11" t="n"/>
      <c r="CB187" s="11" t="n"/>
      <c r="CC187" s="11" t="n"/>
      <c r="CD187" s="11" t="n"/>
      <c r="CE187" s="12" t="n"/>
      <c r="CF187" s="11" t="n"/>
      <c r="CG187" s="11" t="n"/>
      <c r="CH187" s="11" t="n"/>
      <c r="CI187" s="11" t="n"/>
      <c r="CJ187" s="12" t="n"/>
      <c r="CK187" s="11" t="n"/>
      <c r="CL187" s="11" t="n"/>
      <c r="CM187" s="11" t="n"/>
      <c r="CN187" s="11" t="n"/>
      <c r="CO187" s="12" t="n"/>
      <c r="CP187" s="11" t="n"/>
      <c r="CQ187" s="11" t="n"/>
      <c r="CR187" s="11" t="n"/>
      <c r="CS187" s="11" t="n"/>
      <c r="CT187" s="12" t="n"/>
      <c r="CU187" s="11" t="n"/>
      <c r="CV187" s="11" t="n"/>
      <c r="CW187" s="11" t="n"/>
      <c r="CX187" s="11" t="n"/>
      <c r="CY187" s="12" t="n"/>
    </row>
    <row r="188" hidden="1" outlineLevel="1">
      <c r="C188" s="57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  <c r="AA188" s="12" t="n"/>
      <c r="AB188" s="12" t="n"/>
      <c r="AC188" s="12" t="n"/>
      <c r="AD188" s="12" t="n"/>
      <c r="AE188" s="12" t="n"/>
      <c r="AF188" s="12" t="n"/>
      <c r="AG188" s="12" t="n"/>
      <c r="AH188" s="12" t="n"/>
      <c r="AI188" s="12" t="n"/>
      <c r="AJ188" s="12" t="n"/>
      <c r="AK188" s="12" t="n"/>
      <c r="AL188" s="12" t="n"/>
      <c r="AM188" s="12" t="n"/>
      <c r="AN188" s="12" t="n"/>
      <c r="AO188" s="12" t="n"/>
      <c r="AP188" s="12" t="n"/>
      <c r="AQ188" s="12" t="n"/>
      <c r="AR188" s="12" t="n"/>
      <c r="AS188" s="12" t="n"/>
      <c r="AT188" s="12" t="n"/>
      <c r="AU188" s="12" t="n"/>
      <c r="AV188" s="12" t="n"/>
      <c r="AW188" s="12" t="n"/>
      <c r="AX188" s="12" t="n"/>
      <c r="AY188" s="12" t="n"/>
      <c r="AZ188" s="12" t="n"/>
      <c r="BA188" s="12" t="n"/>
      <c r="BB188" s="12" t="n"/>
      <c r="BC188" s="12" t="n"/>
      <c r="BD188" s="12" t="n"/>
      <c r="BE188" s="12" t="n"/>
      <c r="BF188" s="12" t="n"/>
      <c r="BG188" s="12" t="n"/>
      <c r="BH188" s="12" t="n"/>
      <c r="BI188" s="12" t="n"/>
      <c r="BJ188" s="12" t="n"/>
      <c r="BK188" s="12" t="n"/>
      <c r="BL188" s="12" t="n"/>
      <c r="BM188" s="12" t="n"/>
      <c r="BN188" s="12" t="n"/>
      <c r="BO188" s="12" t="n"/>
      <c r="BP188" s="12" t="n"/>
      <c r="BQ188" s="12" t="n"/>
      <c r="BR188" s="12" t="n"/>
      <c r="BS188" s="12" t="n"/>
      <c r="BT188" s="12" t="n"/>
      <c r="BU188" s="12" t="n"/>
      <c r="BV188" s="12" t="n"/>
      <c r="BW188" s="12" t="n"/>
      <c r="BX188" s="12" t="n"/>
      <c r="BY188" s="12" t="n"/>
      <c r="BZ188" s="12" t="n"/>
      <c r="CA188" s="12" t="n"/>
      <c r="CB188" s="12" t="n"/>
      <c r="CC188" s="12" t="n"/>
      <c r="CD188" s="12" t="n"/>
      <c r="CE188" s="12" t="n"/>
      <c r="CF188" s="12" t="n"/>
      <c r="CG188" s="12" t="n"/>
      <c r="CH188" s="12" t="n"/>
      <c r="CI188" s="12" t="n"/>
      <c r="CJ188" s="12" t="n"/>
      <c r="CK188" s="12" t="n"/>
      <c r="CL188" s="12" t="n"/>
      <c r="CM188" s="12" t="n"/>
      <c r="CN188" s="12" t="n"/>
      <c r="CO188" s="12" t="n"/>
      <c r="CP188" s="12" t="n"/>
      <c r="CQ188" s="12" t="n"/>
      <c r="CR188" s="12" t="n"/>
      <c r="CS188" s="12" t="n"/>
      <c r="CT188" s="12" t="n"/>
      <c r="CU188" s="12" t="n"/>
      <c r="CV188" s="12" t="n"/>
      <c r="CW188" s="12" t="n"/>
      <c r="CX188" s="12" t="n"/>
      <c r="CY188" s="12" t="n"/>
    </row>
    <row r="189" hidden="1" outlineLevel="1">
      <c r="C189" s="57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2" t="n"/>
      <c r="AC189" s="12" t="n"/>
      <c r="AD189" s="12" t="n"/>
      <c r="AE189" s="12" t="n"/>
      <c r="AF189" s="12" t="n"/>
      <c r="AG189" s="12" t="n"/>
      <c r="AH189" s="12" t="n"/>
      <c r="AI189" s="12" t="n"/>
      <c r="AJ189" s="12" t="n"/>
      <c r="AK189" s="12" t="n"/>
      <c r="AL189" s="12" t="n"/>
      <c r="AM189" s="12" t="n"/>
      <c r="AN189" s="12" t="n"/>
      <c r="AO189" s="12" t="n"/>
      <c r="AP189" s="12" t="n"/>
      <c r="AQ189" s="12" t="n"/>
      <c r="AR189" s="12" t="n"/>
      <c r="AS189" s="12" t="n"/>
      <c r="AT189" s="12" t="n"/>
      <c r="AU189" s="12" t="n"/>
      <c r="AV189" s="12" t="n"/>
      <c r="AW189" s="12" t="n"/>
      <c r="AX189" s="12" t="n"/>
      <c r="AY189" s="12" t="n"/>
      <c r="AZ189" s="12" t="n"/>
      <c r="BA189" s="12" t="n"/>
      <c r="BB189" s="12" t="n"/>
      <c r="BC189" s="12" t="n"/>
      <c r="BD189" s="12" t="n"/>
      <c r="BE189" s="12" t="n"/>
      <c r="BF189" s="12" t="n"/>
      <c r="BG189" s="12" t="n"/>
      <c r="BH189" s="12" t="n"/>
      <c r="BI189" s="12" t="n"/>
      <c r="BJ189" s="12" t="n"/>
      <c r="BK189" s="12" t="n"/>
      <c r="BL189" s="12" t="n"/>
      <c r="BM189" s="12" t="n"/>
      <c r="BN189" s="12" t="n"/>
      <c r="BO189" s="12" t="n"/>
      <c r="BP189" s="12" t="n"/>
      <c r="BQ189" s="12" t="n"/>
      <c r="BR189" s="12" t="n"/>
      <c r="BS189" s="12" t="n"/>
      <c r="BT189" s="12" t="n"/>
      <c r="BU189" s="12" t="n"/>
      <c r="BV189" s="12" t="n"/>
      <c r="BW189" s="12" t="n"/>
      <c r="BX189" s="12" t="n"/>
      <c r="BY189" s="12" t="n"/>
      <c r="BZ189" s="12" t="n"/>
      <c r="CA189" s="12" t="n"/>
      <c r="CB189" s="12" t="n"/>
      <c r="CC189" s="12" t="n"/>
      <c r="CD189" s="12" t="n"/>
      <c r="CE189" s="12" t="n"/>
      <c r="CF189" s="12" t="n"/>
      <c r="CG189" s="12" t="n"/>
      <c r="CH189" s="12" t="n"/>
      <c r="CI189" s="12" t="n"/>
      <c r="CJ189" s="12" t="n"/>
      <c r="CK189" s="12" t="n"/>
      <c r="CL189" s="12" t="n"/>
      <c r="CM189" s="12" t="n"/>
      <c r="CN189" s="12" t="n"/>
      <c r="CO189" s="12" t="n"/>
      <c r="CP189" s="12" t="n"/>
      <c r="CQ189" s="12" t="n"/>
      <c r="CR189" s="12" t="n"/>
      <c r="CS189" s="12" t="n"/>
      <c r="CT189" s="12" t="n"/>
      <c r="CU189" s="12" t="n"/>
      <c r="CV189" s="12" t="n"/>
      <c r="CW189" s="12" t="n"/>
      <c r="CX189" s="12" t="n"/>
      <c r="CY189" s="12" t="n"/>
    </row>
    <row r="190" collapsed="1">
      <c r="C190" s="14" t="inlineStr">
        <is>
          <t>Accrued expenses</t>
        </is>
      </c>
      <c r="D190" s="46" t="n"/>
      <c r="E190" s="46" t="n"/>
      <c r="F190" s="46" t="n"/>
      <c r="G190" s="46" t="n"/>
      <c r="H190" s="12" t="n"/>
      <c r="I190" s="46">
        <f>'Inputs (2)'!D29</f>
        <v>0</v>
      </c>
      <c r="J190" s="46">
        <f>'Inputs (2)'!E29</f>
        <v>0</v>
      </c>
      <c r="K190" s="46">
        <f>'Inputs (2)'!F29</f>
        <v>0</v>
      </c>
      <c r="L190" s="46">
        <f>'Inputs (2)'!G29</f>
        <v>737</v>
      </c>
      <c r="M190" s="12">
        <f>'Inputs (2)'!H29</f>
        <v>737</v>
      </c>
      <c r="N190" s="46">
        <f>'Inputs (2)'!I29</f>
        <v>803</v>
      </c>
      <c r="O190" s="46">
        <f>'Inputs (2)'!J29</f>
        <v>749</v>
      </c>
      <c r="P190" s="46">
        <f>'Inputs (2)'!K29</f>
        <v>933</v>
      </c>
      <c r="Q190" s="46">
        <f>'Inputs (2)'!L29</f>
        <v>906</v>
      </c>
      <c r="R190" s="12">
        <f>'Inputs (2)'!M29</f>
        <v>906</v>
      </c>
      <c r="S190" s="46">
        <f>'Inputs (2)'!N29</f>
        <v>743</v>
      </c>
      <c r="T190" s="46">
        <f>'Inputs (2)'!O29</f>
        <v>744</v>
      </c>
      <c r="U190" s="46">
        <f>'Inputs (2)'!P29</f>
        <v>0</v>
      </c>
      <c r="V190" s="46">
        <f>'Inputs (2)'!Q29</f>
        <v>0</v>
      </c>
      <c r="W190" s="12">
        <f>'Inputs (2)'!R29</f>
        <v>0</v>
      </c>
      <c r="X190" s="46">
        <f>'Inputs (2)'!S29</f>
        <v>0</v>
      </c>
      <c r="Y190" s="46">
        <f>'Inputs (2)'!T29</f>
        <v>0</v>
      </c>
      <c r="Z190" s="46">
        <f>'Inputs (2)'!U29</f>
        <v>0</v>
      </c>
      <c r="AA190" s="46">
        <f>'Inputs (2)'!V29</f>
        <v>0</v>
      </c>
      <c r="AB190" s="12">
        <f>'Inputs (2)'!W29</f>
        <v>0</v>
      </c>
      <c r="AC190" s="46">
        <f>'Inputs (2)'!X29</f>
        <v>0</v>
      </c>
      <c r="AD190" s="46">
        <f>'Inputs (2)'!Y29</f>
        <v>0</v>
      </c>
      <c r="AE190" s="46">
        <f>'Inputs (2)'!Z29</f>
        <v>0</v>
      </c>
      <c r="AF190" s="46">
        <f>'Inputs (2)'!AA29</f>
        <v>0</v>
      </c>
      <c r="AG190" s="12">
        <f>'Inputs (2)'!AB29</f>
        <v>0</v>
      </c>
      <c r="AH190" s="12">
        <f>'Inputs (2)'!AC29</f>
        <v>0</v>
      </c>
      <c r="AI190" s="12">
        <f>'Inputs (2)'!AD29</f>
        <v>0</v>
      </c>
      <c r="AJ190" s="12">
        <f>AI190*(1+AJ16)</f>
        <v>0</v>
      </c>
      <c r="AK190" s="12">
        <f>AJ190*(1+AK16)</f>
        <v>0</v>
      </c>
      <c r="AL190" s="12">
        <f>AK190</f>
        <v>0</v>
      </c>
      <c r="AM190" s="12">
        <f>AL190*(1+AM16)</f>
        <v>0</v>
      </c>
      <c r="AN190" s="12">
        <f>AM190*(1+AN16)</f>
        <v>0</v>
      </c>
      <c r="AO190" s="12">
        <f>AN190*(1+AO16)</f>
        <v>0</v>
      </c>
      <c r="AP190" s="12">
        <f>AO190*(1+AP16)</f>
        <v>0</v>
      </c>
      <c r="AQ190" s="12">
        <f>AP190</f>
        <v>0</v>
      </c>
      <c r="AR190" s="12">
        <f>AQ190*(1+AR16)</f>
        <v>0</v>
      </c>
      <c r="AS190" s="12">
        <f>AR190*(1+AS16)</f>
        <v>0</v>
      </c>
      <c r="AT190" s="12">
        <f>AS190*(1+AT16)</f>
        <v>0</v>
      </c>
      <c r="AU190" s="12">
        <f>AT190*(1+AU16)</f>
        <v>0</v>
      </c>
      <c r="AV190" s="12">
        <f>AU190</f>
        <v>0</v>
      </c>
      <c r="AW190" s="12">
        <f>AV190*(1+AW16)</f>
        <v>0</v>
      </c>
      <c r="AX190" s="12">
        <f>AW190*(1+AX16)</f>
        <v>0</v>
      </c>
      <c r="AY190" s="12">
        <f>AX190*(1+AY16)</f>
        <v>0</v>
      </c>
      <c r="AZ190" s="12">
        <f>AY190*(1+AZ16)</f>
        <v>0</v>
      </c>
      <c r="BA190" s="12">
        <f>AZ190</f>
        <v>0</v>
      </c>
      <c r="BB190" s="12">
        <f>BA190*(1+BB16)</f>
        <v>0</v>
      </c>
      <c r="BC190" s="12">
        <f>BB190*(1+BC16)</f>
        <v>0</v>
      </c>
      <c r="BD190" s="12">
        <f>BC190*(1+BD16)</f>
        <v>0</v>
      </c>
      <c r="BE190" s="12">
        <f>BD190*(1+BE16)</f>
        <v>0</v>
      </c>
      <c r="BF190" s="12">
        <f>BE190</f>
        <v>0</v>
      </c>
      <c r="BG190" s="12" t="n"/>
      <c r="BH190" s="12" t="n"/>
      <c r="BI190" s="12" t="n"/>
      <c r="BJ190" s="12" t="n"/>
      <c r="BK190" s="12" t="n"/>
      <c r="BL190" s="12" t="n"/>
      <c r="BM190" s="12" t="n"/>
      <c r="BN190" s="12" t="n"/>
      <c r="BO190" s="12" t="n"/>
      <c r="BP190" s="12" t="n"/>
      <c r="BQ190" s="12" t="n"/>
      <c r="BR190" s="12" t="n"/>
      <c r="BS190" s="12" t="n"/>
      <c r="BT190" s="12" t="n"/>
      <c r="BU190" s="12" t="n"/>
      <c r="BV190" s="12" t="n"/>
      <c r="BW190" s="12" t="n"/>
      <c r="BX190" s="12" t="n"/>
      <c r="BY190" s="12" t="n"/>
      <c r="BZ190" s="12" t="n"/>
      <c r="CA190" s="12" t="n"/>
      <c r="CB190" s="12" t="n"/>
      <c r="CC190" s="12" t="n"/>
      <c r="CD190" s="12" t="n"/>
      <c r="CE190" s="12" t="n"/>
      <c r="CF190" s="12" t="n"/>
      <c r="CG190" s="12" t="n"/>
      <c r="CH190" s="12" t="n"/>
      <c r="CI190" s="12" t="n"/>
      <c r="CJ190" s="12" t="n"/>
      <c r="CK190" s="12" t="n"/>
      <c r="CL190" s="12" t="n"/>
      <c r="CM190" s="12" t="n"/>
      <c r="CN190" s="12" t="n"/>
      <c r="CO190" s="12" t="n"/>
      <c r="CP190" s="12" t="n"/>
      <c r="CQ190" s="12" t="n"/>
      <c r="CR190" s="12" t="n"/>
      <c r="CS190" s="12" t="n"/>
      <c r="CT190" s="12" t="n"/>
      <c r="CU190" s="12" t="n"/>
      <c r="CV190" s="12" t="n"/>
      <c r="CW190" s="12" t="n"/>
      <c r="CX190" s="12" t="n"/>
      <c r="CY190" s="12" t="n"/>
    </row>
    <row r="191" hidden="1" outlineLevel="1">
      <c r="C191" s="59" t="inlineStr">
        <is>
          <t>%(Var.)</t>
        </is>
      </c>
      <c r="D191" s="12" t="n"/>
      <c r="E191" s="40" t="n"/>
      <c r="F191" s="40" t="n"/>
      <c r="G191" s="40" t="n"/>
      <c r="H191" s="12" t="n"/>
      <c r="I191" s="40" t="str">
        <f>""</f>
        <v/>
      </c>
      <c r="J191" s="40" t="str">
        <f>IFERROR(IF(I190=0,"",J190/I190-1),"")</f>
        <v/>
      </c>
      <c r="K191" s="40" t="str">
        <f>IFERROR(IF(J190=0,"",K190/J190-1),"")</f>
        <v/>
      </c>
      <c r="L191" s="40" t="str">
        <f>IFERROR(IF(K190=0,"",L190/K190-1),"")</f>
        <v/>
      </c>
      <c r="M191" s="12">
        <f>IF(L190=0,"",M190/L190-1)</f>
        <v>0</v>
      </c>
      <c r="N191" s="40">
        <f>IFERROR(IF(M190=0,"",N190/M190-1),"")</f>
        <v>0.0895522388059702</v>
      </c>
      <c r="O191" s="40">
        <f>IFERROR(IF(N190=0,"",O190/N190-1),"")</f>
        <v>-0.0672478206724783</v>
      </c>
      <c r="P191" s="40">
        <f>IFERROR(IF(O190=0,"",P190/O190-1),"")</f>
        <v>0.2456608811749</v>
      </c>
      <c r="Q191" s="40">
        <f>IFERROR(IF(P190=0,"",Q190/P190-1),"")</f>
        <v>-0.0289389067524116</v>
      </c>
      <c r="R191" s="12">
        <f>IF(Q190=0,"",R190/Q190-1)</f>
        <v>0</v>
      </c>
      <c r="S191" s="40">
        <f>IFERROR(IF(R190=0,"",S190/R190-1),"")</f>
        <v>-0.179911699779249</v>
      </c>
      <c r="T191" s="40">
        <f>IFERROR(IF(S190=0,"",T190/S190-1),"")</f>
        <v>0.00134589502018834</v>
      </c>
      <c r="U191" s="40">
        <f>IFERROR(IF(T190=0,"",U190/T190-1),"")</f>
        <v>-1</v>
      </c>
      <c r="V191" s="40" t="str">
        <f>IFERROR(IF(U190=0,"",V190/U190-1),"")</f>
        <v/>
      </c>
      <c r="W191" s="12" t="str">
        <f>IF(V190=0,"",W190/V190-1)</f>
        <v/>
      </c>
      <c r="X191" s="40" t="str">
        <f>IFERROR(IF(W190=0,"",X190/W190-1),"")</f>
        <v/>
      </c>
      <c r="Y191" s="40" t="str">
        <f>IFERROR(IF(X190=0,"",Y190/X190-1),"")</f>
        <v/>
      </c>
      <c r="Z191" s="40" t="str">
        <f>IFERROR(IF(Y190=0,"",Z190/Y190-1),"")</f>
        <v/>
      </c>
      <c r="AA191" s="40" t="str">
        <f>IFERROR(IF(Z190=0,"",AA190/Z190-1),"")</f>
        <v/>
      </c>
      <c r="AB191" s="12" t="str">
        <f>IF(AA190=0,"",AB190/AA190-1)</f>
        <v/>
      </c>
      <c r="AC191" s="40" t="str">
        <f>IFERROR(IF(AB190=0,"",AC190/AB190-1),"")</f>
        <v/>
      </c>
      <c r="AD191" s="40" t="str">
        <f>IFERROR(IF(AC190=0,"",AD190/AC190-1),"")</f>
        <v/>
      </c>
      <c r="AE191" s="40" t="str">
        <f>IFERROR(IF(AD190=0,"",AE190/AD190-1),"")</f>
        <v/>
      </c>
      <c r="AF191" s="55" t="str">
        <f>IFERROR(IF(AE190=0,"",AF190/AE190-1),"")</f>
        <v/>
      </c>
      <c r="AG191" s="12" t="str">
        <f>IF(AF190=0,"",AG190/AF190-1)</f>
        <v/>
      </c>
      <c r="AH191" s="55" t="str">
        <f>IFERROR(IF(AG190=0,"",AH190/AG190-1),"")</f>
        <v/>
      </c>
      <c r="AI191" s="55" t="str">
        <f>IFERROR(IF(AH190=0,"",AI190/AH190-1),"")</f>
        <v/>
      </c>
      <c r="AJ191" s="55" t="str">
        <f>IFERROR(IF(AI190=0,"",AJ190/AI190-1),"")</f>
        <v/>
      </c>
      <c r="AK191" s="55" t="str">
        <f>IF(AJ190=0,"",AK190/AJ190-1)</f>
        <v/>
      </c>
      <c r="AL191" s="12" t="str">
        <f>IF(AK190=0,"",AL190/AK190-1)</f>
        <v/>
      </c>
      <c r="AM191" s="55" t="str">
        <f>IF(AL190=0,"",AM190/AL190-1)</f>
        <v/>
      </c>
      <c r="AN191" s="55" t="str">
        <f>IF(AM190=0,"",AN190/AM190-1)</f>
        <v/>
      </c>
      <c r="AO191" s="55" t="str">
        <f>IF(AN190=0,"",AO190/AN190-1)</f>
        <v/>
      </c>
      <c r="AP191" s="55" t="str">
        <f>IF(AO190=0,"",AP190/AO190-1)</f>
        <v/>
      </c>
      <c r="AQ191" s="12" t="str">
        <f>IF(AP190=0,"",AQ190/AP190-1)</f>
        <v/>
      </c>
      <c r="AR191" s="55" t="str">
        <f>IF(AQ190=0,"",AR190/AQ190-1)</f>
        <v/>
      </c>
      <c r="AS191" s="55" t="str">
        <f>IF(AR190=0,"",AS190/AR190-1)</f>
        <v/>
      </c>
      <c r="AT191" s="55" t="str">
        <f>IF(AS190=0,"",AT190/AS190-1)</f>
        <v/>
      </c>
      <c r="AU191" s="55" t="str">
        <f>IF(AT190=0,"",AU190/AT190-1)</f>
        <v/>
      </c>
      <c r="AV191" s="12" t="str">
        <f>IF(AU190=0,"",AV190/AU190-1)</f>
        <v/>
      </c>
      <c r="AW191" s="55" t="str">
        <f>IF(AV190=0,"",AW190/AV190-1)</f>
        <v/>
      </c>
      <c r="AX191" s="55" t="str">
        <f>IF(AW190=0,"",AX190/AW190-1)</f>
        <v/>
      </c>
      <c r="AY191" s="55" t="str">
        <f>IF(AX190=0,"",AY190/AX190-1)</f>
        <v/>
      </c>
      <c r="AZ191" s="55" t="str">
        <f>IF(AY190=0,"",AZ190/AY190-1)</f>
        <v/>
      </c>
      <c r="BA191" s="12" t="str">
        <f>IF(AZ190=0,"",BA190/AZ190-1)</f>
        <v/>
      </c>
      <c r="BB191" s="55" t="str">
        <f>IF(BA190=0,"",BB190/BA190-1)</f>
        <v/>
      </c>
      <c r="BC191" s="55" t="str">
        <f>IF(BB190=0,"",BC190/BB190-1)</f>
        <v/>
      </c>
      <c r="BD191" s="55" t="str">
        <f>IF(BC190=0,"",BD190/BC190-1)</f>
        <v/>
      </c>
      <c r="BE191" s="55" t="str">
        <f>IF(BD190=0,"",BE190/BD190-1)</f>
        <v/>
      </c>
      <c r="BF191" s="12" t="str">
        <f>IF(BE190=0,"",BF190/BE190-1)</f>
        <v/>
      </c>
      <c r="BG191" s="55" t="n"/>
      <c r="BH191" s="55" t="n"/>
      <c r="BI191" s="55" t="n"/>
      <c r="BJ191" s="55" t="n"/>
      <c r="BK191" s="12" t="n"/>
      <c r="BL191" s="55" t="n"/>
      <c r="BM191" s="55" t="n"/>
      <c r="BN191" s="55" t="n"/>
      <c r="BO191" s="55" t="n"/>
      <c r="BP191" s="12" t="n"/>
      <c r="BQ191" s="55" t="n"/>
      <c r="BR191" s="55" t="n"/>
      <c r="BS191" s="55" t="n"/>
      <c r="BT191" s="55" t="n"/>
      <c r="BU191" s="12" t="n"/>
      <c r="BV191" s="55" t="n"/>
      <c r="BW191" s="55" t="n"/>
      <c r="BX191" s="55" t="n"/>
      <c r="BY191" s="55" t="n"/>
      <c r="BZ191" s="12" t="n"/>
      <c r="CA191" s="55" t="n"/>
      <c r="CB191" s="55" t="n"/>
      <c r="CC191" s="55" t="n"/>
      <c r="CD191" s="55" t="n"/>
      <c r="CE191" s="12" t="n"/>
      <c r="CF191" s="55" t="n"/>
      <c r="CG191" s="55" t="n"/>
      <c r="CH191" s="55" t="n"/>
      <c r="CI191" s="55" t="n"/>
      <c r="CJ191" s="12" t="n"/>
      <c r="CK191" s="55" t="n"/>
      <c r="CL191" s="55" t="n"/>
      <c r="CM191" s="55" t="n"/>
      <c r="CN191" s="55" t="n"/>
      <c r="CO191" s="12" t="n"/>
      <c r="CP191" s="55" t="n"/>
      <c r="CQ191" s="55" t="n"/>
      <c r="CR191" s="55" t="n"/>
      <c r="CS191" s="55" t="n"/>
      <c r="CT191" s="12" t="n"/>
      <c r="CU191" s="55" t="n"/>
      <c r="CV191" s="55" t="n"/>
      <c r="CW191" s="55" t="n"/>
      <c r="CX191" s="55" t="n"/>
      <c r="CY191" s="12" t="n"/>
    </row>
    <row r="192" collapsed="1">
      <c r="C192" s="14" t="inlineStr">
        <is>
          <t>Taxes payable</t>
        </is>
      </c>
      <c r="D192" s="46" t="n"/>
      <c r="E192" s="46" t="n"/>
      <c r="F192" s="46" t="n"/>
      <c r="G192" s="46" t="n"/>
      <c r="H192" s="12" t="n"/>
      <c r="I192" s="46">
        <f>'Inputs (2)'!D30</f>
        <v>0</v>
      </c>
      <c r="J192" s="46">
        <f>'Inputs (2)'!E30</f>
        <v>0</v>
      </c>
      <c r="K192" s="46">
        <f>'Inputs (2)'!F30</f>
        <v>0</v>
      </c>
      <c r="L192" s="46">
        <f>'Inputs (2)'!G30</f>
        <v>0</v>
      </c>
      <c r="M192" s="12">
        <f>'Inputs (2)'!H30</f>
        <v>0</v>
      </c>
      <c r="N192" s="46">
        <f>'Inputs (2)'!I30</f>
        <v>0</v>
      </c>
      <c r="O192" s="46">
        <f>'Inputs (2)'!J30</f>
        <v>0</v>
      </c>
      <c r="P192" s="46">
        <f>'Inputs (2)'!K30</f>
        <v>0</v>
      </c>
      <c r="Q192" s="46">
        <f>'Inputs (2)'!L30</f>
        <v>0</v>
      </c>
      <c r="R192" s="12">
        <f>'Inputs (2)'!M30</f>
        <v>0</v>
      </c>
      <c r="S192" s="46">
        <f>'Inputs (2)'!N30</f>
        <v>0</v>
      </c>
      <c r="T192" s="46">
        <f>'Inputs (2)'!O30</f>
        <v>0</v>
      </c>
      <c r="U192" s="46">
        <f>'Inputs (2)'!P30</f>
        <v>0</v>
      </c>
      <c r="V192" s="46">
        <f>'Inputs (2)'!Q30</f>
        <v>0</v>
      </c>
      <c r="W192" s="12">
        <f>'Inputs (2)'!R30</f>
        <v>0</v>
      </c>
      <c r="X192" s="46">
        <f>'Inputs (2)'!S30</f>
        <v>0</v>
      </c>
      <c r="Y192" s="46">
        <f>'Inputs (2)'!T30</f>
        <v>0</v>
      </c>
      <c r="Z192" s="46">
        <f>'Inputs (2)'!U30</f>
        <v>0</v>
      </c>
      <c r="AA192" s="46">
        <f>'Inputs (2)'!V30</f>
        <v>0</v>
      </c>
      <c r="AB192" s="12">
        <f>'Inputs (2)'!W30</f>
        <v>0</v>
      </c>
      <c r="AC192" s="46">
        <f>'Inputs (2)'!X30</f>
        <v>0</v>
      </c>
      <c r="AD192" s="46">
        <f>'Inputs (2)'!Y30</f>
        <v>0</v>
      </c>
      <c r="AE192" s="46">
        <f>'Inputs (2)'!Z30</f>
        <v>0</v>
      </c>
      <c r="AF192" s="46">
        <f>'Inputs (2)'!AA30</f>
        <v>0</v>
      </c>
      <c r="AG192" s="12">
        <f>'Inputs (2)'!AB30</f>
        <v>0</v>
      </c>
      <c r="AH192" s="12">
        <f>'Inputs (2)'!AC30</f>
        <v>0</v>
      </c>
      <c r="AI192" s="12">
        <f>'Inputs (2)'!AD30</f>
        <v>0</v>
      </c>
      <c r="AJ192" s="12">
        <f>AI192*(1+AJ16)</f>
        <v>0</v>
      </c>
      <c r="AK192" s="12">
        <f>AJ192*(1+AK16)</f>
        <v>0</v>
      </c>
      <c r="AL192" s="12">
        <f>AK192</f>
        <v>0</v>
      </c>
      <c r="AM192" s="12">
        <f>AL192*(1+AM16)</f>
        <v>0</v>
      </c>
      <c r="AN192" s="12">
        <f>AM192*(1+AN16)</f>
        <v>0</v>
      </c>
      <c r="AO192" s="12">
        <f>AN192*(1+AO16)</f>
        <v>0</v>
      </c>
      <c r="AP192" s="12">
        <f>AO192*(1+AP16)</f>
        <v>0</v>
      </c>
      <c r="AQ192" s="12">
        <f>AP192</f>
        <v>0</v>
      </c>
      <c r="AR192" s="12">
        <f>AQ192*(1+AR16)</f>
        <v>0</v>
      </c>
      <c r="AS192" s="12">
        <f>AR192*(1+AS16)</f>
        <v>0</v>
      </c>
      <c r="AT192" s="12">
        <f>AS192*(1+AT16)</f>
        <v>0</v>
      </c>
      <c r="AU192" s="12">
        <f>AT192*(1+AU16)</f>
        <v>0</v>
      </c>
      <c r="AV192" s="12">
        <f>AU192</f>
        <v>0</v>
      </c>
      <c r="AW192" s="12">
        <f>AV192*(1+AW16)</f>
        <v>0</v>
      </c>
      <c r="AX192" s="12">
        <f>AW192*(1+AX16)</f>
        <v>0</v>
      </c>
      <c r="AY192" s="12">
        <f>AX192*(1+AY16)</f>
        <v>0</v>
      </c>
      <c r="AZ192" s="12">
        <f>AY192*(1+AZ16)</f>
        <v>0</v>
      </c>
      <c r="BA192" s="12">
        <f>AZ192</f>
        <v>0</v>
      </c>
      <c r="BB192" s="12">
        <f>BA192*(1+BB16)</f>
        <v>0</v>
      </c>
      <c r="BC192" s="12">
        <f>BB192*(1+BC16)</f>
        <v>0</v>
      </c>
      <c r="BD192" s="12">
        <f>BC192*(1+BD16)</f>
        <v>0</v>
      </c>
      <c r="BE192" s="12">
        <f>BD192*(1+BE16)</f>
        <v>0</v>
      </c>
      <c r="BF192" s="12">
        <f>BE192</f>
        <v>0</v>
      </c>
      <c r="BG192" s="12" t="n"/>
      <c r="BH192" s="12" t="n"/>
      <c r="BI192" s="12" t="n"/>
      <c r="BJ192" s="12" t="n"/>
      <c r="BK192" s="12" t="n"/>
      <c r="BL192" s="12" t="n"/>
      <c r="BM192" s="12" t="n"/>
      <c r="BN192" s="12" t="n"/>
      <c r="BO192" s="12" t="n"/>
      <c r="BP192" s="12" t="n"/>
      <c r="BQ192" s="12" t="n"/>
      <c r="BR192" s="12" t="n"/>
      <c r="BS192" s="12" t="n"/>
      <c r="BT192" s="12" t="n"/>
      <c r="BU192" s="12" t="n"/>
      <c r="BV192" s="12" t="n"/>
      <c r="BW192" s="12" t="n"/>
      <c r="BX192" s="12" t="n"/>
      <c r="BY192" s="12" t="n"/>
      <c r="BZ192" s="12" t="n"/>
      <c r="CA192" s="12" t="n"/>
      <c r="CB192" s="12" t="n"/>
      <c r="CC192" s="12" t="n"/>
      <c r="CD192" s="12" t="n"/>
      <c r="CE192" s="12" t="n"/>
      <c r="CF192" s="12" t="n"/>
      <c r="CG192" s="12" t="n"/>
      <c r="CH192" s="12" t="n"/>
      <c r="CI192" s="12" t="n"/>
      <c r="CJ192" s="12" t="n"/>
      <c r="CK192" s="12" t="n"/>
      <c r="CL192" s="12" t="n"/>
      <c r="CM192" s="12" t="n"/>
      <c r="CN192" s="12" t="n"/>
      <c r="CO192" s="12" t="n"/>
      <c r="CP192" s="12" t="n"/>
      <c r="CQ192" s="12" t="n"/>
      <c r="CR192" s="12" t="n"/>
      <c r="CS192" s="12" t="n"/>
      <c r="CT192" s="12" t="n"/>
      <c r="CU192" s="12" t="n"/>
      <c r="CV192" s="12" t="n"/>
      <c r="CW192" s="12" t="n"/>
      <c r="CX192" s="12" t="n"/>
      <c r="CY192" s="12" t="n"/>
    </row>
    <row r="193">
      <c r="C193" s="14" t="inlineStr">
        <is>
          <t>Other current liabilities (non-debt)</t>
        </is>
      </c>
      <c r="D193" s="46" t="n"/>
      <c r="E193" s="46" t="n"/>
      <c r="F193" s="46" t="n"/>
      <c r="G193" s="46" t="n"/>
      <c r="H193" s="12" t="n"/>
      <c r="I193" s="46">
        <f>'Inputs (2)'!D31</f>
        <v>0</v>
      </c>
      <c r="J193" s="46">
        <f>'Inputs (2)'!E31</f>
        <v>0</v>
      </c>
      <c r="K193" s="46">
        <f>'Inputs (2)'!F31</f>
        <v>0</v>
      </c>
      <c r="L193" s="46">
        <f>'Inputs (2)'!G31</f>
        <v>2200</v>
      </c>
      <c r="M193" s="12">
        <f>'Inputs (2)'!H31</f>
        <v>2200</v>
      </c>
      <c r="N193" s="46">
        <f>'Inputs (2)'!I31</f>
        <v>2513</v>
      </c>
      <c r="O193" s="46">
        <f>'Inputs (2)'!J31</f>
        <v>2585</v>
      </c>
      <c r="P193" s="46">
        <f>'Inputs (2)'!K31</f>
        <v>3483</v>
      </c>
      <c r="Q193" s="46">
        <f>'Inputs (2)'!L31</f>
        <v>2803</v>
      </c>
      <c r="R193" s="12">
        <f>'Inputs (2)'!M31</f>
        <v>2803</v>
      </c>
      <c r="S193" s="46">
        <f>'Inputs (2)'!N31</f>
        <v>2780</v>
      </c>
      <c r="T193" s="46">
        <f>'Inputs (2)'!O31</f>
        <v>2176</v>
      </c>
      <c r="U193" s="46">
        <f>'Inputs (2)'!P31</f>
        <v>2368</v>
      </c>
      <c r="V193" s="46">
        <f>'Inputs (2)'!Q31</f>
        <v>1942</v>
      </c>
      <c r="W193" s="12">
        <f>'Inputs (2)'!R31</f>
        <v>1942</v>
      </c>
      <c r="X193" s="46">
        <f>'Inputs (2)'!S31</f>
        <v>1874</v>
      </c>
      <c r="Y193" s="46">
        <f>'Inputs (2)'!T31</f>
        <v>1664</v>
      </c>
      <c r="Z193" s="46">
        <f>'Inputs (2)'!U31</f>
        <v>1733</v>
      </c>
      <c r="AA193" s="46">
        <f>'Inputs (2)'!V31</f>
        <v>1875</v>
      </c>
      <c r="AB193" s="12">
        <f>'Inputs (2)'!W31</f>
        <v>1875</v>
      </c>
      <c r="AC193" s="46">
        <f>'Inputs (2)'!X31</f>
        <v>1894</v>
      </c>
      <c r="AD193" s="46">
        <f>'Inputs (2)'!Y31</f>
        <v>1572</v>
      </c>
      <c r="AE193" s="46">
        <f>'Inputs (2)'!Z31</f>
        <v>1761</v>
      </c>
      <c r="AF193" s="46">
        <f>'Inputs (2)'!AA31</f>
        <v>1908</v>
      </c>
      <c r="AG193" s="12">
        <f>'Inputs (2)'!AB31</f>
        <v>1908</v>
      </c>
      <c r="AH193" s="12">
        <f>'Inputs (2)'!AC31</f>
        <v>3294</v>
      </c>
      <c r="AI193" s="12">
        <f>'Inputs (2)'!AD31</f>
        <v>3011</v>
      </c>
      <c r="AJ193" s="12">
        <f>AI193</f>
        <v>3011</v>
      </c>
      <c r="AK193" s="12">
        <f>AJ193</f>
        <v>3011</v>
      </c>
      <c r="AL193" s="12">
        <f>AK193</f>
        <v>3011</v>
      </c>
      <c r="AM193" s="12">
        <f>AL193</f>
        <v>3011</v>
      </c>
      <c r="AN193" s="12">
        <f>AM193</f>
        <v>3011</v>
      </c>
      <c r="AO193" s="12">
        <f>AN193</f>
        <v>3011</v>
      </c>
      <c r="AP193" s="12">
        <f>AO193</f>
        <v>3011</v>
      </c>
      <c r="AQ193" s="12">
        <f>AP193</f>
        <v>3011</v>
      </c>
      <c r="AR193" s="12">
        <f>AQ193</f>
        <v>3011</v>
      </c>
      <c r="AS193" s="12">
        <f>AR193</f>
        <v>3011</v>
      </c>
      <c r="AT193" s="12">
        <f>AS193</f>
        <v>3011</v>
      </c>
      <c r="AU193" s="12">
        <f>AT193</f>
        <v>3011</v>
      </c>
      <c r="AV193" s="12">
        <f>AU193</f>
        <v>3011</v>
      </c>
      <c r="AW193" s="12">
        <f>AV193</f>
        <v>3011</v>
      </c>
      <c r="AX193" s="12">
        <f>AW193</f>
        <v>3011</v>
      </c>
      <c r="AY193" s="12">
        <f>AX193</f>
        <v>3011</v>
      </c>
      <c r="AZ193" s="12">
        <f>AY193</f>
        <v>3011</v>
      </c>
      <c r="BA193" s="12">
        <f>AZ193</f>
        <v>3011</v>
      </c>
      <c r="BB193" s="12">
        <f>BA193</f>
        <v>3011</v>
      </c>
      <c r="BC193" s="12">
        <f>BB193</f>
        <v>3011</v>
      </c>
      <c r="BD193" s="12">
        <f>BC193</f>
        <v>3011</v>
      </c>
      <c r="BE193" s="12">
        <f>BD193</f>
        <v>3011</v>
      </c>
      <c r="BF193" s="12">
        <f>BE193</f>
        <v>3011</v>
      </c>
      <c r="BG193" s="12" t="n"/>
      <c r="BH193" s="12" t="n"/>
      <c r="BI193" s="12" t="n"/>
      <c r="BJ193" s="12" t="n"/>
      <c r="BK193" s="12" t="n"/>
      <c r="BL193" s="12" t="n"/>
      <c r="BM193" s="12" t="n"/>
      <c r="BN193" s="12" t="n"/>
      <c r="BO193" s="12" t="n"/>
      <c r="BP193" s="12" t="n"/>
      <c r="BQ193" s="12" t="n"/>
      <c r="BR193" s="12" t="n"/>
      <c r="BS193" s="12" t="n"/>
      <c r="BT193" s="12" t="n"/>
      <c r="BU193" s="12" t="n"/>
      <c r="BV193" s="12" t="n"/>
      <c r="BW193" s="12" t="n"/>
      <c r="BX193" s="12" t="n"/>
      <c r="BY193" s="12" t="n"/>
      <c r="BZ193" s="12" t="n"/>
      <c r="CA193" s="12" t="n"/>
      <c r="CB193" s="12" t="n"/>
      <c r="CC193" s="12" t="n"/>
      <c r="CD193" s="12" t="n"/>
      <c r="CE193" s="12" t="n"/>
      <c r="CF193" s="12" t="n"/>
      <c r="CG193" s="12" t="n"/>
      <c r="CH193" s="12" t="n"/>
      <c r="CI193" s="12" t="n"/>
      <c r="CJ193" s="12" t="n"/>
      <c r="CK193" s="12" t="n"/>
      <c r="CL193" s="12" t="n"/>
      <c r="CM193" s="12" t="n"/>
      <c r="CN193" s="12" t="n"/>
      <c r="CO193" s="12" t="n"/>
      <c r="CP193" s="12" t="n"/>
      <c r="CQ193" s="12" t="n"/>
      <c r="CR193" s="12" t="n"/>
      <c r="CS193" s="12" t="n"/>
      <c r="CT193" s="12" t="n"/>
      <c r="CU193" s="12" t="n"/>
      <c r="CV193" s="12" t="n"/>
      <c r="CW193" s="12" t="n"/>
      <c r="CX193" s="12" t="n"/>
      <c r="CY193" s="12" t="n"/>
    </row>
    <row r="194" hidden="1" outlineLevel="1">
      <c r="C194" s="59" t="inlineStr">
        <is>
          <t>%(Var.)</t>
        </is>
      </c>
      <c r="D194" s="12" t="n"/>
      <c r="E194" s="40" t="n"/>
      <c r="F194" s="40" t="n"/>
      <c r="G194" s="40" t="n"/>
      <c r="H194" s="12" t="n"/>
      <c r="I194" s="40" t="str">
        <f>""</f>
        <v/>
      </c>
      <c r="J194" s="40" t="str">
        <f>IFERROR(IF(I193=0,"",J193/I193-1),"")</f>
        <v/>
      </c>
      <c r="K194" s="40" t="str">
        <f>IFERROR(IF(J193=0,"",K193/J193-1),"")</f>
        <v/>
      </c>
      <c r="L194" s="40" t="str">
        <f>IFERROR(IF(K193=0,"",L193/K193-1),"")</f>
        <v/>
      </c>
      <c r="M194" s="12">
        <f>IF(L193=0,"",M193/L193-1)</f>
        <v>0</v>
      </c>
      <c r="N194" s="40">
        <f>IFERROR(IF(M193=0,"",N193/M193-1),"")</f>
        <v>0.142272727272727</v>
      </c>
      <c r="O194" s="40">
        <f>IFERROR(IF(N193=0,"",O193/N193-1),"")</f>
        <v>0.0286510147234382</v>
      </c>
      <c r="P194" s="40">
        <f>IFERROR(IF(O193=0,"",P193/O193-1),"")</f>
        <v>0.347388781431335</v>
      </c>
      <c r="Q194" s="40">
        <f>IFERROR(IF(P193=0,"",Q193/P193-1),"")</f>
        <v>-0.195233993683606</v>
      </c>
      <c r="R194" s="12">
        <f>IF(Q193=0,"",R193/Q193-1)</f>
        <v>0</v>
      </c>
      <c r="S194" s="40">
        <f>IFERROR(IF(R193=0,"",S193/R193-1),"")</f>
        <v>-0.00820549411344984</v>
      </c>
      <c r="T194" s="40">
        <f>IFERROR(IF(S193=0,"",T193/S193-1),"")</f>
        <v>-0.21726618705036</v>
      </c>
      <c r="U194" s="40">
        <f>IFERROR(IF(T193=0,"",U193/T193-1),"")</f>
        <v>0.088235294117647</v>
      </c>
      <c r="V194" s="40">
        <f>IFERROR(IF(U193=0,"",V193/U193-1),"")</f>
        <v>-0.179898648648649</v>
      </c>
      <c r="W194" s="12">
        <f>IF(V193=0,"",W193/V193-1)</f>
        <v>0</v>
      </c>
      <c r="X194" s="40">
        <f>IFERROR(IF(W193=0,"",X193/W193-1),"")</f>
        <v>-0.035015447991761</v>
      </c>
      <c r="Y194" s="40">
        <f>IFERROR(IF(X193=0,"",Y193/X193-1),"")</f>
        <v>-0.112059765208111</v>
      </c>
      <c r="Z194" s="40">
        <f>IFERROR(IF(Y193=0,"",Z193/Y193-1),"")</f>
        <v>0.0414663461538463</v>
      </c>
      <c r="AA194" s="40">
        <f>IFERROR(IF(Z193=0,"",AA193/Z193-1),"")</f>
        <v>0.0819388343912291</v>
      </c>
      <c r="AB194" s="12">
        <f>IF(AA193=0,"",AB193/AA193-1)</f>
        <v>0</v>
      </c>
      <c r="AC194" s="40">
        <f>IFERROR(IF(AB193=0,"",AC193/AB193-1),"")</f>
        <v>0.0101333333333333</v>
      </c>
      <c r="AD194" s="40">
        <f>IFERROR(IF(AC193=0,"",AD193/AC193-1),"")</f>
        <v>-0.170010559662091</v>
      </c>
      <c r="AE194" s="40">
        <f>IFERROR(IF(AD193=0,"",AE193/AD193-1),"")</f>
        <v>0.120229007633588</v>
      </c>
      <c r="AF194" s="55">
        <f>IFERROR(IF(AE193=0,"",AF193/AE193-1),"")</f>
        <v>0.0834752981260647</v>
      </c>
      <c r="AG194" s="12">
        <f>IF(AF193=0,"",AG193/AF193-1)</f>
        <v>0</v>
      </c>
      <c r="AH194" s="55">
        <f>IFERROR(IF(AG193=0,"",AH193/AG193-1),"")</f>
        <v>0.726415094339623</v>
      </c>
      <c r="AI194" s="55">
        <f>IFERROR(IF(AH193=0,"",AI193/AH193-1),"")</f>
        <v>-0.0859137826350941</v>
      </c>
      <c r="AJ194" s="55">
        <f>IFERROR(IF(AI193=0,"",AJ193/AI193-1),"")</f>
        <v>0</v>
      </c>
      <c r="AK194" s="55">
        <f>IFERROR(IF(AJ193=0,"",AK193/AJ193-1),"")</f>
        <v>0</v>
      </c>
      <c r="AL194" s="12">
        <f>IFERROR(IF(AK193=0,"",AL193/AK193-1),"")</f>
        <v>0</v>
      </c>
      <c r="AM194" s="55">
        <f>IFERROR(IF(AL193=0,"",AM193/AL193-1),"")</f>
        <v>0</v>
      </c>
      <c r="AN194" s="55">
        <f>IFERROR(IF(AM193=0,"",AN193/AM193-1),"")</f>
        <v>0</v>
      </c>
      <c r="AO194" s="55">
        <f>IFERROR(IF(AN193=0,"",AO193/AN193-1),"")</f>
        <v>0</v>
      </c>
      <c r="AP194" s="55">
        <f>IFERROR(IF(AO193=0,"",AP193/AO193-1),"")</f>
        <v>0</v>
      </c>
      <c r="AQ194" s="12">
        <f>IFERROR(IF(AP193=0,"",AQ193/AP193-1),"")</f>
        <v>0</v>
      </c>
      <c r="AR194" s="55">
        <f>IFERROR(IF(AQ193=0,"",AR193/AQ193-1),"")</f>
        <v>0</v>
      </c>
      <c r="AS194" s="55">
        <f>IFERROR(IF(AR193=0,"",AS193/AR193-1),"")</f>
        <v>0</v>
      </c>
      <c r="AT194" s="55">
        <f>IFERROR(IF(AS193=0,"",AT193/AS193-1),"")</f>
        <v>0</v>
      </c>
      <c r="AU194" s="55">
        <f>IFERROR(IF(AT193=0,"",AU193/AT193-1),"")</f>
        <v>0</v>
      </c>
      <c r="AV194" s="12">
        <f>IFERROR(IF(AU193=0,"",AV193/AU193-1),"")</f>
        <v>0</v>
      </c>
      <c r="AW194" s="55">
        <f>IFERROR(IF(AV193=0,"",AW193/AV193-1),"")</f>
        <v>0</v>
      </c>
      <c r="AX194" s="55">
        <f>IFERROR(IF(AW193=0,"",AX193/AW193-1),"")</f>
        <v>0</v>
      </c>
      <c r="AY194" s="55">
        <f>IFERROR(IF(AX193=0,"",AY193/AX193-1),"")</f>
        <v>0</v>
      </c>
      <c r="AZ194" s="55">
        <f>IFERROR(IF(AY193=0,"",AZ193/AY193-1),"")</f>
        <v>0</v>
      </c>
      <c r="BA194" s="12">
        <f>IFERROR(IF(AZ193=0,"",BA193/AZ193-1),"")</f>
        <v>0</v>
      </c>
      <c r="BB194" s="55">
        <f>IFERROR(IF(BA193=0,"",BB193/BA193-1),"")</f>
        <v>0</v>
      </c>
      <c r="BC194" s="55">
        <f>IFERROR(IF(BB193=0,"",BC193/BB193-1),"")</f>
        <v>0</v>
      </c>
      <c r="BD194" s="55">
        <f>IFERROR(IF(BC193=0,"",BD193/BC193-1),"")</f>
        <v>0</v>
      </c>
      <c r="BE194" s="55">
        <f>IFERROR(IF(BD193=0,"",BE193/BD193-1),"")</f>
        <v>0</v>
      </c>
      <c r="BF194" s="12">
        <f>IFERROR(IF(BE193=0,"",BF193/BE193-1),"")</f>
        <v>0</v>
      </c>
      <c r="BG194" s="55" t="n"/>
      <c r="BH194" s="55" t="n"/>
      <c r="BI194" s="55" t="n"/>
      <c r="BJ194" s="55" t="n"/>
      <c r="BK194" s="12" t="n"/>
      <c r="BL194" s="55" t="n"/>
      <c r="BM194" s="55" t="n"/>
      <c r="BN194" s="55" t="n"/>
      <c r="BO194" s="55" t="n"/>
      <c r="BP194" s="12" t="n"/>
      <c r="BQ194" s="55" t="n"/>
      <c r="BR194" s="55" t="n"/>
      <c r="BS194" s="55" t="n"/>
      <c r="BT194" s="55" t="n"/>
      <c r="BU194" s="12" t="n"/>
      <c r="BV194" s="55" t="n"/>
      <c r="BW194" s="55" t="n"/>
      <c r="BX194" s="55" t="n"/>
      <c r="BY194" s="55" t="n"/>
      <c r="BZ194" s="12" t="n"/>
      <c r="CA194" s="55" t="n"/>
      <c r="CB194" s="55" t="n"/>
      <c r="CC194" s="55" t="n"/>
      <c r="CD194" s="55" t="n"/>
      <c r="CE194" s="12" t="n"/>
      <c r="CF194" s="55" t="n"/>
      <c r="CG194" s="55" t="n"/>
      <c r="CH194" s="55" t="n"/>
      <c r="CI194" s="55" t="n"/>
      <c r="CJ194" s="12" t="n"/>
      <c r="CK194" s="55" t="n"/>
      <c r="CL194" s="55" t="n"/>
      <c r="CM194" s="55" t="n"/>
      <c r="CN194" s="55" t="n"/>
      <c r="CO194" s="12" t="n"/>
      <c r="CP194" s="55" t="n"/>
      <c r="CQ194" s="55" t="n"/>
      <c r="CR194" s="55" t="n"/>
      <c r="CS194" s="55" t="n"/>
      <c r="CT194" s="12" t="n"/>
      <c r="CU194" s="55" t="n"/>
      <c r="CV194" s="55" t="n"/>
      <c r="CW194" s="55" t="n"/>
      <c r="CX194" s="55" t="n"/>
      <c r="CY194" s="12" t="n"/>
    </row>
    <row r="195" hidden="1" outlineLevel="1">
      <c r="C195" s="57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 t="n"/>
      <c r="AJ195" s="12" t="n"/>
      <c r="AK195" s="12" t="n"/>
      <c r="AL195" s="12" t="n"/>
      <c r="AM195" s="12" t="n"/>
      <c r="AN195" s="12" t="n"/>
      <c r="AO195" s="12" t="n"/>
      <c r="AP195" s="12" t="n"/>
      <c r="AQ195" s="12" t="n"/>
      <c r="AR195" s="12" t="n"/>
      <c r="AS195" s="12" t="n"/>
      <c r="AT195" s="12" t="n"/>
      <c r="AU195" s="12" t="n"/>
      <c r="AV195" s="12" t="n"/>
      <c r="AW195" s="12" t="n"/>
      <c r="AX195" s="12" t="n"/>
      <c r="AY195" s="12" t="n"/>
      <c r="AZ195" s="12" t="n"/>
      <c r="BA195" s="12" t="n"/>
      <c r="BB195" s="12" t="n"/>
      <c r="BC195" s="12" t="n"/>
      <c r="BD195" s="12" t="n"/>
      <c r="BE195" s="12" t="n"/>
      <c r="BF195" s="12" t="n"/>
      <c r="BG195" s="12" t="n"/>
      <c r="BH195" s="12" t="n"/>
      <c r="BI195" s="12" t="n"/>
      <c r="BJ195" s="12" t="n"/>
      <c r="BK195" s="12" t="n"/>
      <c r="BL195" s="12" t="n"/>
      <c r="BM195" s="12" t="n"/>
      <c r="BN195" s="12" t="n"/>
      <c r="BO195" s="12" t="n"/>
      <c r="BP195" s="12" t="n"/>
      <c r="BQ195" s="12" t="n"/>
      <c r="BR195" s="12" t="n"/>
      <c r="BS195" s="12" t="n"/>
      <c r="BT195" s="12" t="n"/>
      <c r="BU195" s="12" t="n"/>
      <c r="BV195" s="12" t="n"/>
      <c r="BW195" s="12" t="n"/>
      <c r="BX195" s="12" t="n"/>
      <c r="BY195" s="12" t="n"/>
      <c r="BZ195" s="12" t="n"/>
      <c r="CA195" s="12" t="n"/>
      <c r="CB195" s="12" t="n"/>
      <c r="CC195" s="12" t="n"/>
      <c r="CD195" s="12" t="n"/>
      <c r="CE195" s="12" t="n"/>
      <c r="CF195" s="12" t="n"/>
      <c r="CG195" s="12" t="n"/>
      <c r="CH195" s="12" t="n"/>
      <c r="CI195" s="12" t="n"/>
      <c r="CJ195" s="12" t="n"/>
      <c r="CK195" s="12" t="n"/>
      <c r="CL195" s="12" t="n"/>
      <c r="CM195" s="12" t="n"/>
      <c r="CN195" s="12" t="n"/>
      <c r="CO195" s="12" t="n"/>
      <c r="CP195" s="12" t="n"/>
      <c r="CQ195" s="12" t="n"/>
      <c r="CR195" s="12" t="n"/>
      <c r="CS195" s="12" t="n"/>
      <c r="CT195" s="12" t="n"/>
      <c r="CU195" s="12" t="n"/>
      <c r="CV195" s="12" t="n"/>
      <c r="CW195" s="12" t="n"/>
      <c r="CX195" s="12" t="n"/>
      <c r="CY195" s="12" t="n"/>
    </row>
    <row r="196" hidden="1" outlineLevel="1">
      <c r="C196" s="57" t="inlineStr">
        <is>
          <t xml:space="preserve">Dividendos a Pagar </t>
        </is>
      </c>
      <c r="D196" s="11" t="n"/>
      <c r="E196" s="11" t="n"/>
      <c r="F196" s="11" t="n"/>
      <c r="G196" s="11" t="n"/>
      <c r="H196" s="12" t="n"/>
      <c r="I196" s="11" t="n"/>
      <c r="J196" s="11" t="n"/>
      <c r="K196" s="11" t="n"/>
      <c r="L196" s="11" t="n"/>
      <c r="M196" s="12" t="n"/>
      <c r="N196" s="11" t="n"/>
      <c r="O196" s="11" t="n"/>
      <c r="P196" s="11" t="n"/>
      <c r="Q196" s="11" t="n"/>
      <c r="R196" s="12" t="n"/>
      <c r="S196" s="11" t="n"/>
      <c r="T196" s="11" t="n"/>
      <c r="U196" s="11" t="n"/>
      <c r="V196" s="11" t="n"/>
      <c r="W196" s="12" t="n"/>
      <c r="X196" s="11" t="n"/>
      <c r="Y196" s="11" t="n"/>
      <c r="Z196" s="11" t="n"/>
      <c r="AA196" s="11" t="n"/>
      <c r="AB196" s="12" t="n"/>
      <c r="AC196" s="11" t="n"/>
      <c r="AD196" s="11" t="n"/>
      <c r="AE196" s="11" t="n"/>
      <c r="AF196" s="11" t="n"/>
      <c r="AG196" s="12" t="n"/>
      <c r="AH196" s="11" t="n"/>
      <c r="AI196" s="11" t="n"/>
      <c r="AJ196" s="11" t="n"/>
      <c r="AK196" s="11" t="n"/>
      <c r="AL196" s="12" t="n"/>
      <c r="AM196" s="11" t="n"/>
      <c r="AN196" s="11" t="n"/>
      <c r="AO196" s="11" t="n"/>
      <c r="AP196" s="11" t="n"/>
      <c r="AQ196" s="12" t="n"/>
      <c r="AR196" s="11" t="n"/>
      <c r="AS196" s="11" t="n"/>
      <c r="AT196" s="11" t="n"/>
      <c r="AU196" s="11" t="n"/>
      <c r="AV196" s="12" t="n"/>
      <c r="AW196" s="11" t="n"/>
      <c r="AX196" s="11" t="n"/>
      <c r="AY196" s="11" t="n"/>
      <c r="AZ196" s="11" t="n"/>
      <c r="BA196" s="12" t="n"/>
      <c r="BB196" s="11" t="n"/>
      <c r="BC196" s="11" t="n"/>
      <c r="BD196" s="11" t="n"/>
      <c r="BE196" s="11" t="n"/>
      <c r="BF196" s="12" t="n"/>
      <c r="BG196" s="11" t="n"/>
      <c r="BH196" s="11" t="n"/>
      <c r="BI196" s="11" t="n"/>
      <c r="BJ196" s="11" t="n"/>
      <c r="BK196" s="12" t="n"/>
      <c r="BL196" s="11" t="n"/>
      <c r="BM196" s="11" t="n"/>
      <c r="BN196" s="11" t="n"/>
      <c r="BO196" s="11" t="n"/>
      <c r="BP196" s="12" t="n"/>
      <c r="BQ196" s="11" t="n"/>
      <c r="BR196" s="11" t="n"/>
      <c r="BS196" s="11" t="n"/>
      <c r="BT196" s="11" t="n"/>
      <c r="BU196" s="12" t="n"/>
      <c r="BV196" s="11" t="n"/>
      <c r="BW196" s="11" t="n"/>
      <c r="BX196" s="11" t="n"/>
      <c r="BY196" s="11" t="n"/>
      <c r="BZ196" s="12" t="n"/>
      <c r="CA196" s="11" t="n"/>
      <c r="CB196" s="11" t="n"/>
      <c r="CC196" s="11" t="n"/>
      <c r="CD196" s="11" t="n"/>
      <c r="CE196" s="12" t="n"/>
      <c r="CF196" s="11" t="n"/>
      <c r="CG196" s="11" t="n"/>
      <c r="CH196" s="11" t="n"/>
      <c r="CI196" s="11" t="n"/>
      <c r="CJ196" s="12" t="n"/>
      <c r="CK196" s="11" t="n"/>
      <c r="CL196" s="11" t="n"/>
      <c r="CM196" s="11" t="n"/>
      <c r="CN196" s="11" t="n"/>
      <c r="CO196" s="12" t="n"/>
      <c r="CP196" s="11" t="n"/>
      <c r="CQ196" s="11" t="n"/>
      <c r="CR196" s="11" t="n"/>
      <c r="CS196" s="11" t="n"/>
      <c r="CT196" s="12" t="n"/>
      <c r="CU196" s="11" t="n"/>
      <c r="CV196" s="11" t="n"/>
      <c r="CW196" s="11" t="n"/>
      <c r="CX196" s="11" t="n"/>
      <c r="CY196" s="12" t="n"/>
    </row>
    <row r="197" hidden="1" outlineLevel="1">
      <c r="C197" s="57" t="inlineStr">
        <is>
          <t>Contas a pagar pela aquisição de controladas</t>
        </is>
      </c>
      <c r="D197" s="11" t="n"/>
      <c r="E197" s="11" t="n"/>
      <c r="F197" s="11" t="n"/>
      <c r="G197" s="11" t="n"/>
      <c r="H197" s="12" t="n"/>
      <c r="I197" s="11" t="n"/>
      <c r="J197" s="11" t="n"/>
      <c r="K197" s="11" t="n"/>
      <c r="L197" s="11" t="n"/>
      <c r="M197" s="12" t="n"/>
      <c r="N197" s="11" t="n"/>
      <c r="O197" s="11" t="n"/>
      <c r="P197" s="11" t="n"/>
      <c r="Q197" s="11" t="n"/>
      <c r="R197" s="12" t="n"/>
      <c r="S197" s="11" t="n"/>
      <c r="T197" s="11" t="n"/>
      <c r="U197" s="11" t="n"/>
      <c r="V197" s="11" t="n"/>
      <c r="W197" s="12" t="n"/>
      <c r="X197" s="11" t="n"/>
      <c r="Y197" s="11" t="n"/>
      <c r="Z197" s="11" t="n"/>
      <c r="AA197" s="11" t="n"/>
      <c r="AB197" s="12" t="n"/>
      <c r="AC197" s="11" t="n"/>
      <c r="AD197" s="11" t="n"/>
      <c r="AE197" s="11" t="n"/>
      <c r="AF197" s="11" t="n"/>
      <c r="AG197" s="12" t="n"/>
      <c r="AH197" s="11" t="n"/>
      <c r="AI197" s="11" t="n"/>
      <c r="AJ197" s="11" t="n"/>
      <c r="AK197" s="11" t="n"/>
      <c r="AL197" s="12" t="n"/>
      <c r="AM197" s="11" t="n"/>
      <c r="AN197" s="11" t="n"/>
      <c r="AO197" s="11" t="n"/>
      <c r="AP197" s="11" t="n"/>
      <c r="AQ197" s="12" t="n"/>
      <c r="AR197" s="11" t="n"/>
      <c r="AS197" s="11" t="n"/>
      <c r="AT197" s="11" t="n"/>
      <c r="AU197" s="11" t="n"/>
      <c r="AV197" s="12" t="n"/>
      <c r="AW197" s="11" t="n"/>
      <c r="AX197" s="11" t="n"/>
      <c r="AY197" s="11" t="n"/>
      <c r="AZ197" s="11" t="n"/>
      <c r="BA197" s="12" t="n"/>
      <c r="BB197" s="11" t="n"/>
      <c r="BC197" s="11" t="n"/>
      <c r="BD197" s="11" t="n"/>
      <c r="BE197" s="11" t="n"/>
      <c r="BF197" s="12" t="n"/>
      <c r="BG197" s="11" t="n"/>
      <c r="BH197" s="11" t="n"/>
      <c r="BI197" s="11" t="n"/>
      <c r="BJ197" s="11" t="n"/>
      <c r="BK197" s="12" t="n"/>
      <c r="BL197" s="11" t="n"/>
      <c r="BM197" s="11" t="n"/>
      <c r="BN197" s="11" t="n"/>
      <c r="BO197" s="11" t="n"/>
      <c r="BP197" s="12" t="n"/>
      <c r="BQ197" s="11" t="n"/>
      <c r="BR197" s="11" t="n"/>
      <c r="BS197" s="11" t="n"/>
      <c r="BT197" s="11" t="n"/>
      <c r="BU197" s="12" t="n"/>
      <c r="BV197" s="11" t="n"/>
      <c r="BW197" s="11" t="n"/>
      <c r="BX197" s="11" t="n"/>
      <c r="BY197" s="11" t="n"/>
      <c r="BZ197" s="12" t="n"/>
      <c r="CA197" s="11" t="n"/>
      <c r="CB197" s="11" t="n"/>
      <c r="CC197" s="11" t="n"/>
      <c r="CD197" s="11" t="n"/>
      <c r="CE197" s="12" t="n"/>
      <c r="CF197" s="11" t="n"/>
      <c r="CG197" s="11" t="n"/>
      <c r="CH197" s="11" t="n"/>
      <c r="CI197" s="11" t="n"/>
      <c r="CJ197" s="12" t="n"/>
      <c r="CK197" s="11" t="n"/>
      <c r="CL197" s="11" t="n"/>
      <c r="CM197" s="11" t="n"/>
      <c r="CN197" s="11" t="n"/>
      <c r="CO197" s="12" t="n"/>
      <c r="CP197" s="11" t="n"/>
      <c r="CQ197" s="11" t="n"/>
      <c r="CR197" s="11" t="n"/>
      <c r="CS197" s="11" t="n"/>
      <c r="CT197" s="12" t="n"/>
      <c r="CU197" s="11" t="n"/>
      <c r="CV197" s="11" t="n"/>
      <c r="CW197" s="11" t="n"/>
      <c r="CX197" s="11" t="n"/>
      <c r="CY197" s="12" t="n"/>
    </row>
    <row r="198" hidden="1" outlineLevel="1">
      <c r="C198" s="57" t="inlineStr">
        <is>
          <t>Outros</t>
        </is>
      </c>
      <c r="D198" s="11" t="n"/>
      <c r="E198" s="11" t="n"/>
      <c r="F198" s="11" t="n"/>
      <c r="G198" s="11" t="n"/>
      <c r="H198" s="12" t="n"/>
      <c r="I198" s="11" t="n"/>
      <c r="J198" s="11" t="n"/>
      <c r="K198" s="11" t="n"/>
      <c r="L198" s="11" t="n"/>
      <c r="M198" s="12" t="n"/>
      <c r="N198" s="11" t="n"/>
      <c r="O198" s="11" t="n"/>
      <c r="P198" s="11" t="n"/>
      <c r="Q198" s="11" t="n"/>
      <c r="R198" s="12" t="n"/>
      <c r="S198" s="11" t="n"/>
      <c r="T198" s="11" t="n"/>
      <c r="U198" s="11" t="n"/>
      <c r="V198" s="11" t="n"/>
      <c r="W198" s="12" t="n"/>
      <c r="X198" s="11" t="n"/>
      <c r="Y198" s="11" t="n"/>
      <c r="Z198" s="11" t="n"/>
      <c r="AA198" s="11" t="n"/>
      <c r="AB198" s="12" t="n"/>
      <c r="AC198" s="11" t="n"/>
      <c r="AD198" s="11" t="n"/>
      <c r="AE198" s="11" t="n"/>
      <c r="AF198" s="11" t="n"/>
      <c r="AG198" s="12" t="n"/>
      <c r="AH198" s="11" t="n"/>
      <c r="AI198" s="11" t="n"/>
      <c r="AJ198" s="11" t="n"/>
      <c r="AK198" s="11" t="n"/>
      <c r="AL198" s="12" t="n"/>
      <c r="AM198" s="11" t="n"/>
      <c r="AN198" s="11" t="n"/>
      <c r="AO198" s="11" t="n"/>
      <c r="AP198" s="11" t="n"/>
      <c r="AQ198" s="12" t="n"/>
      <c r="AR198" s="11" t="n"/>
      <c r="AS198" s="11" t="n"/>
      <c r="AT198" s="11" t="n"/>
      <c r="AU198" s="11" t="n"/>
      <c r="AV198" s="12" t="n"/>
      <c r="AW198" s="11" t="n"/>
      <c r="AX198" s="11" t="n"/>
      <c r="AY198" s="11" t="n"/>
      <c r="AZ198" s="11" t="n"/>
      <c r="BA198" s="12" t="n"/>
      <c r="BB198" s="11" t="n"/>
      <c r="BC198" s="11" t="n"/>
      <c r="BD198" s="11" t="n"/>
      <c r="BE198" s="11" t="n"/>
      <c r="BF198" s="12" t="n"/>
      <c r="BG198" s="11" t="n"/>
      <c r="BH198" s="11" t="n"/>
      <c r="BI198" s="11" t="n"/>
      <c r="BJ198" s="11" t="n"/>
      <c r="BK198" s="12" t="n"/>
      <c r="BL198" s="11" t="n"/>
      <c r="BM198" s="11" t="n"/>
      <c r="BN198" s="11" t="n"/>
      <c r="BO198" s="11" t="n"/>
      <c r="BP198" s="12" t="n"/>
      <c r="BQ198" s="11" t="n"/>
      <c r="BR198" s="11" t="n"/>
      <c r="BS198" s="11" t="n"/>
      <c r="BT198" s="11" t="n"/>
      <c r="BU198" s="12" t="n"/>
      <c r="BV198" s="11" t="n"/>
      <c r="BW198" s="11" t="n"/>
      <c r="BX198" s="11" t="n"/>
      <c r="BY198" s="11" t="n"/>
      <c r="BZ198" s="12" t="n"/>
      <c r="CA198" s="11" t="n"/>
      <c r="CB198" s="11" t="n"/>
      <c r="CC198" s="11" t="n"/>
      <c r="CD198" s="11" t="n"/>
      <c r="CE198" s="12" t="n"/>
      <c r="CF198" s="11" t="n"/>
      <c r="CG198" s="11" t="n"/>
      <c r="CH198" s="11" t="n"/>
      <c r="CI198" s="11" t="n"/>
      <c r="CJ198" s="12" t="n"/>
      <c r="CK198" s="11" t="n"/>
      <c r="CL198" s="11" t="n"/>
      <c r="CM198" s="11" t="n"/>
      <c r="CN198" s="11" t="n"/>
      <c r="CO198" s="12" t="n"/>
      <c r="CP198" s="11" t="n"/>
      <c r="CQ198" s="11" t="n"/>
      <c r="CR198" s="11" t="n"/>
      <c r="CS198" s="11" t="n"/>
      <c r="CT198" s="12" t="n"/>
      <c r="CU198" s="11" t="n"/>
      <c r="CV198" s="11" t="n"/>
      <c r="CW198" s="11" t="n"/>
      <c r="CX198" s="11" t="n"/>
      <c r="CY198" s="12" t="n"/>
    </row>
    <row r="199" hidden="1" outlineLevel="1">
      <c r="C199" s="57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2" t="n"/>
      <c r="AC199" s="12" t="n"/>
      <c r="AD199" s="12" t="n"/>
      <c r="AE199" s="12" t="n"/>
      <c r="AF199" s="12" t="n"/>
      <c r="AG199" s="12" t="n"/>
      <c r="AH199" s="12" t="n"/>
      <c r="AI199" s="12" t="n"/>
      <c r="AJ199" s="12" t="n"/>
      <c r="AK199" s="12" t="n"/>
      <c r="AL199" s="12" t="n"/>
      <c r="AM199" s="12" t="n"/>
      <c r="AN199" s="12" t="n"/>
      <c r="AO199" s="12" t="n"/>
      <c r="AP199" s="12" t="n"/>
      <c r="AQ199" s="12" t="n"/>
      <c r="AR199" s="12" t="n"/>
      <c r="AS199" s="12" t="n"/>
      <c r="AT199" s="12" t="n"/>
      <c r="AU199" s="12" t="n"/>
      <c r="AV199" s="12" t="n"/>
      <c r="AW199" s="12" t="n"/>
      <c r="AX199" s="12" t="n"/>
      <c r="AY199" s="12" t="n"/>
      <c r="AZ199" s="12" t="n"/>
      <c r="BA199" s="12" t="n"/>
      <c r="BB199" s="12" t="n"/>
      <c r="BC199" s="12" t="n"/>
      <c r="BD199" s="12" t="n"/>
      <c r="BE199" s="12" t="n"/>
      <c r="BF199" s="12" t="n"/>
      <c r="BG199" s="12" t="n"/>
      <c r="BH199" s="12" t="n"/>
      <c r="BI199" s="12" t="n"/>
      <c r="BJ199" s="12" t="n"/>
      <c r="BK199" s="12" t="n"/>
      <c r="BL199" s="12" t="n"/>
      <c r="BM199" s="12" t="n"/>
      <c r="BN199" s="12" t="n"/>
      <c r="BO199" s="12" t="n"/>
      <c r="BP199" s="12" t="n"/>
      <c r="BQ199" s="12" t="n"/>
      <c r="BR199" s="12" t="n"/>
      <c r="BS199" s="12" t="n"/>
      <c r="BT199" s="12" t="n"/>
      <c r="BU199" s="12" t="n"/>
      <c r="BV199" s="12" t="n"/>
      <c r="BW199" s="12" t="n"/>
      <c r="BX199" s="12" t="n"/>
      <c r="BY199" s="12" t="n"/>
      <c r="BZ199" s="12" t="n"/>
      <c r="CA199" s="12" t="n"/>
      <c r="CB199" s="12" t="n"/>
      <c r="CC199" s="12" t="n"/>
      <c r="CD199" s="12" t="n"/>
      <c r="CE199" s="12" t="n"/>
      <c r="CF199" s="12" t="n"/>
      <c r="CG199" s="12" t="n"/>
      <c r="CH199" s="12" t="n"/>
      <c r="CI199" s="12" t="n"/>
      <c r="CJ199" s="12" t="n"/>
      <c r="CK199" s="12" t="n"/>
      <c r="CL199" s="12" t="n"/>
      <c r="CM199" s="12" t="n"/>
      <c r="CN199" s="12" t="n"/>
      <c r="CO199" s="12" t="n"/>
      <c r="CP199" s="12" t="n"/>
      <c r="CQ199" s="12" t="n"/>
      <c r="CR199" s="12" t="n"/>
      <c r="CS199" s="12" t="n"/>
      <c r="CT199" s="12" t="n"/>
      <c r="CU199" s="12" t="n"/>
      <c r="CV199" s="12" t="n"/>
      <c r="CW199" s="12" t="n"/>
      <c r="CX199" s="12" t="n"/>
      <c r="CY199" s="12" t="n"/>
    </row>
    <row r="200" collapsed="1">
      <c r="C200" s="14" t="inlineStr">
        <is>
          <t>Current portion of long-term debt</t>
        </is>
      </c>
      <c r="D200" s="46" t="n"/>
      <c r="E200" s="46" t="n"/>
      <c r="F200" s="46" t="n"/>
      <c r="G200" s="46" t="n"/>
      <c r="H200" s="12" t="n"/>
      <c r="I200" s="46">
        <f>'Inputs (2)'!D32</f>
        <v>0</v>
      </c>
      <c r="J200" s="46">
        <f>'Inputs (2)'!E32</f>
        <v>0</v>
      </c>
      <c r="K200" s="46">
        <f>'Inputs (2)'!F32</f>
        <v>0</v>
      </c>
      <c r="L200" s="46">
        <f>'Inputs (2)'!G32</f>
        <v>3302</v>
      </c>
      <c r="M200" s="12">
        <f>'Inputs (2)'!H32</f>
        <v>3302</v>
      </c>
      <c r="N200" s="46">
        <f>'Inputs (2)'!I32</f>
        <v>1271</v>
      </c>
      <c r="O200" s="46">
        <f>'Inputs (2)'!J32</f>
        <v>384</v>
      </c>
      <c r="P200" s="46">
        <f>'Inputs (2)'!K32</f>
        <v>874</v>
      </c>
      <c r="Q200" s="46">
        <f>'Inputs (2)'!L32</f>
        <v>1302</v>
      </c>
      <c r="R200" s="12">
        <f>'Inputs (2)'!M32</f>
        <v>1302</v>
      </c>
      <c r="S200" s="46">
        <f>'Inputs (2)'!N32</f>
        <v>866</v>
      </c>
      <c r="T200" s="46">
        <f>'Inputs (2)'!O32</f>
        <v>1045</v>
      </c>
      <c r="U200" s="46">
        <f>'Inputs (2)'!P32</f>
        <v>643</v>
      </c>
      <c r="V200" s="46">
        <f>'Inputs (2)'!Q32</f>
        <v>1765</v>
      </c>
      <c r="W200" s="12">
        <f>'Inputs (2)'!R32</f>
        <v>1765</v>
      </c>
      <c r="X200" s="46">
        <f>'Inputs (2)'!S32</f>
        <v>1631</v>
      </c>
      <c r="Y200" s="46">
        <f>'Inputs (2)'!T32</f>
        <v>1715</v>
      </c>
      <c r="Z200" s="46">
        <f>'Inputs (2)'!U32</f>
        <v>1034</v>
      </c>
      <c r="AA200" s="46">
        <f>'Inputs (2)'!V32</f>
        <v>1028</v>
      </c>
      <c r="AB200" s="12">
        <f>'Inputs (2)'!W32</f>
        <v>1028</v>
      </c>
      <c r="AC200" s="46">
        <f>'Inputs (2)'!X32</f>
        <v>1037</v>
      </c>
      <c r="AD200" s="46">
        <f>'Inputs (2)'!Y32</f>
        <v>1025</v>
      </c>
      <c r="AE200" s="46">
        <f>'Inputs (2)'!Z32</f>
        <v>1768</v>
      </c>
      <c r="AF200" s="46">
        <f>'Inputs (2)'!AA32</f>
        <v>1742</v>
      </c>
      <c r="AG200" s="12">
        <f>'Inputs (2)'!AB32</f>
        <v>1742</v>
      </c>
      <c r="AH200" s="12">
        <f>'Inputs (2)'!AC32</f>
        <v>5472</v>
      </c>
      <c r="AI200" s="12">
        <f>'Inputs (2)'!AD32</f>
        <v>5589</v>
      </c>
      <c r="AJ200" s="12">
        <f>AI200</f>
        <v>5589</v>
      </c>
      <c r="AK200" s="12">
        <f>AJ200</f>
        <v>5589</v>
      </c>
      <c r="AL200" s="12">
        <f>AK200</f>
        <v>5589</v>
      </c>
      <c r="AM200" s="12">
        <f>AL200</f>
        <v>5589</v>
      </c>
      <c r="AN200" s="12">
        <f>AM200</f>
        <v>5589</v>
      </c>
      <c r="AO200" s="12">
        <f>AN200</f>
        <v>5589</v>
      </c>
      <c r="AP200" s="12">
        <f>AO200</f>
        <v>5589</v>
      </c>
      <c r="AQ200" s="12">
        <f>AP200</f>
        <v>5589</v>
      </c>
      <c r="AR200" s="12">
        <f>AQ200</f>
        <v>5589</v>
      </c>
      <c r="AS200" s="12">
        <f>AR200</f>
        <v>5589</v>
      </c>
      <c r="AT200" s="12">
        <f>AS200</f>
        <v>5589</v>
      </c>
      <c r="AU200" s="12">
        <f>AT200</f>
        <v>5589</v>
      </c>
      <c r="AV200" s="12">
        <f>AU200</f>
        <v>5589</v>
      </c>
      <c r="AW200" s="12">
        <f>AV200</f>
        <v>5589</v>
      </c>
      <c r="AX200" s="12">
        <f>AW200</f>
        <v>5589</v>
      </c>
      <c r="AY200" s="12">
        <f>AX200</f>
        <v>5589</v>
      </c>
      <c r="AZ200" s="12">
        <f>AY200</f>
        <v>5589</v>
      </c>
      <c r="BA200" s="12">
        <f>AZ200</f>
        <v>5589</v>
      </c>
      <c r="BB200" s="12">
        <f>BA200</f>
        <v>5589</v>
      </c>
      <c r="BC200" s="12">
        <f>BB200</f>
        <v>5589</v>
      </c>
      <c r="BD200" s="12">
        <f>BC200</f>
        <v>5589</v>
      </c>
      <c r="BE200" s="12">
        <f>BD200</f>
        <v>5589</v>
      </c>
      <c r="BF200" s="12">
        <f>BE200</f>
        <v>5589</v>
      </c>
      <c r="BG200" s="12" t="n"/>
      <c r="BH200" s="12" t="n"/>
      <c r="BI200" s="12" t="n"/>
      <c r="BJ200" s="12" t="n"/>
      <c r="BK200" s="12" t="n"/>
      <c r="BL200" s="12" t="n"/>
      <c r="BM200" s="12" t="n"/>
      <c r="BN200" s="12" t="n"/>
      <c r="BO200" s="12" t="n"/>
      <c r="BP200" s="12" t="n"/>
      <c r="BQ200" s="12" t="n"/>
      <c r="BR200" s="12" t="n"/>
      <c r="BS200" s="12" t="n"/>
      <c r="BT200" s="12" t="n"/>
      <c r="BU200" s="12" t="n"/>
      <c r="BV200" s="12" t="n"/>
      <c r="BW200" s="12" t="n"/>
      <c r="BX200" s="12" t="n"/>
      <c r="BY200" s="12" t="n"/>
      <c r="BZ200" s="12" t="n"/>
      <c r="CA200" s="12" t="n"/>
      <c r="CB200" s="12" t="n"/>
      <c r="CC200" s="12" t="n"/>
      <c r="CD200" s="12" t="n"/>
      <c r="CE200" s="12" t="n"/>
      <c r="CF200" s="12" t="n"/>
      <c r="CG200" s="12" t="n"/>
      <c r="CH200" s="12" t="n"/>
      <c r="CI200" s="12" t="n"/>
      <c r="CJ200" s="12" t="n"/>
      <c r="CK200" s="12" t="n"/>
      <c r="CL200" s="12" t="n"/>
      <c r="CM200" s="12" t="n"/>
      <c r="CN200" s="12" t="n"/>
      <c r="CO200" s="12" t="n"/>
      <c r="CP200" s="12" t="n"/>
      <c r="CQ200" s="12" t="n"/>
      <c r="CR200" s="12" t="n"/>
      <c r="CS200" s="12" t="n"/>
      <c r="CT200" s="12" t="n"/>
      <c r="CU200" s="12" t="n"/>
      <c r="CV200" s="12" t="n"/>
      <c r="CW200" s="12" t="n"/>
      <c r="CX200" s="12" t="n"/>
      <c r="CY200" s="12" t="n"/>
    </row>
    <row r="201">
      <c r="C201" s="14" t="inlineStr">
        <is>
          <t>Short term debt (Revolving credit facility)</t>
        </is>
      </c>
      <c r="D201" s="46" t="n"/>
      <c r="E201" s="46" t="n"/>
      <c r="F201" s="46" t="n"/>
      <c r="G201" s="46" t="n"/>
      <c r="H201" s="12" t="n"/>
      <c r="I201" s="46">
        <f>'Inputs (2)'!D33</f>
        <v>0</v>
      </c>
      <c r="J201" s="46">
        <f>'Inputs (2)'!E33</f>
        <v>0</v>
      </c>
      <c r="K201" s="46">
        <f>'Inputs (2)'!F33</f>
        <v>0</v>
      </c>
      <c r="L201" s="46">
        <f>'Inputs (2)'!G33</f>
        <v>0</v>
      </c>
      <c r="M201" s="12">
        <f>'Inputs (2)'!H33</f>
        <v>0</v>
      </c>
      <c r="N201" s="46">
        <f>'Inputs (2)'!I33</f>
        <v>0</v>
      </c>
      <c r="O201" s="46">
        <f>'Inputs (2)'!J33</f>
        <v>0</v>
      </c>
      <c r="P201" s="46">
        <f>'Inputs (2)'!K33</f>
        <v>0</v>
      </c>
      <c r="Q201" s="46">
        <f>'Inputs (2)'!L33</f>
        <v>0</v>
      </c>
      <c r="R201" s="12">
        <f>'Inputs (2)'!M33</f>
        <v>0</v>
      </c>
      <c r="S201" s="46">
        <f>'Inputs (2)'!N33</f>
        <v>0</v>
      </c>
      <c r="T201" s="46">
        <f>'Inputs (2)'!O33</f>
        <v>0</v>
      </c>
      <c r="U201" s="46">
        <f>'Inputs (2)'!P33</f>
        <v>0</v>
      </c>
      <c r="V201" s="46">
        <f>'Inputs (2)'!Q33</f>
        <v>0</v>
      </c>
      <c r="W201" s="12">
        <f>'Inputs (2)'!R33</f>
        <v>0</v>
      </c>
      <c r="X201" s="46">
        <f>'Inputs (2)'!S33</f>
        <v>0</v>
      </c>
      <c r="Y201" s="46">
        <f>'Inputs (2)'!T33</f>
        <v>0</v>
      </c>
      <c r="Z201" s="46">
        <f>'Inputs (2)'!U33</f>
        <v>0</v>
      </c>
      <c r="AA201" s="46">
        <f>'Inputs (2)'!V33</f>
        <v>0</v>
      </c>
      <c r="AB201" s="12">
        <f>'Inputs (2)'!W33</f>
        <v>0</v>
      </c>
      <c r="AC201" s="46">
        <f>'Inputs (2)'!X33</f>
        <v>0</v>
      </c>
      <c r="AD201" s="46">
        <f>'Inputs (2)'!Y33</f>
        <v>0</v>
      </c>
      <c r="AE201" s="46">
        <f>'Inputs (2)'!Z33</f>
        <v>0</v>
      </c>
      <c r="AF201" s="46">
        <f>'Inputs (2)'!AA33</f>
        <v>0</v>
      </c>
      <c r="AG201" s="12">
        <f>'Inputs (2)'!AB33</f>
        <v>0</v>
      </c>
      <c r="AH201" s="12">
        <f>'Inputs (2)'!AC33</f>
        <v>0</v>
      </c>
      <c r="AI201" s="12">
        <f>'Inputs (2)'!AD33</f>
        <v>0</v>
      </c>
      <c r="AJ201" s="12">
        <f>AI201</f>
        <v>0</v>
      </c>
      <c r="AK201" s="12">
        <f>AJ201</f>
        <v>0</v>
      </c>
      <c r="AL201" s="12">
        <f>AK201</f>
        <v>0</v>
      </c>
      <c r="AM201" s="12">
        <f>AL201</f>
        <v>0</v>
      </c>
      <c r="AN201" s="12">
        <f>AM201</f>
        <v>0</v>
      </c>
      <c r="AO201" s="12">
        <f>AN201</f>
        <v>0</v>
      </c>
      <c r="AP201" s="12">
        <f>AO201</f>
        <v>0</v>
      </c>
      <c r="AQ201" s="12">
        <f>AP201</f>
        <v>0</v>
      </c>
      <c r="AR201" s="12">
        <f>AQ201</f>
        <v>0</v>
      </c>
      <c r="AS201" s="12">
        <f>AR201</f>
        <v>0</v>
      </c>
      <c r="AT201" s="12">
        <f>AS201</f>
        <v>0</v>
      </c>
      <c r="AU201" s="12">
        <f>AT201</f>
        <v>0</v>
      </c>
      <c r="AV201" s="12">
        <f>AU201</f>
        <v>0</v>
      </c>
      <c r="AW201" s="12">
        <f>AV201</f>
        <v>0</v>
      </c>
      <c r="AX201" s="12">
        <f>AW201</f>
        <v>0</v>
      </c>
      <c r="AY201" s="12">
        <f>AX201</f>
        <v>0</v>
      </c>
      <c r="AZ201" s="12">
        <f>AY201</f>
        <v>0</v>
      </c>
      <c r="BA201" s="12">
        <f>AZ201</f>
        <v>0</v>
      </c>
      <c r="BB201" s="12">
        <f>BA201</f>
        <v>0</v>
      </c>
      <c r="BC201" s="12">
        <f>BB201</f>
        <v>0</v>
      </c>
      <c r="BD201" s="12">
        <f>BC201</f>
        <v>0</v>
      </c>
      <c r="BE201" s="12">
        <f>BD201</f>
        <v>0</v>
      </c>
      <c r="BF201" s="12">
        <f>BE201</f>
        <v>0</v>
      </c>
      <c r="BG201" s="12" t="n"/>
      <c r="BH201" s="12" t="n"/>
      <c r="BI201" s="12" t="n"/>
      <c r="BJ201" s="12" t="n"/>
      <c r="BK201" s="12" t="n"/>
      <c r="BL201" s="12" t="n"/>
      <c r="BM201" s="12" t="n"/>
      <c r="BN201" s="12" t="n"/>
      <c r="BO201" s="12" t="n"/>
      <c r="BP201" s="12" t="n"/>
      <c r="BQ201" s="12" t="n"/>
      <c r="BR201" s="12" t="n"/>
      <c r="BS201" s="12" t="n"/>
      <c r="BT201" s="12" t="n"/>
      <c r="BU201" s="12" t="n"/>
      <c r="BV201" s="12" t="n"/>
      <c r="BW201" s="12" t="n"/>
      <c r="BX201" s="12" t="n"/>
      <c r="BY201" s="12" t="n"/>
      <c r="BZ201" s="12" t="n"/>
      <c r="CA201" s="12" t="n"/>
      <c r="CB201" s="12" t="n"/>
      <c r="CC201" s="12" t="n"/>
      <c r="CD201" s="12" t="n"/>
      <c r="CE201" s="12" t="n"/>
      <c r="CF201" s="12" t="n"/>
      <c r="CG201" s="12" t="n"/>
      <c r="CH201" s="12" t="n"/>
      <c r="CI201" s="12" t="n"/>
      <c r="CJ201" s="12" t="n"/>
      <c r="CK201" s="12" t="n"/>
      <c r="CL201" s="12" t="n"/>
      <c r="CM201" s="12" t="n"/>
      <c r="CN201" s="12" t="n"/>
      <c r="CO201" s="12" t="n"/>
      <c r="CP201" s="12" t="n"/>
      <c r="CQ201" s="12" t="n"/>
      <c r="CR201" s="12" t="n"/>
      <c r="CS201" s="12" t="n"/>
      <c r="CT201" s="12" t="n"/>
      <c r="CU201" s="12" t="n"/>
      <c r="CV201" s="12" t="n"/>
      <c r="CW201" s="12" t="n"/>
      <c r="CX201" s="12" t="n"/>
      <c r="CY201" s="12" t="n"/>
    </row>
    <row r="202">
      <c r="C202" s="14" t="inlineStr">
        <is>
          <t>Short term operating leases</t>
        </is>
      </c>
      <c r="D202" s="46" t="n"/>
      <c r="E202" s="46" t="n"/>
      <c r="F202" s="46" t="n"/>
      <c r="G202" s="46" t="n"/>
      <c r="H202" s="12" t="n"/>
      <c r="I202" s="46">
        <f>'Inputs (2)'!D34</f>
        <v>0</v>
      </c>
      <c r="J202" s="46">
        <f>'Inputs (2)'!E34</f>
        <v>0</v>
      </c>
      <c r="K202" s="46">
        <f>'Inputs (2)'!F34</f>
        <v>0</v>
      </c>
      <c r="L202" s="46">
        <f>'Inputs (2)'!G34</f>
        <v>0</v>
      </c>
      <c r="M202" s="12">
        <f>'Inputs (2)'!H34</f>
        <v>0</v>
      </c>
      <c r="N202" s="46">
        <f>'Inputs (2)'!I34</f>
        <v>0</v>
      </c>
      <c r="O202" s="46">
        <f>'Inputs (2)'!J34</f>
        <v>0</v>
      </c>
      <c r="P202" s="46">
        <f>'Inputs (2)'!K34</f>
        <v>0</v>
      </c>
      <c r="Q202" s="46">
        <f>'Inputs (2)'!L34</f>
        <v>0</v>
      </c>
      <c r="R202" s="12">
        <f>'Inputs (2)'!M34</f>
        <v>0</v>
      </c>
      <c r="S202" s="46">
        <f>'Inputs (2)'!N34</f>
        <v>0</v>
      </c>
      <c r="T202" s="46">
        <f>'Inputs (2)'!O34</f>
        <v>0</v>
      </c>
      <c r="U202" s="46">
        <f>'Inputs (2)'!P34</f>
        <v>0</v>
      </c>
      <c r="V202" s="46">
        <f>'Inputs (2)'!Q34</f>
        <v>0</v>
      </c>
      <c r="W202" s="12">
        <f>'Inputs (2)'!R34</f>
        <v>0</v>
      </c>
      <c r="X202" s="46">
        <f>'Inputs (2)'!S34</f>
        <v>0</v>
      </c>
      <c r="Y202" s="46">
        <f>'Inputs (2)'!T34</f>
        <v>0</v>
      </c>
      <c r="Z202" s="46">
        <f>'Inputs (2)'!U34</f>
        <v>0</v>
      </c>
      <c r="AA202" s="46">
        <f>'Inputs (2)'!V34</f>
        <v>0</v>
      </c>
      <c r="AB202" s="12">
        <f>'Inputs (2)'!W34</f>
        <v>0</v>
      </c>
      <c r="AC202" s="46">
        <f>'Inputs (2)'!X34</f>
        <v>0</v>
      </c>
      <c r="AD202" s="46">
        <f>'Inputs (2)'!Y34</f>
        <v>0</v>
      </c>
      <c r="AE202" s="46">
        <f>'Inputs (2)'!Z34</f>
        <v>0</v>
      </c>
      <c r="AF202" s="46">
        <f>'Inputs (2)'!AA34</f>
        <v>0</v>
      </c>
      <c r="AG202" s="12">
        <f>'Inputs (2)'!AB34</f>
        <v>0</v>
      </c>
      <c r="AH202" s="12">
        <f>'Inputs (2)'!AC34</f>
        <v>0</v>
      </c>
      <c r="AI202" s="12">
        <f>'Inputs (2)'!AD34</f>
        <v>0</v>
      </c>
      <c r="AJ202" s="12">
        <f>AI202</f>
        <v>0</v>
      </c>
      <c r="AK202" s="12">
        <f>AJ202</f>
        <v>0</v>
      </c>
      <c r="AL202" s="12">
        <f>AK202</f>
        <v>0</v>
      </c>
      <c r="AM202" s="12">
        <f>AL202</f>
        <v>0</v>
      </c>
      <c r="AN202" s="12">
        <f>AM202</f>
        <v>0</v>
      </c>
      <c r="AO202" s="12">
        <f>AN202</f>
        <v>0</v>
      </c>
      <c r="AP202" s="12">
        <f>AO202</f>
        <v>0</v>
      </c>
      <c r="AQ202" s="12">
        <f>AP202</f>
        <v>0</v>
      </c>
      <c r="AR202" s="12">
        <f>AQ202</f>
        <v>0</v>
      </c>
      <c r="AS202" s="12">
        <f>AR202</f>
        <v>0</v>
      </c>
      <c r="AT202" s="12">
        <f>AS202</f>
        <v>0</v>
      </c>
      <c r="AU202" s="12">
        <f>AT202</f>
        <v>0</v>
      </c>
      <c r="AV202" s="12">
        <f>AU202</f>
        <v>0</v>
      </c>
      <c r="AW202" s="12">
        <f>AV202</f>
        <v>0</v>
      </c>
      <c r="AX202" s="12">
        <f>AW202</f>
        <v>0</v>
      </c>
      <c r="AY202" s="12">
        <f>AX202</f>
        <v>0</v>
      </c>
      <c r="AZ202" s="12">
        <f>AY202</f>
        <v>0</v>
      </c>
      <c r="BA202" s="12">
        <f>AZ202</f>
        <v>0</v>
      </c>
      <c r="BB202" s="12">
        <f>BA202</f>
        <v>0</v>
      </c>
      <c r="BC202" s="12">
        <f>BB202</f>
        <v>0</v>
      </c>
      <c r="BD202" s="12">
        <f>BC202</f>
        <v>0</v>
      </c>
      <c r="BE202" s="12">
        <f>BD202</f>
        <v>0</v>
      </c>
      <c r="BF202" s="12">
        <f>BE202</f>
        <v>0</v>
      </c>
      <c r="BG202" s="12" t="n"/>
      <c r="BH202" s="12" t="n"/>
      <c r="BI202" s="12" t="n"/>
      <c r="BJ202" s="12" t="n"/>
      <c r="BK202" s="12" t="n"/>
      <c r="BL202" s="12" t="n"/>
      <c r="BM202" s="12" t="n"/>
      <c r="BN202" s="12" t="n"/>
      <c r="BO202" s="12" t="n"/>
      <c r="BP202" s="12" t="n"/>
      <c r="BQ202" s="12" t="n"/>
      <c r="BR202" s="12" t="n"/>
      <c r="BS202" s="12" t="n"/>
      <c r="BT202" s="12" t="n"/>
      <c r="BU202" s="12" t="n"/>
      <c r="BV202" s="12" t="n"/>
      <c r="BW202" s="12" t="n"/>
      <c r="BX202" s="12" t="n"/>
      <c r="BY202" s="12" t="n"/>
      <c r="BZ202" s="12" t="n"/>
      <c r="CA202" s="12" t="n"/>
      <c r="CB202" s="12" t="n"/>
      <c r="CC202" s="12" t="n"/>
      <c r="CD202" s="12" t="n"/>
      <c r="CE202" s="12" t="n"/>
      <c r="CF202" s="12" t="n"/>
      <c r="CG202" s="12" t="n"/>
      <c r="CH202" s="12" t="n"/>
      <c r="CI202" s="12" t="n"/>
      <c r="CJ202" s="12" t="n"/>
      <c r="CK202" s="12" t="n"/>
      <c r="CL202" s="12" t="n"/>
      <c r="CM202" s="12" t="n"/>
      <c r="CN202" s="12" t="n"/>
      <c r="CO202" s="12" t="n"/>
      <c r="CP202" s="12" t="n"/>
      <c r="CQ202" s="12" t="n"/>
      <c r="CR202" s="12" t="n"/>
      <c r="CS202" s="12" t="n"/>
      <c r="CT202" s="12" t="n"/>
      <c r="CU202" s="12" t="n"/>
      <c r="CV202" s="12" t="n"/>
      <c r="CW202" s="12" t="n"/>
      <c r="CX202" s="12" t="n"/>
      <c r="CY202" s="12" t="n"/>
    </row>
    <row r="203" hidden="1" outlineLevel="1">
      <c r="C203" s="59" t="inlineStr">
        <is>
          <t>%(Var.)</t>
        </is>
      </c>
      <c r="D203" s="12" t="n"/>
      <c r="E203" s="40" t="n"/>
      <c r="F203" s="40" t="n"/>
      <c r="G203" s="40" t="n"/>
      <c r="H203" s="12" t="n"/>
      <c r="I203" s="40" t="str">
        <f>""</f>
        <v/>
      </c>
      <c r="J203" s="40" t="str">
        <f>IFERROR(IF(I202=0,"",J202/I202-1),"")</f>
        <v/>
      </c>
      <c r="K203" s="40" t="str">
        <f>IFERROR(IF(J202=0,"",K202/J202-1),"")</f>
        <v/>
      </c>
      <c r="L203" s="40" t="str">
        <f>IFERROR(IF(K202=0,"",L202/K202-1),"")</f>
        <v/>
      </c>
      <c r="M203" s="12" t="str">
        <f>IF(L202=0,"",M202/L202-1)</f>
        <v/>
      </c>
      <c r="N203" s="40" t="str">
        <f>IFERROR(IF(M202=0,"",N202/M202-1),"")</f>
        <v/>
      </c>
      <c r="O203" s="40" t="str">
        <f>IFERROR(IF(N202=0,"",O202/N202-1),"")</f>
        <v/>
      </c>
      <c r="P203" s="40" t="str">
        <f>IFERROR(IF(O202=0,"",P202/O202-1),"")</f>
        <v/>
      </c>
      <c r="Q203" s="40" t="str">
        <f>IFERROR(IF(P202=0,"",Q202/P202-1),"")</f>
        <v/>
      </c>
      <c r="R203" s="12" t="str">
        <f>IF(Q202=0,"",R202/Q202-1)</f>
        <v/>
      </c>
      <c r="S203" s="40" t="str">
        <f>IFERROR(IF(R202=0,"",S202/R202-1),"")</f>
        <v/>
      </c>
      <c r="T203" s="40" t="str">
        <f>IFERROR(IF(S202=0,"",T202/S202-1),"")</f>
        <v/>
      </c>
      <c r="U203" s="40" t="str">
        <f>IFERROR(IF(T202=0,"",U202/T202-1),"")</f>
        <v/>
      </c>
      <c r="V203" s="40" t="str">
        <f>IFERROR(IF(U202=0,"",V202/U202-1),"")</f>
        <v/>
      </c>
      <c r="W203" s="12" t="str">
        <f>IF(V202=0,"",W202/V202-1)</f>
        <v/>
      </c>
      <c r="X203" s="40" t="str">
        <f>IFERROR(IF(W202=0,"",X202/W202-1),"")</f>
        <v/>
      </c>
      <c r="Y203" s="40" t="str">
        <f>IFERROR(IF(X202=0,"",Y202/X202-1),"")</f>
        <v/>
      </c>
      <c r="Z203" s="40" t="str">
        <f>IFERROR(IF(Y202=0,"",Z202/Y202-1),"")</f>
        <v/>
      </c>
      <c r="AA203" s="40" t="str">
        <f>IFERROR(IF(Z202=0,"",AA202/Z202-1),"")</f>
        <v/>
      </c>
      <c r="AB203" s="12" t="str">
        <f>IF(AA202=0,"",AB202/AA202-1)</f>
        <v/>
      </c>
      <c r="AC203" s="40" t="str">
        <f>IFERROR(IF(AB202=0,"",AC202/AB202-1),"")</f>
        <v/>
      </c>
      <c r="AD203" s="40" t="str">
        <f>IFERROR(IF(AC202=0,"",AD202/AC202-1),"")</f>
        <v/>
      </c>
      <c r="AE203" s="40" t="str">
        <f>IFERROR(IF(AD202=0,"",AE202/AD202-1),"")</f>
        <v/>
      </c>
      <c r="AF203" s="11" t="str">
        <f>IFERROR(IF(AE202=0,"",AF202/AE202-1),"")</f>
        <v/>
      </c>
      <c r="AG203" s="12" t="str">
        <f>IF(AF202=0,"",AG202/AF202-1)</f>
        <v/>
      </c>
      <c r="AH203" s="11" t="str">
        <f>IFERROR(IF(AG202=0,"",AH202/AG202-1),"")</f>
        <v/>
      </c>
      <c r="AI203" s="11" t="str">
        <f>IFERROR(IF(AH202=0,"",AI202/AH202-1),"")</f>
        <v/>
      </c>
      <c r="AJ203" s="11" t="str">
        <f>IFERROR(IF(AI202=0,"",AJ202/AI202-1),"")</f>
        <v/>
      </c>
      <c r="AK203" s="11" t="str">
        <f>IFERROR(IF(AJ202=0,"",AK202/AJ202-1),"")</f>
        <v/>
      </c>
      <c r="AL203" s="12" t="str">
        <f>IFERROR(IF(AK202=0,"",AL202/AK202-1),"")</f>
        <v/>
      </c>
      <c r="AM203" s="11" t="str">
        <f>IFERROR(IF(AL202=0,"",AM202/AL202-1),"")</f>
        <v/>
      </c>
      <c r="AN203" s="11" t="str">
        <f>IFERROR(IF(AM202=0,"",AN202/AM202-1),"")</f>
        <v/>
      </c>
      <c r="AO203" s="11" t="str">
        <f>IFERROR(IF(AN202=0,"",AO202/AN202-1),"")</f>
        <v/>
      </c>
      <c r="AP203" s="11" t="str">
        <f>IFERROR(IF(AO202=0,"",AP202/AO202-1),"")</f>
        <v/>
      </c>
      <c r="AQ203" s="12" t="str">
        <f>IFERROR(IF(AP202=0,"",AQ202/AP202-1),"")</f>
        <v/>
      </c>
      <c r="AR203" s="11" t="str">
        <f>IFERROR(IF(AQ202=0,"",AR202/AQ202-1),"")</f>
        <v/>
      </c>
      <c r="AS203" s="11" t="str">
        <f>IFERROR(IF(AR202=0,"",AS202/AR202-1),"")</f>
        <v/>
      </c>
      <c r="AT203" s="11" t="str">
        <f>IFERROR(IF(AS202=0,"",AT202/AS202-1),"")</f>
        <v/>
      </c>
      <c r="AU203" s="11" t="str">
        <f>IFERROR(IF(AT202=0,"",AU202/AT202-1),"")</f>
        <v/>
      </c>
      <c r="AV203" s="12" t="str">
        <f>IFERROR(IF(AU202=0,"",AV202/AU202-1),"")</f>
        <v/>
      </c>
      <c r="AW203" s="11" t="str">
        <f>IFERROR(IF(AV202=0,"",AW202/AV202-1),"")</f>
        <v/>
      </c>
      <c r="AX203" s="11" t="str">
        <f>IFERROR(IF(AW202=0,"",AX202/AW202-1),"")</f>
        <v/>
      </c>
      <c r="AY203" s="11" t="str">
        <f>IFERROR(IF(AX202=0,"",AY202/AX202-1),"")</f>
        <v/>
      </c>
      <c r="AZ203" s="11" t="str">
        <f>IFERROR(IF(AY202=0,"",AZ202/AY202-1),"")</f>
        <v/>
      </c>
      <c r="BA203" s="12" t="str">
        <f>IFERROR(IF(AZ202=0,"",BA202/AZ202-1),"")</f>
        <v/>
      </c>
      <c r="BB203" s="11" t="str">
        <f>IFERROR(IF(BA202=0,"",BB202/BA202-1),"")</f>
        <v/>
      </c>
      <c r="BC203" s="11" t="str">
        <f>IFERROR(IF(BB202=0,"",BC202/BB202-1),"")</f>
        <v/>
      </c>
      <c r="BD203" s="11" t="str">
        <f>IFERROR(IF(BC202=0,"",BD202/BC202-1),"")</f>
        <v/>
      </c>
      <c r="BE203" s="11" t="str">
        <f>IFERROR(IF(BD202=0,"",BE202/BD202-1),"")</f>
        <v/>
      </c>
      <c r="BF203" s="12" t="str">
        <f>IFERROR(IF(BE202=0,"",BF202/BE202-1),"")</f>
        <v/>
      </c>
      <c r="BG203" s="11" t="n"/>
      <c r="BH203" s="11" t="n"/>
      <c r="BI203" s="11" t="n"/>
      <c r="BJ203" s="11" t="n"/>
      <c r="BK203" s="12" t="n"/>
      <c r="BL203" s="11" t="n"/>
      <c r="BM203" s="11" t="n"/>
      <c r="BN203" s="11" t="n"/>
      <c r="BO203" s="11" t="n"/>
      <c r="BP203" s="12" t="n"/>
      <c r="BQ203" s="11" t="n"/>
      <c r="BR203" s="11" t="n"/>
      <c r="BS203" s="11" t="n"/>
      <c r="BT203" s="11" t="n"/>
      <c r="BU203" s="12" t="n"/>
      <c r="BV203" s="11" t="n"/>
      <c r="BW203" s="11" t="n"/>
      <c r="BX203" s="11" t="n"/>
      <c r="BY203" s="11" t="n"/>
      <c r="BZ203" s="12" t="n"/>
      <c r="CA203" s="11" t="n"/>
      <c r="CB203" s="11" t="n"/>
      <c r="CC203" s="11" t="n"/>
      <c r="CD203" s="11" t="n"/>
      <c r="CE203" s="12" t="n"/>
      <c r="CF203" s="11" t="n"/>
      <c r="CG203" s="11" t="n"/>
      <c r="CH203" s="11" t="n"/>
      <c r="CI203" s="11" t="n"/>
      <c r="CJ203" s="12" t="n"/>
      <c r="CK203" s="11" t="n"/>
      <c r="CL203" s="11" t="n"/>
      <c r="CM203" s="11" t="n"/>
      <c r="CN203" s="11" t="n"/>
      <c r="CO203" s="12" t="n"/>
      <c r="CP203" s="11" t="n"/>
      <c r="CQ203" s="11" t="n"/>
      <c r="CR203" s="11" t="n"/>
      <c r="CS203" s="11" t="n"/>
      <c r="CT203" s="12" t="n"/>
      <c r="CU203" s="11" t="n"/>
      <c r="CV203" s="11" t="n"/>
      <c r="CW203" s="11" t="n"/>
      <c r="CX203" s="11" t="n"/>
      <c r="CY203" s="12" t="n"/>
    </row>
    <row r="204" hidden="1" outlineLevel="1">
      <c r="C204" s="57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  <c r="AE204" s="12" t="n"/>
      <c r="AF204" s="12" t="n"/>
      <c r="AG204" s="12" t="n"/>
      <c r="AH204" s="12" t="n"/>
      <c r="AI204" s="12" t="n"/>
      <c r="AJ204" s="12" t="n"/>
      <c r="AK204" s="12" t="n"/>
      <c r="AL204" s="12" t="n"/>
      <c r="AM204" s="12" t="n"/>
      <c r="AN204" s="12" t="n"/>
      <c r="AO204" s="12" t="n"/>
      <c r="AP204" s="12" t="n"/>
      <c r="AQ204" s="12" t="n"/>
      <c r="AR204" s="12" t="n"/>
      <c r="AS204" s="12" t="n"/>
      <c r="AT204" s="12" t="n"/>
      <c r="AU204" s="12" t="n"/>
      <c r="AV204" s="12" t="n"/>
      <c r="AW204" s="12" t="n"/>
      <c r="AX204" s="12" t="n"/>
      <c r="AY204" s="12" t="n"/>
      <c r="AZ204" s="12" t="n"/>
      <c r="BA204" s="12" t="n"/>
      <c r="BB204" s="12" t="n"/>
      <c r="BC204" s="12" t="n"/>
      <c r="BD204" s="12" t="n"/>
      <c r="BE204" s="12" t="n"/>
      <c r="BF204" s="12" t="n"/>
      <c r="BG204" s="12" t="n"/>
      <c r="BH204" s="12" t="n"/>
      <c r="BI204" s="12" t="n"/>
      <c r="BJ204" s="12" t="n"/>
      <c r="BK204" s="12" t="n"/>
      <c r="BL204" s="12" t="n"/>
      <c r="BM204" s="12" t="n"/>
      <c r="BN204" s="12" t="n"/>
      <c r="BO204" s="12" t="n"/>
      <c r="BP204" s="12" t="n"/>
      <c r="BQ204" s="12" t="n"/>
      <c r="BR204" s="12" t="n"/>
      <c r="BS204" s="12" t="n"/>
      <c r="BT204" s="12" t="n"/>
      <c r="BU204" s="12" t="n"/>
      <c r="BV204" s="12" t="n"/>
      <c r="BW204" s="12" t="n"/>
      <c r="BX204" s="12" t="n"/>
      <c r="BY204" s="12" t="n"/>
      <c r="BZ204" s="12" t="n"/>
      <c r="CA204" s="12" t="n"/>
      <c r="CB204" s="12" t="n"/>
      <c r="CC204" s="12" t="n"/>
      <c r="CD204" s="12" t="n"/>
      <c r="CE204" s="12" t="n"/>
      <c r="CF204" s="12" t="n"/>
      <c r="CG204" s="12" t="n"/>
      <c r="CH204" s="12" t="n"/>
      <c r="CI204" s="12" t="n"/>
      <c r="CJ204" s="12" t="n"/>
      <c r="CK204" s="12" t="n"/>
      <c r="CL204" s="12" t="n"/>
      <c r="CM204" s="12" t="n"/>
      <c r="CN204" s="12" t="n"/>
      <c r="CO204" s="12" t="n"/>
      <c r="CP204" s="12" t="n"/>
      <c r="CQ204" s="12" t="n"/>
      <c r="CR204" s="12" t="n"/>
      <c r="CS204" s="12" t="n"/>
      <c r="CT204" s="12" t="n"/>
      <c r="CU204" s="12" t="n"/>
      <c r="CV204" s="12" t="n"/>
      <c r="CW204" s="12" t="n"/>
      <c r="CX204" s="12" t="n"/>
      <c r="CY204" s="12" t="n"/>
    </row>
    <row r="205" collapsed="1">
      <c r="C205" s="14" t="inlineStr">
        <is>
          <t>Long term debt</t>
        </is>
      </c>
      <c r="D205" s="46" t="n"/>
      <c r="E205" s="46" t="n"/>
      <c r="F205" s="46" t="n"/>
      <c r="G205" s="46" t="n"/>
      <c r="H205" s="12" t="n"/>
      <c r="I205" s="46">
        <f>'Inputs (2)'!D35</f>
        <v>0</v>
      </c>
      <c r="J205" s="46">
        <f>'Inputs (2)'!E35</f>
        <v>0</v>
      </c>
      <c r="K205" s="46">
        <f>'Inputs (2)'!F35</f>
        <v>0</v>
      </c>
      <c r="L205" s="46">
        <f>'Inputs (2)'!G35</f>
        <v>4575</v>
      </c>
      <c r="M205" s="12">
        <f>'Inputs (2)'!H35</f>
        <v>4575</v>
      </c>
      <c r="N205" s="46">
        <f>'Inputs (2)'!I35</f>
        <v>4548</v>
      </c>
      <c r="O205" s="46">
        <f>'Inputs (2)'!J35</f>
        <v>4507</v>
      </c>
      <c r="P205" s="46">
        <f>'Inputs (2)'!K35</f>
        <v>4480</v>
      </c>
      <c r="Q205" s="46">
        <f>'Inputs (2)'!L35</f>
        <v>4466</v>
      </c>
      <c r="R205" s="12">
        <f>'Inputs (2)'!M35</f>
        <v>4466</v>
      </c>
      <c r="S205" s="46">
        <f>'Inputs (2)'!N35</f>
        <v>5763</v>
      </c>
      <c r="T205" s="46">
        <f>'Inputs (2)'!O35</f>
        <v>6156</v>
      </c>
      <c r="U205" s="46">
        <f>'Inputs (2)'!P35</f>
        <v>7512</v>
      </c>
      <c r="V205" s="46">
        <f>'Inputs (2)'!Q35</f>
        <v>7496</v>
      </c>
      <c r="W205" s="12">
        <f>'Inputs (2)'!R35</f>
        <v>7496</v>
      </c>
      <c r="X205" s="46">
        <f>'Inputs (2)'!S35</f>
        <v>8352</v>
      </c>
      <c r="Y205" s="46">
        <f>'Inputs (2)'!T35</f>
        <v>7409</v>
      </c>
      <c r="Z205" s="46">
        <f>'Inputs (2)'!U35</f>
        <v>7378</v>
      </c>
      <c r="AA205" s="46">
        <f>'Inputs (2)'!V35</f>
        <v>7384</v>
      </c>
      <c r="AB205" s="12">
        <f>'Inputs (2)'!W35</f>
        <v>7384</v>
      </c>
      <c r="AC205" s="46">
        <f>'Inputs (2)'!X35</f>
        <v>7321</v>
      </c>
      <c r="AD205" s="46">
        <f>'Inputs (2)'!Y35</f>
        <v>7286</v>
      </c>
      <c r="AE205" s="46">
        <f>'Inputs (2)'!Z35</f>
        <v>7269</v>
      </c>
      <c r="AF205" s="46">
        <f>'Inputs (2)'!AA35</f>
        <v>7250</v>
      </c>
      <c r="AG205" s="12">
        <f>'Inputs (2)'!AB35</f>
        <v>7250</v>
      </c>
      <c r="AH205" s="12">
        <f>'Inputs (2)'!AC35</f>
        <v>16994</v>
      </c>
      <c r="AI205" s="12">
        <f>'Inputs (2)'!AD35</f>
        <v>19111</v>
      </c>
      <c r="AJ205" s="12">
        <f>AJ211</f>
        <v>19111</v>
      </c>
      <c r="AK205" s="12">
        <f>AK211</f>
        <v>19111</v>
      </c>
      <c r="AL205" s="12">
        <f>AK205</f>
        <v>19111</v>
      </c>
      <c r="AM205" s="12">
        <f>AM211</f>
        <v>19111</v>
      </c>
      <c r="AN205" s="12">
        <f>AN211</f>
        <v>19111</v>
      </c>
      <c r="AO205" s="12">
        <f>AO211</f>
        <v>19111</v>
      </c>
      <c r="AP205" s="12">
        <f>AP211</f>
        <v>19111</v>
      </c>
      <c r="AQ205" s="12">
        <f>AP205</f>
        <v>19111</v>
      </c>
      <c r="AR205" s="12">
        <f>AR211</f>
        <v>19111</v>
      </c>
      <c r="AS205" s="12">
        <f>AS211</f>
        <v>19111</v>
      </c>
      <c r="AT205" s="12">
        <f>AT211</f>
        <v>19111</v>
      </c>
      <c r="AU205" s="12">
        <f>AU211</f>
        <v>19111</v>
      </c>
      <c r="AV205" s="12">
        <f>AU205</f>
        <v>19111</v>
      </c>
      <c r="AW205" s="12">
        <f>AW211</f>
        <v>19111</v>
      </c>
      <c r="AX205" s="12">
        <f>AX211</f>
        <v>19111</v>
      </c>
      <c r="AY205" s="12">
        <f>AY211</f>
        <v>19111</v>
      </c>
      <c r="AZ205" s="12">
        <f>AZ211</f>
        <v>19111</v>
      </c>
      <c r="BA205" s="12">
        <f>AZ205</f>
        <v>19111</v>
      </c>
      <c r="BB205" s="12">
        <f>BB211</f>
        <v>19111</v>
      </c>
      <c r="BC205" s="12">
        <f>BC211</f>
        <v>19111</v>
      </c>
      <c r="BD205" s="12">
        <f>BD211</f>
        <v>19111</v>
      </c>
      <c r="BE205" s="12">
        <f>BE211</f>
        <v>19111</v>
      </c>
      <c r="BF205" s="12">
        <f>BE205</f>
        <v>19111</v>
      </c>
      <c r="BG205" s="12" t="n"/>
      <c r="BH205" s="12" t="n"/>
      <c r="BI205" s="12" t="n"/>
      <c r="BJ205" s="12" t="n"/>
      <c r="BK205" s="12" t="n"/>
      <c r="BL205" s="12" t="n"/>
      <c r="BM205" s="12" t="n"/>
      <c r="BN205" s="12" t="n"/>
      <c r="BO205" s="12" t="n"/>
      <c r="BP205" s="12" t="n"/>
      <c r="BQ205" s="12" t="n"/>
      <c r="BR205" s="12" t="n"/>
      <c r="BS205" s="12" t="n"/>
      <c r="BT205" s="12" t="n"/>
      <c r="BU205" s="12" t="n"/>
      <c r="BV205" s="12" t="n"/>
      <c r="BW205" s="12" t="n"/>
      <c r="BX205" s="12" t="n"/>
      <c r="BY205" s="12" t="n"/>
      <c r="BZ205" s="12" t="n"/>
      <c r="CA205" s="12" t="n"/>
      <c r="CB205" s="12" t="n"/>
      <c r="CC205" s="12" t="n"/>
      <c r="CD205" s="12" t="n"/>
      <c r="CE205" s="12" t="n"/>
      <c r="CF205" s="12" t="n"/>
      <c r="CG205" s="12" t="n"/>
      <c r="CH205" s="12" t="n"/>
      <c r="CI205" s="12" t="n"/>
      <c r="CJ205" s="12" t="n"/>
      <c r="CK205" s="12" t="n"/>
      <c r="CL205" s="12" t="n"/>
      <c r="CM205" s="12" t="n"/>
      <c r="CN205" s="12" t="n"/>
      <c r="CO205" s="12" t="n"/>
      <c r="CP205" s="12" t="n"/>
      <c r="CQ205" s="12" t="n"/>
      <c r="CR205" s="12" t="n"/>
      <c r="CS205" s="12" t="n"/>
      <c r="CT205" s="12" t="n"/>
      <c r="CU205" s="12" t="n"/>
      <c r="CV205" s="12" t="n"/>
      <c r="CW205" s="12" t="n"/>
      <c r="CX205" s="12" t="n"/>
      <c r="CY205" s="12" t="n"/>
    </row>
    <row r="206" hidden="1" outlineLevel="1">
      <c r="C206" s="57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12" t="n"/>
      <c r="AB206" s="12" t="n"/>
      <c r="AC206" s="12" t="n"/>
      <c r="AD206" s="12" t="n"/>
      <c r="AE206" s="12" t="n"/>
      <c r="AF206" s="12" t="n"/>
      <c r="AG206" s="12" t="n"/>
      <c r="AH206" s="12" t="n"/>
      <c r="AI206" s="12" t="n"/>
      <c r="AJ206" s="12" t="n"/>
      <c r="AK206" s="12" t="n"/>
      <c r="AL206" s="12" t="n"/>
      <c r="AM206" s="12" t="n"/>
      <c r="AN206" s="12" t="n"/>
      <c r="AO206" s="12" t="n"/>
      <c r="AP206" s="12" t="n"/>
      <c r="AQ206" s="12" t="n"/>
      <c r="AR206" s="12" t="n"/>
      <c r="AS206" s="12" t="n"/>
      <c r="AT206" s="12" t="n"/>
      <c r="AU206" s="12" t="n"/>
      <c r="AV206" s="12" t="n"/>
      <c r="AW206" s="12" t="n"/>
      <c r="AX206" s="12" t="n"/>
      <c r="AY206" s="12" t="n"/>
      <c r="AZ206" s="12" t="n"/>
      <c r="BA206" s="12" t="n"/>
      <c r="BB206" s="12" t="n"/>
      <c r="BC206" s="12" t="n"/>
      <c r="BD206" s="12" t="n"/>
      <c r="BE206" s="12" t="n"/>
      <c r="BF206" s="12" t="n"/>
      <c r="BG206" s="12" t="n"/>
      <c r="BH206" s="12" t="n"/>
      <c r="BI206" s="12" t="n"/>
      <c r="BJ206" s="12" t="n"/>
      <c r="BK206" s="12" t="n"/>
      <c r="BL206" s="12" t="n"/>
      <c r="BM206" s="12" t="n"/>
      <c r="BN206" s="12" t="n"/>
      <c r="BO206" s="12" t="n"/>
      <c r="BP206" s="12" t="n"/>
      <c r="BQ206" s="12" t="n"/>
      <c r="BR206" s="12" t="n"/>
      <c r="BS206" s="12" t="n"/>
      <c r="BT206" s="12" t="n"/>
      <c r="BU206" s="12" t="n"/>
      <c r="BV206" s="12" t="n"/>
      <c r="BW206" s="12" t="n"/>
      <c r="BX206" s="12" t="n"/>
      <c r="BY206" s="12" t="n"/>
      <c r="BZ206" s="12" t="n"/>
      <c r="CA206" s="12" t="n"/>
      <c r="CB206" s="12" t="n"/>
      <c r="CC206" s="12" t="n"/>
      <c r="CD206" s="12" t="n"/>
      <c r="CE206" s="12" t="n"/>
      <c r="CF206" s="12" t="n"/>
      <c r="CG206" s="12" t="n"/>
      <c r="CH206" s="12" t="n"/>
      <c r="CI206" s="12" t="n"/>
      <c r="CJ206" s="12" t="n"/>
      <c r="CK206" s="12" t="n"/>
      <c r="CL206" s="12" t="n"/>
      <c r="CM206" s="12" t="n"/>
      <c r="CN206" s="12" t="n"/>
      <c r="CO206" s="12" t="n"/>
      <c r="CP206" s="12" t="n"/>
      <c r="CQ206" s="12" t="n"/>
      <c r="CR206" s="12" t="n"/>
      <c r="CS206" s="12" t="n"/>
      <c r="CT206" s="12" t="n"/>
      <c r="CU206" s="12" t="n"/>
      <c r="CV206" s="12" t="n"/>
      <c r="CW206" s="12" t="n"/>
      <c r="CX206" s="12" t="n"/>
      <c r="CY206" s="12" t="n"/>
    </row>
    <row r="207" hidden="1" outlineLevel="1">
      <c r="C207" s="57" t="inlineStr">
        <is>
          <t>Current portion of LTD</t>
        </is>
      </c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>
        <f>AF200</f>
        <v>1742</v>
      </c>
      <c r="AI207" s="62" t="n"/>
      <c r="AJ207" s="62" t="n"/>
      <c r="AK207" s="62" t="n"/>
      <c r="AL207" s="12" t="n"/>
      <c r="AM207" s="12">
        <f>AK200</f>
        <v>5589</v>
      </c>
      <c r="AN207" s="62" t="n"/>
      <c r="AO207" s="62" t="n"/>
      <c r="AP207" s="62" t="n"/>
      <c r="AQ207" s="12" t="n"/>
      <c r="AR207" s="12">
        <f>AP200</f>
        <v>5589</v>
      </c>
      <c r="AS207" s="62" t="n"/>
      <c r="AT207" s="62" t="n"/>
      <c r="AU207" s="62" t="n"/>
      <c r="AV207" s="12" t="n"/>
      <c r="AW207" s="12">
        <f>AU200</f>
        <v>5589</v>
      </c>
      <c r="AX207" s="62" t="n"/>
      <c r="AY207" s="62" t="n"/>
      <c r="AZ207" s="62" t="n"/>
      <c r="BA207" s="12" t="n"/>
      <c r="BB207" s="12">
        <f>AZ200</f>
        <v>5589</v>
      </c>
      <c r="BC207" s="62" t="n"/>
      <c r="BD207" s="62" t="n"/>
      <c r="BE207" s="62" t="n"/>
      <c r="BF207" s="12" t="n"/>
      <c r="BG207" s="12" t="n"/>
      <c r="BH207" s="62" t="n"/>
      <c r="BI207" s="62" t="n"/>
      <c r="BJ207" s="62" t="n"/>
      <c r="BK207" s="12" t="n"/>
      <c r="BL207" s="12" t="n"/>
      <c r="BM207" s="62" t="n"/>
      <c r="BN207" s="62" t="n"/>
      <c r="BO207" s="62" t="n"/>
      <c r="BP207" s="12" t="n"/>
      <c r="BQ207" s="12" t="n"/>
      <c r="BR207" s="62" t="n"/>
      <c r="BS207" s="62" t="n"/>
      <c r="BT207" s="62" t="n"/>
      <c r="BU207" s="12" t="n"/>
      <c r="BV207" s="12" t="n"/>
      <c r="BW207" s="62" t="n"/>
      <c r="BX207" s="62" t="n"/>
      <c r="BY207" s="62" t="n"/>
      <c r="BZ207" s="12" t="n"/>
      <c r="CA207" s="12" t="n"/>
      <c r="CB207" s="62" t="n"/>
      <c r="CC207" s="62" t="n"/>
      <c r="CD207" s="62" t="n"/>
      <c r="CE207" s="12" t="n"/>
      <c r="CF207" s="12" t="n"/>
      <c r="CG207" s="62" t="n"/>
      <c r="CH207" s="62" t="n"/>
      <c r="CI207" s="62" t="n"/>
      <c r="CJ207" s="12" t="n"/>
      <c r="CK207" s="12" t="n"/>
      <c r="CL207" s="62" t="n"/>
      <c r="CM207" s="62" t="n"/>
      <c r="CN207" s="62" t="n"/>
      <c r="CO207" s="12" t="n"/>
      <c r="CP207" s="12" t="n"/>
      <c r="CQ207" s="62" t="n"/>
      <c r="CR207" s="62" t="n"/>
      <c r="CS207" s="62" t="n"/>
      <c r="CT207" s="12" t="n"/>
      <c r="CU207" s="12" t="n"/>
      <c r="CV207" s="62" t="n"/>
      <c r="CW207" s="62" t="n"/>
      <c r="CX207" s="62" t="n"/>
      <c r="CY207" s="12" t="n"/>
    </row>
    <row r="208" hidden="1" outlineLevel="1">
      <c r="C208" s="57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  <c r="AA208" s="12" t="n"/>
      <c r="AB208" s="12" t="n"/>
      <c r="AC208" s="12" t="n"/>
      <c r="AD208" s="12" t="n"/>
      <c r="AE208" s="12" t="n"/>
      <c r="AF208" s="12" t="n"/>
      <c r="AG208" s="12" t="n"/>
      <c r="AH208" s="12" t="n"/>
      <c r="AI208" s="12" t="n"/>
      <c r="AJ208" s="12" t="n"/>
      <c r="AK208" s="12" t="n"/>
      <c r="AL208" s="12" t="n"/>
      <c r="AM208" s="12" t="n"/>
      <c r="AN208" s="12" t="n"/>
      <c r="AO208" s="12" t="n"/>
      <c r="AP208" s="12" t="n"/>
      <c r="AQ208" s="12" t="n"/>
      <c r="AR208" s="12" t="n"/>
      <c r="AS208" s="12" t="n"/>
      <c r="AT208" s="12" t="n"/>
      <c r="AU208" s="12" t="n"/>
      <c r="AV208" s="12" t="n"/>
      <c r="AW208" s="12" t="n"/>
      <c r="AX208" s="12" t="n"/>
      <c r="AY208" s="12" t="n"/>
      <c r="AZ208" s="12" t="n"/>
      <c r="BA208" s="12" t="n"/>
      <c r="BB208" s="12" t="n"/>
      <c r="BC208" s="12" t="n"/>
      <c r="BD208" s="12" t="n"/>
      <c r="BE208" s="12" t="n"/>
      <c r="BF208" s="12" t="n"/>
      <c r="BG208" s="12" t="n"/>
      <c r="BH208" s="12" t="n"/>
      <c r="BI208" s="12" t="n"/>
      <c r="BJ208" s="12" t="n"/>
      <c r="BK208" s="12" t="n"/>
      <c r="BL208" s="12" t="n"/>
      <c r="BM208" s="12" t="n"/>
      <c r="BN208" s="12" t="n"/>
      <c r="BO208" s="12" t="n"/>
      <c r="BP208" s="12" t="n"/>
      <c r="BQ208" s="12" t="n"/>
      <c r="BR208" s="12" t="n"/>
      <c r="BS208" s="12" t="n"/>
      <c r="BT208" s="12" t="n"/>
      <c r="BU208" s="12" t="n"/>
      <c r="BV208" s="12" t="n"/>
      <c r="BW208" s="12" t="n"/>
      <c r="BX208" s="12" t="n"/>
      <c r="BY208" s="12" t="n"/>
      <c r="BZ208" s="12" t="n"/>
      <c r="CA208" s="12" t="n"/>
      <c r="CB208" s="12" t="n"/>
      <c r="CC208" s="12" t="n"/>
      <c r="CD208" s="12" t="n"/>
      <c r="CE208" s="12" t="n"/>
      <c r="CF208" s="12" t="n"/>
      <c r="CG208" s="12" t="n"/>
      <c r="CH208" s="12" t="n"/>
      <c r="CI208" s="12" t="n"/>
      <c r="CJ208" s="12" t="n"/>
      <c r="CK208" s="12" t="n"/>
      <c r="CL208" s="12" t="n"/>
      <c r="CM208" s="12" t="n"/>
      <c r="CN208" s="12" t="n"/>
      <c r="CO208" s="12" t="n"/>
      <c r="CP208" s="12" t="n"/>
      <c r="CQ208" s="12" t="n"/>
      <c r="CR208" s="12" t="n"/>
      <c r="CS208" s="12" t="n"/>
      <c r="CT208" s="12" t="n"/>
      <c r="CU208" s="12" t="n"/>
      <c r="CV208" s="12" t="n"/>
      <c r="CW208" s="12" t="n"/>
      <c r="CX208" s="12" t="n"/>
      <c r="CY208" s="12" t="n"/>
    </row>
    <row r="209" hidden="1" outlineLevel="1">
      <c r="C209" s="57" t="inlineStr">
        <is>
          <t>Reclassification of LTD to CP of LTD</t>
        </is>
      </c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2" t="n"/>
      <c r="AC209" s="12" t="n"/>
      <c r="AD209" s="12" t="n"/>
      <c r="AE209" s="12" t="n"/>
      <c r="AF209" s="12" t="n"/>
      <c r="AG209" s="12" t="n"/>
      <c r="AH209" s="12" t="n"/>
      <c r="AI209" s="12">
        <f>-AI207</f>
        <v>0</v>
      </c>
      <c r="AJ209" s="12">
        <f>-AJ207</f>
        <v>0</v>
      </c>
      <c r="AK209" s="12">
        <f>-AK207</f>
        <v>0</v>
      </c>
      <c r="AL209" s="12" t="n"/>
      <c r="AM209" s="12" t="n"/>
      <c r="AN209" s="12">
        <f>-AN207</f>
        <v>0</v>
      </c>
      <c r="AO209" s="12">
        <f>-AO207</f>
        <v>0</v>
      </c>
      <c r="AP209" s="12">
        <f>-AP207</f>
        <v>0</v>
      </c>
      <c r="AQ209" s="12" t="n"/>
      <c r="AR209" s="12" t="n"/>
      <c r="AS209" s="12">
        <f>-AS207</f>
        <v>0</v>
      </c>
      <c r="AT209" s="12">
        <f>-AT207</f>
        <v>0</v>
      </c>
      <c r="AU209" s="12">
        <f>-AU207</f>
        <v>0</v>
      </c>
      <c r="AV209" s="12" t="n"/>
      <c r="AW209" s="12" t="n"/>
      <c r="AX209" s="12">
        <f>-AX207</f>
        <v>0</v>
      </c>
      <c r="AY209" s="12">
        <f>-AY207</f>
        <v>0</v>
      </c>
      <c r="AZ209" s="12">
        <f>-AZ207</f>
        <v>0</v>
      </c>
      <c r="BA209" s="12" t="n"/>
      <c r="BB209" s="12" t="n"/>
      <c r="BC209" s="12">
        <f>-BC207</f>
        <v>0</v>
      </c>
      <c r="BD209" s="12">
        <f>-BD207</f>
        <v>0</v>
      </c>
      <c r="BE209" s="12">
        <f>-BE207</f>
        <v>0</v>
      </c>
      <c r="BF209" s="12" t="n"/>
      <c r="BG209" s="12" t="n"/>
      <c r="BH209" s="12" t="n"/>
      <c r="BI209" s="12" t="n"/>
      <c r="BJ209" s="12" t="n"/>
      <c r="BK209" s="12" t="n"/>
      <c r="BL209" s="12" t="n"/>
      <c r="BM209" s="12" t="n"/>
      <c r="BN209" s="12" t="n"/>
      <c r="BO209" s="12" t="n"/>
      <c r="BP209" s="12" t="n"/>
      <c r="BQ209" s="12" t="n"/>
      <c r="BR209" s="12" t="n"/>
      <c r="BS209" s="12" t="n"/>
      <c r="BT209" s="12" t="n"/>
      <c r="BU209" s="12" t="n"/>
      <c r="BV209" s="12" t="n"/>
      <c r="BW209" s="12" t="n"/>
      <c r="BX209" s="12" t="n"/>
      <c r="BY209" s="12" t="n"/>
      <c r="BZ209" s="12" t="n"/>
      <c r="CA209" s="12" t="n"/>
      <c r="CB209" s="12" t="n"/>
      <c r="CC209" s="12" t="n"/>
      <c r="CD209" s="12" t="n"/>
      <c r="CE209" s="12" t="n"/>
      <c r="CF209" s="12" t="n"/>
      <c r="CG209" s="12" t="n"/>
      <c r="CH209" s="12" t="n"/>
      <c r="CI209" s="12" t="n"/>
      <c r="CJ209" s="12" t="n"/>
      <c r="CK209" s="12" t="n"/>
      <c r="CL209" s="12" t="n"/>
      <c r="CM209" s="12" t="n"/>
      <c r="CN209" s="12" t="n"/>
      <c r="CO209" s="12" t="n"/>
      <c r="CP209" s="12" t="n"/>
      <c r="CQ209" s="12" t="n"/>
      <c r="CR209" s="12" t="n"/>
      <c r="CS209" s="12" t="n"/>
      <c r="CT209" s="12" t="n"/>
      <c r="CU209" s="12" t="n"/>
      <c r="CV209" s="12" t="n"/>
      <c r="CW209" s="12" t="n"/>
      <c r="CX209" s="12" t="n"/>
      <c r="CY209" s="12" t="n"/>
    </row>
    <row r="210" hidden="1" outlineLevel="1">
      <c r="C210" s="57" t="inlineStr">
        <is>
          <t>Discretionary (paydown)/borrowing of long term debt</t>
        </is>
      </c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  <c r="AA210" s="12" t="n"/>
      <c r="AB210" s="12" t="n"/>
      <c r="AC210" s="12" t="n"/>
      <c r="AD210" s="12" t="n"/>
      <c r="AE210" s="12" t="n"/>
      <c r="AF210" s="12" t="n"/>
      <c r="AG210" s="12" t="n"/>
      <c r="AH210" s="62" t="n"/>
      <c r="AI210" s="62" t="n"/>
      <c r="AJ210" s="62" t="n"/>
      <c r="AK210" s="62" t="n"/>
      <c r="AL210" s="12" t="n"/>
      <c r="AM210" s="62" t="n"/>
      <c r="AN210" s="62" t="n"/>
      <c r="AO210" s="62" t="n"/>
      <c r="AP210" s="62" t="n"/>
      <c r="AQ210" s="12" t="n"/>
      <c r="AR210" s="62" t="n"/>
      <c r="AS210" s="62" t="n"/>
      <c r="AT210" s="62" t="n"/>
      <c r="AU210" s="62" t="n"/>
      <c r="AV210" s="12" t="n"/>
      <c r="AW210" s="62" t="n"/>
      <c r="AX210" s="62" t="n"/>
      <c r="AY210" s="62" t="n"/>
      <c r="AZ210" s="62" t="n"/>
      <c r="BA210" s="12" t="n"/>
      <c r="BB210" s="62" t="n"/>
      <c r="BC210" s="62" t="n"/>
      <c r="BD210" s="62" t="n"/>
      <c r="BE210" s="62" t="n"/>
      <c r="BF210" s="12" t="n"/>
      <c r="BG210" s="62" t="n"/>
      <c r="BH210" s="62" t="n"/>
      <c r="BI210" s="62" t="n"/>
      <c r="BJ210" s="62" t="n"/>
      <c r="BK210" s="12" t="n"/>
      <c r="BL210" s="62" t="n"/>
      <c r="BM210" s="62" t="n"/>
      <c r="BN210" s="62" t="n"/>
      <c r="BO210" s="62" t="n"/>
      <c r="BP210" s="12" t="n"/>
      <c r="BQ210" s="62" t="n"/>
      <c r="BR210" s="62" t="n"/>
      <c r="BS210" s="62" t="n"/>
      <c r="BT210" s="62" t="n"/>
      <c r="BU210" s="12" t="n"/>
      <c r="BV210" s="62" t="n"/>
      <c r="BW210" s="62" t="n"/>
      <c r="BX210" s="62" t="n"/>
      <c r="BY210" s="62" t="n"/>
      <c r="BZ210" s="12" t="n"/>
      <c r="CA210" s="62" t="n"/>
      <c r="CB210" s="62" t="n"/>
      <c r="CC210" s="62" t="n"/>
      <c r="CD210" s="62" t="n"/>
      <c r="CE210" s="12" t="n"/>
      <c r="CF210" s="62" t="n"/>
      <c r="CG210" s="62" t="n"/>
      <c r="CH210" s="62" t="n"/>
      <c r="CI210" s="62" t="n"/>
      <c r="CJ210" s="12" t="n"/>
      <c r="CK210" s="62" t="n"/>
      <c r="CL210" s="62" t="n"/>
      <c r="CM210" s="62" t="n"/>
      <c r="CN210" s="62" t="n"/>
      <c r="CO210" s="12" t="n"/>
      <c r="CP210" s="62" t="n"/>
      <c r="CQ210" s="62" t="n"/>
      <c r="CR210" s="62" t="n"/>
      <c r="CS210" s="62" t="n"/>
      <c r="CT210" s="12" t="n"/>
      <c r="CU210" s="62" t="n"/>
      <c r="CV210" s="62" t="n"/>
      <c r="CW210" s="62" t="n"/>
      <c r="CX210" s="62" t="n"/>
      <c r="CY210" s="12" t="n"/>
    </row>
    <row r="211" hidden="1" outlineLevel="1">
      <c r="C211" s="57" t="inlineStr">
        <is>
          <t>Long term debt</t>
        </is>
      </c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  <c r="AC211" s="12" t="n"/>
      <c r="AD211" s="12" t="n"/>
      <c r="AE211" s="12" t="n"/>
      <c r="AF211" s="12" t="n"/>
      <c r="AG211" s="12" t="n"/>
      <c r="AH211" s="12">
        <f>AH205</f>
        <v>16994</v>
      </c>
      <c r="AI211" s="12">
        <f>AI205</f>
        <v>19111</v>
      </c>
      <c r="AJ211" s="12">
        <f>AI211+SUM(AJ209:AJ210)</f>
        <v>19111</v>
      </c>
      <c r="AK211" s="12">
        <f>AJ211+SUM(AK209:AK210)</f>
        <v>19111</v>
      </c>
      <c r="AL211" s="12" t="n"/>
      <c r="AM211" s="12">
        <f>AK211+SUM(AM209:AM210)</f>
        <v>19111</v>
      </c>
      <c r="AN211" s="12">
        <f>AM211+SUM(AN209:AN210)</f>
        <v>19111</v>
      </c>
      <c r="AO211" s="12">
        <f>AN211+SUM(AO209:AO210)</f>
        <v>19111</v>
      </c>
      <c r="AP211" s="12">
        <f>AO211+SUM(AP209:AP210)</f>
        <v>19111</v>
      </c>
      <c r="AQ211" s="12" t="n"/>
      <c r="AR211" s="12">
        <f>AP211+SUM(AR209:AR210)</f>
        <v>19111</v>
      </c>
      <c r="AS211" s="12">
        <f>AR211+SUM(AS209:AS210)</f>
        <v>19111</v>
      </c>
      <c r="AT211" s="12">
        <f>AS211+SUM(AT209:AT210)</f>
        <v>19111</v>
      </c>
      <c r="AU211" s="12">
        <f>AT211+SUM(AU209:AU210)</f>
        <v>19111</v>
      </c>
      <c r="AV211" s="12" t="n"/>
      <c r="AW211" s="12">
        <f>AU211+SUM(AW209:AW210)</f>
        <v>19111</v>
      </c>
      <c r="AX211" s="12">
        <f>AW211+SUM(AX209:AX210)</f>
        <v>19111</v>
      </c>
      <c r="AY211" s="12">
        <f>AX211+SUM(AY209:AY210)</f>
        <v>19111</v>
      </c>
      <c r="AZ211" s="12">
        <f>AY211+SUM(AZ209:AZ210)</f>
        <v>19111</v>
      </c>
      <c r="BA211" s="12" t="n"/>
      <c r="BB211" s="12">
        <f>AZ211+SUM(BB209:BB210)</f>
        <v>19111</v>
      </c>
      <c r="BC211" s="12">
        <f>BB211+SUM(BC209:BC210)</f>
        <v>19111</v>
      </c>
      <c r="BD211" s="12">
        <f>BC211+SUM(BD209:BD210)</f>
        <v>19111</v>
      </c>
      <c r="BE211" s="12">
        <f>BD211+SUM(BE209:BE210)</f>
        <v>19111</v>
      </c>
      <c r="BF211" s="12" t="n"/>
      <c r="BG211" s="12" t="n"/>
      <c r="BH211" s="12" t="n"/>
      <c r="BI211" s="12" t="n"/>
      <c r="BJ211" s="12" t="n"/>
      <c r="BK211" s="12" t="n"/>
      <c r="BL211" s="12" t="n"/>
      <c r="BM211" s="12" t="n"/>
      <c r="BN211" s="12" t="n"/>
      <c r="BO211" s="12" t="n"/>
      <c r="BP211" s="12" t="n"/>
      <c r="BQ211" s="12" t="n"/>
      <c r="BR211" s="12" t="n"/>
      <c r="BS211" s="12" t="n"/>
      <c r="BT211" s="12" t="n"/>
      <c r="BU211" s="12" t="n"/>
      <c r="BV211" s="12" t="n"/>
      <c r="BW211" s="12" t="n"/>
      <c r="BX211" s="12" t="n"/>
      <c r="BY211" s="12" t="n"/>
      <c r="BZ211" s="12" t="n"/>
      <c r="CA211" s="12" t="n"/>
      <c r="CB211" s="12" t="n"/>
      <c r="CC211" s="12" t="n"/>
      <c r="CD211" s="12" t="n"/>
      <c r="CE211" s="12" t="n"/>
      <c r="CF211" s="12" t="n"/>
      <c r="CG211" s="12" t="n"/>
      <c r="CH211" s="12" t="n"/>
      <c r="CI211" s="12" t="n"/>
      <c r="CJ211" s="12" t="n"/>
      <c r="CK211" s="12" t="n"/>
      <c r="CL211" s="12" t="n"/>
      <c r="CM211" s="12" t="n"/>
      <c r="CN211" s="12" t="n"/>
      <c r="CO211" s="12" t="n"/>
      <c r="CP211" s="12" t="n"/>
      <c r="CQ211" s="12" t="n"/>
      <c r="CR211" s="12" t="n"/>
      <c r="CS211" s="12" t="n"/>
      <c r="CT211" s="12" t="n"/>
      <c r="CU211" s="12" t="n"/>
      <c r="CV211" s="12" t="n"/>
      <c r="CW211" s="12" t="n"/>
      <c r="CX211" s="12" t="n"/>
      <c r="CY211" s="12" t="n"/>
    </row>
    <row r="212" hidden="1" outlineLevel="1">
      <c r="C212" s="57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  <c r="AA212" s="12" t="n"/>
      <c r="AB212" s="12" t="n"/>
      <c r="AC212" s="12" t="n"/>
      <c r="AD212" s="12" t="n"/>
      <c r="AE212" s="12" t="n"/>
      <c r="AF212" s="12" t="n"/>
      <c r="AG212" s="12" t="n"/>
      <c r="AH212" s="12" t="n"/>
      <c r="AI212" s="12" t="n"/>
      <c r="AJ212" s="12" t="n"/>
      <c r="AK212" s="12" t="n"/>
      <c r="AL212" s="12" t="n"/>
      <c r="AM212" s="12" t="n"/>
      <c r="AN212" s="12" t="n"/>
      <c r="AO212" s="12" t="n"/>
      <c r="AP212" s="12" t="n"/>
      <c r="AQ212" s="12" t="n"/>
      <c r="AR212" s="12" t="n"/>
      <c r="AS212" s="12" t="n"/>
      <c r="AT212" s="12" t="n"/>
      <c r="AU212" s="12" t="n"/>
      <c r="AV212" s="12" t="n"/>
      <c r="AW212" s="12" t="n"/>
      <c r="AX212" s="12" t="n"/>
      <c r="AY212" s="12" t="n"/>
      <c r="AZ212" s="12" t="n"/>
      <c r="BA212" s="12" t="n"/>
      <c r="BB212" s="12" t="n"/>
      <c r="BC212" s="12" t="n"/>
      <c r="BD212" s="12" t="n"/>
      <c r="BE212" s="12" t="n"/>
      <c r="BF212" s="12" t="n"/>
      <c r="BG212" s="12" t="n"/>
      <c r="BH212" s="12" t="n"/>
      <c r="BI212" s="12" t="n"/>
      <c r="BJ212" s="12" t="n"/>
      <c r="BK212" s="12" t="n"/>
      <c r="BL212" s="12" t="n"/>
      <c r="BM212" s="12" t="n"/>
      <c r="BN212" s="12" t="n"/>
      <c r="BO212" s="12" t="n"/>
      <c r="BP212" s="12" t="n"/>
      <c r="BQ212" s="12" t="n"/>
      <c r="BR212" s="12" t="n"/>
      <c r="BS212" s="12" t="n"/>
      <c r="BT212" s="12" t="n"/>
      <c r="BU212" s="12" t="n"/>
      <c r="BV212" s="12" t="n"/>
      <c r="BW212" s="12" t="n"/>
      <c r="BX212" s="12" t="n"/>
      <c r="BY212" s="12" t="n"/>
      <c r="BZ212" s="12" t="n"/>
      <c r="CA212" s="12" t="n"/>
      <c r="CB212" s="12" t="n"/>
      <c r="CC212" s="12" t="n"/>
      <c r="CD212" s="12" t="n"/>
      <c r="CE212" s="12" t="n"/>
      <c r="CF212" s="12" t="n"/>
      <c r="CG212" s="12" t="n"/>
      <c r="CH212" s="12" t="n"/>
      <c r="CI212" s="12" t="n"/>
      <c r="CJ212" s="12" t="n"/>
      <c r="CK212" s="12" t="n"/>
      <c r="CL212" s="12" t="n"/>
      <c r="CM212" s="12" t="n"/>
      <c r="CN212" s="12" t="n"/>
      <c r="CO212" s="12" t="n"/>
      <c r="CP212" s="12" t="n"/>
      <c r="CQ212" s="12" t="n"/>
      <c r="CR212" s="12" t="n"/>
      <c r="CS212" s="12" t="n"/>
      <c r="CT212" s="12" t="n"/>
      <c r="CU212" s="12" t="n"/>
      <c r="CV212" s="12" t="n"/>
      <c r="CW212" s="12" t="n"/>
      <c r="CX212" s="12" t="n"/>
      <c r="CY212" s="12" t="n"/>
    </row>
    <row r="213" hidden="1" outlineLevel="1">
      <c r="C213" s="57" t="inlineStr">
        <is>
          <t>Discretionary (paydown)/borrowing of convertible debt</t>
        </is>
      </c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2" t="n"/>
      <c r="AC213" s="12" t="n"/>
      <c r="AD213" s="12" t="n"/>
      <c r="AE213" s="12" t="n"/>
      <c r="AF213" s="12" t="n"/>
      <c r="AG213" s="12" t="n"/>
      <c r="AH213" s="62" t="n"/>
      <c r="AI213" s="62" t="n"/>
      <c r="AJ213" s="62" t="n"/>
      <c r="AK213" s="62" t="n"/>
      <c r="AL213" s="12" t="n"/>
      <c r="AM213" s="62" t="n"/>
      <c r="AN213" s="62" t="n"/>
      <c r="AO213" s="62" t="n"/>
      <c r="AP213" s="62" t="n"/>
      <c r="AQ213" s="12" t="n"/>
      <c r="AR213" s="62" t="n"/>
      <c r="AS213" s="62" t="n"/>
      <c r="AT213" s="62" t="n"/>
      <c r="AU213" s="62" t="n"/>
      <c r="AV213" s="12" t="n"/>
      <c r="AW213" s="62" t="n"/>
      <c r="AX213" s="62" t="n"/>
      <c r="AY213" s="62" t="n"/>
      <c r="AZ213" s="62" t="n"/>
      <c r="BA213" s="12" t="n"/>
      <c r="BB213" s="62" t="n"/>
      <c r="BC213" s="62" t="n"/>
      <c r="BD213" s="62" t="n"/>
      <c r="BE213" s="62" t="n"/>
      <c r="BF213" s="12" t="n"/>
      <c r="BG213" s="62" t="n"/>
      <c r="BH213" s="62" t="n"/>
      <c r="BI213" s="62" t="n"/>
      <c r="BJ213" s="62" t="n"/>
      <c r="BK213" s="12" t="n"/>
      <c r="BL213" s="62" t="n"/>
      <c r="BM213" s="62" t="n"/>
      <c r="BN213" s="62" t="n"/>
      <c r="BO213" s="62" t="n"/>
      <c r="BP213" s="12" t="n"/>
      <c r="BQ213" s="62" t="n"/>
      <c r="BR213" s="62" t="n"/>
      <c r="BS213" s="62" t="n"/>
      <c r="BT213" s="62" t="n"/>
      <c r="BU213" s="12" t="n"/>
      <c r="BV213" s="62" t="n"/>
      <c r="BW213" s="62" t="n"/>
      <c r="BX213" s="62" t="n"/>
      <c r="BY213" s="62" t="n"/>
      <c r="BZ213" s="12" t="n"/>
      <c r="CA213" s="62" t="n"/>
      <c r="CB213" s="62" t="n"/>
      <c r="CC213" s="62" t="n"/>
      <c r="CD213" s="62" t="n"/>
      <c r="CE213" s="12" t="n"/>
      <c r="CF213" s="62" t="n"/>
      <c r="CG213" s="62" t="n"/>
      <c r="CH213" s="62" t="n"/>
      <c r="CI213" s="62" t="n"/>
      <c r="CJ213" s="12" t="n"/>
      <c r="CK213" s="62" t="n"/>
      <c r="CL213" s="62" t="n"/>
      <c r="CM213" s="62" t="n"/>
      <c r="CN213" s="62" t="n"/>
      <c r="CO213" s="12" t="n"/>
      <c r="CP213" s="62" t="n"/>
      <c r="CQ213" s="62" t="n"/>
      <c r="CR213" s="62" t="n"/>
      <c r="CS213" s="62" t="n"/>
      <c r="CT213" s="12" t="n"/>
      <c r="CU213" s="62" t="n"/>
      <c r="CV213" s="62" t="n"/>
      <c r="CW213" s="62" t="n"/>
      <c r="CX213" s="62" t="n"/>
      <c r="CY213" s="12" t="n"/>
    </row>
    <row r="214" hidden="1" outlineLevel="1">
      <c r="C214" s="57" t="inlineStr">
        <is>
          <t>Convertible debt</t>
        </is>
      </c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  <c r="AA214" s="12" t="n"/>
      <c r="AB214" s="12" t="n"/>
      <c r="AC214" s="12" t="n"/>
      <c r="AD214" s="12" t="n"/>
      <c r="AE214" s="12" t="n"/>
      <c r="AF214" s="12" t="n"/>
      <c r="AG214" s="12" t="n"/>
      <c r="AH214" s="12">
        <f>AH226</f>
        <v>0</v>
      </c>
      <c r="AI214" s="12">
        <f>AH214+SUM(AI213)</f>
        <v>0</v>
      </c>
      <c r="AJ214" s="12">
        <f>AI214+SUM(AJ213)</f>
        <v>0</v>
      </c>
      <c r="AK214" s="12">
        <f>AJ214+SUM(AK213)</f>
        <v>0</v>
      </c>
      <c r="AL214" s="12" t="n"/>
      <c r="AM214" s="12">
        <f>AM226</f>
        <v>0</v>
      </c>
      <c r="AN214" s="12">
        <f>AM214+SUM(AN213)</f>
        <v>0</v>
      </c>
      <c r="AO214" s="12">
        <f>AN214+SUM(AO213)</f>
        <v>0</v>
      </c>
      <c r="AP214" s="12">
        <f>AO214+SUM(AP213)</f>
        <v>0</v>
      </c>
      <c r="AQ214" s="12" t="n"/>
      <c r="AR214" s="12">
        <f>AR226</f>
        <v>0</v>
      </c>
      <c r="AS214" s="12">
        <f>AR214+SUM(AS213)</f>
        <v>0</v>
      </c>
      <c r="AT214" s="12">
        <f>AS214+SUM(AT213)</f>
        <v>0</v>
      </c>
      <c r="AU214" s="12">
        <f>AT214+SUM(AU213)</f>
        <v>0</v>
      </c>
      <c r="AV214" s="12" t="n"/>
      <c r="AW214" s="12">
        <f>AW226</f>
        <v>0</v>
      </c>
      <c r="AX214" s="12">
        <f>AW214+SUM(AX213)</f>
        <v>0</v>
      </c>
      <c r="AY214" s="12">
        <f>AX214+SUM(AY213)</f>
        <v>0</v>
      </c>
      <c r="AZ214" s="12">
        <f>AY214+SUM(AZ213)</f>
        <v>0</v>
      </c>
      <c r="BA214" s="12" t="n"/>
      <c r="BB214" s="12">
        <f>BB226</f>
        <v>0</v>
      </c>
      <c r="BC214" s="12">
        <f>BB214+SUM(BC213)</f>
        <v>0</v>
      </c>
      <c r="BD214" s="12">
        <f>BC214+SUM(BD213)</f>
        <v>0</v>
      </c>
      <c r="BE214" s="12">
        <f>BD214+SUM(BE213)</f>
        <v>0</v>
      </c>
      <c r="BF214" s="12" t="n"/>
      <c r="BG214" s="12" t="n"/>
      <c r="BH214" s="12" t="n"/>
      <c r="BI214" s="12" t="n"/>
      <c r="BJ214" s="12" t="n"/>
      <c r="BK214" s="12" t="n"/>
      <c r="BL214" s="12" t="n"/>
      <c r="BM214" s="12" t="n"/>
      <c r="BN214" s="12" t="n"/>
      <c r="BO214" s="12" t="n"/>
      <c r="BP214" s="12" t="n"/>
      <c r="BQ214" s="12" t="n"/>
      <c r="BR214" s="12" t="n"/>
      <c r="BS214" s="12" t="n"/>
      <c r="BT214" s="12" t="n"/>
      <c r="BU214" s="12" t="n"/>
      <c r="BV214" s="12" t="n"/>
      <c r="BW214" s="12" t="n"/>
      <c r="BX214" s="12" t="n"/>
      <c r="BY214" s="12" t="n"/>
      <c r="BZ214" s="12" t="n"/>
      <c r="CA214" s="12" t="n"/>
      <c r="CB214" s="12" t="n"/>
      <c r="CC214" s="12" t="n"/>
      <c r="CD214" s="12" t="n"/>
      <c r="CE214" s="12" t="n"/>
      <c r="CF214" s="12" t="n"/>
      <c r="CG214" s="12" t="n"/>
      <c r="CH214" s="12" t="n"/>
      <c r="CI214" s="12" t="n"/>
      <c r="CJ214" s="12" t="n"/>
      <c r="CK214" s="12" t="n"/>
      <c r="CL214" s="12" t="n"/>
      <c r="CM214" s="12" t="n"/>
      <c r="CN214" s="12" t="n"/>
      <c r="CO214" s="12" t="n"/>
      <c r="CP214" s="12" t="n"/>
      <c r="CQ214" s="12" t="n"/>
      <c r="CR214" s="12" t="n"/>
      <c r="CS214" s="12" t="n"/>
      <c r="CT214" s="12" t="n"/>
      <c r="CU214" s="12" t="n"/>
      <c r="CV214" s="12" t="n"/>
      <c r="CW214" s="12" t="n"/>
      <c r="CX214" s="12" t="n"/>
      <c r="CY214" s="12" t="n"/>
    </row>
    <row r="215" hidden="1" outlineLevel="1">
      <c r="C215" s="57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2" t="n"/>
      <c r="AC215" s="12" t="n"/>
      <c r="AD215" s="12" t="n"/>
      <c r="AE215" s="12" t="n"/>
      <c r="AF215" s="12" t="n"/>
      <c r="AG215" s="12" t="n"/>
      <c r="AI215" s="12" t="n"/>
      <c r="AJ215" s="12" t="n"/>
      <c r="AK215" s="12" t="n"/>
      <c r="AL215" s="12" t="n"/>
      <c r="AN215" s="12" t="n"/>
      <c r="AO215" s="12" t="n"/>
      <c r="AP215" s="12" t="n"/>
      <c r="AQ215" s="12" t="n"/>
      <c r="AS215" s="12" t="n"/>
      <c r="AT215" s="12" t="n"/>
      <c r="AU215" s="12" t="n"/>
      <c r="AV215" s="12" t="n"/>
      <c r="AX215" s="12" t="n"/>
      <c r="AY215" s="12" t="n"/>
      <c r="AZ215" s="12" t="n"/>
      <c r="BA215" s="12" t="n"/>
      <c r="BC215" s="12" t="n"/>
      <c r="BD215" s="12" t="n"/>
      <c r="BE215" s="12" t="n"/>
      <c r="BF215" s="12" t="n"/>
      <c r="BH215" s="12" t="n"/>
      <c r="BI215" s="12" t="n"/>
      <c r="BJ215" s="12" t="n"/>
      <c r="BK215" s="12" t="n"/>
      <c r="BM215" s="12" t="n"/>
      <c r="BN215" s="12" t="n"/>
      <c r="BO215" s="12" t="n"/>
      <c r="BP215" s="12" t="n"/>
      <c r="BR215" s="12" t="n"/>
      <c r="BS215" s="12" t="n"/>
      <c r="BT215" s="12" t="n"/>
      <c r="BU215" s="12" t="n"/>
      <c r="BW215" s="12" t="n"/>
      <c r="BX215" s="12" t="n"/>
      <c r="BY215" s="12" t="n"/>
      <c r="BZ215" s="12" t="n"/>
      <c r="CB215" s="12" t="n"/>
      <c r="CC215" s="12" t="n"/>
      <c r="CD215" s="12" t="n"/>
      <c r="CE215" s="12" t="n"/>
      <c r="CG215" s="12" t="n"/>
      <c r="CH215" s="12" t="n"/>
      <c r="CI215" s="12" t="n"/>
      <c r="CJ215" s="12" t="n"/>
      <c r="CL215" s="12" t="n"/>
      <c r="CM215" s="12" t="n"/>
      <c r="CN215" s="12" t="n"/>
      <c r="CO215" s="12" t="n"/>
      <c r="CQ215" s="12" t="n"/>
      <c r="CR215" s="12" t="n"/>
      <c r="CS215" s="12" t="n"/>
      <c r="CT215" s="12" t="n"/>
      <c r="CV215" s="12" t="n"/>
      <c r="CW215" s="12" t="n"/>
      <c r="CX215" s="12" t="n"/>
      <c r="CY215" s="12" t="n"/>
    </row>
    <row r="216" hidden="1" outlineLevel="1">
      <c r="C216" s="57" t="inlineStr">
        <is>
          <t>Calculation of short term debt</t>
        </is>
      </c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/>
      <c r="AH216" s="12" t="n"/>
      <c r="AI216" s="12" t="n"/>
      <c r="AJ216" s="12" t="n"/>
      <c r="AK216" s="12" t="n"/>
      <c r="AL216" s="12" t="n"/>
      <c r="AM216" s="12" t="n"/>
      <c r="AN216" s="12" t="n"/>
      <c r="AO216" s="12" t="n"/>
      <c r="AP216" s="12" t="n"/>
      <c r="AQ216" s="12" t="n"/>
      <c r="AR216" s="12" t="n"/>
      <c r="AS216" s="12" t="n"/>
      <c r="AT216" s="12" t="n"/>
      <c r="AU216" s="12" t="n"/>
      <c r="AV216" s="12" t="n"/>
      <c r="AW216" s="12" t="n"/>
      <c r="AX216" s="12" t="n"/>
      <c r="AY216" s="12" t="n"/>
      <c r="AZ216" s="12" t="n"/>
      <c r="BA216" s="12" t="n"/>
      <c r="BB216" s="12" t="n"/>
      <c r="BC216" s="12" t="n"/>
      <c r="BD216" s="12" t="n"/>
      <c r="BE216" s="12" t="n"/>
      <c r="BF216" s="12" t="n"/>
      <c r="BG216" s="12" t="n"/>
      <c r="BH216" s="12" t="n"/>
      <c r="BI216" s="12" t="n"/>
      <c r="BJ216" s="12" t="n"/>
      <c r="BK216" s="12" t="n"/>
      <c r="BL216" s="12" t="n"/>
      <c r="BM216" s="12" t="n"/>
      <c r="BN216" s="12" t="n"/>
      <c r="BO216" s="12" t="n"/>
      <c r="BP216" s="12" t="n"/>
      <c r="BQ216" s="12" t="n"/>
      <c r="BR216" s="12" t="n"/>
      <c r="BS216" s="12" t="n"/>
      <c r="BT216" s="12" t="n"/>
      <c r="BU216" s="12" t="n"/>
      <c r="BV216" s="12" t="n"/>
      <c r="BW216" s="12" t="n"/>
      <c r="BX216" s="12" t="n"/>
      <c r="BY216" s="12" t="n"/>
      <c r="BZ216" s="12" t="n"/>
      <c r="CA216" s="12" t="n"/>
      <c r="CB216" s="12" t="n"/>
      <c r="CC216" s="12" t="n"/>
      <c r="CD216" s="12" t="n"/>
      <c r="CE216" s="12" t="n"/>
      <c r="CF216" s="12" t="n"/>
      <c r="CG216" s="12" t="n"/>
      <c r="CH216" s="12" t="n"/>
      <c r="CI216" s="12" t="n"/>
      <c r="CJ216" s="12" t="n"/>
      <c r="CK216" s="12" t="n"/>
      <c r="CL216" s="12" t="n"/>
      <c r="CM216" s="12" t="n"/>
      <c r="CN216" s="12" t="n"/>
      <c r="CO216" s="12" t="n"/>
      <c r="CP216" s="12" t="n"/>
      <c r="CQ216" s="12" t="n"/>
      <c r="CR216" s="12" t="n"/>
      <c r="CS216" s="12" t="n"/>
      <c r="CT216" s="12" t="n"/>
      <c r="CU216" s="12" t="n"/>
      <c r="CV216" s="12" t="n"/>
      <c r="CW216" s="12" t="n"/>
      <c r="CX216" s="12" t="n"/>
      <c r="CY216" s="12" t="n"/>
    </row>
    <row r="217" hidden="1" outlineLevel="1">
      <c r="C217" s="57" t="inlineStr">
        <is>
          <t>Cash @ beginning of the period (end of last period)</t>
        </is>
      </c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2" t="n"/>
      <c r="AC217" s="12" t="n"/>
      <c r="AD217" s="12" t="n"/>
      <c r="AE217" s="12" t="n"/>
      <c r="AF217" s="12" t="n"/>
      <c r="AG217" s="12" t="n"/>
      <c r="AH217" s="63">
        <f>AG132</f>
        <v>7389</v>
      </c>
      <c r="AI217" s="12" t="n"/>
      <c r="AJ217" s="12" t="n"/>
      <c r="AK217" s="12" t="n"/>
      <c r="AL217" s="12" t="n"/>
      <c r="AM217" s="63">
        <f>AL132</f>
        <v>-3611.1547302189</v>
      </c>
      <c r="AN217" s="12" t="n"/>
      <c r="AO217" s="12" t="n"/>
      <c r="AP217" s="12" t="n"/>
      <c r="AQ217" s="12" t="n"/>
      <c r="AR217" s="63">
        <f>AQ132</f>
        <v>-18235.7040948793</v>
      </c>
      <c r="AS217" s="12" t="n"/>
      <c r="AT217" s="12" t="n"/>
      <c r="AU217" s="12" t="n"/>
      <c r="AV217" s="12" t="n"/>
      <c r="AW217" s="63">
        <f>AV132</f>
        <v>-35732.4517158211</v>
      </c>
      <c r="AX217" s="12" t="n"/>
      <c r="AY217" s="12" t="n"/>
      <c r="AZ217" s="12" t="n"/>
      <c r="BA217" s="12" t="n"/>
      <c r="BB217" s="63">
        <f>BA132</f>
        <v>-56577.8813015651</v>
      </c>
      <c r="BC217" s="12" t="n"/>
      <c r="BD217" s="12" t="n"/>
      <c r="BE217" s="12" t="n"/>
      <c r="BF217" s="12" t="n"/>
      <c r="BG217" s="63" t="n"/>
      <c r="BH217" s="12" t="n"/>
      <c r="BI217" s="12" t="n"/>
      <c r="BJ217" s="12" t="n"/>
      <c r="BK217" s="12" t="n"/>
      <c r="BL217" s="63" t="n"/>
      <c r="BM217" s="12" t="n"/>
      <c r="BN217" s="12" t="n"/>
      <c r="BO217" s="12" t="n"/>
      <c r="BP217" s="12" t="n"/>
      <c r="BQ217" s="63" t="n"/>
      <c r="BR217" s="12" t="n"/>
      <c r="BS217" s="12" t="n"/>
      <c r="BT217" s="12" t="n"/>
      <c r="BU217" s="12" t="n"/>
      <c r="BV217" s="63" t="n"/>
      <c r="BW217" s="12" t="n"/>
      <c r="BX217" s="12" t="n"/>
      <c r="BY217" s="12" t="n"/>
      <c r="BZ217" s="12" t="n"/>
      <c r="CA217" s="63" t="n"/>
      <c r="CB217" s="12" t="n"/>
      <c r="CC217" s="12" t="n"/>
      <c r="CD217" s="12" t="n"/>
      <c r="CE217" s="12" t="n"/>
      <c r="CF217" s="63" t="n"/>
      <c r="CG217" s="12" t="n"/>
      <c r="CH217" s="12" t="n"/>
      <c r="CI217" s="12" t="n"/>
      <c r="CJ217" s="12" t="n"/>
      <c r="CK217" s="63" t="n"/>
      <c r="CL217" s="12" t="n"/>
      <c r="CM217" s="12" t="n"/>
      <c r="CN217" s="12" t="n"/>
      <c r="CO217" s="12" t="n"/>
      <c r="CP217" s="63" t="n"/>
      <c r="CQ217" s="12" t="n"/>
      <c r="CR217" s="12" t="n"/>
      <c r="CS217" s="12" t="n"/>
      <c r="CT217" s="12" t="n"/>
      <c r="CU217" s="63" t="n"/>
      <c r="CV217" s="12" t="n"/>
      <c r="CW217" s="12" t="n"/>
      <c r="CX217" s="12" t="n"/>
      <c r="CY217" s="12" t="n"/>
    </row>
    <row r="218" hidden="1" outlineLevel="1">
      <c r="C218" s="57" t="inlineStr">
        <is>
          <t>Plus: Free cash flows prior to debt during period</t>
        </is>
      </c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12" t="n"/>
      <c r="AB218" s="12" t="n"/>
      <c r="AC218" s="12" t="n"/>
      <c r="AD218" s="12" t="n"/>
      <c r="AE218" s="12" t="n"/>
      <c r="AF218" s="12" t="n"/>
      <c r="AG218" s="12" t="inlineStr">
        <is>
          <t>% of sales</t>
        </is>
      </c>
      <c r="AH218" s="64">
        <f>(AH280+AH287)+SUM(AH290:AH296)</f>
        <v>18687</v>
      </c>
      <c r="AI218" s="64">
        <f>(AI280+AI287)+SUM(AI290:AI296)</f>
        <v>-1032</v>
      </c>
      <c r="AJ218" s="64">
        <f>(AJ280+AJ287)+SUM(AJ290:AJ296)</f>
        <v>0</v>
      </c>
      <c r="AK218" s="64">
        <f>(AK280+AK287)+SUM(AK290:AK296)</f>
        <v>0</v>
      </c>
      <c r="AL218" s="12" t="n"/>
      <c r="AM218" s="64">
        <f>(AM280+AM287)+SUM(AM290:AM296)</f>
        <v>0</v>
      </c>
      <c r="AN218" s="64">
        <f>(AN280+AN287)+SUM(AN290:AN296)</f>
        <v>0</v>
      </c>
      <c r="AO218" s="64">
        <f>(AO280+AO287)+SUM(AO290:AO296)</f>
        <v>0</v>
      </c>
      <c r="AP218" s="64">
        <f>(AP280+AP287)+SUM(AP290:AP296)</f>
        <v>0</v>
      </c>
      <c r="AQ218" s="12" t="n"/>
      <c r="AR218" s="64">
        <f>(AR280+AR287)+SUM(AR290:AR296)</f>
        <v>0</v>
      </c>
      <c r="AS218" s="64">
        <f>(AS280+AS287)+SUM(AS290:AS296)</f>
        <v>0</v>
      </c>
      <c r="AT218" s="64">
        <f>(AT280+AT287)+SUM(AT290:AT296)</f>
        <v>0</v>
      </c>
      <c r="AU218" s="64">
        <f>(AU280+AU287)+SUM(AU290:AU296)</f>
        <v>0</v>
      </c>
      <c r="AV218" s="12" t="n"/>
      <c r="AW218" s="64">
        <f>(AW280+AW287)+SUM(AW290:AW296)</f>
        <v>0</v>
      </c>
      <c r="AX218" s="64">
        <f>(AX280+AX287)+SUM(AX290:AX296)</f>
        <v>0</v>
      </c>
      <c r="AY218" s="64">
        <f>(AY280+AY287)+SUM(AY290:AY296)</f>
        <v>0</v>
      </c>
      <c r="AZ218" s="64">
        <f>(AZ280+AZ287)+SUM(AZ290:AZ296)</f>
        <v>0</v>
      </c>
      <c r="BA218" s="12" t="n"/>
      <c r="BB218" s="64">
        <f>(BB280+BB287)+SUM(BB290:BB296)</f>
        <v>0</v>
      </c>
      <c r="BC218" s="64">
        <f>(BC280+BC287)+SUM(BC290:BC296)</f>
        <v>0</v>
      </c>
      <c r="BD218" s="64">
        <f>(BD280+BD287)+SUM(BD290:BD296)</f>
        <v>0</v>
      </c>
      <c r="BE218" s="64">
        <f>(BE280+BE287)+SUM(BE290:BE296)</f>
        <v>0</v>
      </c>
      <c r="BF218" s="12" t="n"/>
      <c r="BG218" s="64" t="n"/>
      <c r="BH218" s="64" t="n"/>
      <c r="BI218" s="64" t="n"/>
      <c r="BJ218" s="64" t="n"/>
      <c r="BK218" s="12" t="n"/>
      <c r="BL218" s="64" t="n"/>
      <c r="BM218" s="64" t="n"/>
      <c r="BN218" s="64" t="n"/>
      <c r="BO218" s="64" t="n"/>
      <c r="BP218" s="12" t="n"/>
      <c r="BQ218" s="64" t="n"/>
      <c r="BR218" s="64" t="n"/>
      <c r="BS218" s="64" t="n"/>
      <c r="BT218" s="64" t="n"/>
      <c r="BU218" s="12" t="n"/>
      <c r="BV218" s="64" t="n"/>
      <c r="BW218" s="64" t="n"/>
      <c r="BX218" s="64" t="n"/>
      <c r="BY218" s="64" t="n"/>
      <c r="BZ218" s="12" t="n"/>
      <c r="CA218" s="64" t="n"/>
      <c r="CB218" s="64" t="n"/>
      <c r="CC218" s="64" t="n"/>
      <c r="CD218" s="64" t="n"/>
      <c r="CE218" s="12" t="n"/>
      <c r="CF218" s="64" t="n"/>
      <c r="CG218" s="64" t="n"/>
      <c r="CH218" s="64" t="n"/>
      <c r="CI218" s="64" t="n"/>
      <c r="CJ218" s="12" t="n"/>
      <c r="CK218" s="64" t="n"/>
      <c r="CL218" s="64" t="n"/>
      <c r="CM218" s="64" t="n"/>
      <c r="CN218" s="64" t="n"/>
      <c r="CO218" s="12" t="n"/>
      <c r="CP218" s="64" t="n"/>
      <c r="CQ218" s="64" t="n"/>
      <c r="CR218" s="64" t="n"/>
      <c r="CS218" s="64" t="n"/>
      <c r="CT218" s="12" t="n"/>
      <c r="CU218" s="64" t="n"/>
      <c r="CV218" s="64" t="n"/>
      <c r="CW218" s="64" t="n"/>
      <c r="CX218" s="64" t="n"/>
      <c r="CY218" s="12" t="n"/>
    </row>
    <row r="219" hidden="1" outlineLevel="1">
      <c r="C219" s="57" t="inlineStr">
        <is>
          <t>Less: Minimum cash balance</t>
        </is>
      </c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2" t="n"/>
      <c r="AC219" s="12" t="n"/>
      <c r="AD219" s="12" t="n"/>
      <c r="AE219" s="12" t="n"/>
      <c r="AF219" s="12" t="n"/>
      <c r="AG219" s="52" t="n"/>
      <c r="AH219" s="12">
        <f>($AG$219*AH15)</f>
        <v>0</v>
      </c>
      <c r="AI219" s="12">
        <f>($AG$219*AI15)</f>
        <v>0</v>
      </c>
      <c r="AJ219" s="12">
        <f>($AG$219*AJ15)</f>
        <v>0</v>
      </c>
      <c r="AK219" s="12">
        <f>($AG$219*AK15)</f>
        <v>0</v>
      </c>
      <c r="AL219" s="12" t="n"/>
      <c r="AM219" s="12">
        <f>($AG$219*AM15)</f>
        <v>0</v>
      </c>
      <c r="AN219" s="12">
        <f>($AG$219*AN15)</f>
        <v>0</v>
      </c>
      <c r="AO219" s="12">
        <f>($AG$219*AO15)</f>
        <v>0</v>
      </c>
      <c r="AP219" s="12">
        <f>($AG$219*AP15)</f>
        <v>0</v>
      </c>
      <c r="AQ219" s="12" t="n"/>
      <c r="AR219" s="12">
        <f>($AG$219*AR15)</f>
        <v>0</v>
      </c>
      <c r="AS219" s="12">
        <f>($AG$219*AS15)</f>
        <v>0</v>
      </c>
      <c r="AT219" s="12">
        <f>($AG$219*AT15)</f>
        <v>0</v>
      </c>
      <c r="AU219" s="12">
        <f>($AG$219*AU15)</f>
        <v>0</v>
      </c>
      <c r="AV219" s="12" t="n"/>
      <c r="AW219" s="12">
        <f>($AG$219*AW15)</f>
        <v>0</v>
      </c>
      <c r="AX219" s="12">
        <f>($AG$219*AX15)</f>
        <v>0</v>
      </c>
      <c r="AY219" s="12">
        <f>($AG$219*AY15)</f>
        <v>0</v>
      </c>
      <c r="AZ219" s="12">
        <f>($AG$219*AZ15)</f>
        <v>0</v>
      </c>
      <c r="BA219" s="12" t="n"/>
      <c r="BB219" s="12">
        <f>($AG$219*BB15)</f>
        <v>0</v>
      </c>
      <c r="BC219" s="12">
        <f>($AG$219*BC15)</f>
        <v>0</v>
      </c>
      <c r="BD219" s="12">
        <f>($AG$219*BD15)</f>
        <v>0</v>
      </c>
      <c r="BE219" s="12">
        <f>($AG$219*BE15)</f>
        <v>0</v>
      </c>
      <c r="BF219" s="12" t="n"/>
      <c r="BG219" s="12" t="n"/>
      <c r="BH219" s="12" t="n"/>
      <c r="BI219" s="12" t="n"/>
      <c r="BJ219" s="12" t="n"/>
      <c r="BK219" s="12" t="n"/>
      <c r="BL219" s="12" t="n"/>
      <c r="BM219" s="12" t="n"/>
      <c r="BN219" s="12" t="n"/>
      <c r="BO219" s="12" t="n"/>
      <c r="BP219" s="12" t="n"/>
      <c r="BQ219" s="12" t="n"/>
      <c r="BR219" s="12" t="n"/>
      <c r="BS219" s="12" t="n"/>
      <c r="BT219" s="12" t="n"/>
      <c r="BU219" s="12" t="n"/>
      <c r="BV219" s="12" t="n"/>
      <c r="BW219" s="12" t="n"/>
      <c r="BX219" s="12" t="n"/>
      <c r="BY219" s="12" t="n"/>
      <c r="BZ219" s="12" t="n"/>
      <c r="CA219" s="12" t="n"/>
      <c r="CB219" s="12" t="n"/>
      <c r="CC219" s="12" t="n"/>
      <c r="CD219" s="12" t="n"/>
      <c r="CE219" s="12" t="n"/>
      <c r="CF219" s="12" t="n"/>
      <c r="CG219" s="12" t="n"/>
      <c r="CH219" s="12" t="n"/>
      <c r="CI219" s="12" t="n"/>
      <c r="CJ219" s="12" t="n"/>
      <c r="CK219" s="12" t="n"/>
      <c r="CL219" s="12" t="n"/>
      <c r="CM219" s="12" t="n"/>
      <c r="CN219" s="12" t="n"/>
      <c r="CO219" s="12" t="n"/>
      <c r="CP219" s="12" t="n"/>
      <c r="CQ219" s="12" t="n"/>
      <c r="CR219" s="12" t="n"/>
      <c r="CS219" s="12" t="n"/>
      <c r="CT219" s="12" t="n"/>
      <c r="CU219" s="12" t="n"/>
      <c r="CV219" s="12" t="n"/>
      <c r="CW219" s="12" t="n"/>
      <c r="CX219" s="12" t="n"/>
      <c r="CY219" s="12" t="n"/>
    </row>
    <row r="220" hidden="1" outlineLevel="1">
      <c r="C220" s="57" t="inlineStr">
        <is>
          <t>Total cash available / (debt required) for short term debt paydown</t>
        </is>
      </c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  <c r="AE220" s="12" t="n"/>
      <c r="AF220" s="12" t="n"/>
      <c r="AG220" s="12" t="n"/>
      <c r="AH220" s="3">
        <f>AH217+AH218-AH219-AF207+AH209+AH213</f>
        <v>26076</v>
      </c>
      <c r="AI220" s="3">
        <f>AI217+AI218-AI219-AG207+AI209+AI213</f>
        <v>-1032</v>
      </c>
      <c r="AJ220" s="3">
        <f>AJ217+AJ218-AJ219-AH207+AJ209+AJ213</f>
        <v>-1742</v>
      </c>
      <c r="AK220" s="3">
        <f>AK217+AK218-AK219-AI207+AK209+AK213</f>
        <v>0</v>
      </c>
      <c r="AL220" s="12" t="n"/>
      <c r="AM220" s="3">
        <f>AM217+AM218-AM219-AK207+AM209+AM213</f>
        <v>-3611.1547302189</v>
      </c>
      <c r="AN220" s="3">
        <f>AN217+AN218-AN219-AL207+AN209+AN213</f>
        <v>0</v>
      </c>
      <c r="AO220" s="3">
        <f>AO217+AO218-AO219-AM207+AO209+AO213</f>
        <v>-5589</v>
      </c>
      <c r="AP220" s="3">
        <f>AP217+AP218-AP219-AN207+AP209+AP213</f>
        <v>0</v>
      </c>
      <c r="AQ220" s="12" t="n"/>
      <c r="AR220" s="3">
        <f>AR217+AR218-AR219-AP207+AR209+AR213</f>
        <v>-18235.7040948793</v>
      </c>
      <c r="AS220" s="3">
        <f>AS217+AS218-AS219-AQ207+AS209+AS213</f>
        <v>0</v>
      </c>
      <c r="AT220" s="3">
        <f>AT217+AT218-AT219-AR207+AT209+AT213</f>
        <v>-5589</v>
      </c>
      <c r="AU220" s="3">
        <f>AU217+AU218-AU219-AS207+AU209+AU213</f>
        <v>0</v>
      </c>
      <c r="AV220" s="12" t="n"/>
      <c r="AW220" s="3">
        <f>AW217+AW218-AW219-AU207+AW209+AW213</f>
        <v>-35732.4517158211</v>
      </c>
      <c r="AX220" s="3">
        <f>AX217+AX218-AX219-AV207+AX209+AX213</f>
        <v>0</v>
      </c>
      <c r="AY220" s="3">
        <f>AY217+AY218-AY219-AW207+AY209+AY213</f>
        <v>-5589</v>
      </c>
      <c r="AZ220" s="3">
        <f>AZ217+AZ218-AZ219-AX207+AZ209+AZ213</f>
        <v>0</v>
      </c>
      <c r="BA220" s="12" t="n"/>
      <c r="BB220" s="3">
        <f>BB217+BB218-BB219-AZ207+BB209+BB213</f>
        <v>-56577.8813015651</v>
      </c>
      <c r="BC220" s="3">
        <f>BC217+BC218-BC219-BA207+BC209+BC213</f>
        <v>0</v>
      </c>
      <c r="BD220" s="3">
        <f>BD217+BD218-BD219-BB207+BD209+BD213</f>
        <v>-5589</v>
      </c>
      <c r="BE220" s="3">
        <f>BE217+BE218-BE219-BC207+BE209+BE213</f>
        <v>0</v>
      </c>
      <c r="BF220" s="12" t="n"/>
      <c r="BG220" s="3" t="n"/>
      <c r="BH220" s="3" t="n"/>
      <c r="BI220" s="3" t="n"/>
      <c r="BJ220" s="3" t="n"/>
      <c r="BK220" s="12" t="n"/>
      <c r="BL220" s="3" t="n"/>
      <c r="BM220" s="3" t="n"/>
      <c r="BN220" s="3" t="n"/>
      <c r="BO220" s="3" t="n"/>
      <c r="BP220" s="12" t="n"/>
      <c r="BQ220" s="3" t="n"/>
      <c r="BR220" s="3" t="n"/>
      <c r="BS220" s="3" t="n"/>
      <c r="BT220" s="3" t="n"/>
      <c r="BU220" s="12" t="n"/>
      <c r="BV220" s="3" t="n"/>
      <c r="BW220" s="3" t="n"/>
      <c r="BX220" s="3" t="n"/>
      <c r="BY220" s="3" t="n"/>
      <c r="BZ220" s="12" t="n"/>
      <c r="CA220" s="3" t="n"/>
      <c r="CB220" s="3" t="n"/>
      <c r="CC220" s="3" t="n"/>
      <c r="CD220" s="3" t="n"/>
      <c r="CE220" s="12" t="n"/>
      <c r="CF220" s="3" t="n"/>
      <c r="CG220" s="3" t="n"/>
      <c r="CH220" s="3" t="n"/>
      <c r="CI220" s="3" t="n"/>
      <c r="CJ220" s="12" t="n"/>
      <c r="CK220" s="3" t="n"/>
      <c r="CL220" s="3" t="n"/>
      <c r="CM220" s="3" t="n"/>
      <c r="CN220" s="3" t="n"/>
      <c r="CO220" s="12" t="n"/>
      <c r="CP220" s="3" t="n"/>
      <c r="CQ220" s="3" t="n"/>
      <c r="CR220" s="3" t="n"/>
      <c r="CS220" s="3" t="n"/>
      <c r="CT220" s="12" t="n"/>
      <c r="CU220" s="3" t="n"/>
      <c r="CV220" s="3" t="n"/>
      <c r="CW220" s="3" t="n"/>
      <c r="CX220" s="3" t="n"/>
      <c r="CY220" s="12" t="n"/>
    </row>
    <row r="221" hidden="1" outlineLevel="1">
      <c r="C221" s="57" t="inlineStr">
        <is>
          <t>Short term debt</t>
        </is>
      </c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2" t="n"/>
      <c r="AC221" s="12" t="n"/>
      <c r="AD221" s="12" t="n"/>
      <c r="AE221" s="12" t="n"/>
      <c r="AF221" s="12" t="n"/>
      <c r="AG221" s="12" t="n"/>
      <c r="AH221" s="12">
        <f>AH201</f>
        <v>0</v>
      </c>
      <c r="AI221" s="12">
        <f>MAX(0,AH221-AI220)</f>
        <v>1032</v>
      </c>
      <c r="AJ221" s="12">
        <f>MAX(0,AI221-AJ220)</f>
        <v>2774</v>
      </c>
      <c r="AK221" s="12">
        <f>MAX(0,AJ221-AK220)</f>
        <v>2774</v>
      </c>
      <c r="AL221" s="12" t="n"/>
      <c r="AM221" s="12">
        <f>AM201</f>
        <v>0</v>
      </c>
      <c r="AN221" s="12">
        <f>MAX(0,AM221-AN220)</f>
        <v>0</v>
      </c>
      <c r="AO221" s="12">
        <f>MAX(0,AN221-AO220)</f>
        <v>5589</v>
      </c>
      <c r="AP221" s="12">
        <f>MAX(0,AO221-AP220)</f>
        <v>5589</v>
      </c>
      <c r="AQ221" s="12" t="n"/>
      <c r="AR221" s="12">
        <f>AR201</f>
        <v>0</v>
      </c>
      <c r="AS221" s="12">
        <f>MAX(0,AR221-AS220)</f>
        <v>0</v>
      </c>
      <c r="AT221" s="12">
        <f>MAX(0,AS221-AT220)</f>
        <v>5589</v>
      </c>
      <c r="AU221" s="12">
        <f>MAX(0,AT221-AU220)</f>
        <v>5589</v>
      </c>
      <c r="AV221" s="12" t="n"/>
      <c r="AW221" s="12">
        <f>AW201</f>
        <v>0</v>
      </c>
      <c r="AX221" s="12">
        <f>MAX(0,AW221-AX220)</f>
        <v>0</v>
      </c>
      <c r="AY221" s="12">
        <f>MAX(0,AX221-AY220)</f>
        <v>5589</v>
      </c>
      <c r="AZ221" s="12">
        <f>MAX(0,AY221-AZ220)</f>
        <v>5589</v>
      </c>
      <c r="BA221" s="12" t="n"/>
      <c r="BB221" s="12">
        <f>BB201</f>
        <v>0</v>
      </c>
      <c r="BC221" s="12">
        <f>MAX(0,BB221-BC220)</f>
        <v>0</v>
      </c>
      <c r="BD221" s="12">
        <f>MAX(0,BC221-BD220)</f>
        <v>5589</v>
      </c>
      <c r="BE221" s="12">
        <f>MAX(0,BD221-BE220)</f>
        <v>5589</v>
      </c>
      <c r="BF221" s="12" t="n"/>
      <c r="BG221" s="12" t="n"/>
      <c r="BH221" s="12" t="n"/>
      <c r="BI221" s="12" t="n"/>
      <c r="BJ221" s="12" t="n"/>
      <c r="BK221" s="12" t="n"/>
      <c r="BL221" s="12" t="n"/>
      <c r="BM221" s="12" t="n"/>
      <c r="BN221" s="12" t="n"/>
      <c r="BO221" s="12" t="n"/>
      <c r="BP221" s="12" t="n"/>
      <c r="BQ221" s="12" t="n"/>
      <c r="BR221" s="12" t="n"/>
      <c r="BS221" s="12" t="n"/>
      <c r="BT221" s="12" t="n"/>
      <c r="BU221" s="12" t="n"/>
      <c r="BV221" s="12" t="n"/>
      <c r="BW221" s="12" t="n"/>
      <c r="BX221" s="12" t="n"/>
      <c r="BY221" s="12" t="n"/>
      <c r="BZ221" s="12" t="n"/>
      <c r="CA221" s="12" t="n"/>
      <c r="CB221" s="12" t="n"/>
      <c r="CC221" s="12" t="n"/>
      <c r="CD221" s="12" t="n"/>
      <c r="CE221" s="12" t="n"/>
      <c r="CF221" s="12" t="n"/>
      <c r="CG221" s="12" t="n"/>
      <c r="CH221" s="12" t="n"/>
      <c r="CI221" s="12" t="n"/>
      <c r="CJ221" s="12" t="n"/>
      <c r="CK221" s="12" t="n"/>
      <c r="CL221" s="12" t="n"/>
      <c r="CM221" s="12" t="n"/>
      <c r="CN221" s="12" t="n"/>
      <c r="CO221" s="12" t="n"/>
      <c r="CP221" s="12" t="n"/>
      <c r="CQ221" s="12" t="n"/>
      <c r="CR221" s="12" t="n"/>
      <c r="CS221" s="12" t="n"/>
      <c r="CT221" s="12" t="n"/>
      <c r="CU221" s="12" t="n"/>
      <c r="CV221" s="12" t="n"/>
      <c r="CW221" s="12" t="n"/>
      <c r="CX221" s="12" t="n"/>
      <c r="CY221" s="12" t="n"/>
    </row>
    <row r="222" hidden="1" outlineLevel="1">
      <c r="C222" s="57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  <c r="AH222" s="12" t="n"/>
      <c r="AI222" s="12" t="n"/>
      <c r="AJ222" s="12" t="n"/>
      <c r="AK222" s="12" t="n"/>
      <c r="AL222" s="12" t="n"/>
      <c r="AM222" s="12" t="n"/>
      <c r="AN222" s="12" t="n"/>
      <c r="AO222" s="12" t="n"/>
      <c r="AP222" s="12" t="n"/>
      <c r="AQ222" s="12" t="n"/>
      <c r="AR222" s="12" t="n"/>
      <c r="AS222" s="12" t="n"/>
      <c r="AT222" s="12" t="n"/>
      <c r="AU222" s="12" t="n"/>
      <c r="AV222" s="12" t="n"/>
      <c r="AW222" s="12" t="n"/>
      <c r="AX222" s="12" t="n"/>
      <c r="AY222" s="12" t="n"/>
      <c r="AZ222" s="12" t="n"/>
      <c r="BA222" s="12" t="n"/>
      <c r="BB222" s="12" t="n"/>
      <c r="BC222" s="12" t="n"/>
      <c r="BD222" s="12" t="n"/>
      <c r="BE222" s="12" t="n"/>
      <c r="BF222" s="12" t="n"/>
      <c r="BG222" s="12" t="n"/>
      <c r="BH222" s="12" t="n"/>
      <c r="BI222" s="12" t="n"/>
      <c r="BJ222" s="12" t="n"/>
      <c r="BK222" s="12" t="n"/>
      <c r="BL222" s="12" t="n"/>
      <c r="BM222" s="12" t="n"/>
      <c r="BN222" s="12" t="n"/>
      <c r="BO222" s="12" t="n"/>
      <c r="BP222" s="12" t="n"/>
      <c r="BQ222" s="12" t="n"/>
      <c r="BR222" s="12" t="n"/>
      <c r="BS222" s="12" t="n"/>
      <c r="BT222" s="12" t="n"/>
      <c r="BU222" s="12" t="n"/>
      <c r="BV222" s="12" t="n"/>
      <c r="BW222" s="12" t="n"/>
      <c r="BX222" s="12" t="n"/>
      <c r="BY222" s="12" t="n"/>
      <c r="BZ222" s="12" t="n"/>
      <c r="CA222" s="12" t="n"/>
      <c r="CB222" s="12" t="n"/>
      <c r="CC222" s="12" t="n"/>
      <c r="CD222" s="12" t="n"/>
      <c r="CE222" s="12" t="n"/>
      <c r="CF222" s="12" t="n"/>
      <c r="CG222" s="12" t="n"/>
      <c r="CH222" s="12" t="n"/>
      <c r="CI222" s="12" t="n"/>
      <c r="CJ222" s="12" t="n"/>
      <c r="CK222" s="12" t="n"/>
      <c r="CL222" s="12" t="n"/>
      <c r="CM222" s="12" t="n"/>
      <c r="CN222" s="12" t="n"/>
      <c r="CO222" s="12" t="n"/>
      <c r="CP222" s="12" t="n"/>
      <c r="CQ222" s="12" t="n"/>
      <c r="CR222" s="12" t="n"/>
      <c r="CS222" s="12" t="n"/>
      <c r="CT222" s="12" t="n"/>
      <c r="CU222" s="12" t="n"/>
      <c r="CV222" s="12" t="n"/>
      <c r="CW222" s="12" t="n"/>
      <c r="CX222" s="12" t="n"/>
      <c r="CY222" s="12" t="n"/>
    </row>
    <row r="223" collapsed="1">
      <c r="C223" s="14" t="inlineStr">
        <is>
          <t>Long term operating leases</t>
        </is>
      </c>
      <c r="D223" s="46" t="n"/>
      <c r="E223" s="46" t="n"/>
      <c r="F223" s="46" t="n"/>
      <c r="G223" s="46" t="n"/>
      <c r="H223" s="12" t="n"/>
      <c r="I223" s="46">
        <f>'Inputs (2)'!D36</f>
        <v>0</v>
      </c>
      <c r="J223" s="46">
        <f>'Inputs (2)'!E36</f>
        <v>0</v>
      </c>
      <c r="K223" s="46">
        <f>'Inputs (2)'!F36</f>
        <v>0</v>
      </c>
      <c r="L223" s="46">
        <f>'Inputs (2)'!G36</f>
        <v>0</v>
      </c>
      <c r="M223" s="12">
        <f>'Inputs (2)'!H36</f>
        <v>0</v>
      </c>
      <c r="N223" s="46">
        <f>'Inputs (2)'!I36</f>
        <v>0</v>
      </c>
      <c r="O223" s="46">
        <f>'Inputs (2)'!J36</f>
        <v>0</v>
      </c>
      <c r="P223" s="46">
        <f>'Inputs (2)'!K36</f>
        <v>0</v>
      </c>
      <c r="Q223" s="46">
        <f>'Inputs (2)'!L36</f>
        <v>0</v>
      </c>
      <c r="R223" s="12">
        <f>'Inputs (2)'!M36</f>
        <v>0</v>
      </c>
      <c r="S223" s="46">
        <f>'Inputs (2)'!N36</f>
        <v>0</v>
      </c>
      <c r="T223" s="46">
        <f>'Inputs (2)'!O36</f>
        <v>0</v>
      </c>
      <c r="U223" s="46">
        <f>'Inputs (2)'!P36</f>
        <v>0</v>
      </c>
      <c r="V223" s="46">
        <f>'Inputs (2)'!Q36</f>
        <v>0</v>
      </c>
      <c r="W223" s="12">
        <f>'Inputs (2)'!R36</f>
        <v>0</v>
      </c>
      <c r="X223" s="46">
        <f>'Inputs (2)'!S36</f>
        <v>0</v>
      </c>
      <c r="Y223" s="46">
        <f>'Inputs (2)'!T36</f>
        <v>0</v>
      </c>
      <c r="Z223" s="46">
        <f>'Inputs (2)'!U36</f>
        <v>0</v>
      </c>
      <c r="AA223" s="46">
        <f>'Inputs (2)'!V36</f>
        <v>0</v>
      </c>
      <c r="AB223" s="12">
        <f>'Inputs (2)'!W36</f>
        <v>0</v>
      </c>
      <c r="AC223" s="46">
        <f>'Inputs (2)'!X36</f>
        <v>0</v>
      </c>
      <c r="AD223" s="46">
        <f>'Inputs (2)'!Y36</f>
        <v>0</v>
      </c>
      <c r="AE223" s="46">
        <f>'Inputs (2)'!Z36</f>
        <v>0</v>
      </c>
      <c r="AF223" s="46">
        <f>'Inputs (2)'!AA36</f>
        <v>0</v>
      </c>
      <c r="AG223" s="12">
        <f>'Inputs (2)'!AB36</f>
        <v>0</v>
      </c>
      <c r="AH223" s="12">
        <f>'Inputs (2)'!AC36</f>
        <v>0</v>
      </c>
      <c r="AI223" s="12">
        <f>'Inputs (2)'!AD36</f>
        <v>0</v>
      </c>
      <c r="AJ223" s="12">
        <f>AI223</f>
        <v>0</v>
      </c>
      <c r="AK223" s="12">
        <f>AJ223</f>
        <v>0</v>
      </c>
      <c r="AL223" s="12">
        <f>AK223</f>
        <v>0</v>
      </c>
      <c r="AM223" s="12">
        <f>AL223</f>
        <v>0</v>
      </c>
      <c r="AN223" s="12">
        <f>AM223</f>
        <v>0</v>
      </c>
      <c r="AO223" s="12">
        <f>AN223</f>
        <v>0</v>
      </c>
      <c r="AP223" s="12">
        <f>AO223</f>
        <v>0</v>
      </c>
      <c r="AQ223" s="12">
        <f>AP223</f>
        <v>0</v>
      </c>
      <c r="AR223" s="12">
        <f>AQ223</f>
        <v>0</v>
      </c>
      <c r="AS223" s="12">
        <f>AR223</f>
        <v>0</v>
      </c>
      <c r="AT223" s="12">
        <f>AS223</f>
        <v>0</v>
      </c>
      <c r="AU223" s="12">
        <f>AT223</f>
        <v>0</v>
      </c>
      <c r="AV223" s="12">
        <f>AU223</f>
        <v>0</v>
      </c>
      <c r="AW223" s="12">
        <f>AV223</f>
        <v>0</v>
      </c>
      <c r="AX223" s="12">
        <f>AW223</f>
        <v>0</v>
      </c>
      <c r="AY223" s="12">
        <f>AX223</f>
        <v>0</v>
      </c>
      <c r="AZ223" s="12">
        <f>AY223</f>
        <v>0</v>
      </c>
      <c r="BA223" s="12">
        <f>AZ223</f>
        <v>0</v>
      </c>
      <c r="BB223" s="12">
        <f>BA223</f>
        <v>0</v>
      </c>
      <c r="BC223" s="12">
        <f>BB223</f>
        <v>0</v>
      </c>
      <c r="BD223" s="12">
        <f>BC223</f>
        <v>0</v>
      </c>
      <c r="BE223" s="12">
        <f>BD223</f>
        <v>0</v>
      </c>
      <c r="BF223" s="12">
        <f>BE223</f>
        <v>0</v>
      </c>
      <c r="BG223" s="12" t="n"/>
      <c r="BH223" s="12" t="n"/>
      <c r="BI223" s="12" t="n"/>
      <c r="BJ223" s="12" t="n"/>
      <c r="BK223" s="12" t="n"/>
      <c r="BL223" s="12" t="n"/>
      <c r="BM223" s="12" t="n"/>
      <c r="BN223" s="12" t="n"/>
      <c r="BO223" s="12" t="n"/>
      <c r="BP223" s="12" t="n"/>
      <c r="BQ223" s="12" t="n"/>
      <c r="BR223" s="12" t="n"/>
      <c r="BS223" s="12" t="n"/>
      <c r="BT223" s="12" t="n"/>
      <c r="BU223" s="12" t="n"/>
      <c r="BV223" s="12" t="n"/>
      <c r="BW223" s="12" t="n"/>
      <c r="BX223" s="12" t="n"/>
      <c r="BY223" s="12" t="n"/>
      <c r="BZ223" s="12" t="n"/>
      <c r="CA223" s="12" t="n"/>
      <c r="CB223" s="12" t="n"/>
      <c r="CC223" s="12" t="n"/>
      <c r="CD223" s="12" t="n"/>
      <c r="CE223" s="12" t="n"/>
      <c r="CF223" s="12" t="n"/>
      <c r="CG223" s="12" t="n"/>
      <c r="CH223" s="12" t="n"/>
      <c r="CI223" s="12" t="n"/>
      <c r="CJ223" s="12" t="n"/>
      <c r="CK223" s="12" t="n"/>
      <c r="CL223" s="12" t="n"/>
      <c r="CM223" s="12" t="n"/>
      <c r="CN223" s="12" t="n"/>
      <c r="CO223" s="12" t="n"/>
      <c r="CP223" s="12" t="n"/>
      <c r="CQ223" s="12" t="n"/>
      <c r="CR223" s="12" t="n"/>
      <c r="CS223" s="12" t="n"/>
      <c r="CT223" s="12" t="n"/>
      <c r="CU223" s="12" t="n"/>
      <c r="CV223" s="12" t="n"/>
      <c r="CW223" s="12" t="n"/>
      <c r="CX223" s="12" t="n"/>
      <c r="CY223" s="12" t="n"/>
    </row>
    <row r="224" hidden="1" outlineLevel="1">
      <c r="C224" s="59" t="inlineStr">
        <is>
          <t>%(Var.)</t>
        </is>
      </c>
      <c r="D224" s="12" t="n"/>
      <c r="E224" s="40" t="n"/>
      <c r="F224" s="40" t="n"/>
      <c r="G224" s="40" t="n"/>
      <c r="H224" s="12" t="n"/>
      <c r="I224" s="40" t="str">
        <f>""</f>
        <v/>
      </c>
      <c r="J224" s="40" t="str">
        <f>IFERROR(IF(I223=0,"",J223/I223-1),"")</f>
        <v/>
      </c>
      <c r="K224" s="40" t="str">
        <f>IFERROR(IF(J223=0,"",K223/J223-1),"")</f>
        <v/>
      </c>
      <c r="L224" s="40" t="str">
        <f>IFERROR(IF(K223=0,"",L223/K223-1),"")</f>
        <v/>
      </c>
      <c r="M224" s="12" t="str">
        <f>IF(L223=0,"",M223/L223-1)</f>
        <v/>
      </c>
      <c r="N224" s="40" t="str">
        <f>IFERROR(IF(M223=0,"",N223/M223-1),"")</f>
        <v/>
      </c>
      <c r="O224" s="40" t="str">
        <f>IFERROR(IF(N223=0,"",O223/N223-1),"")</f>
        <v/>
      </c>
      <c r="P224" s="40" t="str">
        <f>IFERROR(IF(O223=0,"",P223/O223-1),"")</f>
        <v/>
      </c>
      <c r="Q224" s="40" t="str">
        <f>IFERROR(IF(P223=0,"",Q223/P223-1),"")</f>
        <v/>
      </c>
      <c r="R224" s="12" t="str">
        <f>IF(Q223=0,"",R223/Q223-1)</f>
        <v/>
      </c>
      <c r="S224" s="40" t="str">
        <f>IFERROR(IF(R223=0,"",S223/R223-1),"")</f>
        <v/>
      </c>
      <c r="T224" s="40" t="str">
        <f>IFERROR(IF(S223=0,"",T223/S223-1),"")</f>
        <v/>
      </c>
      <c r="U224" s="40" t="str">
        <f>IFERROR(IF(T223=0,"",U223/T223-1),"")</f>
        <v/>
      </c>
      <c r="V224" s="40" t="str">
        <f>IFERROR(IF(U223=0,"",V223/U223-1),"")</f>
        <v/>
      </c>
      <c r="W224" s="12" t="str">
        <f>IF(V223=0,"",W223/V223-1)</f>
        <v/>
      </c>
      <c r="X224" s="40" t="str">
        <f>IFERROR(IF(W223=0,"",X223/W223-1),"")</f>
        <v/>
      </c>
      <c r="Y224" s="40" t="str">
        <f>IFERROR(IF(X223=0,"",Y223/X223-1),"")</f>
        <v/>
      </c>
      <c r="Z224" s="40" t="str">
        <f>IFERROR(IF(Y223=0,"",Z223/Y223-1),"")</f>
        <v/>
      </c>
      <c r="AA224" s="40" t="str">
        <f>IFERROR(IF(Z223=0,"",AA223/Z223-1),"")</f>
        <v/>
      </c>
      <c r="AB224" s="12" t="str">
        <f>IF(AA223=0,"",AB223/AA223-1)</f>
        <v/>
      </c>
      <c r="AC224" s="40" t="str">
        <f>IFERROR(IF(AB223=0,"",AC223/AB223-1),"")</f>
        <v/>
      </c>
      <c r="AD224" s="40" t="str">
        <f>IFERROR(IF(AC223=0,"",AD223/AC223-1),"")</f>
        <v/>
      </c>
      <c r="AE224" s="40" t="str">
        <f>IFERROR(IF(AD223=0,"",AE223/AD223-1),"")</f>
        <v/>
      </c>
      <c r="AF224" s="41" t="str">
        <f>IFERROR(IF(AE223=0,"",AF223/AE223-1),"")</f>
        <v/>
      </c>
      <c r="AG224" s="12" t="str">
        <f>IF(AF223=0,"",AG223/AF223-1)</f>
        <v/>
      </c>
      <c r="AH224" s="11" t="str">
        <f>IFERROR(IF(AG223=0,"",AH223/AG223-1),"")</f>
        <v/>
      </c>
      <c r="AI224" s="11" t="str">
        <f>IFERROR(IF(AH223=0,"",AI223/AH223-1),"")</f>
        <v/>
      </c>
      <c r="AJ224" s="11" t="str">
        <f>IFERROR(IF(AI223=0,"",AJ223/AI223-1),"")</f>
        <v/>
      </c>
      <c r="AK224" s="11" t="str">
        <f>IFERROR(IF(AJ223=0,"",AK223/AJ223-1),"")</f>
        <v/>
      </c>
      <c r="AL224" s="12" t="str">
        <f>IFERROR(IF(AK223=0,"",AL223/AK223-1),"")</f>
        <v/>
      </c>
      <c r="AM224" s="11" t="str">
        <f>IFERROR(IF(AL223=0,"",AM223/AL223-1),"")</f>
        <v/>
      </c>
      <c r="AN224" s="11" t="str">
        <f>IFERROR(IF(AM223=0,"",AN223/AM223-1),"")</f>
        <v/>
      </c>
      <c r="AO224" s="11" t="str">
        <f>IFERROR(IF(AN223=0,"",AO223/AN223-1),"")</f>
        <v/>
      </c>
      <c r="AP224" s="11" t="str">
        <f>IFERROR(IF(AO223=0,"",AP223/AO223-1),"")</f>
        <v/>
      </c>
      <c r="AQ224" s="12" t="str">
        <f>IFERROR(IF(AP223=0,"",AQ223/AP223-1),"")</f>
        <v/>
      </c>
      <c r="AR224" s="11" t="str">
        <f>IFERROR(IF(AQ223=0,"",AR223/AQ223-1),"")</f>
        <v/>
      </c>
      <c r="AS224" s="11" t="str">
        <f>IFERROR(IF(AR223=0,"",AS223/AR223-1),"")</f>
        <v/>
      </c>
      <c r="AT224" s="11" t="str">
        <f>IFERROR(IF(AS223=0,"",AT223/AS223-1),"")</f>
        <v/>
      </c>
      <c r="AU224" s="11" t="str">
        <f>IFERROR(IF(AT223=0,"",AU223/AT223-1),"")</f>
        <v/>
      </c>
      <c r="AV224" s="12" t="str">
        <f>IFERROR(IF(AU223=0,"",AV223/AU223-1),"")</f>
        <v/>
      </c>
      <c r="AW224" s="11" t="str">
        <f>IFERROR(IF(AV223=0,"",AW223/AV223-1),"")</f>
        <v/>
      </c>
      <c r="AX224" s="11" t="str">
        <f>IFERROR(IF(AW223=0,"",AX223/AW223-1),"")</f>
        <v/>
      </c>
      <c r="AY224" s="11" t="str">
        <f>IFERROR(IF(AX223=0,"",AY223/AX223-1),"")</f>
        <v/>
      </c>
      <c r="AZ224" s="11" t="str">
        <f>IFERROR(IF(AY223=0,"",AZ223/AY223-1),"")</f>
        <v/>
      </c>
      <c r="BA224" s="12" t="str">
        <f>IFERROR(IF(AZ223=0,"",BA223/AZ223-1),"")</f>
        <v/>
      </c>
      <c r="BB224" s="11" t="str">
        <f>IFERROR(IF(BA223=0,"",BB223/BA223-1),"")</f>
        <v/>
      </c>
      <c r="BC224" s="11" t="str">
        <f>IFERROR(IF(BB223=0,"",BC223/BB223-1),"")</f>
        <v/>
      </c>
      <c r="BD224" s="11" t="str">
        <f>IFERROR(IF(BC223=0,"",BD223/BC223-1),"")</f>
        <v/>
      </c>
      <c r="BE224" s="11" t="str">
        <f>IFERROR(IF(BD223=0,"",BE223/BD223-1),"")</f>
        <v/>
      </c>
      <c r="BF224" s="12" t="str">
        <f>IFERROR(IF(BE223=0,"",BF223/BE223-1),"")</f>
        <v/>
      </c>
      <c r="BG224" s="11" t="n"/>
      <c r="BH224" s="11" t="n"/>
      <c r="BI224" s="11" t="n"/>
      <c r="BJ224" s="11" t="n"/>
      <c r="BK224" s="12" t="n"/>
      <c r="BL224" s="11" t="n"/>
      <c r="BM224" s="11" t="n"/>
      <c r="BN224" s="11" t="n"/>
      <c r="BO224" s="11" t="n"/>
      <c r="BP224" s="12" t="n"/>
      <c r="BQ224" s="11" t="n"/>
      <c r="BR224" s="11" t="n"/>
      <c r="BS224" s="11" t="n"/>
      <c r="BT224" s="11" t="n"/>
      <c r="BU224" s="12" t="n"/>
      <c r="BV224" s="11" t="n"/>
      <c r="BW224" s="11" t="n"/>
      <c r="BX224" s="11" t="n"/>
      <c r="BY224" s="11" t="n"/>
      <c r="BZ224" s="12" t="n"/>
      <c r="CA224" s="11" t="n"/>
      <c r="CB224" s="11" t="n"/>
      <c r="CC224" s="11" t="n"/>
      <c r="CD224" s="11" t="n"/>
      <c r="CE224" s="12" t="n"/>
      <c r="CF224" s="11" t="n"/>
      <c r="CG224" s="11" t="n"/>
      <c r="CH224" s="11" t="n"/>
      <c r="CI224" s="11" t="n"/>
      <c r="CJ224" s="12" t="n"/>
      <c r="CK224" s="11" t="n"/>
      <c r="CL224" s="11" t="n"/>
      <c r="CM224" s="11" t="n"/>
      <c r="CN224" s="11" t="n"/>
      <c r="CO224" s="12" t="n"/>
      <c r="CP224" s="11" t="n"/>
      <c r="CQ224" s="11" t="n"/>
      <c r="CR224" s="11" t="n"/>
      <c r="CS224" s="11" t="n"/>
      <c r="CT224" s="12" t="n"/>
      <c r="CU224" s="11" t="n"/>
      <c r="CV224" s="11" t="n"/>
      <c r="CW224" s="11" t="n"/>
      <c r="CX224" s="11" t="n"/>
      <c r="CY224" s="12" t="n"/>
    </row>
    <row r="225" hidden="1" outlineLevel="1">
      <c r="C225" s="57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  <c r="AF225" s="12" t="n"/>
      <c r="AG225" s="12" t="n"/>
      <c r="AH225" s="12" t="n"/>
      <c r="AI225" s="12" t="n"/>
      <c r="AJ225" s="12" t="n"/>
      <c r="AK225" s="12" t="n"/>
      <c r="AL225" s="12" t="n"/>
      <c r="AM225" s="12" t="n"/>
      <c r="AN225" s="12" t="n"/>
      <c r="AO225" s="12" t="n"/>
      <c r="AP225" s="12" t="n"/>
      <c r="AQ225" s="12" t="n"/>
      <c r="AR225" s="12" t="n"/>
      <c r="AS225" s="12" t="n"/>
      <c r="AT225" s="12" t="n"/>
      <c r="AU225" s="12" t="n"/>
      <c r="AV225" s="12" t="n"/>
      <c r="AW225" s="12" t="n"/>
      <c r="AX225" s="12" t="n"/>
      <c r="AY225" s="12" t="n"/>
      <c r="AZ225" s="12" t="n"/>
      <c r="BA225" s="12" t="n"/>
      <c r="BB225" s="12" t="n"/>
      <c r="BC225" s="12" t="n"/>
      <c r="BD225" s="12" t="n"/>
      <c r="BE225" s="12" t="n"/>
      <c r="BF225" s="12" t="n"/>
      <c r="BG225" s="12" t="n"/>
      <c r="BH225" s="12" t="n"/>
      <c r="BI225" s="12" t="n"/>
      <c r="BJ225" s="12" t="n"/>
      <c r="BK225" s="12" t="n"/>
      <c r="BL225" s="12" t="n"/>
      <c r="BM225" s="12" t="n"/>
      <c r="BN225" s="12" t="n"/>
      <c r="BO225" s="12" t="n"/>
      <c r="BP225" s="12" t="n"/>
      <c r="BQ225" s="12" t="n"/>
      <c r="BR225" s="12" t="n"/>
      <c r="BS225" s="12" t="n"/>
      <c r="BT225" s="12" t="n"/>
      <c r="BU225" s="12" t="n"/>
      <c r="BV225" s="12" t="n"/>
      <c r="BW225" s="12" t="n"/>
      <c r="BX225" s="12" t="n"/>
      <c r="BY225" s="12" t="n"/>
      <c r="BZ225" s="12" t="n"/>
      <c r="CA225" s="12" t="n"/>
      <c r="CB225" s="12" t="n"/>
      <c r="CC225" s="12" t="n"/>
      <c r="CD225" s="12" t="n"/>
      <c r="CE225" s="12" t="n"/>
      <c r="CF225" s="12" t="n"/>
      <c r="CG225" s="12" t="n"/>
      <c r="CH225" s="12" t="n"/>
      <c r="CI225" s="12" t="n"/>
      <c r="CJ225" s="12" t="n"/>
      <c r="CK225" s="12" t="n"/>
      <c r="CL225" s="12" t="n"/>
      <c r="CM225" s="12" t="n"/>
      <c r="CN225" s="12" t="n"/>
      <c r="CO225" s="12" t="n"/>
      <c r="CP225" s="12" t="n"/>
      <c r="CQ225" s="12" t="n"/>
      <c r="CR225" s="12" t="n"/>
      <c r="CS225" s="12" t="n"/>
      <c r="CT225" s="12" t="n"/>
      <c r="CU225" s="12" t="n"/>
      <c r="CV225" s="12" t="n"/>
      <c r="CW225" s="12" t="n"/>
      <c r="CX225" s="12" t="n"/>
      <c r="CY225" s="12" t="n"/>
    </row>
    <row r="226" collapsed="1">
      <c r="C226" s="14" t="inlineStr">
        <is>
          <t>Convertible debt</t>
        </is>
      </c>
      <c r="D226" s="46" t="n"/>
      <c r="E226" s="46" t="n"/>
      <c r="F226" s="46" t="n"/>
      <c r="G226" s="46" t="n"/>
      <c r="H226" s="12" t="n"/>
      <c r="I226" s="46">
        <f>'Inputs (2)'!D37</f>
        <v>0</v>
      </c>
      <c r="J226" s="46">
        <f>'Inputs (2)'!E37</f>
        <v>0</v>
      </c>
      <c r="K226" s="46">
        <f>'Inputs (2)'!F37</f>
        <v>0</v>
      </c>
      <c r="L226" s="46">
        <f>'Inputs (2)'!G37</f>
        <v>0</v>
      </c>
      <c r="M226" s="12">
        <f>'Inputs (2)'!H37</f>
        <v>0</v>
      </c>
      <c r="N226" s="46">
        <f>'Inputs (2)'!I37</f>
        <v>0</v>
      </c>
      <c r="O226" s="46">
        <f>'Inputs (2)'!J37</f>
        <v>0</v>
      </c>
      <c r="P226" s="46">
        <f>'Inputs (2)'!K37</f>
        <v>0</v>
      </c>
      <c r="Q226" s="46">
        <f>'Inputs (2)'!L37</f>
        <v>0</v>
      </c>
      <c r="R226" s="12">
        <f>'Inputs (2)'!M37</f>
        <v>0</v>
      </c>
      <c r="S226" s="46">
        <f>'Inputs (2)'!N37</f>
        <v>0</v>
      </c>
      <c r="T226" s="46">
        <f>'Inputs (2)'!O37</f>
        <v>0</v>
      </c>
      <c r="U226" s="46">
        <f>'Inputs (2)'!P37</f>
        <v>0</v>
      </c>
      <c r="V226" s="46">
        <f>'Inputs (2)'!Q37</f>
        <v>0</v>
      </c>
      <c r="W226" s="12">
        <f>'Inputs (2)'!R37</f>
        <v>0</v>
      </c>
      <c r="X226" s="46">
        <f>'Inputs (2)'!S37</f>
        <v>0</v>
      </c>
      <c r="Y226" s="46">
        <f>'Inputs (2)'!T37</f>
        <v>0</v>
      </c>
      <c r="Z226" s="46">
        <f>'Inputs (2)'!U37</f>
        <v>0</v>
      </c>
      <c r="AA226" s="46">
        <f>'Inputs (2)'!V37</f>
        <v>0</v>
      </c>
      <c r="AB226" s="12">
        <f>'Inputs (2)'!W37</f>
        <v>0</v>
      </c>
      <c r="AC226" s="46">
        <f>'Inputs (2)'!X37</f>
        <v>0</v>
      </c>
      <c r="AD226" s="46">
        <f>'Inputs (2)'!Y37</f>
        <v>0</v>
      </c>
      <c r="AE226" s="46">
        <f>'Inputs (2)'!Z37</f>
        <v>0</v>
      </c>
      <c r="AF226" s="46">
        <f>'Inputs (2)'!AA37</f>
        <v>0</v>
      </c>
      <c r="AG226" s="12">
        <f>'Inputs (2)'!AB37</f>
        <v>0</v>
      </c>
      <c r="AH226" s="12">
        <f>'Inputs (2)'!AC37</f>
        <v>0</v>
      </c>
      <c r="AI226" s="12">
        <f>'Inputs (2)'!AD37</f>
        <v>0</v>
      </c>
      <c r="AJ226" s="12">
        <f>AI226</f>
        <v>0</v>
      </c>
      <c r="AK226" s="12">
        <f>AJ226</f>
        <v>0</v>
      </c>
      <c r="AL226" s="12">
        <f>AK226</f>
        <v>0</v>
      </c>
      <c r="AM226" s="12">
        <f>AL226</f>
        <v>0</v>
      </c>
      <c r="AN226" s="12">
        <f>AM226</f>
        <v>0</v>
      </c>
      <c r="AO226" s="12">
        <f>AN226</f>
        <v>0</v>
      </c>
      <c r="AP226" s="12">
        <f>AO226</f>
        <v>0</v>
      </c>
      <c r="AQ226" s="12">
        <f>AP226</f>
        <v>0</v>
      </c>
      <c r="AR226" s="12">
        <f>AQ226</f>
        <v>0</v>
      </c>
      <c r="AS226" s="12">
        <f>AR226</f>
        <v>0</v>
      </c>
      <c r="AT226" s="12">
        <f>AS226</f>
        <v>0</v>
      </c>
      <c r="AU226" s="12">
        <f>AT226</f>
        <v>0</v>
      </c>
      <c r="AV226" s="12">
        <f>AU226</f>
        <v>0</v>
      </c>
      <c r="AW226" s="12">
        <f>AV226</f>
        <v>0</v>
      </c>
      <c r="AX226" s="12">
        <f>AW226</f>
        <v>0</v>
      </c>
      <c r="AY226" s="12">
        <f>AX226</f>
        <v>0</v>
      </c>
      <c r="AZ226" s="12">
        <f>AY226</f>
        <v>0</v>
      </c>
      <c r="BA226" s="12">
        <f>AZ226</f>
        <v>0</v>
      </c>
      <c r="BB226" s="12">
        <f>BA226</f>
        <v>0</v>
      </c>
      <c r="BC226" s="12">
        <f>BB226</f>
        <v>0</v>
      </c>
      <c r="BD226" s="12">
        <f>BC226</f>
        <v>0</v>
      </c>
      <c r="BE226" s="12">
        <f>BD226</f>
        <v>0</v>
      </c>
      <c r="BF226" s="12">
        <f>BE226</f>
        <v>0</v>
      </c>
      <c r="BG226" s="12" t="n"/>
      <c r="BH226" s="12" t="n"/>
      <c r="BI226" s="12" t="n"/>
      <c r="BJ226" s="12" t="n"/>
      <c r="BK226" s="12" t="n"/>
      <c r="BL226" s="12" t="n"/>
      <c r="BM226" s="12" t="n"/>
      <c r="BN226" s="12" t="n"/>
      <c r="BO226" s="12" t="n"/>
      <c r="BP226" s="12" t="n"/>
      <c r="BQ226" s="12" t="n"/>
      <c r="BR226" s="12" t="n"/>
      <c r="BS226" s="12" t="n"/>
      <c r="BT226" s="12" t="n"/>
      <c r="BU226" s="12" t="n"/>
      <c r="BV226" s="12" t="n"/>
      <c r="BW226" s="12" t="n"/>
      <c r="BX226" s="12" t="n"/>
      <c r="BY226" s="12" t="n"/>
      <c r="BZ226" s="12" t="n"/>
      <c r="CA226" s="12" t="n"/>
      <c r="CB226" s="12" t="n"/>
      <c r="CC226" s="12" t="n"/>
      <c r="CD226" s="12" t="n"/>
      <c r="CE226" s="12" t="n"/>
      <c r="CF226" s="12" t="n"/>
      <c r="CG226" s="12" t="n"/>
      <c r="CH226" s="12" t="n"/>
      <c r="CI226" s="12" t="n"/>
      <c r="CJ226" s="12" t="n"/>
      <c r="CK226" s="12" t="n"/>
      <c r="CL226" s="12" t="n"/>
      <c r="CM226" s="12" t="n"/>
      <c r="CN226" s="12" t="n"/>
      <c r="CO226" s="12" t="n"/>
      <c r="CP226" s="12" t="n"/>
      <c r="CQ226" s="12" t="n"/>
      <c r="CR226" s="12" t="n"/>
      <c r="CS226" s="12" t="n"/>
      <c r="CT226" s="12" t="n"/>
      <c r="CU226" s="12" t="n"/>
      <c r="CV226" s="12" t="n"/>
      <c r="CW226" s="12" t="n"/>
      <c r="CX226" s="12" t="n"/>
      <c r="CY226" s="12" t="n"/>
    </row>
    <row r="227">
      <c r="C227" s="14" t="inlineStr">
        <is>
          <t>Deferred income taxes</t>
        </is>
      </c>
      <c r="D227" s="46" t="n"/>
      <c r="E227" s="46" t="n"/>
      <c r="F227" s="46" t="n"/>
      <c r="G227" s="46" t="n"/>
      <c r="H227" s="12" t="n"/>
      <c r="I227" s="46">
        <f>'Inputs (2)'!D38</f>
        <v>0</v>
      </c>
      <c r="J227" s="46">
        <f>'Inputs (2)'!E38</f>
        <v>0</v>
      </c>
      <c r="K227" s="46">
        <f>'Inputs (2)'!F38</f>
        <v>0</v>
      </c>
      <c r="L227" s="46">
        <f>'Inputs (2)'!G38</f>
        <v>0</v>
      </c>
      <c r="M227" s="12">
        <f>'Inputs (2)'!H38</f>
        <v>0</v>
      </c>
      <c r="N227" s="46">
        <f>'Inputs (2)'!I38</f>
        <v>0</v>
      </c>
      <c r="O227" s="46">
        <f>'Inputs (2)'!J38</f>
        <v>0</v>
      </c>
      <c r="P227" s="46">
        <f>'Inputs (2)'!K38</f>
        <v>0</v>
      </c>
      <c r="Q227" s="46">
        <f>'Inputs (2)'!L38</f>
        <v>0</v>
      </c>
      <c r="R227" s="12">
        <f>'Inputs (2)'!M38</f>
        <v>0</v>
      </c>
      <c r="S227" s="46">
        <f>'Inputs (2)'!N38</f>
        <v>0</v>
      </c>
      <c r="T227" s="46">
        <f>'Inputs (2)'!O38</f>
        <v>0</v>
      </c>
      <c r="U227" s="46">
        <f>'Inputs (2)'!P38</f>
        <v>0</v>
      </c>
      <c r="V227" s="46">
        <f>'Inputs (2)'!Q38</f>
        <v>0</v>
      </c>
      <c r="W227" s="12">
        <f>'Inputs (2)'!R38</f>
        <v>0</v>
      </c>
      <c r="X227" s="46">
        <f>'Inputs (2)'!S38</f>
        <v>0</v>
      </c>
      <c r="Y227" s="46">
        <f>'Inputs (2)'!T38</f>
        <v>0</v>
      </c>
      <c r="Z227" s="46">
        <f>'Inputs (2)'!U38</f>
        <v>0</v>
      </c>
      <c r="AA227" s="46">
        <f>'Inputs (2)'!V38</f>
        <v>0</v>
      </c>
      <c r="AB227" s="12">
        <f>'Inputs (2)'!W38</f>
        <v>0</v>
      </c>
      <c r="AC227" s="46">
        <f>'Inputs (2)'!X38</f>
        <v>0</v>
      </c>
      <c r="AD227" s="46">
        <f>'Inputs (2)'!Y38</f>
        <v>0</v>
      </c>
      <c r="AE227" s="46">
        <f>'Inputs (2)'!Z38</f>
        <v>0</v>
      </c>
      <c r="AF227" s="46">
        <f>'Inputs (2)'!AA38</f>
        <v>0</v>
      </c>
      <c r="AG227" s="12">
        <f>'Inputs (2)'!AB38</f>
        <v>0</v>
      </c>
      <c r="AH227" s="12">
        <f>'Inputs (2)'!AC38</f>
        <v>0</v>
      </c>
      <c r="AI227" s="12">
        <f>'Inputs (2)'!AD38</f>
        <v>0</v>
      </c>
      <c r="AJ227" s="12">
        <f>AI227</f>
        <v>0</v>
      </c>
      <c r="AK227" s="12">
        <f>AJ227</f>
        <v>0</v>
      </c>
      <c r="AL227" s="12">
        <f>AK227</f>
        <v>0</v>
      </c>
      <c r="AM227" s="12">
        <f>AL227</f>
        <v>0</v>
      </c>
      <c r="AN227" s="12">
        <f>AM227</f>
        <v>0</v>
      </c>
      <c r="AO227" s="12">
        <f>AN227</f>
        <v>0</v>
      </c>
      <c r="AP227" s="12">
        <f>AO227</f>
        <v>0</v>
      </c>
      <c r="AQ227" s="12">
        <f>AP227</f>
        <v>0</v>
      </c>
      <c r="AR227" s="12">
        <f>AQ227</f>
        <v>0</v>
      </c>
      <c r="AS227" s="12">
        <f>AR227</f>
        <v>0</v>
      </c>
      <c r="AT227" s="12">
        <f>AS227</f>
        <v>0</v>
      </c>
      <c r="AU227" s="12">
        <f>AT227</f>
        <v>0</v>
      </c>
      <c r="AV227" s="12">
        <f>AU227</f>
        <v>0</v>
      </c>
      <c r="AW227" s="12">
        <f>AV227</f>
        <v>0</v>
      </c>
      <c r="AX227" s="12">
        <f>AW227</f>
        <v>0</v>
      </c>
      <c r="AY227" s="12">
        <f>AX227</f>
        <v>0</v>
      </c>
      <c r="AZ227" s="12">
        <f>AY227</f>
        <v>0</v>
      </c>
      <c r="BA227" s="12">
        <f>AZ227</f>
        <v>0</v>
      </c>
      <c r="BB227" s="12">
        <f>BA227</f>
        <v>0</v>
      </c>
      <c r="BC227" s="12">
        <f>BB227</f>
        <v>0</v>
      </c>
      <c r="BD227" s="12">
        <f>BC227</f>
        <v>0</v>
      </c>
      <c r="BE227" s="12">
        <f>BD227</f>
        <v>0</v>
      </c>
      <c r="BF227" s="12">
        <f>BE227</f>
        <v>0</v>
      </c>
      <c r="BG227" s="12" t="n"/>
      <c r="BH227" s="12" t="n"/>
      <c r="BI227" s="12" t="n"/>
      <c r="BJ227" s="12" t="n"/>
      <c r="BK227" s="12" t="n"/>
      <c r="BL227" s="12" t="n"/>
      <c r="BM227" s="12" t="n"/>
      <c r="BN227" s="12" t="n"/>
      <c r="BO227" s="12" t="n"/>
      <c r="BP227" s="12" t="n"/>
      <c r="BQ227" s="12" t="n"/>
      <c r="BR227" s="12" t="n"/>
      <c r="BS227" s="12" t="n"/>
      <c r="BT227" s="12" t="n"/>
      <c r="BU227" s="12" t="n"/>
      <c r="BV227" s="12" t="n"/>
      <c r="BW227" s="12" t="n"/>
      <c r="BX227" s="12" t="n"/>
      <c r="BY227" s="12" t="n"/>
      <c r="BZ227" s="12" t="n"/>
      <c r="CA227" s="12" t="n"/>
      <c r="CB227" s="12" t="n"/>
      <c r="CC227" s="12" t="n"/>
      <c r="CD227" s="12" t="n"/>
      <c r="CE227" s="12" t="n"/>
      <c r="CF227" s="12" t="n"/>
      <c r="CG227" s="12" t="n"/>
      <c r="CH227" s="12" t="n"/>
      <c r="CI227" s="12" t="n"/>
      <c r="CJ227" s="12" t="n"/>
      <c r="CK227" s="12" t="n"/>
      <c r="CL227" s="12" t="n"/>
      <c r="CM227" s="12" t="n"/>
      <c r="CN227" s="12" t="n"/>
      <c r="CO227" s="12" t="n"/>
      <c r="CP227" s="12" t="n"/>
      <c r="CQ227" s="12" t="n"/>
      <c r="CR227" s="12" t="n"/>
      <c r="CS227" s="12" t="n"/>
      <c r="CT227" s="12" t="n"/>
      <c r="CU227" s="12" t="n"/>
      <c r="CV227" s="12" t="n"/>
      <c r="CW227" s="12" t="n"/>
      <c r="CX227" s="12" t="n"/>
      <c r="CY227" s="12" t="n"/>
    </row>
    <row r="228">
      <c r="C228" s="14" t="inlineStr">
        <is>
          <t>Other non-current liabilities</t>
        </is>
      </c>
      <c r="D228" s="46" t="n"/>
      <c r="E228" s="46" t="n"/>
      <c r="F228" s="46" t="n"/>
      <c r="G228" s="46" t="n"/>
      <c r="H228" s="12" t="n"/>
      <c r="I228" s="46">
        <f>'Inputs (2)'!D39</f>
        <v>0</v>
      </c>
      <c r="J228" s="46">
        <f>'Inputs (2)'!E39</f>
        <v>0</v>
      </c>
      <c r="K228" s="46">
        <f>'Inputs (2)'!F39</f>
        <v>0</v>
      </c>
      <c r="L228" s="46">
        <f>'Inputs (2)'!G39</f>
        <v>23901</v>
      </c>
      <c r="M228" s="12">
        <f>'Inputs (2)'!H39</f>
        <v>23901</v>
      </c>
      <c r="N228" s="46">
        <f>'Inputs (2)'!I39</f>
        <v>24359</v>
      </c>
      <c r="O228" s="46">
        <f>'Inputs (2)'!J39</f>
        <v>23559</v>
      </c>
      <c r="P228" s="46">
        <f>'Inputs (2)'!K39</f>
        <v>23080</v>
      </c>
      <c r="Q228" s="46">
        <f>'Inputs (2)'!L39</f>
        <v>23232</v>
      </c>
      <c r="R228" s="12">
        <f>'Inputs (2)'!M39</f>
        <v>23232</v>
      </c>
      <c r="S228" s="46">
        <f>'Inputs (2)'!N39</f>
        <v>23362</v>
      </c>
      <c r="T228" s="46">
        <f>'Inputs (2)'!O39</f>
        <v>23566</v>
      </c>
      <c r="U228" s="46">
        <f>'Inputs (2)'!P39</f>
        <v>24190</v>
      </c>
      <c r="V228" s="46">
        <f>'Inputs (2)'!Q39</f>
        <v>25657</v>
      </c>
      <c r="W228" s="12">
        <f>'Inputs (2)'!R39</f>
        <v>25657</v>
      </c>
      <c r="X228" s="46">
        <f>'Inputs (2)'!S39</f>
        <v>26180</v>
      </c>
      <c r="Y228" s="46">
        <f>'Inputs (2)'!T39</f>
        <v>26349</v>
      </c>
      <c r="Z228" s="46">
        <f>'Inputs (2)'!U39</f>
        <v>26063</v>
      </c>
      <c r="AA228" s="46">
        <f>'Inputs (2)'!V39</f>
        <v>25157</v>
      </c>
      <c r="AB228" s="12">
        <f>'Inputs (2)'!W39</f>
        <v>25157</v>
      </c>
      <c r="AC228" s="46">
        <f>'Inputs (2)'!X39</f>
        <v>25052</v>
      </c>
      <c r="AD228" s="46">
        <f>'Inputs (2)'!Y39</f>
        <v>25693</v>
      </c>
      <c r="AE228" s="46">
        <f>'Inputs (2)'!Z39</f>
        <v>26745</v>
      </c>
      <c r="AF228" s="46">
        <f>'Inputs (2)'!AA39</f>
        <v>27202</v>
      </c>
      <c r="AG228" s="12">
        <f>'Inputs (2)'!AB39</f>
        <v>27202</v>
      </c>
      <c r="AH228" s="12">
        <f>'Inputs (2)'!AC39</f>
        <v>32882</v>
      </c>
      <c r="AI228" s="12">
        <f>'Inputs (2)'!AD39</f>
        <v>33788</v>
      </c>
      <c r="AJ228" s="12">
        <f>AI228</f>
        <v>33788</v>
      </c>
      <c r="AK228" s="12">
        <f>AJ228</f>
        <v>33788</v>
      </c>
      <c r="AL228" s="12">
        <f>AK228</f>
        <v>33788</v>
      </c>
      <c r="AM228" s="12">
        <f>AL228</f>
        <v>33788</v>
      </c>
      <c r="AN228" s="12">
        <f>AM228</f>
        <v>33788</v>
      </c>
      <c r="AO228" s="12">
        <f>AN228</f>
        <v>33788</v>
      </c>
      <c r="AP228" s="12">
        <f>AO228</f>
        <v>33788</v>
      </c>
      <c r="AQ228" s="12">
        <f>AP228</f>
        <v>33788</v>
      </c>
      <c r="AR228" s="12">
        <f>AQ228</f>
        <v>33788</v>
      </c>
      <c r="AS228" s="12">
        <f>AR228</f>
        <v>33788</v>
      </c>
      <c r="AT228" s="12">
        <f>AS228</f>
        <v>33788</v>
      </c>
      <c r="AU228" s="12">
        <f>AT228</f>
        <v>33788</v>
      </c>
      <c r="AV228" s="12">
        <f>AU228</f>
        <v>33788</v>
      </c>
      <c r="AW228" s="12">
        <f>AV228</f>
        <v>33788</v>
      </c>
      <c r="AX228" s="12">
        <f>AW228</f>
        <v>33788</v>
      </c>
      <c r="AY228" s="12">
        <f>AX228</f>
        <v>33788</v>
      </c>
      <c r="AZ228" s="12">
        <f>AY228</f>
        <v>33788</v>
      </c>
      <c r="BA228" s="12">
        <f>AZ228</f>
        <v>33788</v>
      </c>
      <c r="BB228" s="12">
        <f>BA228</f>
        <v>33788</v>
      </c>
      <c r="BC228" s="12">
        <f>BB228</f>
        <v>33788</v>
      </c>
      <c r="BD228" s="12">
        <f>BC228</f>
        <v>33788</v>
      </c>
      <c r="BE228" s="12">
        <f>BD228</f>
        <v>33788</v>
      </c>
      <c r="BF228" s="12">
        <f>BE228</f>
        <v>33788</v>
      </c>
      <c r="BG228" s="12" t="n"/>
      <c r="BH228" s="12" t="n"/>
      <c r="BI228" s="12" t="n"/>
      <c r="BJ228" s="12" t="n"/>
      <c r="BK228" s="12" t="n"/>
      <c r="BL228" s="12" t="n"/>
      <c r="BM228" s="12" t="n"/>
      <c r="BN228" s="12" t="n"/>
      <c r="BO228" s="12" t="n"/>
      <c r="BP228" s="12" t="n"/>
      <c r="BQ228" s="12" t="n"/>
      <c r="BR228" s="12" t="n"/>
      <c r="BS228" s="12" t="n"/>
      <c r="BT228" s="12" t="n"/>
      <c r="BU228" s="12" t="n"/>
      <c r="BV228" s="12" t="n"/>
      <c r="BW228" s="12" t="n"/>
      <c r="BX228" s="12" t="n"/>
      <c r="BY228" s="12" t="n"/>
      <c r="BZ228" s="12" t="n"/>
      <c r="CA228" s="12" t="n"/>
      <c r="CB228" s="12" t="n"/>
      <c r="CC228" s="12" t="n"/>
      <c r="CD228" s="12" t="n"/>
      <c r="CE228" s="12" t="n"/>
      <c r="CF228" s="12" t="n"/>
      <c r="CG228" s="12" t="n"/>
      <c r="CH228" s="12" t="n"/>
      <c r="CI228" s="12" t="n"/>
      <c r="CJ228" s="12" t="n"/>
      <c r="CK228" s="12" t="n"/>
      <c r="CL228" s="12" t="n"/>
      <c r="CM228" s="12" t="n"/>
      <c r="CN228" s="12" t="n"/>
      <c r="CO228" s="12" t="n"/>
      <c r="CP228" s="12" t="n"/>
      <c r="CQ228" s="12" t="n"/>
      <c r="CR228" s="12" t="n"/>
      <c r="CS228" s="12" t="n"/>
      <c r="CT228" s="12" t="n"/>
      <c r="CU228" s="12" t="n"/>
      <c r="CV228" s="12" t="n"/>
      <c r="CW228" s="12" t="n"/>
      <c r="CX228" s="12" t="n"/>
      <c r="CY228" s="12" t="n"/>
    </row>
    <row r="229" hidden="1" outlineLevel="1" ht="12" customHeight="1">
      <c r="C229" s="59" t="inlineStr">
        <is>
          <t>%(Var.)</t>
        </is>
      </c>
      <c r="D229" s="12" t="n"/>
      <c r="E229" s="40" t="n"/>
      <c r="F229" s="40" t="n"/>
      <c r="G229" s="40" t="n"/>
      <c r="H229" s="12" t="n"/>
      <c r="I229" s="40" t="str">
        <f>""</f>
        <v/>
      </c>
      <c r="J229" s="40" t="str">
        <f>IF(I228=0,"",J228/I228-1)</f>
        <v/>
      </c>
      <c r="K229" s="40" t="str">
        <f>IF(J228=0,"",K228/J228-1)</f>
        <v/>
      </c>
      <c r="L229" s="40" t="str">
        <f>IF(K228=0,"",L228/K228-1)</f>
        <v/>
      </c>
      <c r="M229" s="12">
        <f>IF(L228=0,"",M228/L228-1)</f>
        <v>0</v>
      </c>
      <c r="N229" s="40">
        <f>IF(M228=0,"",N228/M228-1)</f>
        <v>0.019162378143174</v>
      </c>
      <c r="O229" s="40">
        <f>IF(N228=0,"",O228/N228-1)</f>
        <v>-0.0328420706925572</v>
      </c>
      <c r="P229" s="40">
        <f>IF(O228=0,"",P228/O228-1)</f>
        <v>-0.0203319325947621</v>
      </c>
      <c r="Q229" s="40">
        <f>IF(P228=0,"",Q228/P228-1)</f>
        <v>0.00658578856152503</v>
      </c>
      <c r="R229" s="12">
        <f>IF(Q228=0,"",R228/Q228-1)</f>
        <v>0</v>
      </c>
      <c r="S229" s="40">
        <f>IF(R228=0,"",S228/R228-1)</f>
        <v>0.00559573002754821</v>
      </c>
      <c r="T229" s="40">
        <f>IF(S228=0,"",T228/S228-1)</f>
        <v>0.00873212909853605</v>
      </c>
      <c r="U229" s="40">
        <f>IF(T228=0,"",U228/T228-1)</f>
        <v>0.0264788254264619</v>
      </c>
      <c r="V229" s="40">
        <f>IF(U228=0,"",V228/U228-1)</f>
        <v>0.060644894584539</v>
      </c>
      <c r="W229" s="12">
        <f>IF(V228=0,"",W228/V228-1)</f>
        <v>0</v>
      </c>
      <c r="X229" s="40">
        <f>IF(W228=0,"",X228/W228-1)</f>
        <v>0.0203843005807383</v>
      </c>
      <c r="Y229" s="40">
        <f>IF(X228=0,"",Y228/X228-1)</f>
        <v>0.00645530939648586</v>
      </c>
      <c r="Z229" s="40">
        <f>IF(Y228=0,"",Z228/Y228-1)</f>
        <v>-0.0108543018710388</v>
      </c>
      <c r="AA229" s="40">
        <f>IF(Z228=0,"",AA228/Z228-1)</f>
        <v>-0.0347619230326517</v>
      </c>
      <c r="AB229" s="12">
        <f>IF(AA228=0,"",AB228/AA228-1)</f>
        <v>0</v>
      </c>
      <c r="AC229" s="40">
        <f>IF(AB228=0,"",AC228/AB228-1)</f>
        <v>-0.00417378860754458</v>
      </c>
      <c r="AD229" s="40">
        <f>IF(AC228=0,"",AD228/AC228-1)</f>
        <v>0.0255867794986429</v>
      </c>
      <c r="AE229" s="40">
        <f>IF(AD228=0,"",AE228/AD228-1)</f>
        <v>0.0409450044759272</v>
      </c>
      <c r="AF229" s="41">
        <f>IF(AE228=0,"",AF228/AE228-1)</f>
        <v>0.0170873060385119</v>
      </c>
      <c r="AG229" s="12">
        <f>IF(AF228=0,"",AG228/AF228-1)</f>
        <v>0</v>
      </c>
      <c r="AH229" s="41">
        <f>IF(AG228=0,"",AH228/AG228-1)</f>
        <v>0.208808175869421</v>
      </c>
      <c r="AI229" s="41">
        <f>IF(AH228=0,"",AI228/AH228-1)</f>
        <v>0.0275530685481418</v>
      </c>
      <c r="AJ229" s="41">
        <f>IF(AI228=0,"",AJ228/AI228-1)</f>
        <v>0</v>
      </c>
      <c r="AK229" s="41">
        <f>IF(AJ228=0,"",AK228/AJ228-1)</f>
        <v>0</v>
      </c>
      <c r="AL229" s="12">
        <f>IF(AK228=0,"",AL228/AK228-1)</f>
        <v>0</v>
      </c>
      <c r="AM229" s="41">
        <f>IF(AL228=0,"",AM228/AL228-1)</f>
        <v>0</v>
      </c>
      <c r="AN229" s="41">
        <f>IF(AM228=0,"",AN228/AM228-1)</f>
        <v>0</v>
      </c>
      <c r="AO229" s="41">
        <f>IF(AN228=0,"",AO228/AN228-1)</f>
        <v>0</v>
      </c>
      <c r="AP229" s="41">
        <f>IF(AO228=0,"",AP228/AO228-1)</f>
        <v>0</v>
      </c>
      <c r="AQ229" s="12">
        <f>IF(AP228=0,"",AQ228/AP228-1)</f>
        <v>0</v>
      </c>
      <c r="AR229" s="41">
        <f>IF(AQ228=0,"",AR228/AQ228-1)</f>
        <v>0</v>
      </c>
      <c r="AS229" s="41">
        <f>IF(AR228=0,"",AS228/AR228-1)</f>
        <v>0</v>
      </c>
      <c r="AT229" s="41">
        <f>IF(AS228=0,"",AT228/AS228-1)</f>
        <v>0</v>
      </c>
      <c r="AU229" s="41">
        <f>IF(AT228=0,"",AU228/AT228-1)</f>
        <v>0</v>
      </c>
      <c r="AV229" s="12">
        <f>IF(AU228=0,"",AV228/AU228-1)</f>
        <v>0</v>
      </c>
      <c r="AW229" s="41">
        <f>IF(AV228=0,"",AW228/AV228-1)</f>
        <v>0</v>
      </c>
      <c r="AX229" s="41">
        <f>IF(AW228=0,"",AX228/AW228-1)</f>
        <v>0</v>
      </c>
      <c r="AY229" s="41">
        <f>IF(AX228=0,"",AY228/AX228-1)</f>
        <v>0</v>
      </c>
      <c r="AZ229" s="41">
        <f>IF(AY228=0,"",AZ228/AY228-1)</f>
        <v>0</v>
      </c>
      <c r="BA229" s="12">
        <f>IF(AZ228=0,"",BA228/AZ228-1)</f>
        <v>0</v>
      </c>
      <c r="BB229" s="41">
        <f>IF(BA228=0,"",BB228/BA228-1)</f>
        <v>0</v>
      </c>
      <c r="BC229" s="41">
        <f>IF(BB228=0,"",BC228/BB228-1)</f>
        <v>0</v>
      </c>
      <c r="BD229" s="41">
        <f>IF(BC228=0,"",BD228/BC228-1)</f>
        <v>0</v>
      </c>
      <c r="BE229" s="41">
        <f>IF(BD228=0,"",BE228/BD228-1)</f>
        <v>0</v>
      </c>
      <c r="BF229" s="12">
        <f>IF(BE228=0,"",BF228/BE228-1)</f>
        <v>0</v>
      </c>
      <c r="BG229" s="41" t="n"/>
      <c r="BH229" s="41" t="n"/>
      <c r="BI229" s="41" t="n"/>
      <c r="BJ229" s="41" t="n"/>
      <c r="BK229" s="12" t="n"/>
      <c r="BL229" s="41" t="n"/>
      <c r="BM229" s="41" t="n"/>
      <c r="BN229" s="41" t="n"/>
      <c r="BO229" s="41" t="n"/>
      <c r="BP229" s="12" t="n"/>
      <c r="BQ229" s="41" t="n"/>
      <c r="BR229" s="41" t="n"/>
      <c r="BS229" s="41" t="n"/>
      <c r="BT229" s="41" t="n"/>
      <c r="BU229" s="12" t="n"/>
      <c r="BV229" s="41" t="n"/>
      <c r="BW229" s="41" t="n"/>
      <c r="BX229" s="41" t="n"/>
      <c r="BY229" s="41" t="n"/>
      <c r="BZ229" s="12" t="n"/>
      <c r="CA229" s="41" t="n"/>
      <c r="CB229" s="41" t="n"/>
      <c r="CC229" s="41" t="n"/>
      <c r="CD229" s="41" t="n"/>
      <c r="CE229" s="12" t="n"/>
      <c r="CF229" s="41" t="n"/>
      <c r="CG229" s="41" t="n"/>
      <c r="CH229" s="41" t="n"/>
      <c r="CI229" s="41" t="n"/>
      <c r="CJ229" s="12" t="n"/>
      <c r="CK229" s="41" t="n"/>
      <c r="CL229" s="41" t="n"/>
      <c r="CM229" s="41" t="n"/>
      <c r="CN229" s="41" t="n"/>
      <c r="CO229" s="12" t="n"/>
      <c r="CP229" s="41" t="n"/>
      <c r="CQ229" s="41" t="n"/>
      <c r="CR229" s="41" t="n"/>
      <c r="CS229" s="41" t="n"/>
      <c r="CT229" s="12" t="n"/>
      <c r="CU229" s="41" t="n"/>
      <c r="CV229" s="41" t="n"/>
      <c r="CW229" s="41" t="n"/>
      <c r="CX229" s="41" t="n"/>
      <c r="CY229" s="12" t="n"/>
    </row>
    <row r="230" hidden="1" outlineLevel="1" ht="12" customHeight="1">
      <c r="C230" s="59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  <c r="AA230" s="12" t="n"/>
      <c r="AB230" s="12" t="n"/>
      <c r="AC230" s="12" t="n"/>
      <c r="AD230" s="12" t="n"/>
      <c r="AE230" s="12" t="n"/>
      <c r="AF230" s="12" t="n"/>
      <c r="AG230" s="12" t="n"/>
      <c r="AH230" s="12" t="n"/>
      <c r="AI230" s="12" t="n"/>
      <c r="AJ230" s="12" t="n"/>
      <c r="AK230" s="12" t="n"/>
      <c r="AL230" s="12" t="n"/>
      <c r="AM230" s="12" t="n"/>
      <c r="AN230" s="12" t="n"/>
      <c r="AO230" s="12" t="n"/>
      <c r="AP230" s="12" t="n"/>
      <c r="AQ230" s="12" t="n"/>
      <c r="AR230" s="12" t="n"/>
      <c r="AS230" s="12" t="n"/>
      <c r="AT230" s="12" t="n"/>
      <c r="AU230" s="12" t="n"/>
      <c r="AV230" s="12" t="n"/>
      <c r="AW230" s="12" t="n"/>
      <c r="AX230" s="12" t="n"/>
      <c r="AY230" s="12" t="n"/>
      <c r="AZ230" s="12" t="n"/>
      <c r="BA230" s="12" t="n"/>
      <c r="BB230" s="12" t="n"/>
      <c r="BC230" s="12" t="n"/>
      <c r="BD230" s="12" t="n"/>
      <c r="BE230" s="12" t="n"/>
      <c r="BF230" s="12" t="n"/>
      <c r="BG230" s="12" t="n"/>
      <c r="BH230" s="12" t="n"/>
      <c r="BI230" s="12" t="n"/>
      <c r="BJ230" s="12" t="n"/>
      <c r="BK230" s="12" t="n"/>
      <c r="BL230" s="12" t="n"/>
      <c r="BM230" s="12" t="n"/>
      <c r="BN230" s="12" t="n"/>
      <c r="BO230" s="12" t="n"/>
      <c r="BP230" s="12" t="n"/>
      <c r="BQ230" s="12" t="n"/>
      <c r="BR230" s="12" t="n"/>
      <c r="BS230" s="12" t="n"/>
      <c r="BT230" s="12" t="n"/>
      <c r="BU230" s="12" t="n"/>
      <c r="BV230" s="12" t="n"/>
      <c r="BW230" s="12" t="n"/>
      <c r="BX230" s="12" t="n"/>
      <c r="BY230" s="12" t="n"/>
      <c r="BZ230" s="12" t="n"/>
      <c r="CA230" s="12" t="n"/>
      <c r="CB230" s="12" t="n"/>
      <c r="CC230" s="12" t="n"/>
      <c r="CD230" s="12" t="n"/>
      <c r="CE230" s="12" t="n"/>
      <c r="CF230" s="12" t="n"/>
      <c r="CG230" s="12" t="n"/>
      <c r="CH230" s="12" t="n"/>
      <c r="CI230" s="12" t="n"/>
      <c r="CJ230" s="12" t="n"/>
      <c r="CK230" s="12" t="n"/>
      <c r="CL230" s="12" t="n"/>
      <c r="CM230" s="12" t="n"/>
      <c r="CN230" s="12" t="n"/>
      <c r="CO230" s="12" t="n"/>
      <c r="CP230" s="12" t="n"/>
      <c r="CQ230" s="12" t="n"/>
      <c r="CR230" s="12" t="n"/>
      <c r="CS230" s="12" t="n"/>
      <c r="CT230" s="12" t="n"/>
      <c r="CU230" s="12" t="n"/>
      <c r="CV230" s="12" t="n"/>
      <c r="CW230" s="12" t="n"/>
      <c r="CX230" s="12" t="n"/>
      <c r="CY230" s="12" t="n"/>
    </row>
    <row r="231" hidden="1" outlineLevel="1">
      <c r="C231" s="57" t="inlineStr">
        <is>
          <t>Contas a pagar pela aquisição de controladas</t>
        </is>
      </c>
      <c r="D231" s="11" t="n"/>
      <c r="E231" s="11" t="n"/>
      <c r="F231" s="11" t="n"/>
      <c r="G231" s="11" t="n"/>
      <c r="H231" s="12" t="n"/>
      <c r="I231" s="11" t="n"/>
      <c r="J231" s="11" t="n"/>
      <c r="K231" s="11" t="n"/>
      <c r="L231" s="11" t="n"/>
      <c r="M231" s="12" t="n"/>
      <c r="N231" s="11" t="n"/>
      <c r="O231" s="11" t="n"/>
      <c r="P231" s="11" t="n"/>
      <c r="Q231" s="11" t="n"/>
      <c r="R231" s="12" t="n"/>
      <c r="S231" s="11" t="n"/>
      <c r="T231" s="11" t="n"/>
      <c r="U231" s="11" t="n"/>
      <c r="V231" s="11" t="n"/>
      <c r="W231" s="12" t="n"/>
      <c r="X231" s="11" t="n"/>
      <c r="Y231" s="11" t="n"/>
      <c r="Z231" s="11" t="n"/>
      <c r="AA231" s="11" t="n"/>
      <c r="AB231" s="12" t="n"/>
      <c r="AC231" s="11" t="n"/>
      <c r="AD231" s="11" t="n"/>
      <c r="AE231" s="11" t="n"/>
      <c r="AF231" s="11" t="n"/>
      <c r="AG231" s="12" t="n"/>
      <c r="AH231" s="12" t="n"/>
      <c r="AI231" s="12" t="n"/>
      <c r="AJ231" s="12" t="n"/>
      <c r="AK231" s="12" t="n"/>
      <c r="AL231" s="12" t="n"/>
      <c r="AM231" s="12" t="n"/>
      <c r="AN231" s="12" t="n"/>
      <c r="AO231" s="12" t="n"/>
      <c r="AP231" s="12" t="n"/>
      <c r="AQ231" s="12" t="n"/>
      <c r="AR231" s="12" t="n"/>
      <c r="AS231" s="12" t="n"/>
      <c r="AT231" s="12" t="n"/>
      <c r="AU231" s="12" t="n"/>
      <c r="AV231" s="12" t="n"/>
      <c r="AW231" s="12" t="n"/>
      <c r="AX231" s="12" t="n"/>
      <c r="AY231" s="12" t="n"/>
      <c r="AZ231" s="12" t="n"/>
      <c r="BA231" s="12" t="n"/>
      <c r="BB231" s="12" t="n"/>
      <c r="BC231" s="12" t="n"/>
      <c r="BD231" s="12" t="n"/>
      <c r="BE231" s="12" t="n"/>
      <c r="BF231" s="12" t="n"/>
      <c r="BG231" s="12" t="n"/>
      <c r="BH231" s="12" t="n"/>
      <c r="BI231" s="12" t="n"/>
      <c r="BJ231" s="12" t="n"/>
      <c r="BK231" s="12" t="n"/>
      <c r="BL231" s="12" t="n"/>
      <c r="BM231" s="12" t="n"/>
      <c r="BN231" s="12" t="n"/>
      <c r="BO231" s="12" t="n"/>
      <c r="BP231" s="12" t="n"/>
      <c r="BQ231" s="12" t="n"/>
      <c r="BR231" s="12" t="n"/>
      <c r="BS231" s="12" t="n"/>
      <c r="BT231" s="12" t="n"/>
      <c r="BU231" s="12" t="n"/>
      <c r="BV231" s="12" t="n"/>
      <c r="BW231" s="12" t="n"/>
      <c r="BX231" s="12" t="n"/>
      <c r="BY231" s="12" t="n"/>
      <c r="BZ231" s="12" t="n"/>
      <c r="CA231" s="12" t="n"/>
      <c r="CB231" s="12" t="n"/>
      <c r="CC231" s="12" t="n"/>
      <c r="CD231" s="12" t="n"/>
      <c r="CE231" s="12" t="n"/>
      <c r="CF231" s="12" t="n"/>
      <c r="CG231" s="12" t="n"/>
      <c r="CH231" s="12" t="n"/>
      <c r="CI231" s="12" t="n"/>
      <c r="CJ231" s="12" t="n"/>
      <c r="CK231" s="12" t="n"/>
      <c r="CL231" s="12" t="n"/>
      <c r="CM231" s="12" t="n"/>
      <c r="CN231" s="12" t="n"/>
      <c r="CO231" s="12" t="n"/>
      <c r="CP231" s="12" t="n"/>
      <c r="CQ231" s="12" t="n"/>
      <c r="CR231" s="12" t="n"/>
      <c r="CS231" s="12" t="n"/>
      <c r="CT231" s="12" t="n"/>
      <c r="CU231" s="12" t="n"/>
      <c r="CV231" s="12" t="n"/>
      <c r="CW231" s="12" t="n"/>
      <c r="CX231" s="12" t="n"/>
      <c r="CY231" s="12" t="n"/>
    </row>
    <row r="232" hidden="1" outlineLevel="1">
      <c r="C232" s="57" t="inlineStr">
        <is>
          <t xml:space="preserve">Outras Obrigações </t>
        </is>
      </c>
      <c r="D232" s="11" t="n"/>
      <c r="E232" s="11" t="n"/>
      <c r="F232" s="11" t="n"/>
      <c r="G232" s="11" t="n"/>
      <c r="H232" s="12" t="n"/>
      <c r="I232" s="11" t="n"/>
      <c r="J232" s="11" t="n"/>
      <c r="K232" s="11" t="n"/>
      <c r="L232" s="11" t="n"/>
      <c r="M232" s="12" t="n"/>
      <c r="N232" s="11" t="n"/>
      <c r="O232" s="11" t="n"/>
      <c r="P232" s="11" t="n"/>
      <c r="Q232" s="11" t="n"/>
      <c r="R232" s="12" t="n"/>
      <c r="S232" s="11" t="n"/>
      <c r="T232" s="11" t="n"/>
      <c r="U232" s="11" t="n"/>
      <c r="V232" s="11" t="n"/>
      <c r="W232" s="12" t="n"/>
      <c r="X232" s="11" t="n"/>
      <c r="Y232" s="11" t="n"/>
      <c r="Z232" s="11" t="n"/>
      <c r="AA232" s="11" t="n"/>
      <c r="AB232" s="12" t="n"/>
      <c r="AC232" s="11" t="n"/>
      <c r="AD232" s="11" t="n"/>
      <c r="AE232" s="11" t="n"/>
      <c r="AF232" s="11" t="n"/>
      <c r="AG232" s="12" t="n"/>
      <c r="AH232" s="12" t="n"/>
      <c r="AI232" s="12" t="n"/>
      <c r="AJ232" s="12" t="n"/>
      <c r="AK232" s="12" t="n"/>
      <c r="AL232" s="12" t="n"/>
      <c r="AM232" s="12" t="n"/>
      <c r="AN232" s="12" t="n"/>
      <c r="AO232" s="12" t="n"/>
      <c r="AP232" s="12" t="n"/>
      <c r="AQ232" s="12" t="n"/>
      <c r="AR232" s="12" t="n"/>
      <c r="AS232" s="12" t="n"/>
      <c r="AT232" s="12" t="n"/>
      <c r="AU232" s="12" t="n"/>
      <c r="AV232" s="12" t="n"/>
      <c r="AW232" s="12" t="n"/>
      <c r="AX232" s="12" t="n"/>
      <c r="AY232" s="12" t="n"/>
      <c r="AZ232" s="12" t="n"/>
      <c r="BA232" s="12" t="n"/>
      <c r="BB232" s="12" t="n"/>
      <c r="BC232" s="12" t="n"/>
      <c r="BD232" s="12" t="n"/>
      <c r="BE232" s="12" t="n"/>
      <c r="BF232" s="12" t="n"/>
      <c r="BG232" s="12" t="n"/>
      <c r="BH232" s="12" t="n"/>
      <c r="BI232" s="12" t="n"/>
      <c r="BJ232" s="12" t="n"/>
      <c r="BK232" s="12" t="n"/>
      <c r="BL232" s="12" t="n"/>
      <c r="BM232" s="12" t="n"/>
      <c r="BN232" s="12" t="n"/>
      <c r="BO232" s="12" t="n"/>
      <c r="BP232" s="12" t="n"/>
      <c r="BQ232" s="12" t="n"/>
      <c r="BR232" s="12" t="n"/>
      <c r="BS232" s="12" t="n"/>
      <c r="BT232" s="12" t="n"/>
      <c r="BU232" s="12" t="n"/>
      <c r="BV232" s="12" t="n"/>
      <c r="BW232" s="12" t="n"/>
      <c r="BX232" s="12" t="n"/>
      <c r="BY232" s="12" t="n"/>
      <c r="BZ232" s="12" t="n"/>
      <c r="CA232" s="12" t="n"/>
      <c r="CB232" s="12" t="n"/>
      <c r="CC232" s="12" t="n"/>
      <c r="CD232" s="12" t="n"/>
      <c r="CE232" s="12" t="n"/>
      <c r="CF232" s="12" t="n"/>
      <c r="CG232" s="12" t="n"/>
      <c r="CH232" s="12" t="n"/>
      <c r="CI232" s="12" t="n"/>
      <c r="CJ232" s="12" t="n"/>
      <c r="CK232" s="12" t="n"/>
      <c r="CL232" s="12" t="n"/>
      <c r="CM232" s="12" t="n"/>
      <c r="CN232" s="12" t="n"/>
      <c r="CO232" s="12" t="n"/>
      <c r="CP232" s="12" t="n"/>
      <c r="CQ232" s="12" t="n"/>
      <c r="CR232" s="12" t="n"/>
      <c r="CS232" s="12" t="n"/>
      <c r="CT232" s="12" t="n"/>
      <c r="CU232" s="12" t="n"/>
      <c r="CV232" s="12" t="n"/>
      <c r="CW232" s="12" t="n"/>
      <c r="CX232" s="12" t="n"/>
      <c r="CY232" s="12" t="n"/>
    </row>
    <row r="233" hidden="1" outlineLevel="1">
      <c r="C233" s="57" t="inlineStr">
        <is>
          <t xml:space="preserve">Provisão de Risco Cíveis, Trabalhistas e Tributários </t>
        </is>
      </c>
      <c r="D233" s="11" t="n"/>
      <c r="E233" s="11" t="n"/>
      <c r="F233" s="11" t="n"/>
      <c r="G233" s="11" t="n"/>
      <c r="H233" s="12" t="n"/>
      <c r="I233" s="11" t="n"/>
      <c r="J233" s="11" t="n"/>
      <c r="K233" s="11" t="n"/>
      <c r="L233" s="11" t="n"/>
      <c r="M233" s="12" t="n"/>
      <c r="N233" s="11" t="n"/>
      <c r="O233" s="11" t="n"/>
      <c r="P233" s="11" t="n"/>
      <c r="Q233" s="11" t="n"/>
      <c r="R233" s="12" t="n"/>
      <c r="S233" s="11" t="n"/>
      <c r="T233" s="11" t="n"/>
      <c r="U233" s="11" t="n"/>
      <c r="V233" s="11" t="n"/>
      <c r="W233" s="12" t="n"/>
      <c r="X233" s="11" t="n"/>
      <c r="Y233" s="11" t="n"/>
      <c r="Z233" s="11" t="n"/>
      <c r="AA233" s="11" t="n"/>
      <c r="AB233" s="12" t="n"/>
      <c r="AC233" s="11" t="n"/>
      <c r="AD233" s="11" t="n"/>
      <c r="AE233" s="11" t="n"/>
      <c r="AF233" s="11" t="n"/>
      <c r="AG233" s="12" t="n"/>
      <c r="AH233" s="12" t="n"/>
      <c r="AI233" s="12" t="n"/>
      <c r="AJ233" s="12" t="n"/>
      <c r="AK233" s="12" t="n"/>
      <c r="AL233" s="12" t="n"/>
      <c r="AM233" s="12" t="n"/>
      <c r="AN233" s="12" t="n"/>
      <c r="AO233" s="12" t="n"/>
      <c r="AP233" s="12" t="n"/>
      <c r="AQ233" s="12" t="n"/>
      <c r="AR233" s="12" t="n"/>
      <c r="AS233" s="12" t="n"/>
      <c r="AT233" s="12" t="n"/>
      <c r="AU233" s="12" t="n"/>
      <c r="AV233" s="12" t="n"/>
      <c r="AW233" s="12" t="n"/>
      <c r="AX233" s="12" t="n"/>
      <c r="AY233" s="12" t="n"/>
      <c r="AZ233" s="12" t="n"/>
      <c r="BA233" s="12" t="n"/>
      <c r="BB233" s="12" t="n"/>
      <c r="BC233" s="12" t="n"/>
      <c r="BD233" s="12" t="n"/>
      <c r="BE233" s="12" t="n"/>
      <c r="BF233" s="12" t="n"/>
      <c r="BG233" s="12" t="n"/>
      <c r="BH233" s="12" t="n"/>
      <c r="BI233" s="12" t="n"/>
      <c r="BJ233" s="12" t="n"/>
      <c r="BK233" s="12" t="n"/>
      <c r="BL233" s="12" t="n"/>
      <c r="BM233" s="12" t="n"/>
      <c r="BN233" s="12" t="n"/>
      <c r="BO233" s="12" t="n"/>
      <c r="BP233" s="12" t="n"/>
      <c r="BQ233" s="12" t="n"/>
      <c r="BR233" s="12" t="n"/>
      <c r="BS233" s="12" t="n"/>
      <c r="BT233" s="12" t="n"/>
      <c r="BU233" s="12" t="n"/>
      <c r="BV233" s="12" t="n"/>
      <c r="BW233" s="12" t="n"/>
      <c r="BX233" s="12" t="n"/>
      <c r="BY233" s="12" t="n"/>
      <c r="BZ233" s="12" t="n"/>
      <c r="CA233" s="12" t="n"/>
      <c r="CB233" s="12" t="n"/>
      <c r="CC233" s="12" t="n"/>
      <c r="CD233" s="12" t="n"/>
      <c r="CE233" s="12" t="n"/>
      <c r="CF233" s="12" t="n"/>
      <c r="CG233" s="12" t="n"/>
      <c r="CH233" s="12" t="n"/>
      <c r="CI233" s="12" t="n"/>
      <c r="CJ233" s="12" t="n"/>
      <c r="CK233" s="12" t="n"/>
      <c r="CL233" s="12" t="n"/>
      <c r="CM233" s="12" t="n"/>
      <c r="CN233" s="12" t="n"/>
      <c r="CO233" s="12" t="n"/>
      <c r="CP233" s="12" t="n"/>
      <c r="CQ233" s="12" t="n"/>
      <c r="CR233" s="12" t="n"/>
      <c r="CS233" s="12" t="n"/>
      <c r="CT233" s="12" t="n"/>
      <c r="CU233" s="12" t="n"/>
      <c r="CV233" s="12" t="n"/>
      <c r="CW233" s="12" t="n"/>
      <c r="CX233" s="12" t="n"/>
      <c r="CY233" s="12" t="n"/>
    </row>
    <row r="234" hidden="1" outlineLevel="1">
      <c r="C234" s="57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  <c r="AA234" s="12" t="n"/>
      <c r="AB234" s="12" t="n"/>
      <c r="AC234" s="12" t="n"/>
      <c r="AD234" s="12" t="n"/>
      <c r="AE234" s="12" t="n"/>
      <c r="AF234" s="12" t="n"/>
      <c r="AG234" s="12" t="n"/>
      <c r="AH234" s="12" t="n"/>
      <c r="AI234" s="12" t="n"/>
      <c r="AJ234" s="12" t="n"/>
      <c r="AK234" s="12" t="n"/>
      <c r="AL234" s="12" t="n"/>
      <c r="AM234" s="12" t="n"/>
      <c r="AN234" s="12" t="n"/>
      <c r="AO234" s="12" t="n"/>
      <c r="AP234" s="12" t="n"/>
      <c r="AQ234" s="12" t="n"/>
      <c r="AR234" s="12" t="n"/>
      <c r="AS234" s="12" t="n"/>
      <c r="AT234" s="12" t="n"/>
      <c r="AU234" s="12" t="n"/>
      <c r="AV234" s="12" t="n"/>
      <c r="AW234" s="12" t="n"/>
      <c r="AX234" s="12" t="n"/>
      <c r="AY234" s="12" t="n"/>
      <c r="AZ234" s="12" t="n"/>
      <c r="BA234" s="12" t="n"/>
      <c r="BB234" s="12" t="n"/>
      <c r="BC234" s="12" t="n"/>
      <c r="BD234" s="12" t="n"/>
      <c r="BE234" s="12" t="n"/>
      <c r="BF234" s="12" t="n"/>
      <c r="BG234" s="12" t="n"/>
      <c r="BH234" s="12" t="n"/>
      <c r="BI234" s="12" t="n"/>
      <c r="BJ234" s="12" t="n"/>
      <c r="BK234" s="12" t="n"/>
      <c r="BL234" s="12" t="n"/>
      <c r="BM234" s="12" t="n"/>
      <c r="BN234" s="12" t="n"/>
      <c r="BO234" s="12" t="n"/>
      <c r="BP234" s="12" t="n"/>
      <c r="BQ234" s="12" t="n"/>
      <c r="BR234" s="12" t="n"/>
      <c r="BS234" s="12" t="n"/>
      <c r="BT234" s="12" t="n"/>
      <c r="BU234" s="12" t="n"/>
      <c r="BV234" s="12" t="n"/>
      <c r="BW234" s="12" t="n"/>
      <c r="BX234" s="12" t="n"/>
      <c r="BY234" s="12" t="n"/>
      <c r="BZ234" s="12" t="n"/>
      <c r="CA234" s="12" t="n"/>
      <c r="CB234" s="12" t="n"/>
      <c r="CC234" s="12" t="n"/>
      <c r="CD234" s="12" t="n"/>
      <c r="CE234" s="12" t="n"/>
      <c r="CF234" s="12" t="n"/>
      <c r="CG234" s="12" t="n"/>
      <c r="CH234" s="12" t="n"/>
      <c r="CI234" s="12" t="n"/>
      <c r="CJ234" s="12" t="n"/>
      <c r="CK234" s="12" t="n"/>
      <c r="CL234" s="12" t="n"/>
      <c r="CM234" s="12" t="n"/>
      <c r="CN234" s="12" t="n"/>
      <c r="CO234" s="12" t="n"/>
      <c r="CP234" s="12" t="n"/>
      <c r="CQ234" s="12" t="n"/>
      <c r="CR234" s="12" t="n"/>
      <c r="CS234" s="12" t="n"/>
      <c r="CT234" s="12" t="n"/>
      <c r="CU234" s="12" t="n"/>
      <c r="CV234" s="12" t="n"/>
      <c r="CW234" s="12" t="n"/>
      <c r="CX234" s="12" t="n"/>
      <c r="CY234" s="12" t="n"/>
    </row>
    <row r="235" collapsed="1" customFormat="1" s="32">
      <c r="A235" s="30" t="n"/>
      <c r="B235" s="30" t="n"/>
      <c r="C235" s="65" t="inlineStr">
        <is>
          <t>Total Liabilities</t>
        </is>
      </c>
      <c r="D235" s="35" t="n"/>
      <c r="E235" s="35" t="n"/>
      <c r="F235" s="35" t="n"/>
      <c r="G235" s="35" t="n"/>
      <c r="H235" s="35" t="n"/>
      <c r="I235" s="35">
        <f>SUM(I186+I190+I192+I193+I200+I201+I202+I205+I223+I226+I227+I228)</f>
        <v>0</v>
      </c>
      <c r="J235" s="35">
        <f>SUM(J186+J190+J192+J193+J200+J201+J202+J205+J223+J226+J227+J228)</f>
        <v>0</v>
      </c>
      <c r="K235" s="35">
        <f>SUM(K186+K190+K192+K193+K200+K201+K202+K205+K223+K226+K227+K228)</f>
        <v>0</v>
      </c>
      <c r="L235" s="35">
        <f>SUM(L186+L190+L192+L193+L200+L201+L202+L205+L223+L226+L227+L228)</f>
        <v>36472</v>
      </c>
      <c r="M235" s="35">
        <f>SUM(M186,M190,M192,M193,M200,M201,M205,M202,M223,M226,M227,M228)</f>
        <v>36472</v>
      </c>
      <c r="N235" s="35">
        <f>SUM(N186+N190+N192+N193+N200+N201+N202+N205+N223+N226+N227+N228)</f>
        <v>35341</v>
      </c>
      <c r="O235" s="35">
        <f>SUM(O186+O190+O192+O193+O200+O201+O202+O205+O223+O226+O227+O228)</f>
        <v>33944</v>
      </c>
      <c r="P235" s="35">
        <f>SUM(P186+P190+P192+P193+P200+P201+P202+P205+P223+P226+P227+P228)</f>
        <v>35447</v>
      </c>
      <c r="Q235" s="35">
        <f>SUM(Q186+Q190+Q192+Q193+Q200+Q201+Q202+Q205+Q223+Q226+Q227+Q228)</f>
        <v>35537</v>
      </c>
      <c r="R235" s="35">
        <f>SUM(R186,R190,R192,R193,R200,R201,R205,R202,R223,R226,R227,R228)</f>
        <v>35537</v>
      </c>
      <c r="S235" s="35">
        <f>SUM(S186+S190+S192+S193+S200+S201+S202+S205+S223+S226+S227+S228)</f>
        <v>35072</v>
      </c>
      <c r="T235" s="35">
        <f>SUM(T186+T190+T192+T193+T200+T201+T202+T205+T223+T226+T227+T228)</f>
        <v>34947</v>
      </c>
      <c r="U235" s="35">
        <f>SUM(U186+U190+U192+U193+U200+U201+U202+U205+U223+U226+U227+U228)</f>
        <v>36965</v>
      </c>
      <c r="V235" s="35">
        <f>SUM(V186+V190+V192+V193+V200+V201+V202+V205+V223+V226+V227+V228)</f>
        <v>39472</v>
      </c>
      <c r="W235" s="35">
        <f>SUM(W186,W190,W192,W193,W200,W201,W205,W202,W223,W226,W227,W228)</f>
        <v>39472</v>
      </c>
      <c r="X235" s="35">
        <f>SUM(X186+X190+X192+X193+X200+X201+X202+X205+X223+X226+X227+X228)</f>
        <v>40454</v>
      </c>
      <c r="Y235" s="35">
        <f>SUM(Y186+Y190+Y192+Y193+Y200+Y201+Y202+Y205+Y223+Y226+Y227+Y228)</f>
        <v>39559</v>
      </c>
      <c r="Z235" s="35">
        <f>SUM(Z186+Z190+Z192+Z193+Z200+Z201+Z202+Z205+Z223+Z226+Z227+Z228)</f>
        <v>38893</v>
      </c>
      <c r="AA235" s="35">
        <f>SUM(AA186+AA190+AA192+AA193+AA200+AA201+AA202+AA205+AA223+AA226+AA227+AA228)</f>
        <v>39387</v>
      </c>
      <c r="AB235" s="35">
        <f>SUM(AB186,AB190,AB192,AB193,AB200,AB201,AB205,AB202,AB223,AB226,AB227,AB228)</f>
        <v>39387</v>
      </c>
      <c r="AC235" s="35">
        <f>SUM(AC186+AC190+AC192+AC193+AC200+AC201+AC202+AC205+AC223+AC226+AC227+AC228)</f>
        <v>38918</v>
      </c>
      <c r="AD235" s="35">
        <f>SUM(AD186+AD190+AD192+AD193+AD200+AD201+AD202+AD205+AD223+AD226+AD227+AD228)</f>
        <v>39235</v>
      </c>
      <c r="AE235" s="35">
        <f>SUM(AE186+AE190+AE192+AE193+AE200+AE201+AE202+AE205+AE223+AE226+AE227+AE228)</f>
        <v>41469</v>
      </c>
      <c r="AF235" s="35">
        <f>SUM(AF186+AF190+AF192+AF193+AF200+AF201+AF202+AF205+AF223+AF226+AF227+AF228)</f>
        <v>42396</v>
      </c>
      <c r="AG235" s="35">
        <f>SUM(AG186,AG190,AG192,AG193,AG200,AG201,AG205,AG202,AG223,AG226,AG227,AG228)</f>
        <v>42396</v>
      </c>
      <c r="AH235" s="35">
        <f>SUM(AH186+AH190+AH192+AH193+AH200+AH201+AH202+AH205+AH223+AH226+AH227+AH228)</f>
        <v>63091</v>
      </c>
      <c r="AI235" s="35">
        <f>SUM(AI186+AI190+AI192+AI193+AI200+AI201+AI202+AI205+AI223+AI226+AI227+AI228)</f>
        <v>65931</v>
      </c>
      <c r="AJ235" s="35">
        <f>SUM(AJ186+AJ190+AJ192+AJ193+AJ200+AJ201+AJ202+AJ205+AJ223+AJ226+AJ227+AJ228)</f>
        <v>61499</v>
      </c>
      <c r="AK235" s="35">
        <f>SUM(AK186+AK190+AK192+AK193+AK200+AK201+AK202+AK205+AK223+AK226+AK227+AK228)</f>
        <v>61499</v>
      </c>
      <c r="AL235" s="35">
        <f>SUM(AL186,AL190,AL192,AL193,AL200,AL201,AL205,AL202,AL223,AL226,AL227,AL228)</f>
        <v>61499</v>
      </c>
      <c r="AM235" s="35">
        <f>SUM(AM186+AM190+AM192+AM193+AM200+AM201+AM202+AM205+AM223+AM226+AM227+AM228)</f>
        <v>61499</v>
      </c>
      <c r="AN235" s="35">
        <f>SUM(AN186+AN190+AN192+AN193+AN200+AN201+AN202+AN205+AN223+AN226+AN227+AN228)</f>
        <v>61499</v>
      </c>
      <c r="AO235" s="35">
        <f>SUM(AO186+AO190+AO192+AO193+AO200+AO201+AO202+AO205+AO223+AO226+AO227+AO228)</f>
        <v>61499</v>
      </c>
      <c r="AP235" s="35">
        <f>SUM(AP186+AP190+AP192+AP193+AP200+AP201+AP202+AP205+AP223+AP226+AP227+AP228)</f>
        <v>61499</v>
      </c>
      <c r="AQ235" s="35">
        <f>SUM(AQ186,AQ190,AQ192,AQ193,AQ200,AQ201,AQ205,AQ202,AQ223,AQ226,AQ227,AQ228)</f>
        <v>61499</v>
      </c>
      <c r="AR235" s="35">
        <f>SUM(AR186+AR190+AR192+AR193+AR200+AR201+AR202+AR205+AR223+AR226+AR227+AR228)</f>
        <v>61499</v>
      </c>
      <c r="AS235" s="35">
        <f>SUM(AS186+AS190+AS192+AS193+AS200+AS201+AS202+AS205+AS223+AS226+AS227+AS228)</f>
        <v>61499</v>
      </c>
      <c r="AT235" s="35">
        <f>SUM(AT186+AT190+AT192+AT193+AT200+AT201+AT202+AT205+AT223+AT226+AT227+AT228)</f>
        <v>61499</v>
      </c>
      <c r="AU235" s="35">
        <f>SUM(AU186+AU190+AU192+AU193+AU200+AU201+AU202+AU205+AU223+AU226+AU227+AU228)</f>
        <v>61499</v>
      </c>
      <c r="AV235" s="35">
        <f>SUM(AV186,AV190,AV192,AV193,AV200,AV201,AV205,AV202,AV223,AV226,AV227,AV228)</f>
        <v>61499</v>
      </c>
      <c r="AW235" s="35">
        <f>SUM(AW186+AW190+AW192+AW193+AW200+AW201+AW202+AW205+AW223+AW226+AW227+AW228)</f>
        <v>61499</v>
      </c>
      <c r="AX235" s="35">
        <f>SUM(AX186+AX190+AX192+AX193+AX200+AX201+AX202+AX205+AX223+AX226+AX227+AX228)</f>
        <v>61499</v>
      </c>
      <c r="AY235" s="35">
        <f>SUM(AY186+AY190+AY192+AY193+AY200+AY201+AY202+AY205+AY223+AY226+AY227+AY228)</f>
        <v>61499</v>
      </c>
      <c r="AZ235" s="35">
        <f>SUM(AZ186+AZ190+AZ192+AZ193+AZ200+AZ201+AZ202+AZ205+AZ223+AZ226+AZ227+AZ228)</f>
        <v>61499</v>
      </c>
      <c r="BA235" s="35">
        <f>SUM(BA186,BA190,BA192,BA193,BA200,BA201,BA205,BA202,BA223,BA226,BA227,BA228)</f>
        <v>61499</v>
      </c>
      <c r="BB235" s="35">
        <f>SUM(BB186+BB190+BB192+BB193+BB200+BB201+BB202+BB205+BB223+BB226+BB227+BB228)</f>
        <v>61499</v>
      </c>
      <c r="BC235" s="35">
        <f>SUM(BC186+BC190+BC192+BC193+BC200+BC201+BC202+BC205+BC223+BC226+BC227+BC228)</f>
        <v>61499</v>
      </c>
      <c r="BD235" s="35">
        <f>SUM(BD186+BD190+BD192+BD193+BD200+BD201+BD202+BD205+BD223+BD226+BD227+BD228)</f>
        <v>61499</v>
      </c>
      <c r="BE235" s="35">
        <f>SUM(BE186+BE190+BE192+BE193+BE200+BE201+BE202+BE205+BE223+BE226+BE227+BE228)</f>
        <v>61499</v>
      </c>
      <c r="BF235" s="35">
        <f>SUM(BF186,BF190,BF192,BF193,BF200,BF201,BF205,BF202,BF223,BF226,BF227,BF228)</f>
        <v>61499</v>
      </c>
      <c r="BG235" s="35" t="n"/>
      <c r="BH235" s="35" t="n"/>
      <c r="BI235" s="35" t="n"/>
      <c r="BJ235" s="35" t="n"/>
      <c r="BK235" s="35" t="n"/>
      <c r="BL235" s="35" t="n"/>
      <c r="BM235" s="35" t="n"/>
      <c r="BN235" s="35" t="n"/>
      <c r="BO235" s="35" t="n"/>
      <c r="BP235" s="35" t="n"/>
      <c r="BQ235" s="35" t="n"/>
      <c r="BR235" s="35" t="n"/>
      <c r="BS235" s="35" t="n"/>
      <c r="BT235" s="35" t="n"/>
      <c r="BU235" s="35" t="n"/>
      <c r="BV235" s="35" t="n"/>
      <c r="BW235" s="35" t="n"/>
      <c r="BX235" s="35" t="n"/>
      <c r="BY235" s="35" t="n"/>
      <c r="BZ235" s="35" t="n"/>
      <c r="CA235" s="35" t="n"/>
      <c r="CB235" s="35" t="n"/>
      <c r="CC235" s="35" t="n"/>
      <c r="CD235" s="35" t="n"/>
      <c r="CE235" s="35" t="n"/>
      <c r="CF235" s="35" t="n"/>
      <c r="CG235" s="35" t="n"/>
      <c r="CH235" s="35" t="n"/>
      <c r="CI235" s="35" t="n"/>
      <c r="CJ235" s="35" t="n"/>
      <c r="CK235" s="35" t="n"/>
      <c r="CL235" s="35" t="n"/>
      <c r="CM235" s="35" t="n"/>
      <c r="CN235" s="35" t="n"/>
      <c r="CO235" s="35" t="n"/>
      <c r="CP235" s="35" t="n"/>
      <c r="CQ235" s="35" t="n"/>
      <c r="CR235" s="35" t="n"/>
      <c r="CS235" s="35" t="n"/>
      <c r="CT235" s="35" t="n"/>
      <c r="CU235" s="35" t="n"/>
      <c r="CV235" s="35" t="n"/>
      <c r="CW235" s="35" t="n"/>
      <c r="CX235" s="35" t="n"/>
      <c r="CY235" s="35" t="n"/>
    </row>
    <row r="236">
      <c r="C236" s="14" t="inlineStr">
        <is>
          <t>Minority interest</t>
        </is>
      </c>
      <c r="D236" s="46" t="n"/>
      <c r="E236" s="46" t="n"/>
      <c r="F236" s="46" t="n"/>
      <c r="G236" s="46" t="n"/>
      <c r="H236" s="12" t="n"/>
      <c r="I236" s="46">
        <f>'Inputs (2)'!D41</f>
        <v>0</v>
      </c>
      <c r="J236" s="46">
        <f>'Inputs (2)'!E41</f>
        <v>0</v>
      </c>
      <c r="K236" s="46">
        <f>'Inputs (2)'!F41</f>
        <v>0</v>
      </c>
      <c r="L236" s="46">
        <f>'Inputs (2)'!G41</f>
        <v>395</v>
      </c>
      <c r="M236" s="12">
        <f>'Inputs (2)'!H41</f>
        <v>395</v>
      </c>
      <c r="N236" s="46">
        <f>'Inputs (2)'!I41</f>
        <v>400</v>
      </c>
      <c r="O236" s="46">
        <f>'Inputs (2)'!J41</f>
        <v>389</v>
      </c>
      <c r="P236" s="46">
        <f>'Inputs (2)'!K41</f>
        <v>366</v>
      </c>
      <c r="Q236" s="46">
        <f>'Inputs (2)'!L41</f>
        <v>354</v>
      </c>
      <c r="R236" s="12">
        <f>'Inputs (2)'!M41</f>
        <v>354</v>
      </c>
      <c r="S236" s="46">
        <f>'Inputs (2)'!N41</f>
        <v>358</v>
      </c>
      <c r="T236" s="46">
        <f>'Inputs (2)'!O41</f>
        <v>356</v>
      </c>
      <c r="U236" s="46">
        <f>'Inputs (2)'!P41</f>
        <v>334</v>
      </c>
      <c r="V236" s="46">
        <f>'Inputs (2)'!Q41</f>
        <v>361</v>
      </c>
      <c r="W236" s="12">
        <f>'Inputs (2)'!R41</f>
        <v>361</v>
      </c>
      <c r="X236" s="46">
        <f>'Inputs (2)'!S41</f>
        <v>361</v>
      </c>
      <c r="Y236" s="46">
        <f>'Inputs (2)'!T41</f>
        <v>356</v>
      </c>
      <c r="Z236" s="46">
        <f>'Inputs (2)'!U41</f>
        <v>371</v>
      </c>
      <c r="AA236" s="46">
        <f>'Inputs (2)'!V41</f>
        <v>373</v>
      </c>
      <c r="AB236" s="12">
        <f>'Inputs (2)'!W41</f>
        <v>373</v>
      </c>
      <c r="AC236" s="46">
        <f>'Inputs (2)'!X41</f>
        <v>378</v>
      </c>
      <c r="AD236" s="46">
        <f>'Inputs (2)'!Y41</f>
        <v>357</v>
      </c>
      <c r="AE236" s="46">
        <f>'Inputs (2)'!Z41</f>
        <v>342</v>
      </c>
      <c r="AF236" s="46">
        <f>'Inputs (2)'!AA41</f>
        <v>336</v>
      </c>
      <c r="AG236" s="12">
        <f>'Inputs (2)'!AB41</f>
        <v>336</v>
      </c>
      <c r="AH236" s="12">
        <f>'Inputs (2)'!AC41</f>
        <v>337</v>
      </c>
      <c r="AI236" s="12">
        <f>'Inputs (2)'!AD41</f>
        <v>345</v>
      </c>
      <c r="AJ236" s="12">
        <f>AI236</f>
        <v>345</v>
      </c>
      <c r="AK236" s="12">
        <f>AJ236</f>
        <v>345</v>
      </c>
      <c r="AL236" s="12">
        <f>AK236</f>
        <v>345</v>
      </c>
      <c r="AM236" s="12">
        <f>AL236</f>
        <v>345</v>
      </c>
      <c r="AN236" s="12">
        <f>AM236</f>
        <v>345</v>
      </c>
      <c r="AO236" s="12">
        <f>AN236</f>
        <v>345</v>
      </c>
      <c r="AP236" s="12">
        <f>AO236</f>
        <v>345</v>
      </c>
      <c r="AQ236" s="12">
        <f>AP236</f>
        <v>345</v>
      </c>
      <c r="AR236" s="12">
        <f>AQ236</f>
        <v>345</v>
      </c>
      <c r="AS236" s="12">
        <f>AR236</f>
        <v>345</v>
      </c>
      <c r="AT236" s="12">
        <f>AS236</f>
        <v>345</v>
      </c>
      <c r="AU236" s="12">
        <f>AT236</f>
        <v>345</v>
      </c>
      <c r="AV236" s="12">
        <f>AU236</f>
        <v>345</v>
      </c>
      <c r="AW236" s="12">
        <f>AV236</f>
        <v>345</v>
      </c>
      <c r="AX236" s="12">
        <f>AW236</f>
        <v>345</v>
      </c>
      <c r="AY236" s="12">
        <f>AX236</f>
        <v>345</v>
      </c>
      <c r="AZ236" s="12">
        <f>AY236</f>
        <v>345</v>
      </c>
      <c r="BA236" s="12">
        <f>AZ236</f>
        <v>345</v>
      </c>
      <c r="BB236" s="12">
        <f>BA236</f>
        <v>345</v>
      </c>
      <c r="BC236" s="12">
        <f>BB236</f>
        <v>345</v>
      </c>
      <c r="BD236" s="12">
        <f>BC236</f>
        <v>345</v>
      </c>
      <c r="BE236" s="12">
        <f>BD236</f>
        <v>345</v>
      </c>
      <c r="BF236" s="12">
        <f>BE236</f>
        <v>345</v>
      </c>
      <c r="BG236" s="12" t="n"/>
      <c r="BH236" s="12" t="n"/>
      <c r="BI236" s="12" t="n"/>
      <c r="BJ236" s="12" t="n"/>
      <c r="BK236" s="12" t="n"/>
      <c r="BL236" s="12" t="n"/>
      <c r="BM236" s="12" t="n"/>
      <c r="BN236" s="12" t="n"/>
      <c r="BO236" s="12" t="n"/>
      <c r="BP236" s="12" t="n"/>
      <c r="BQ236" s="12" t="n"/>
      <c r="BR236" s="12" t="n"/>
      <c r="BS236" s="12" t="n"/>
      <c r="BT236" s="12" t="n"/>
      <c r="BU236" s="12" t="n"/>
      <c r="BV236" s="12" t="n"/>
      <c r="BW236" s="12" t="n"/>
      <c r="BX236" s="12" t="n"/>
      <c r="BY236" s="12" t="n"/>
      <c r="BZ236" s="12" t="n"/>
      <c r="CA236" s="12" t="n"/>
      <c r="CB236" s="12" t="n"/>
      <c r="CC236" s="12" t="n"/>
      <c r="CD236" s="12" t="n"/>
      <c r="CE236" s="12" t="n"/>
      <c r="CF236" s="12" t="n"/>
      <c r="CG236" s="12" t="n"/>
      <c r="CH236" s="12" t="n"/>
      <c r="CI236" s="12" t="n"/>
      <c r="CJ236" s="12" t="n"/>
      <c r="CK236" s="12" t="n"/>
      <c r="CL236" s="12" t="n"/>
      <c r="CM236" s="12" t="n"/>
      <c r="CN236" s="12" t="n"/>
      <c r="CO236" s="12" t="n"/>
      <c r="CP236" s="12" t="n"/>
      <c r="CQ236" s="12" t="n"/>
      <c r="CR236" s="12" t="n"/>
      <c r="CS236" s="12" t="n"/>
      <c r="CT236" s="12" t="n"/>
      <c r="CU236" s="12" t="n"/>
      <c r="CV236" s="12" t="n"/>
      <c r="CW236" s="12" t="n"/>
      <c r="CX236" s="12" t="n"/>
      <c r="CY236" s="12" t="n"/>
    </row>
    <row r="237" hidden="1" outlineLevel="1" customFormat="1" s="66">
      <c r="A237" s="37" t="n"/>
      <c r="B237" s="37" t="n"/>
      <c r="C237" s="59" t="n"/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  <c r="AA237" s="42" t="n"/>
      <c r="AB237" s="42" t="n"/>
      <c r="AC237" s="42" t="n"/>
      <c r="AD237" s="42" t="n"/>
      <c r="AE237" s="42" t="n"/>
      <c r="AF237" s="42" t="n"/>
      <c r="AG237" s="42" t="n"/>
      <c r="AH237" s="42" t="n"/>
      <c r="AI237" s="42" t="n"/>
      <c r="AJ237" s="42" t="n"/>
      <c r="AK237" s="42" t="n"/>
      <c r="AL237" s="42" t="n"/>
      <c r="AM237" s="42" t="n"/>
      <c r="AN237" s="42" t="n"/>
      <c r="AO237" s="42" t="n"/>
      <c r="AP237" s="42" t="n"/>
      <c r="AQ237" s="42" t="n"/>
      <c r="AR237" s="42" t="n"/>
      <c r="AS237" s="42" t="n"/>
      <c r="AT237" s="42" t="n"/>
      <c r="AU237" s="42" t="n"/>
      <c r="AV237" s="42" t="n"/>
      <c r="AW237" s="42" t="n"/>
      <c r="AX237" s="42" t="n"/>
      <c r="AY237" s="42" t="n"/>
      <c r="AZ237" s="42" t="n"/>
      <c r="BA237" s="42" t="n"/>
      <c r="BB237" s="42" t="n"/>
      <c r="BC237" s="42" t="n"/>
      <c r="BD237" s="42" t="n"/>
      <c r="BE237" s="42" t="n"/>
      <c r="BF237" s="42" t="n"/>
      <c r="BG237" s="42" t="n"/>
      <c r="BH237" s="42" t="n"/>
      <c r="BI237" s="42" t="n"/>
      <c r="BJ237" s="42" t="n"/>
      <c r="BK237" s="42" t="n"/>
      <c r="BL237" s="42" t="n"/>
      <c r="BM237" s="42" t="n"/>
      <c r="BN237" s="42" t="n"/>
      <c r="BO237" s="42" t="n"/>
      <c r="BP237" s="42" t="n"/>
      <c r="BQ237" s="42" t="n"/>
      <c r="BR237" s="42" t="n"/>
      <c r="BS237" s="42" t="n"/>
      <c r="BT237" s="42" t="n"/>
      <c r="BU237" s="42" t="n"/>
      <c r="BV237" s="42" t="n"/>
      <c r="BW237" s="42" t="n"/>
      <c r="BX237" s="42" t="n"/>
      <c r="BY237" s="42" t="n"/>
      <c r="BZ237" s="42" t="n"/>
      <c r="CA237" s="42" t="n"/>
      <c r="CB237" s="42" t="n"/>
      <c r="CC237" s="42" t="n"/>
      <c r="CD237" s="42" t="n"/>
      <c r="CE237" s="42" t="n"/>
      <c r="CF237" s="42" t="n"/>
      <c r="CG237" s="42" t="n"/>
      <c r="CH237" s="42" t="n"/>
      <c r="CI237" s="42" t="n"/>
      <c r="CJ237" s="42" t="n"/>
      <c r="CK237" s="42" t="n"/>
      <c r="CL237" s="42" t="n"/>
      <c r="CM237" s="42" t="n"/>
      <c r="CN237" s="42" t="n"/>
      <c r="CO237" s="42" t="n"/>
      <c r="CP237" s="42" t="n"/>
      <c r="CQ237" s="42" t="n"/>
      <c r="CR237" s="42" t="n"/>
      <c r="CS237" s="42" t="n"/>
      <c r="CT237" s="42" t="n"/>
      <c r="CU237" s="42" t="n"/>
      <c r="CV237" s="42" t="n"/>
      <c r="CW237" s="42" t="n"/>
      <c r="CX237" s="42" t="n"/>
      <c r="CY237" s="42" t="n"/>
    </row>
    <row r="238" hidden="1" outlineLevel="1" customFormat="1" s="66">
      <c r="A238" s="37" t="n"/>
      <c r="B238" s="37" t="n"/>
      <c r="C238" s="57" t="inlineStr">
        <is>
          <t>Minority Interest Expense - % YoY</t>
        </is>
      </c>
      <c r="D238" s="42" t="n"/>
      <c r="E238" s="58" t="n"/>
      <c r="F238" s="42" t="n"/>
      <c r="G238" s="42" t="n"/>
      <c r="H238" s="58" t="n"/>
      <c r="I238" s="42" t="n"/>
      <c r="J238" s="58">
        <f>IF(I123=0,0,J123/I123-1)</f>
        <v>0</v>
      </c>
      <c r="K238" s="42" t="n"/>
      <c r="L238" s="42" t="n"/>
      <c r="M238" s="58" t="n"/>
      <c r="N238" s="58">
        <f>IF(I123=0,0,N123/I123-1)</f>
        <v>2</v>
      </c>
      <c r="O238" s="58">
        <f>IF(J123=0,0,O123/J123-1)</f>
        <v>2</v>
      </c>
      <c r="P238" s="58">
        <f>IF(K123=0,0,P123/K123-1)</f>
        <v>0</v>
      </c>
      <c r="Q238" s="58">
        <f>IF(L123=0,0,Q123/L123-1)</f>
        <v>-0.25</v>
      </c>
      <c r="R238" s="58" t="n"/>
      <c r="S238" s="58">
        <f>IF(N123=0,0,S123/N123-1)</f>
        <v>0.666666666666667</v>
      </c>
      <c r="T238" s="58">
        <f>IF(O123=0,0,T123/O123-1)</f>
        <v>0.666666666666667</v>
      </c>
      <c r="U238" s="58">
        <f>IF(P123=0,0,U123/P123-1)</f>
        <v>-1</v>
      </c>
      <c r="V238" s="58">
        <f>IF(Q123=0,0,V123/Q123-1)</f>
        <v>-1</v>
      </c>
      <c r="W238" s="58">
        <f>IF(R124=0,0,W124/R124-1)</f>
        <v>4.75</v>
      </c>
      <c r="X238" s="58">
        <f>IF(S123=0,0,X123/S123-1)</f>
        <v>-1</v>
      </c>
      <c r="Y238" s="58">
        <f>IF(T123=0,0,Y123/T123-1)</f>
        <v>-0.8</v>
      </c>
      <c r="Z238" s="58">
        <f>IF(U123=0,0,Z123/U123-1)</f>
        <v>0</v>
      </c>
      <c r="AA238" s="58">
        <f>IF(V123=0,0,AA123/V123-1)</f>
        <v>0</v>
      </c>
      <c r="AB238" s="58">
        <f>IF(W124=0,0,AB124/W124-1)</f>
        <v>-0.760869565217391</v>
      </c>
      <c r="AC238" s="58">
        <f>IF(X123=0,0,AC123/X123-1)</f>
        <v>0</v>
      </c>
      <c r="AD238" s="58">
        <f>IF(Y123=0,0,AD123/Y123-1)</f>
        <v>-1</v>
      </c>
      <c r="AE238" s="58">
        <f>IF(Z123=0,0,AE123/Z123-1)</f>
        <v>0</v>
      </c>
      <c r="AF238" s="58">
        <f>IF(AA123=0,0,AF123/AA123-1)</f>
        <v>-0.666666666666667</v>
      </c>
      <c r="AG238" s="58">
        <f>IF(AB124=0,0,AG124/AB124-1)</f>
        <v>-1.36363636363636</v>
      </c>
      <c r="AH238" s="62">
        <f>IF(AC123=0,0,AH123/AC123-1)</f>
        <v>0</v>
      </c>
      <c r="AI238" s="62">
        <f>IF(AD123=0,0,AI123/AD123-1)</f>
        <v>0</v>
      </c>
      <c r="AJ238" s="62" t="n"/>
      <c r="AK238" s="62" t="n"/>
      <c r="AL238" s="58">
        <f>IF(AG124=0,0,AL124/AG124-1)</f>
        <v>1</v>
      </c>
      <c r="AM238" s="62" t="n"/>
      <c r="AN238" s="62" t="n"/>
      <c r="AO238" s="62" t="n"/>
      <c r="AP238" s="62" t="n"/>
      <c r="AQ238" s="58">
        <f>IF(AL124=0,0,AQ124/AL124-1)</f>
        <v>-1</v>
      </c>
      <c r="AR238" s="62" t="n"/>
      <c r="AS238" s="62" t="n"/>
      <c r="AT238" s="62" t="n"/>
      <c r="AU238" s="62" t="n"/>
      <c r="AV238" s="58">
        <f>IF(AQ124=0,0,AV124/AQ124-1)</f>
        <v>0</v>
      </c>
      <c r="AW238" s="62" t="n"/>
      <c r="AX238" s="62" t="n"/>
      <c r="AY238" s="62" t="n"/>
      <c r="AZ238" s="62" t="n"/>
      <c r="BA238" s="58">
        <f>IF(AV124=0,0,BA124/AV124-1)</f>
        <v>0</v>
      </c>
      <c r="BB238" s="62" t="n"/>
      <c r="BC238" s="62" t="n"/>
      <c r="BD238" s="62" t="n"/>
      <c r="BE238" s="62" t="n"/>
      <c r="BF238" s="58">
        <f>IF(BA124=0,0,BF124/BA124-1)</f>
        <v>0</v>
      </c>
      <c r="BG238" s="62" t="n"/>
      <c r="BH238" s="62" t="n"/>
      <c r="BI238" s="62" t="n"/>
      <c r="BJ238" s="62" t="n"/>
      <c r="BK238" s="58" t="n"/>
      <c r="BL238" s="62" t="n"/>
      <c r="BM238" s="62" t="n"/>
      <c r="BN238" s="62" t="n"/>
      <c r="BO238" s="62" t="n"/>
      <c r="BP238" s="58" t="n"/>
      <c r="BQ238" s="62" t="n"/>
      <c r="BR238" s="62" t="n"/>
      <c r="BS238" s="62" t="n"/>
      <c r="BT238" s="62" t="n"/>
      <c r="BU238" s="58" t="n"/>
      <c r="BV238" s="62" t="n"/>
      <c r="BW238" s="62" t="n"/>
      <c r="BX238" s="62" t="n"/>
      <c r="BY238" s="62" t="n"/>
      <c r="BZ238" s="58" t="n"/>
      <c r="CA238" s="62" t="n"/>
      <c r="CB238" s="62" t="n"/>
      <c r="CC238" s="62" t="n"/>
      <c r="CD238" s="62" t="n"/>
      <c r="CE238" s="58" t="n"/>
      <c r="CF238" s="62" t="n"/>
      <c r="CG238" s="62" t="n"/>
      <c r="CH238" s="62" t="n"/>
      <c r="CI238" s="62" t="n"/>
      <c r="CJ238" s="58" t="n"/>
      <c r="CK238" s="62" t="n"/>
      <c r="CL238" s="62" t="n"/>
      <c r="CM238" s="62" t="n"/>
      <c r="CN238" s="62" t="n"/>
      <c r="CO238" s="58" t="n"/>
      <c r="CP238" s="62" t="n"/>
      <c r="CQ238" s="62" t="n"/>
      <c r="CR238" s="62" t="n"/>
      <c r="CS238" s="62" t="n"/>
      <c r="CT238" s="58" t="n"/>
      <c r="CU238" s="62" t="n"/>
      <c r="CV238" s="62" t="n"/>
      <c r="CW238" s="62" t="n"/>
      <c r="CX238" s="62" t="n"/>
      <c r="CY238" s="58" t="n"/>
    </row>
    <row r="239" hidden="1" outlineLevel="1" customFormat="1" s="66">
      <c r="A239" s="37" t="n"/>
      <c r="B239" s="37" t="n"/>
      <c r="C239" s="57" t="inlineStr">
        <is>
          <t>Dividends (enter as -)</t>
        </is>
      </c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  <c r="AA239" s="42" t="n"/>
      <c r="AB239" s="42" t="n"/>
      <c r="AC239" s="42" t="n"/>
      <c r="AD239" s="42" t="n"/>
      <c r="AE239" s="42" t="n"/>
      <c r="AF239" s="42" t="n"/>
      <c r="AG239" s="42" t="n"/>
      <c r="AH239" s="62" t="n"/>
      <c r="AI239" s="62" t="n"/>
      <c r="AJ239" s="62" t="n"/>
      <c r="AK239" s="62" t="n"/>
      <c r="AL239" s="42" t="n"/>
      <c r="AM239" s="62" t="n"/>
      <c r="AN239" s="62" t="n"/>
      <c r="AO239" s="62" t="n"/>
      <c r="AP239" s="62" t="n"/>
      <c r="AQ239" s="42" t="n"/>
      <c r="AR239" s="62" t="n"/>
      <c r="AS239" s="62" t="n"/>
      <c r="AT239" s="62" t="n"/>
      <c r="AU239" s="62" t="n"/>
      <c r="AV239" s="42" t="n"/>
      <c r="AW239" s="62" t="n"/>
      <c r="AX239" s="62" t="n"/>
      <c r="AY239" s="62" t="n"/>
      <c r="AZ239" s="62" t="n"/>
      <c r="BA239" s="42" t="n"/>
      <c r="BB239" s="62" t="n"/>
      <c r="BC239" s="62" t="n"/>
      <c r="BD239" s="62" t="n"/>
      <c r="BE239" s="62" t="n"/>
      <c r="BF239" s="42" t="n"/>
      <c r="BG239" s="62" t="n"/>
      <c r="BH239" s="62" t="n"/>
      <c r="BI239" s="62" t="n"/>
      <c r="BJ239" s="62" t="n"/>
      <c r="BK239" s="42" t="n"/>
      <c r="BL239" s="62" t="n"/>
      <c r="BM239" s="62" t="n"/>
      <c r="BN239" s="62" t="n"/>
      <c r="BO239" s="62" t="n"/>
      <c r="BP239" s="42" t="n"/>
      <c r="BQ239" s="62" t="n"/>
      <c r="BR239" s="62" t="n"/>
      <c r="BS239" s="62" t="n"/>
      <c r="BT239" s="62" t="n"/>
      <c r="BU239" s="42" t="n"/>
      <c r="BV239" s="62" t="n"/>
      <c r="BW239" s="62" t="n"/>
      <c r="BX239" s="62" t="n"/>
      <c r="BY239" s="62" t="n"/>
      <c r="BZ239" s="42" t="n"/>
      <c r="CA239" s="62" t="n"/>
      <c r="CB239" s="62" t="n"/>
      <c r="CC239" s="62" t="n"/>
      <c r="CD239" s="62" t="n"/>
      <c r="CE239" s="42" t="n"/>
      <c r="CF239" s="62" t="n"/>
      <c r="CG239" s="62" t="n"/>
      <c r="CH239" s="62" t="n"/>
      <c r="CI239" s="62" t="n"/>
      <c r="CJ239" s="42" t="n"/>
      <c r="CK239" s="62" t="n"/>
      <c r="CL239" s="62" t="n"/>
      <c r="CM239" s="62" t="n"/>
      <c r="CN239" s="62" t="n"/>
      <c r="CO239" s="42" t="n"/>
      <c r="CP239" s="62" t="n"/>
      <c r="CQ239" s="62" t="n"/>
      <c r="CR239" s="62" t="n"/>
      <c r="CS239" s="62" t="n"/>
      <c r="CT239" s="42" t="n"/>
      <c r="CU239" s="62" t="n"/>
      <c r="CV239" s="62" t="n"/>
      <c r="CW239" s="62" t="n"/>
      <c r="CX239" s="62" t="n"/>
      <c r="CY239" s="42" t="n"/>
    </row>
    <row r="240" hidden="1" outlineLevel="1" customFormat="1" s="66">
      <c r="A240" s="37" t="n"/>
      <c r="B240" s="37" t="n"/>
      <c r="C240" s="59" t="n"/>
      <c r="D240" s="42" t="n"/>
      <c r="E240" s="42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  <c r="AA240" s="42" t="n"/>
      <c r="AB240" s="42" t="n"/>
      <c r="AC240" s="42" t="n"/>
      <c r="AD240" s="42" t="n"/>
      <c r="AE240" s="42" t="n"/>
      <c r="AF240" s="42" t="n"/>
      <c r="AG240" s="42" t="n"/>
      <c r="AH240" s="42" t="n"/>
      <c r="AI240" s="42" t="n"/>
      <c r="AJ240" s="42" t="n"/>
      <c r="AK240" s="42" t="n"/>
      <c r="AL240" s="42" t="n"/>
      <c r="AM240" s="42" t="n"/>
      <c r="AN240" s="42" t="n"/>
      <c r="AO240" s="42" t="n"/>
      <c r="AP240" s="42" t="n"/>
      <c r="AQ240" s="42" t="n"/>
      <c r="AR240" s="42" t="n"/>
      <c r="AS240" s="42" t="n"/>
      <c r="AT240" s="42" t="n"/>
      <c r="AU240" s="42" t="n"/>
      <c r="AV240" s="42" t="n"/>
      <c r="AW240" s="42" t="n"/>
      <c r="AX240" s="42" t="n"/>
      <c r="AY240" s="42" t="n"/>
      <c r="AZ240" s="42" t="n"/>
      <c r="BA240" s="42" t="n"/>
      <c r="BB240" s="42" t="n"/>
      <c r="BC240" s="42" t="n"/>
      <c r="BD240" s="42" t="n"/>
      <c r="BE240" s="42" t="n"/>
      <c r="BF240" s="42" t="n"/>
      <c r="BG240" s="42" t="n"/>
      <c r="BH240" s="42" t="n"/>
      <c r="BI240" s="42" t="n"/>
      <c r="BJ240" s="42" t="n"/>
      <c r="BK240" s="42" t="n"/>
      <c r="BL240" s="42" t="n"/>
      <c r="BM240" s="42" t="n"/>
      <c r="BN240" s="42" t="n"/>
      <c r="BO240" s="42" t="n"/>
      <c r="BP240" s="42" t="n"/>
      <c r="BQ240" s="42" t="n"/>
      <c r="BR240" s="42" t="n"/>
      <c r="BS240" s="42" t="n"/>
      <c r="BT240" s="42" t="n"/>
      <c r="BU240" s="42" t="n"/>
      <c r="BV240" s="42" t="n"/>
      <c r="BW240" s="42" t="n"/>
      <c r="BX240" s="42" t="n"/>
      <c r="BY240" s="42" t="n"/>
      <c r="BZ240" s="42" t="n"/>
      <c r="CA240" s="42" t="n"/>
      <c r="CB240" s="42" t="n"/>
      <c r="CC240" s="42" t="n"/>
      <c r="CD240" s="42" t="n"/>
      <c r="CE240" s="42" t="n"/>
      <c r="CF240" s="42" t="n"/>
      <c r="CG240" s="42" t="n"/>
      <c r="CH240" s="42" t="n"/>
      <c r="CI240" s="42" t="n"/>
      <c r="CJ240" s="42" t="n"/>
      <c r="CK240" s="42" t="n"/>
      <c r="CL240" s="42" t="n"/>
      <c r="CM240" s="42" t="n"/>
      <c r="CN240" s="42" t="n"/>
      <c r="CO240" s="42" t="n"/>
      <c r="CP240" s="42" t="n"/>
      <c r="CQ240" s="42" t="n"/>
      <c r="CR240" s="42" t="n"/>
      <c r="CS240" s="42" t="n"/>
      <c r="CT240" s="42" t="n"/>
      <c r="CU240" s="42" t="n"/>
      <c r="CV240" s="42" t="n"/>
      <c r="CW240" s="42" t="n"/>
      <c r="CX240" s="42" t="n"/>
      <c r="CY240" s="42" t="n"/>
    </row>
    <row r="241" collapsed="1">
      <c r="C241" s="14" t="inlineStr">
        <is>
          <t>Convertible Preferred Stock</t>
        </is>
      </c>
      <c r="D241" s="46" t="n"/>
      <c r="E241" s="46" t="n"/>
      <c r="F241" s="46" t="n"/>
      <c r="G241" s="46" t="n"/>
      <c r="H241" s="12" t="n"/>
      <c r="I241" s="46">
        <f>'Inputs (2)'!D42</f>
        <v>0</v>
      </c>
      <c r="J241" s="46">
        <f>'Inputs (2)'!E42</f>
        <v>0</v>
      </c>
      <c r="K241" s="46">
        <f>'Inputs (2)'!F42</f>
        <v>0</v>
      </c>
      <c r="L241" s="46">
        <f>'Inputs (2)'!G42</f>
        <v>0</v>
      </c>
      <c r="M241" s="12">
        <f>'Inputs (2)'!H42</f>
        <v>0</v>
      </c>
      <c r="N241" s="46">
        <f>'Inputs (2)'!I42</f>
        <v>0</v>
      </c>
      <c r="O241" s="46">
        <f>'Inputs (2)'!J42</f>
        <v>0</v>
      </c>
      <c r="P241" s="46">
        <f>'Inputs (2)'!K42</f>
        <v>0</v>
      </c>
      <c r="Q241" s="46">
        <f>'Inputs (2)'!L42</f>
        <v>0</v>
      </c>
      <c r="R241" s="12">
        <f>'Inputs (2)'!M42</f>
        <v>0</v>
      </c>
      <c r="S241" s="46">
        <f>'Inputs (2)'!N42</f>
        <v>0</v>
      </c>
      <c r="T241" s="46">
        <f>'Inputs (2)'!O42</f>
        <v>0</v>
      </c>
      <c r="U241" s="46">
        <f>'Inputs (2)'!P42</f>
        <v>0</v>
      </c>
      <c r="V241" s="46">
        <f>'Inputs (2)'!Q42</f>
        <v>0</v>
      </c>
      <c r="W241" s="12">
        <f>'Inputs (2)'!R42</f>
        <v>0</v>
      </c>
      <c r="X241" s="46">
        <f>'Inputs (2)'!S42</f>
        <v>0</v>
      </c>
      <c r="Y241" s="46">
        <f>'Inputs (2)'!T42</f>
        <v>0</v>
      </c>
      <c r="Z241" s="46">
        <f>'Inputs (2)'!U42</f>
        <v>0</v>
      </c>
      <c r="AA241" s="46">
        <f>'Inputs (2)'!V42</f>
        <v>0</v>
      </c>
      <c r="AB241" s="12">
        <f>'Inputs (2)'!W42</f>
        <v>0</v>
      </c>
      <c r="AC241" s="46">
        <f>'Inputs (2)'!X42</f>
        <v>0</v>
      </c>
      <c r="AD241" s="46">
        <f>'Inputs (2)'!Y42</f>
        <v>0</v>
      </c>
      <c r="AE241" s="46">
        <f>'Inputs (2)'!Z42</f>
        <v>0</v>
      </c>
      <c r="AF241" s="46">
        <f>'Inputs (2)'!AA42</f>
        <v>0</v>
      </c>
      <c r="AG241" s="12">
        <f>'Inputs (2)'!AB42</f>
        <v>0</v>
      </c>
      <c r="AH241" s="12">
        <f>'Inputs (2)'!AC42</f>
        <v>0</v>
      </c>
      <c r="AI241" s="12">
        <f>'Inputs (2)'!AD42</f>
        <v>0</v>
      </c>
      <c r="AJ241" s="12">
        <f>AI241</f>
        <v>0</v>
      </c>
      <c r="AK241" s="12">
        <f>AJ241</f>
        <v>0</v>
      </c>
      <c r="AL241" s="12">
        <f>AK241</f>
        <v>0</v>
      </c>
      <c r="AM241" s="12">
        <f>AL241</f>
        <v>0</v>
      </c>
      <c r="AN241" s="12">
        <f>AM241</f>
        <v>0</v>
      </c>
      <c r="AO241" s="12">
        <f>AN241</f>
        <v>0</v>
      </c>
      <c r="AP241" s="12">
        <f>AO241</f>
        <v>0</v>
      </c>
      <c r="AQ241" s="12">
        <f>AP241</f>
        <v>0</v>
      </c>
      <c r="AR241" s="12">
        <f>AQ241</f>
        <v>0</v>
      </c>
      <c r="AS241" s="12">
        <f>AR241</f>
        <v>0</v>
      </c>
      <c r="AT241" s="12">
        <f>AS241</f>
        <v>0</v>
      </c>
      <c r="AU241" s="12">
        <f>AT241</f>
        <v>0</v>
      </c>
      <c r="AV241" s="12">
        <f>AU241</f>
        <v>0</v>
      </c>
      <c r="AW241" s="12">
        <f>AV241</f>
        <v>0</v>
      </c>
      <c r="AX241" s="12">
        <f>AW241</f>
        <v>0</v>
      </c>
      <c r="AY241" s="12">
        <f>AX241</f>
        <v>0</v>
      </c>
      <c r="AZ241" s="12">
        <f>AY241</f>
        <v>0</v>
      </c>
      <c r="BA241" s="12">
        <f>AZ241</f>
        <v>0</v>
      </c>
      <c r="BB241" s="12">
        <f>BA241</f>
        <v>0</v>
      </c>
      <c r="BC241" s="12">
        <f>BB241</f>
        <v>0</v>
      </c>
      <c r="BD241" s="12">
        <f>BC241</f>
        <v>0</v>
      </c>
      <c r="BE241" s="12">
        <f>BD241</f>
        <v>0</v>
      </c>
      <c r="BF241" s="12">
        <f>BE241</f>
        <v>0</v>
      </c>
      <c r="BG241" s="12" t="n"/>
      <c r="BH241" s="12" t="n"/>
      <c r="BI241" s="12" t="n"/>
      <c r="BJ241" s="12" t="n"/>
      <c r="BK241" s="12" t="n"/>
      <c r="BL241" s="12" t="n"/>
      <c r="BM241" s="12" t="n"/>
      <c r="BN241" s="12" t="n"/>
      <c r="BO241" s="12" t="n"/>
      <c r="BP241" s="12" t="n"/>
      <c r="BQ241" s="12" t="n"/>
      <c r="BR241" s="12" t="n"/>
      <c r="BS241" s="12" t="n"/>
      <c r="BT241" s="12" t="n"/>
      <c r="BU241" s="12" t="n"/>
      <c r="BV241" s="12" t="n"/>
      <c r="BW241" s="12" t="n"/>
      <c r="BX241" s="12" t="n"/>
      <c r="BY241" s="12" t="n"/>
      <c r="BZ241" s="12" t="n"/>
      <c r="CA241" s="12" t="n"/>
      <c r="CB241" s="12" t="n"/>
      <c r="CC241" s="12" t="n"/>
      <c r="CD241" s="12" t="n"/>
      <c r="CE241" s="12" t="n"/>
      <c r="CF241" s="12" t="n"/>
      <c r="CG241" s="12" t="n"/>
      <c r="CH241" s="12" t="n"/>
      <c r="CI241" s="12" t="n"/>
      <c r="CJ241" s="12" t="n"/>
      <c r="CK241" s="12" t="n"/>
      <c r="CL241" s="12" t="n"/>
      <c r="CM241" s="12" t="n"/>
      <c r="CN241" s="12" t="n"/>
      <c r="CO241" s="12" t="n"/>
      <c r="CP241" s="12" t="n"/>
      <c r="CQ241" s="12" t="n"/>
      <c r="CR241" s="12" t="n"/>
      <c r="CS241" s="12" t="n"/>
      <c r="CT241" s="12" t="n"/>
      <c r="CU241" s="12" t="n"/>
      <c r="CV241" s="12" t="n"/>
      <c r="CW241" s="12" t="n"/>
      <c r="CX241" s="12" t="n"/>
      <c r="CY241" s="12" t="n"/>
    </row>
    <row r="242">
      <c r="C242" s="13" t="inlineStr">
        <is>
          <t>Common Stock and APIC</t>
        </is>
      </c>
      <c r="D242" s="46" t="n"/>
      <c r="E242" s="46" t="n"/>
      <c r="F242" s="46" t="n"/>
      <c r="G242" s="46" t="n"/>
      <c r="H242" s="12" t="n"/>
      <c r="I242" s="46">
        <f>'Inputs (2)'!D43</f>
        <v>0</v>
      </c>
      <c r="J242" s="46">
        <f>'Inputs (2)'!E43</f>
        <v>0</v>
      </c>
      <c r="K242" s="46">
        <f>'Inputs (2)'!F43</f>
        <v>0</v>
      </c>
      <c r="L242" s="46">
        <f>'Inputs (2)'!G43</f>
        <v>0</v>
      </c>
      <c r="M242" s="12">
        <f>'Inputs (2)'!H43</f>
        <v>0</v>
      </c>
      <c r="N242" s="46">
        <f>'Inputs (2)'!I43</f>
        <v>13212</v>
      </c>
      <c r="O242" s="46">
        <f>'Inputs (2)'!J43</f>
        <v>13241</v>
      </c>
      <c r="P242" s="46">
        <f>'Inputs (2)'!K43</f>
        <v>13255</v>
      </c>
      <c r="Q242" s="46">
        <f>'Inputs (2)'!L43</f>
        <v>13274</v>
      </c>
      <c r="R242" s="12">
        <f>'Inputs (2)'!M43</f>
        <v>13274</v>
      </c>
      <c r="S242" s="46">
        <f>'Inputs (2)'!N43</f>
        <v>13029</v>
      </c>
      <c r="T242" s="46">
        <f>'Inputs (2)'!O43</f>
        <v>12808</v>
      </c>
      <c r="U242" s="46">
        <f>'Inputs (2)'!P43</f>
        <v>12576</v>
      </c>
      <c r="V242" s="46">
        <f>'Inputs (2)'!Q43</f>
        <v>12355</v>
      </c>
      <c r="W242" s="12">
        <f>'Inputs (2)'!R43</f>
        <v>12355</v>
      </c>
      <c r="X242" s="46">
        <f>'Inputs (2)'!S43</f>
        <v>11847</v>
      </c>
      <c r="Y242" s="46">
        <f>'Inputs (2)'!T43</f>
        <v>11350</v>
      </c>
      <c r="Z242" s="46">
        <f>'Inputs (2)'!U43</f>
        <v>11379</v>
      </c>
      <c r="AA242" s="46">
        <f>'Inputs (2)'!V43</f>
        <v>11402</v>
      </c>
      <c r="AB242" s="12">
        <f>'Inputs (2)'!W43</f>
        <v>11402</v>
      </c>
      <c r="AC242" s="46">
        <f>'Inputs (2)'!X43</f>
        <v>11203</v>
      </c>
      <c r="AD242" s="46">
        <f>'Inputs (2)'!Y43</f>
        <v>10939</v>
      </c>
      <c r="AE242" s="46">
        <f>'Inputs (2)'!Z43</f>
        <v>11022</v>
      </c>
      <c r="AF242" s="46">
        <f>'Inputs (2)'!AA43</f>
        <v>11043</v>
      </c>
      <c r="AG242" s="12">
        <f>'Inputs (2)'!AB43</f>
        <v>11043</v>
      </c>
      <c r="AH242" s="12">
        <f>'Inputs (2)'!AC43</f>
        <v>28574</v>
      </c>
      <c r="AI242" s="12">
        <f>'Inputs (2)'!AD43</f>
        <v>26683</v>
      </c>
      <c r="AJ242" s="12">
        <f>AI242+AJ246</f>
        <v>26683</v>
      </c>
      <c r="AK242" s="12">
        <f>AJ242+AK246</f>
        <v>26683</v>
      </c>
      <c r="AL242" s="12">
        <f>AK242</f>
        <v>26683</v>
      </c>
      <c r="AM242" s="12">
        <f>AL242+AM246</f>
        <v>26683</v>
      </c>
      <c r="AN242" s="12">
        <f>AM242+AN246</f>
        <v>26683</v>
      </c>
      <c r="AO242" s="12">
        <f>AN242+AO246</f>
        <v>26683</v>
      </c>
      <c r="AP242" s="12">
        <f>AO242+AP246</f>
        <v>26683</v>
      </c>
      <c r="AQ242" s="12">
        <f>AP242</f>
        <v>26683</v>
      </c>
      <c r="AR242" s="12">
        <f>AQ242+AR246</f>
        <v>26683</v>
      </c>
      <c r="AS242" s="12">
        <f>AR242+AS246</f>
        <v>26683</v>
      </c>
      <c r="AT242" s="12">
        <f>AS242+AT246</f>
        <v>26683</v>
      </c>
      <c r="AU242" s="12">
        <f>AT242+AU246</f>
        <v>26683</v>
      </c>
      <c r="AV242" s="12">
        <f>AU242</f>
        <v>26683</v>
      </c>
      <c r="AW242" s="12">
        <f>AV242+AW246</f>
        <v>26683</v>
      </c>
      <c r="AX242" s="12">
        <f>AW242+AX246</f>
        <v>26683</v>
      </c>
      <c r="AY242" s="12">
        <f>AX242+AY246</f>
        <v>26683</v>
      </c>
      <c r="AZ242" s="12">
        <f>AY242+AZ246</f>
        <v>26683</v>
      </c>
      <c r="BA242" s="12">
        <f>AZ242</f>
        <v>26683</v>
      </c>
      <c r="BB242" s="12">
        <f>BA242+BB246</f>
        <v>26683</v>
      </c>
      <c r="BC242" s="12">
        <f>BB242+BC246</f>
        <v>26683</v>
      </c>
      <c r="BD242" s="12">
        <f>BC242+BD246</f>
        <v>26683</v>
      </c>
      <c r="BE242" s="12">
        <f>BD242+BE246</f>
        <v>26683</v>
      </c>
      <c r="BF242" s="12">
        <f>BE242</f>
        <v>26683</v>
      </c>
      <c r="BG242" s="12" t="n"/>
      <c r="BH242" s="12" t="n"/>
      <c r="BI242" s="12" t="n"/>
      <c r="BJ242" s="12" t="n"/>
      <c r="BK242" s="12" t="n"/>
      <c r="BL242" s="12" t="n"/>
      <c r="BM242" s="12" t="n"/>
      <c r="BN242" s="12" t="n"/>
      <c r="BO242" s="12" t="n"/>
      <c r="BP242" s="12" t="n"/>
      <c r="BQ242" s="12" t="n"/>
      <c r="BR242" s="12" t="n"/>
      <c r="BS242" s="12" t="n"/>
      <c r="BT242" s="12" t="n"/>
      <c r="BU242" s="12" t="n"/>
      <c r="BV242" s="12" t="n"/>
      <c r="BW242" s="12" t="n"/>
      <c r="BX242" s="12" t="n"/>
      <c r="BY242" s="12" t="n"/>
      <c r="BZ242" s="12" t="n"/>
      <c r="CA242" s="12" t="n"/>
      <c r="CB242" s="12" t="n"/>
      <c r="CC242" s="12" t="n"/>
      <c r="CD242" s="12" t="n"/>
      <c r="CE242" s="12" t="n"/>
      <c r="CF242" s="12" t="n"/>
      <c r="CG242" s="12" t="n"/>
      <c r="CH242" s="12" t="n"/>
      <c r="CI242" s="12" t="n"/>
      <c r="CJ242" s="12" t="n"/>
      <c r="CK242" s="12" t="n"/>
      <c r="CL242" s="12" t="n"/>
      <c r="CM242" s="12" t="n"/>
      <c r="CN242" s="12" t="n"/>
      <c r="CO242" s="12" t="n"/>
      <c r="CP242" s="12" t="n"/>
      <c r="CQ242" s="12" t="n"/>
      <c r="CR242" s="12" t="n"/>
      <c r="CS242" s="12" t="n"/>
      <c r="CT242" s="12" t="n"/>
      <c r="CU242" s="12" t="n"/>
      <c r="CV242" s="12" t="n"/>
      <c r="CW242" s="12" t="n"/>
      <c r="CX242" s="12" t="n"/>
      <c r="CY242" s="12" t="n"/>
    </row>
    <row r="243" hidden="1" outlineLevel="1" customFormat="1" s="66">
      <c r="A243" s="37" t="n"/>
      <c r="B243" s="37" t="n"/>
      <c r="C243" s="67" t="n"/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  <c r="AA243" s="42" t="n"/>
      <c r="AB243" s="42" t="n"/>
      <c r="AC243" s="42" t="n"/>
      <c r="AD243" s="42" t="n"/>
      <c r="AE243" s="42" t="n"/>
      <c r="AF243" s="42" t="n"/>
      <c r="AG243" s="42" t="n"/>
      <c r="AH243" s="42" t="n"/>
      <c r="AI243" s="42" t="n"/>
      <c r="AJ243" s="42" t="n"/>
      <c r="AK243" s="42" t="n"/>
      <c r="AL243" s="42" t="n"/>
      <c r="AM243" s="42" t="n"/>
      <c r="AN243" s="42" t="n"/>
      <c r="AO243" s="42" t="n"/>
      <c r="AP243" s="42" t="n"/>
      <c r="AQ243" s="42" t="n"/>
      <c r="AR243" s="42" t="n"/>
      <c r="AS243" s="42" t="n"/>
      <c r="AT243" s="42" t="n"/>
      <c r="AU243" s="42" t="n"/>
      <c r="AV243" s="42" t="n"/>
      <c r="AW243" s="42" t="n"/>
      <c r="AX243" s="42" t="n"/>
      <c r="AY243" s="42" t="n"/>
      <c r="AZ243" s="42" t="n"/>
      <c r="BA243" s="42" t="n"/>
      <c r="BB243" s="42" t="n"/>
      <c r="BC243" s="42" t="n"/>
      <c r="BD243" s="42" t="n"/>
      <c r="BE243" s="42" t="n"/>
      <c r="BF243" s="42" t="n"/>
      <c r="BG243" s="42" t="n"/>
      <c r="BH243" s="42" t="n"/>
      <c r="BI243" s="42" t="n"/>
      <c r="BJ243" s="42" t="n"/>
      <c r="BK243" s="42" t="n"/>
      <c r="BL243" s="42" t="n"/>
      <c r="BM243" s="42" t="n"/>
      <c r="BN243" s="42" t="n"/>
      <c r="BO243" s="42" t="n"/>
      <c r="BP243" s="42" t="n"/>
      <c r="BQ243" s="42" t="n"/>
      <c r="BR243" s="42" t="n"/>
      <c r="BS243" s="42" t="n"/>
      <c r="BT243" s="42" t="n"/>
      <c r="BU243" s="42" t="n"/>
      <c r="BV243" s="42" t="n"/>
      <c r="BW243" s="42" t="n"/>
      <c r="BX243" s="42" t="n"/>
      <c r="BY243" s="42" t="n"/>
      <c r="BZ243" s="42" t="n"/>
      <c r="CA243" s="42" t="n"/>
      <c r="CB243" s="42" t="n"/>
      <c r="CC243" s="42" t="n"/>
      <c r="CD243" s="42" t="n"/>
      <c r="CE243" s="42" t="n"/>
      <c r="CF243" s="42" t="n"/>
      <c r="CG243" s="42" t="n"/>
      <c r="CH243" s="42" t="n"/>
      <c r="CI243" s="42" t="n"/>
      <c r="CJ243" s="42" t="n"/>
      <c r="CK243" s="42" t="n"/>
      <c r="CL243" s="42" t="n"/>
      <c r="CM243" s="42" t="n"/>
      <c r="CN243" s="42" t="n"/>
      <c r="CO243" s="42" t="n"/>
      <c r="CP243" s="42" t="n"/>
      <c r="CQ243" s="42" t="n"/>
      <c r="CR243" s="42" t="n"/>
      <c r="CS243" s="42" t="n"/>
      <c r="CT243" s="42" t="n"/>
      <c r="CU243" s="42" t="n"/>
      <c r="CV243" s="42" t="n"/>
      <c r="CW243" s="42" t="n"/>
      <c r="CX243" s="42" t="n"/>
      <c r="CY243" s="42" t="n"/>
    </row>
    <row r="244" hidden="1" outlineLevel="1" customFormat="1" s="66">
      <c r="A244" s="37" t="n"/>
      <c r="B244" s="37" t="n"/>
      <c r="C244" s="67" t="inlineStr">
        <is>
          <t>Diluted Shares outstanding</t>
        </is>
      </c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  <c r="AA244" s="42" t="n"/>
      <c r="AB244" s="42" t="n"/>
      <c r="AC244" s="42" t="n"/>
      <c r="AD244" s="42" t="n"/>
      <c r="AE244" s="42" t="n"/>
      <c r="AF244" s="42" t="n"/>
      <c r="AG244" s="42" t="n"/>
      <c r="AH244" s="42" t="n"/>
      <c r="AI244" s="42" t="n"/>
      <c r="AJ244" s="42" t="n"/>
      <c r="AK244" s="42" t="n"/>
      <c r="AL244" s="42" t="n"/>
      <c r="AM244" s="42" t="n"/>
      <c r="AN244" s="42" t="n"/>
      <c r="AO244" s="42" t="n"/>
      <c r="AP244" s="42" t="n"/>
      <c r="AQ244" s="42" t="n"/>
      <c r="AR244" s="42" t="n"/>
      <c r="AS244" s="42" t="n"/>
      <c r="AT244" s="42" t="n"/>
      <c r="AU244" s="42" t="n"/>
      <c r="AV244" s="42" t="n"/>
      <c r="AW244" s="42" t="n"/>
      <c r="AX244" s="42" t="n"/>
      <c r="AY244" s="42" t="n"/>
      <c r="AZ244" s="42" t="n"/>
      <c r="BA244" s="42" t="n"/>
      <c r="BB244" s="42" t="n"/>
      <c r="BC244" s="42" t="n"/>
      <c r="BD244" s="42" t="n"/>
      <c r="BE244" s="42" t="n"/>
      <c r="BF244" s="42" t="n"/>
      <c r="BG244" s="42" t="n"/>
      <c r="BH244" s="42" t="n"/>
      <c r="BI244" s="42" t="n"/>
      <c r="BJ244" s="42" t="n"/>
      <c r="BK244" s="42" t="n"/>
      <c r="BL244" s="42" t="n"/>
      <c r="BM244" s="42" t="n"/>
      <c r="BN244" s="42" t="n"/>
      <c r="BO244" s="42" t="n"/>
      <c r="BP244" s="42" t="n"/>
      <c r="BQ244" s="42" t="n"/>
      <c r="BR244" s="42" t="n"/>
      <c r="BS244" s="42" t="n"/>
      <c r="BT244" s="42" t="n"/>
      <c r="BU244" s="42" t="n"/>
      <c r="BV244" s="42" t="n"/>
      <c r="BW244" s="42" t="n"/>
      <c r="BX244" s="42" t="n"/>
      <c r="BY244" s="42" t="n"/>
      <c r="BZ244" s="42" t="n"/>
      <c r="CA244" s="42" t="n"/>
      <c r="CB244" s="42" t="n"/>
      <c r="CC244" s="42" t="n"/>
      <c r="CD244" s="42" t="n"/>
      <c r="CE244" s="42" t="n"/>
      <c r="CF244" s="42" t="n"/>
      <c r="CG244" s="42" t="n"/>
      <c r="CH244" s="42" t="n"/>
      <c r="CI244" s="42" t="n"/>
      <c r="CJ244" s="42" t="n"/>
      <c r="CK244" s="42" t="n"/>
      <c r="CL244" s="42" t="n"/>
      <c r="CM244" s="42" t="n"/>
      <c r="CN244" s="42" t="n"/>
      <c r="CO244" s="42" t="n"/>
      <c r="CP244" s="42" t="n"/>
      <c r="CQ244" s="42" t="n"/>
      <c r="CR244" s="42" t="n"/>
      <c r="CS244" s="42" t="n"/>
      <c r="CT244" s="42" t="n"/>
      <c r="CU244" s="42" t="n"/>
      <c r="CV244" s="42" t="n"/>
      <c r="CW244" s="42" t="n"/>
      <c r="CX244" s="42" t="n"/>
      <c r="CY244" s="42" t="n"/>
    </row>
    <row r="245" hidden="1" outlineLevel="1" customFormat="1" s="66">
      <c r="A245" s="37" t="n"/>
      <c r="B245" s="37" t="n"/>
      <c r="C245" s="67" t="inlineStr">
        <is>
          <t>Treasury share $ repurchases</t>
        </is>
      </c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  <c r="AA245" s="42" t="n"/>
      <c r="AB245" s="42" t="n"/>
      <c r="AC245" s="42" t="n"/>
      <c r="AD245" s="42" t="n"/>
      <c r="AE245" s="42" t="n"/>
      <c r="AF245" s="42" t="n"/>
      <c r="AG245" s="42" t="n"/>
      <c r="AH245" s="11" t="n"/>
      <c r="AI245" s="11" t="n"/>
      <c r="AJ245" s="11" t="n"/>
      <c r="AK245" s="11" t="n"/>
      <c r="AL245" s="42" t="n"/>
      <c r="AM245" s="11" t="n"/>
      <c r="AN245" s="11" t="n"/>
      <c r="AO245" s="11" t="n"/>
      <c r="AP245" s="11" t="n"/>
      <c r="AQ245" s="42" t="n"/>
      <c r="AR245" s="11" t="n"/>
      <c r="AS245" s="11" t="n"/>
      <c r="AT245" s="11" t="n"/>
      <c r="AU245" s="11" t="n"/>
      <c r="AV245" s="42" t="n"/>
      <c r="AW245" s="11" t="n"/>
      <c r="AX245" s="11" t="n"/>
      <c r="AY245" s="11" t="n"/>
      <c r="AZ245" s="11" t="n"/>
      <c r="BA245" s="42" t="n"/>
      <c r="BB245" s="11" t="n"/>
      <c r="BC245" s="11" t="n"/>
      <c r="BD245" s="11" t="n"/>
      <c r="BE245" s="11" t="n"/>
      <c r="BF245" s="42" t="n"/>
      <c r="BG245" s="11" t="n"/>
      <c r="BH245" s="11" t="n"/>
      <c r="BI245" s="11" t="n"/>
      <c r="BJ245" s="11" t="n"/>
      <c r="BK245" s="42" t="n"/>
      <c r="BL245" s="11" t="n"/>
      <c r="BM245" s="11" t="n"/>
      <c r="BN245" s="11" t="n"/>
      <c r="BO245" s="11" t="n"/>
      <c r="BP245" s="42" t="n"/>
      <c r="BQ245" s="11" t="n"/>
      <c r="BR245" s="11" t="n"/>
      <c r="BS245" s="11" t="n"/>
      <c r="BT245" s="11" t="n"/>
      <c r="BU245" s="42" t="n"/>
      <c r="BV245" s="11" t="n"/>
      <c r="BW245" s="11" t="n"/>
      <c r="BX245" s="11" t="n"/>
      <c r="BY245" s="11" t="n"/>
      <c r="BZ245" s="42" t="n"/>
      <c r="CA245" s="11" t="n"/>
      <c r="CB245" s="11" t="n"/>
      <c r="CC245" s="11" t="n"/>
      <c r="CD245" s="11" t="n"/>
      <c r="CE245" s="42" t="n"/>
      <c r="CF245" s="11" t="n"/>
      <c r="CG245" s="11" t="n"/>
      <c r="CH245" s="11" t="n"/>
      <c r="CI245" s="11" t="n"/>
      <c r="CJ245" s="42" t="n"/>
      <c r="CK245" s="11" t="n"/>
      <c r="CL245" s="11" t="n"/>
      <c r="CM245" s="11" t="n"/>
      <c r="CN245" s="11" t="n"/>
      <c r="CO245" s="42" t="n"/>
      <c r="CP245" s="11" t="n"/>
      <c r="CQ245" s="11" t="n"/>
      <c r="CR245" s="11" t="n"/>
      <c r="CS245" s="11" t="n"/>
      <c r="CT245" s="42" t="n"/>
      <c r="CU245" s="11" t="n"/>
      <c r="CV245" s="11" t="n"/>
      <c r="CW245" s="11" t="n"/>
      <c r="CX245" s="11" t="n"/>
      <c r="CY245" s="42" t="n"/>
    </row>
    <row r="246" hidden="1" outlineLevel="1" customFormat="1" s="66">
      <c r="A246" s="37" t="n"/>
      <c r="B246" s="37" t="n"/>
      <c r="C246" s="67" t="inlineStr">
        <is>
          <t>Value of shares issued</t>
        </is>
      </c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  <c r="AA246" s="42" t="n"/>
      <c r="AB246" s="42" t="n"/>
      <c r="AC246" s="42" t="n"/>
      <c r="AD246" s="42" t="n"/>
      <c r="AE246" s="42" t="n"/>
      <c r="AF246" s="42" t="n"/>
      <c r="AG246" s="42" t="n"/>
      <c r="AH246" s="11" t="n"/>
      <c r="AI246" s="11" t="n"/>
      <c r="AJ246" s="11" t="n"/>
      <c r="AK246" s="11" t="n"/>
      <c r="AL246" s="42" t="n"/>
      <c r="AM246" s="11" t="n"/>
      <c r="AN246" s="11" t="n"/>
      <c r="AO246" s="11" t="n"/>
      <c r="AP246" s="11" t="n"/>
      <c r="AQ246" s="42" t="n"/>
      <c r="AR246" s="11" t="n"/>
      <c r="AS246" s="11" t="n"/>
      <c r="AT246" s="11" t="n"/>
      <c r="AU246" s="11" t="n"/>
      <c r="AV246" s="42" t="n"/>
      <c r="AW246" s="11" t="n"/>
      <c r="AX246" s="11" t="n"/>
      <c r="AY246" s="11" t="n"/>
      <c r="AZ246" s="11" t="n"/>
      <c r="BA246" s="42" t="n"/>
      <c r="BB246" s="11" t="n"/>
      <c r="BC246" s="11" t="n"/>
      <c r="BD246" s="11" t="n"/>
      <c r="BE246" s="11" t="n"/>
      <c r="BF246" s="42" t="n"/>
      <c r="BG246" s="11" t="n"/>
      <c r="BH246" s="11" t="n"/>
      <c r="BI246" s="11" t="n"/>
      <c r="BJ246" s="11" t="n"/>
      <c r="BK246" s="42" t="n"/>
      <c r="BL246" s="11" t="n"/>
      <c r="BM246" s="11" t="n"/>
      <c r="BN246" s="11" t="n"/>
      <c r="BO246" s="11" t="n"/>
      <c r="BP246" s="42" t="n"/>
      <c r="BQ246" s="11" t="n"/>
      <c r="BR246" s="11" t="n"/>
      <c r="BS246" s="11" t="n"/>
      <c r="BT246" s="11" t="n"/>
      <c r="BU246" s="42" t="n"/>
      <c r="BV246" s="11" t="n"/>
      <c r="BW246" s="11" t="n"/>
      <c r="BX246" s="11" t="n"/>
      <c r="BY246" s="11" t="n"/>
      <c r="BZ246" s="42" t="n"/>
      <c r="CA246" s="11" t="n"/>
      <c r="CB246" s="11" t="n"/>
      <c r="CC246" s="11" t="n"/>
      <c r="CD246" s="11" t="n"/>
      <c r="CE246" s="42" t="n"/>
      <c r="CF246" s="11" t="n"/>
      <c r="CG246" s="11" t="n"/>
      <c r="CH246" s="11" t="n"/>
      <c r="CI246" s="11" t="n"/>
      <c r="CJ246" s="42" t="n"/>
      <c r="CK246" s="11" t="n"/>
      <c r="CL246" s="11" t="n"/>
      <c r="CM246" s="11" t="n"/>
      <c r="CN246" s="11" t="n"/>
      <c r="CO246" s="42" t="n"/>
      <c r="CP246" s="11" t="n"/>
      <c r="CQ246" s="11" t="n"/>
      <c r="CR246" s="11" t="n"/>
      <c r="CS246" s="11" t="n"/>
      <c r="CT246" s="42" t="n"/>
      <c r="CU246" s="11" t="n"/>
      <c r="CV246" s="11" t="n"/>
      <c r="CW246" s="11" t="n"/>
      <c r="CX246" s="11" t="n"/>
      <c r="CY246" s="42" t="n"/>
    </row>
    <row r="247" hidden="1" outlineLevel="1" customFormat="1" s="66">
      <c r="A247" s="37" t="n"/>
      <c r="B247" s="37" t="n"/>
      <c r="C247" s="67" t="inlineStr">
        <is>
          <t>Expected average share price</t>
        </is>
      </c>
      <c r="D247" s="42" t="n"/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  <c r="AA247" s="42" t="n"/>
      <c r="AB247" s="42" t="n"/>
      <c r="AC247" s="42" t="n"/>
      <c r="AD247" s="42" t="n"/>
      <c r="AE247" s="42" t="n"/>
      <c r="AF247" s="42" t="n"/>
      <c r="AG247" s="42" t="n"/>
      <c r="AH247" s="68">
        <f>AF247*(1+AH248)</f>
        <v>0</v>
      </c>
      <c r="AI247" s="68">
        <f>AH247*(1+AI248)</f>
        <v>0</v>
      </c>
      <c r="AJ247" s="68">
        <f>AH247*(1+AJ248)</f>
        <v>0</v>
      </c>
      <c r="AK247" s="68">
        <f>AJ247*(1+AK248)</f>
        <v>0</v>
      </c>
      <c r="AL247" s="42" t="n"/>
      <c r="AM247" s="68">
        <f>AK247*(1+AM248)</f>
        <v>0</v>
      </c>
      <c r="AN247" s="68">
        <f>AM247*(1+AN248)</f>
        <v>0</v>
      </c>
      <c r="AO247" s="68">
        <f>AM247*(1+AO248)</f>
        <v>0</v>
      </c>
      <c r="AP247" s="68">
        <f>AO247*(1+AP248)</f>
        <v>0</v>
      </c>
      <c r="AQ247" s="42" t="n"/>
      <c r="AR247" s="68">
        <f>AP247*(1+AR248)</f>
        <v>0</v>
      </c>
      <c r="AS247" s="68">
        <f>AR247*(1+AS248)</f>
        <v>0</v>
      </c>
      <c r="AT247" s="68">
        <f>AR247*(1+AT248)</f>
        <v>0</v>
      </c>
      <c r="AU247" s="68">
        <f>AT247*(1+AU248)</f>
        <v>0</v>
      </c>
      <c r="AV247" s="42" t="n"/>
      <c r="AW247" s="68">
        <f>AU247*(1+AW248)</f>
        <v>0</v>
      </c>
      <c r="AX247" s="68">
        <f>AW247*(1+AX248)</f>
        <v>0</v>
      </c>
      <c r="AY247" s="68">
        <f>AW247*(1+AY248)</f>
        <v>0</v>
      </c>
      <c r="AZ247" s="68">
        <f>AY247*(1+AZ248)</f>
        <v>0</v>
      </c>
      <c r="BA247" s="42" t="n"/>
      <c r="BB247" s="68">
        <f>AZ247*(1+BB248)</f>
        <v>0</v>
      </c>
      <c r="BC247" s="68">
        <f>BB247*(1+BC248)</f>
        <v>0</v>
      </c>
      <c r="BD247" s="68">
        <f>BB247*(1+BD248)</f>
        <v>0</v>
      </c>
      <c r="BE247" s="68">
        <f>BD247*(1+BE248)</f>
        <v>0</v>
      </c>
      <c r="BF247" s="42" t="n"/>
      <c r="BG247" s="68" t="n"/>
      <c r="BH247" s="68" t="n"/>
      <c r="BI247" s="68" t="n"/>
      <c r="BJ247" s="68" t="n"/>
      <c r="BK247" s="42" t="n"/>
      <c r="BL247" s="68" t="n"/>
      <c r="BM247" s="68" t="n"/>
      <c r="BN247" s="68" t="n"/>
      <c r="BO247" s="68" t="n"/>
      <c r="BP247" s="42" t="n"/>
      <c r="BQ247" s="68" t="n"/>
      <c r="BR247" s="68" t="n"/>
      <c r="BS247" s="68" t="n"/>
      <c r="BT247" s="68" t="n"/>
      <c r="BU247" s="42" t="n"/>
      <c r="BV247" s="68" t="n"/>
      <c r="BW247" s="68" t="n"/>
      <c r="BX247" s="68" t="n"/>
      <c r="BY247" s="68" t="n"/>
      <c r="BZ247" s="42" t="n"/>
      <c r="CA247" s="68" t="n"/>
      <c r="CB247" s="68" t="n"/>
      <c r="CC247" s="68" t="n"/>
      <c r="CD247" s="68" t="n"/>
      <c r="CE247" s="42" t="n"/>
      <c r="CF247" s="68" t="n"/>
      <c r="CG247" s="68" t="n"/>
      <c r="CH247" s="68" t="n"/>
      <c r="CI247" s="68" t="n"/>
      <c r="CJ247" s="42" t="n"/>
      <c r="CK247" s="68" t="n"/>
      <c r="CL247" s="68" t="n"/>
      <c r="CM247" s="68" t="n"/>
      <c r="CN247" s="68" t="n"/>
      <c r="CO247" s="42" t="n"/>
      <c r="CP247" s="68" t="n"/>
      <c r="CQ247" s="68" t="n"/>
      <c r="CR247" s="68" t="n"/>
      <c r="CS247" s="68" t="n"/>
      <c r="CT247" s="42" t="n"/>
      <c r="CU247" s="68" t="n"/>
      <c r="CV247" s="68" t="n"/>
      <c r="CW247" s="68" t="n"/>
      <c r="CX247" s="68" t="n"/>
      <c r="CY247" s="42" t="n"/>
    </row>
    <row r="248" hidden="1" outlineLevel="1" customFormat="1" s="66">
      <c r="A248" s="37" t="n"/>
      <c r="B248" s="37" t="n"/>
      <c r="C248" s="67" t="inlineStr">
        <is>
          <t>Consensus EPS growth</t>
        </is>
      </c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  <c r="AA248" s="42" t="n"/>
      <c r="AB248" s="42" t="n"/>
      <c r="AC248" s="42" t="n"/>
      <c r="AD248" s="42" t="n"/>
      <c r="AE248" s="42" t="n"/>
      <c r="AF248" s="42" t="n"/>
      <c r="AG248" s="42" t="n"/>
      <c r="AH248" s="58">
        <f>$AL$253</f>
        <v>0</v>
      </c>
      <c r="AI248" s="58">
        <f>$AL$253</f>
        <v>0</v>
      </c>
      <c r="AJ248" s="58">
        <f>$AL$253</f>
        <v>0</v>
      </c>
      <c r="AK248" s="58">
        <f>$AL$253</f>
        <v>0</v>
      </c>
      <c r="AL248" s="42" t="n"/>
      <c r="AM248" s="58">
        <f>$AL$253</f>
        <v>0</v>
      </c>
      <c r="AN248" s="58">
        <f>$AL$253</f>
        <v>0</v>
      </c>
      <c r="AO248" s="58">
        <f>$AL$253</f>
        <v>0</v>
      </c>
      <c r="AP248" s="58">
        <f>$AL$253</f>
        <v>0</v>
      </c>
      <c r="AQ248" s="42" t="n"/>
      <c r="AR248" s="58">
        <f>$AL$253</f>
        <v>0</v>
      </c>
      <c r="AS248" s="58">
        <f>$AL$253</f>
        <v>0</v>
      </c>
      <c r="AT248" s="58">
        <f>$AL$253</f>
        <v>0</v>
      </c>
      <c r="AU248" s="58">
        <f>$AL$253</f>
        <v>0</v>
      </c>
      <c r="AV248" s="42" t="n"/>
      <c r="AW248" s="58">
        <f>$AL$253</f>
        <v>0</v>
      </c>
      <c r="AX248" s="58">
        <f>$AL$253</f>
        <v>0</v>
      </c>
      <c r="AY248" s="58">
        <f>$AL$253</f>
        <v>0</v>
      </c>
      <c r="AZ248" s="58">
        <f>$AL$253</f>
        <v>0</v>
      </c>
      <c r="BA248" s="42" t="n"/>
      <c r="BB248" s="58">
        <f>$AL$253</f>
        <v>0</v>
      </c>
      <c r="BC248" s="58">
        <f>$AL$253</f>
        <v>0</v>
      </c>
      <c r="BD248" s="58">
        <f>$AL$253</f>
        <v>0</v>
      </c>
      <c r="BE248" s="58">
        <f>$AL$253</f>
        <v>0</v>
      </c>
      <c r="BF248" s="42" t="n"/>
      <c r="BG248" s="58" t="n"/>
      <c r="BH248" s="58" t="n"/>
      <c r="BI248" s="58" t="n"/>
      <c r="BJ248" s="58" t="n"/>
      <c r="BK248" s="42" t="n"/>
      <c r="BL248" s="58" t="n"/>
      <c r="BM248" s="58" t="n"/>
      <c r="BN248" s="58" t="n"/>
      <c r="BO248" s="58" t="n"/>
      <c r="BP248" s="42" t="n"/>
      <c r="BQ248" s="58" t="n"/>
      <c r="BR248" s="58" t="n"/>
      <c r="BS248" s="58" t="n"/>
      <c r="BT248" s="58" t="n"/>
      <c r="BU248" s="42" t="n"/>
      <c r="BV248" s="58" t="n"/>
      <c r="BW248" s="58" t="n"/>
      <c r="BX248" s="58" t="n"/>
      <c r="BY248" s="58" t="n"/>
      <c r="BZ248" s="42" t="n"/>
      <c r="CA248" s="58" t="n"/>
      <c r="CB248" s="58" t="n"/>
      <c r="CC248" s="58" t="n"/>
      <c r="CD248" s="58" t="n"/>
      <c r="CE248" s="42" t="n"/>
      <c r="CF248" s="58" t="n"/>
      <c r="CG248" s="58" t="n"/>
      <c r="CH248" s="58" t="n"/>
      <c r="CI248" s="58" t="n"/>
      <c r="CJ248" s="42" t="n"/>
      <c r="CK248" s="58" t="n"/>
      <c r="CL248" s="58" t="n"/>
      <c r="CM248" s="58" t="n"/>
      <c r="CN248" s="58" t="n"/>
      <c r="CO248" s="42" t="n"/>
      <c r="CP248" s="58" t="n"/>
      <c r="CQ248" s="58" t="n"/>
      <c r="CR248" s="58" t="n"/>
      <c r="CS248" s="58" t="n"/>
      <c r="CT248" s="42" t="n"/>
      <c r="CU248" s="58" t="n"/>
      <c r="CV248" s="58" t="n"/>
      <c r="CW248" s="58" t="n"/>
      <c r="CX248" s="58" t="n"/>
      <c r="CY248" s="42" t="n"/>
    </row>
    <row r="249" hidden="1" outlineLevel="1" customFormat="1" s="66">
      <c r="A249" s="37" t="n"/>
      <c r="B249" s="37" t="n"/>
      <c r="C249" s="67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  <c r="AA249" s="42" t="n"/>
      <c r="AB249" s="42" t="n"/>
      <c r="AC249" s="42" t="n"/>
      <c r="AD249" s="42" t="n"/>
      <c r="AE249" s="42" t="n"/>
      <c r="AF249" s="42" t="n"/>
      <c r="AG249" s="42" t="n"/>
      <c r="AH249" s="12" t="n"/>
      <c r="AI249" s="12" t="n"/>
      <c r="AJ249" s="12" t="n"/>
      <c r="AK249" s="12" t="n"/>
      <c r="AL249" s="42" t="n"/>
      <c r="AM249" s="12" t="n"/>
      <c r="AN249" s="12" t="n"/>
      <c r="AO249" s="12" t="n"/>
      <c r="AP249" s="12" t="n"/>
      <c r="AQ249" s="42" t="n"/>
      <c r="AR249" s="12" t="n"/>
      <c r="AS249" s="12" t="n"/>
      <c r="AT249" s="12" t="n"/>
      <c r="AU249" s="12" t="n"/>
      <c r="AV249" s="42" t="n"/>
      <c r="AW249" s="12" t="n"/>
      <c r="AX249" s="12" t="n"/>
      <c r="AY249" s="12" t="n"/>
      <c r="AZ249" s="12" t="n"/>
      <c r="BA249" s="42" t="n"/>
      <c r="BB249" s="12" t="n"/>
      <c r="BC249" s="12" t="n"/>
      <c r="BD249" s="12" t="n"/>
      <c r="BE249" s="12" t="n"/>
      <c r="BF249" s="42" t="n"/>
      <c r="BG249" s="12" t="n"/>
      <c r="BH249" s="12" t="n"/>
      <c r="BI249" s="12" t="n"/>
      <c r="BJ249" s="12" t="n"/>
      <c r="BK249" s="42" t="n"/>
      <c r="BL249" s="12" t="n"/>
      <c r="BM249" s="12" t="n"/>
      <c r="BN249" s="12" t="n"/>
      <c r="BO249" s="12" t="n"/>
      <c r="BP249" s="42" t="n"/>
      <c r="BQ249" s="12" t="n"/>
      <c r="BR249" s="12" t="n"/>
      <c r="BS249" s="12" t="n"/>
      <c r="BT249" s="12" t="n"/>
      <c r="BU249" s="42" t="n"/>
      <c r="BV249" s="12" t="n"/>
      <c r="BW249" s="12" t="n"/>
      <c r="BX249" s="12" t="n"/>
      <c r="BY249" s="12" t="n"/>
      <c r="BZ249" s="42" t="n"/>
      <c r="CA249" s="12" t="n"/>
      <c r="CB249" s="12" t="n"/>
      <c r="CC249" s="12" t="n"/>
      <c r="CD249" s="12" t="n"/>
      <c r="CE249" s="42" t="n"/>
      <c r="CF249" s="12" t="n"/>
      <c r="CG249" s="12" t="n"/>
      <c r="CH249" s="12" t="n"/>
      <c r="CI249" s="12" t="n"/>
      <c r="CJ249" s="42" t="n"/>
      <c r="CK249" s="12" t="n"/>
      <c r="CL249" s="12" t="n"/>
      <c r="CM249" s="12" t="n"/>
      <c r="CN249" s="12" t="n"/>
      <c r="CO249" s="42" t="n"/>
      <c r="CP249" s="12" t="n"/>
      <c r="CQ249" s="12" t="n"/>
      <c r="CR249" s="12" t="n"/>
      <c r="CS249" s="12" t="n"/>
      <c r="CT249" s="42" t="n"/>
      <c r="CU249" s="12" t="n"/>
      <c r="CV249" s="12" t="n"/>
      <c r="CW249" s="12" t="n"/>
      <c r="CX249" s="12" t="n"/>
      <c r="CY249" s="42" t="n"/>
    </row>
    <row r="250" hidden="1" outlineLevel="1" customFormat="1" s="66">
      <c r="A250" s="37" t="n"/>
      <c r="B250" s="37" t="n"/>
      <c r="C250" s="67" t="inlineStr">
        <is>
          <t>Shares repurchased</t>
        </is>
      </c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  <c r="AA250" s="42" t="n"/>
      <c r="AB250" s="42" t="n"/>
      <c r="AC250" s="42" t="n"/>
      <c r="AD250" s="42" t="n"/>
      <c r="AE250" s="42" t="n"/>
      <c r="AF250" s="42" t="n"/>
      <c r="AG250" s="42" t="n"/>
      <c r="AH250" s="69" t="str">
        <f>IFERROR(-AH245/AH247,"")</f>
        <v/>
      </c>
      <c r="AI250" s="69" t="str">
        <f>IFERROR(-AI245/AI247,"")</f>
        <v/>
      </c>
      <c r="AJ250" s="69" t="str">
        <f>IFERROR(-AJ245/AJ247,"")</f>
        <v/>
      </c>
      <c r="AK250" s="69" t="str">
        <f>IFERROR(-AK245/AK247,"")</f>
        <v/>
      </c>
      <c r="AL250" s="42" t="n"/>
      <c r="AM250" s="69" t="str">
        <f>IFERROR(-AM245/AM247,"")</f>
        <v/>
      </c>
      <c r="AN250" s="69" t="str">
        <f>IFERROR(-AN245/AN247,"")</f>
        <v/>
      </c>
      <c r="AO250" s="69" t="str">
        <f>IFERROR(-AO245/AO247,"")</f>
        <v/>
      </c>
      <c r="AP250" s="69" t="str">
        <f>IFERROR(-AP245/AP247,"")</f>
        <v/>
      </c>
      <c r="AQ250" s="42" t="n"/>
      <c r="AR250" s="69" t="str">
        <f>IFERROR(-AR245/AR247,"")</f>
        <v/>
      </c>
      <c r="AS250" s="69" t="str">
        <f>IFERROR(-AS245/AS247,"")</f>
        <v/>
      </c>
      <c r="AT250" s="69" t="str">
        <f>IFERROR(-AT245/AT247,"")</f>
        <v/>
      </c>
      <c r="AU250" s="69" t="str">
        <f>IFERROR(-AU245/AU247,"")</f>
        <v/>
      </c>
      <c r="AV250" s="42" t="n"/>
      <c r="AW250" s="69" t="str">
        <f>IFERROR(-AW245/AW247,"")</f>
        <v/>
      </c>
      <c r="AX250" s="69" t="str">
        <f>IFERROR(-AX245/AX247,"")</f>
        <v/>
      </c>
      <c r="AY250" s="69" t="str">
        <f>IFERROR(-AY245/AY247,"")</f>
        <v/>
      </c>
      <c r="AZ250" s="69" t="str">
        <f>IFERROR(-AZ245/AZ247,"")</f>
        <v/>
      </c>
      <c r="BA250" s="42" t="n"/>
      <c r="BB250" s="69" t="str">
        <f>IFERROR(-BB245/BB247,"")</f>
        <v/>
      </c>
      <c r="BC250" s="69" t="str">
        <f>IFERROR(-BC245/BC247,"")</f>
        <v/>
      </c>
      <c r="BD250" s="69" t="str">
        <f>IFERROR(-BD245/BD247,"")</f>
        <v/>
      </c>
      <c r="BE250" s="69" t="str">
        <f>IFERROR(-BE245/BE247,"")</f>
        <v/>
      </c>
      <c r="BF250" s="42" t="n"/>
      <c r="BG250" s="69" t="n"/>
      <c r="BH250" s="69" t="n"/>
      <c r="BI250" s="69" t="n"/>
      <c r="BJ250" s="69" t="n"/>
      <c r="BK250" s="42" t="n"/>
      <c r="BL250" s="69" t="n"/>
      <c r="BM250" s="69" t="n"/>
      <c r="BN250" s="69" t="n"/>
      <c r="BO250" s="69" t="n"/>
      <c r="BP250" s="42" t="n"/>
      <c r="BQ250" s="69" t="n"/>
      <c r="BR250" s="69" t="n"/>
      <c r="BS250" s="69" t="n"/>
      <c r="BT250" s="69" t="n"/>
      <c r="BU250" s="42" t="n"/>
      <c r="BV250" s="69" t="n"/>
      <c r="BW250" s="69" t="n"/>
      <c r="BX250" s="69" t="n"/>
      <c r="BY250" s="69" t="n"/>
      <c r="BZ250" s="42" t="n"/>
      <c r="CA250" s="69" t="n"/>
      <c r="CB250" s="69" t="n"/>
      <c r="CC250" s="69" t="n"/>
      <c r="CD250" s="69" t="n"/>
      <c r="CE250" s="42" t="n"/>
      <c r="CF250" s="69" t="n"/>
      <c r="CG250" s="69" t="n"/>
      <c r="CH250" s="69" t="n"/>
      <c r="CI250" s="69" t="n"/>
      <c r="CJ250" s="42" t="n"/>
      <c r="CK250" s="69" t="n"/>
      <c r="CL250" s="69" t="n"/>
      <c r="CM250" s="69" t="n"/>
      <c r="CN250" s="69" t="n"/>
      <c r="CO250" s="42" t="n"/>
      <c r="CP250" s="69" t="n"/>
      <c r="CQ250" s="69" t="n"/>
      <c r="CR250" s="69" t="n"/>
      <c r="CS250" s="69" t="n"/>
      <c r="CT250" s="42" t="n"/>
      <c r="CU250" s="69" t="n"/>
      <c r="CV250" s="69" t="n"/>
      <c r="CW250" s="69" t="n"/>
      <c r="CX250" s="69" t="n"/>
      <c r="CY250" s="42" t="n"/>
    </row>
    <row r="251" hidden="1" outlineLevel="1" customFormat="1" s="66">
      <c r="A251" s="37" t="n"/>
      <c r="B251" s="37" t="n"/>
      <c r="C251" s="67" t="inlineStr">
        <is>
          <t>Shares issued</t>
        </is>
      </c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  <c r="AA251" s="42" t="n"/>
      <c r="AB251" s="42" t="n"/>
      <c r="AC251" s="42" t="n"/>
      <c r="AD251" s="42" t="n"/>
      <c r="AE251" s="42" t="n"/>
      <c r="AF251" s="9" t="n"/>
      <c r="AG251" s="42" t="n"/>
      <c r="AH251" s="69" t="str">
        <f>IFERROR(AH246/AH247,"")</f>
        <v/>
      </c>
      <c r="AI251" s="69" t="str">
        <f>IFERROR(AI246/AI247,"")</f>
        <v/>
      </c>
      <c r="AJ251" s="69" t="str">
        <f>IFERROR(AJ246/AJ247,"")</f>
        <v/>
      </c>
      <c r="AK251" s="69" t="str">
        <f>IFERROR(AK246/AK247,"")</f>
        <v/>
      </c>
      <c r="AL251" s="42" t="n"/>
      <c r="AM251" s="69" t="str">
        <f>IFERROR(AM246/AM247,"")</f>
        <v/>
      </c>
      <c r="AN251" s="69" t="str">
        <f>IFERROR(AN246/AN247,"")</f>
        <v/>
      </c>
      <c r="AO251" s="69" t="str">
        <f>IFERROR(AO246/AO247,"")</f>
        <v/>
      </c>
      <c r="AP251" s="69" t="str">
        <f>IFERROR(AP246/AP247,"")</f>
        <v/>
      </c>
      <c r="AQ251" s="42" t="n"/>
      <c r="AR251" s="69" t="str">
        <f>IFERROR(AR246/AR247,"")</f>
        <v/>
      </c>
      <c r="AS251" s="69" t="str">
        <f>IFERROR(AS246/AS247,"")</f>
        <v/>
      </c>
      <c r="AT251" s="69" t="str">
        <f>IFERROR(AT246/AT247,"")</f>
        <v/>
      </c>
      <c r="AU251" s="69" t="str">
        <f>IFERROR(AU246/AU247,"")</f>
        <v/>
      </c>
      <c r="AV251" s="42" t="n"/>
      <c r="AW251" s="69" t="str">
        <f>IFERROR(AW246/AW247,"")</f>
        <v/>
      </c>
      <c r="AX251" s="69" t="str">
        <f>IFERROR(AX246/AX247,"")</f>
        <v/>
      </c>
      <c r="AY251" s="69" t="str">
        <f>IFERROR(AY246/AY247,"")</f>
        <v/>
      </c>
      <c r="AZ251" s="69" t="str">
        <f>IFERROR(AZ246/AZ247,"")</f>
        <v/>
      </c>
      <c r="BA251" s="42" t="n"/>
      <c r="BB251" s="69" t="str">
        <f>IFERROR(BB246/BB247,"")</f>
        <v/>
      </c>
      <c r="BC251" s="69" t="str">
        <f>IFERROR(BC246/BC247,"")</f>
        <v/>
      </c>
      <c r="BD251" s="69" t="str">
        <f>IFERROR(BD246/BD247,"")</f>
        <v/>
      </c>
      <c r="BE251" s="69" t="str">
        <f>IFERROR(BE246/BE247,"")</f>
        <v/>
      </c>
      <c r="BF251" s="42" t="n"/>
      <c r="BG251" s="69" t="n"/>
      <c r="BH251" s="69" t="n"/>
      <c r="BI251" s="69" t="n"/>
      <c r="BJ251" s="69" t="n"/>
      <c r="BK251" s="42" t="n"/>
      <c r="BL251" s="69" t="n"/>
      <c r="BM251" s="69" t="n"/>
      <c r="BN251" s="69" t="n"/>
      <c r="BO251" s="69" t="n"/>
      <c r="BP251" s="42" t="n"/>
      <c r="BQ251" s="69" t="n"/>
      <c r="BR251" s="69" t="n"/>
      <c r="BS251" s="69" t="n"/>
      <c r="BT251" s="69" t="n"/>
      <c r="BU251" s="42" t="n"/>
      <c r="BV251" s="69" t="n"/>
      <c r="BW251" s="69" t="n"/>
      <c r="BX251" s="69" t="n"/>
      <c r="BY251" s="69" t="n"/>
      <c r="BZ251" s="42" t="n"/>
      <c r="CA251" s="69" t="n"/>
      <c r="CB251" s="69" t="n"/>
      <c r="CC251" s="69" t="n"/>
      <c r="CD251" s="69" t="n"/>
      <c r="CE251" s="42" t="n"/>
      <c r="CF251" s="69" t="n"/>
      <c r="CG251" s="69" t="n"/>
      <c r="CH251" s="69" t="n"/>
      <c r="CI251" s="69" t="n"/>
      <c r="CJ251" s="42" t="n"/>
      <c r="CK251" s="69" t="n"/>
      <c r="CL251" s="69" t="n"/>
      <c r="CM251" s="69" t="n"/>
      <c r="CN251" s="69" t="n"/>
      <c r="CO251" s="42" t="n"/>
      <c r="CP251" s="69" t="n"/>
      <c r="CQ251" s="69" t="n"/>
      <c r="CR251" s="69" t="n"/>
      <c r="CS251" s="69" t="n"/>
      <c r="CT251" s="42" t="n"/>
      <c r="CU251" s="69" t="n"/>
      <c r="CV251" s="69" t="n"/>
      <c r="CW251" s="69" t="n"/>
      <c r="CX251" s="69" t="n"/>
      <c r="CY251" s="42" t="n"/>
    </row>
    <row r="252" hidden="1" outlineLevel="1" customFormat="1" s="66">
      <c r="A252" s="37" t="n"/>
      <c r="B252" s="37" t="n"/>
      <c r="C252" s="67" t="inlineStr">
        <is>
          <t>End of period basic shares outstanding</t>
        </is>
      </c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  <c r="AA252" s="42" t="n"/>
      <c r="AB252" s="42" t="n"/>
      <c r="AC252" s="42" t="n"/>
      <c r="AD252" s="42" t="n"/>
      <c r="AE252" s="42" t="n"/>
      <c r="AF252" s="42" t="n"/>
      <c r="AG252" s="42" t="n"/>
      <c r="AH252" s="3" t="str">
        <f>IFERROR(AG252+AH251-AH250,"")</f>
        <v/>
      </c>
      <c r="AI252" s="3" t="str">
        <f>IFERROR(AH252+AI251-AI250,"")</f>
        <v/>
      </c>
      <c r="AJ252" s="69" t="str">
        <f>IFERROR(AH252+AJ251-AJ250,"")</f>
        <v/>
      </c>
      <c r="AK252" s="69" t="str">
        <f>IFERROR(AJ252+AK251-AK250,"")</f>
        <v/>
      </c>
      <c r="AL252" s="42" t="n"/>
      <c r="AM252" s="3" t="str">
        <f>IFERROR(AK252+AM251-AM250,"")</f>
        <v/>
      </c>
      <c r="AN252" s="3" t="str">
        <f>IFERROR(AM252+AN251-AN250,"")</f>
        <v/>
      </c>
      <c r="AO252" s="69" t="str">
        <f>IFERROR(AM252+AO251-AO250,"")</f>
        <v/>
      </c>
      <c r="AP252" s="69" t="str">
        <f>IFERROR(AO252+AP251-AP250,"")</f>
        <v/>
      </c>
      <c r="AQ252" s="42" t="n"/>
      <c r="AR252" s="3" t="str">
        <f>IFERROR(AP252+AR251-AR250,"")</f>
        <v/>
      </c>
      <c r="AS252" s="3" t="str">
        <f>IFERROR(AR252+AS251-AS250,"")</f>
        <v/>
      </c>
      <c r="AT252" s="69" t="str">
        <f>IFERROR(AR252+AT251-AT250,"")</f>
        <v/>
      </c>
      <c r="AU252" s="69" t="str">
        <f>IFERROR(AT252+AU251-AU250,"")</f>
        <v/>
      </c>
      <c r="AV252" s="42" t="n"/>
      <c r="AW252" s="3" t="str">
        <f>IFERROR(AU252+AW251-AW250,"")</f>
        <v/>
      </c>
      <c r="AX252" s="3" t="str">
        <f>IFERROR(AW252+AX251-AX250,"")</f>
        <v/>
      </c>
      <c r="AY252" s="69" t="str">
        <f>IFERROR(AW252+AY251-AY250,"")</f>
        <v/>
      </c>
      <c r="AZ252" s="69" t="str">
        <f>IFERROR(AY252+AZ251-AZ250,"")</f>
        <v/>
      </c>
      <c r="BA252" s="42" t="n"/>
      <c r="BB252" s="3" t="str">
        <f>IFERROR(AZ252+BB251-BB250,"")</f>
        <v/>
      </c>
      <c r="BC252" s="3" t="str">
        <f>IFERROR(BB252+BC251-BC250,"")</f>
        <v/>
      </c>
      <c r="BD252" s="69" t="str">
        <f>IFERROR(BB252+BD251-BD250,"")</f>
        <v/>
      </c>
      <c r="BE252" s="69" t="str">
        <f>IFERROR(BD252+BE251-BE250,"")</f>
        <v/>
      </c>
      <c r="BF252" s="42" t="n"/>
      <c r="BG252" s="3" t="n"/>
      <c r="BH252" s="3" t="n"/>
      <c r="BI252" s="69" t="n"/>
      <c r="BJ252" s="69" t="n"/>
      <c r="BK252" s="42" t="n"/>
      <c r="BL252" s="3" t="n"/>
      <c r="BM252" s="3" t="n"/>
      <c r="BN252" s="69" t="n"/>
      <c r="BO252" s="69" t="n"/>
      <c r="BP252" s="42" t="n"/>
      <c r="BQ252" s="3" t="n"/>
      <c r="BR252" s="3" t="n"/>
      <c r="BS252" s="69" t="n"/>
      <c r="BT252" s="69" t="n"/>
      <c r="BU252" s="42" t="n"/>
      <c r="BV252" s="3" t="n"/>
      <c r="BW252" s="3" t="n"/>
      <c r="BX252" s="69" t="n"/>
      <c r="BY252" s="69" t="n"/>
      <c r="BZ252" s="42" t="n"/>
      <c r="CA252" s="3" t="n"/>
      <c r="CB252" s="3" t="n"/>
      <c r="CC252" s="69" t="n"/>
      <c r="CD252" s="69" t="n"/>
      <c r="CE252" s="42" t="n"/>
      <c r="CF252" s="3" t="n"/>
      <c r="CG252" s="3" t="n"/>
      <c r="CH252" s="69" t="n"/>
      <c r="CI252" s="69" t="n"/>
      <c r="CJ252" s="42" t="n"/>
      <c r="CK252" s="3" t="n"/>
      <c r="CL252" s="3" t="n"/>
      <c r="CM252" s="69" t="n"/>
      <c r="CN252" s="69" t="n"/>
      <c r="CO252" s="42" t="n"/>
      <c r="CP252" s="3" t="n"/>
      <c r="CQ252" s="3" t="n"/>
      <c r="CR252" s="69" t="n"/>
      <c r="CS252" s="69" t="n"/>
      <c r="CT252" s="42" t="n"/>
      <c r="CU252" s="3" t="n"/>
      <c r="CV252" s="3" t="n"/>
      <c r="CW252" s="69" t="n"/>
      <c r="CX252" s="69" t="n"/>
      <c r="CY252" s="42" t="n"/>
    </row>
    <row r="253" hidden="1" outlineLevel="1" customFormat="1" s="66">
      <c r="A253" s="37" t="n"/>
      <c r="B253" s="37" t="n"/>
      <c r="C253" s="67" t="inlineStr">
        <is>
          <t>Weighted average basic shares outstanding</t>
        </is>
      </c>
      <c r="D253" s="42" t="n"/>
      <c r="E253" s="42" t="n"/>
      <c r="F253" s="42" t="n"/>
      <c r="G253" s="42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  <c r="AA253" s="42" t="n"/>
      <c r="AB253" s="42" t="n"/>
      <c r="AC253" s="42" t="n"/>
      <c r="AD253" s="42" t="n"/>
      <c r="AE253" s="42" t="n"/>
      <c r="AF253" s="42" t="n"/>
      <c r="AG253" s="42" t="n"/>
      <c r="AH253" s="69" t="str">
        <f>IFERROR(AVERAGE(AG252,AH252),"")</f>
        <v/>
      </c>
      <c r="AI253" s="69" t="str">
        <f>IFERROR(AVERAGE(AH252,AI252),"")</f>
        <v/>
      </c>
      <c r="AJ253" s="69" t="str">
        <f>IFERROR(AVERAGE(AH252,AJ252),"")</f>
        <v/>
      </c>
      <c r="AK253" s="69" t="str">
        <f>IFERROR(AVERAGE(AJ252,AK252),"")</f>
        <v/>
      </c>
      <c r="AL253" s="42" t="n"/>
      <c r="AM253" s="69" t="str">
        <f>IFERROR(AVERAGE(AL252,AM252),"")</f>
        <v/>
      </c>
      <c r="AN253" s="69" t="str">
        <f>IFERROR(AVERAGE(AM252,AN252),"")</f>
        <v/>
      </c>
      <c r="AO253" s="69" t="str">
        <f>IFERROR(AVERAGE(AM252,AO252),"")</f>
        <v/>
      </c>
      <c r="AP253" s="69" t="str">
        <f>IFERROR(AVERAGE(AO252,AP252),"")</f>
        <v/>
      </c>
      <c r="AQ253" s="42" t="n"/>
      <c r="AR253" s="69" t="str">
        <f>IFERROR(AVERAGE(AQ252,AR252),"")</f>
        <v/>
      </c>
      <c r="AS253" s="69" t="str">
        <f>IFERROR(AVERAGE(AR252,AS252),"")</f>
        <v/>
      </c>
      <c r="AT253" s="69" t="str">
        <f>IFERROR(AVERAGE(AR252,AT252),"")</f>
        <v/>
      </c>
      <c r="AU253" s="69" t="str">
        <f>IFERROR(AVERAGE(AT252,AU252),"")</f>
        <v/>
      </c>
      <c r="AV253" s="42" t="n"/>
      <c r="AW253" s="69" t="str">
        <f>IFERROR(AVERAGE(AV252,AW252),"")</f>
        <v/>
      </c>
      <c r="AX253" s="69" t="str">
        <f>IFERROR(AVERAGE(AW252,AX252),"")</f>
        <v/>
      </c>
      <c r="AY253" s="69" t="str">
        <f>IFERROR(AVERAGE(AW252,AY252),"")</f>
        <v/>
      </c>
      <c r="AZ253" s="69" t="str">
        <f>IFERROR(AVERAGE(AY252,AZ252),"")</f>
        <v/>
      </c>
      <c r="BA253" s="42" t="n"/>
      <c r="BB253" s="69" t="str">
        <f>IFERROR(AVERAGE(BA252,BB252),"")</f>
        <v/>
      </c>
      <c r="BC253" s="69" t="str">
        <f>IFERROR(AVERAGE(BB252,BC252),"")</f>
        <v/>
      </c>
      <c r="BD253" s="69" t="str">
        <f>IFERROR(AVERAGE(BB252,BD252),"")</f>
        <v/>
      </c>
      <c r="BE253" s="69" t="str">
        <f>IFERROR(AVERAGE(BD252,BE252),"")</f>
        <v/>
      </c>
      <c r="BF253" s="42" t="n"/>
      <c r="BG253" s="69" t="n"/>
      <c r="BH253" s="69" t="n"/>
      <c r="BI253" s="69" t="n"/>
      <c r="BJ253" s="69" t="n"/>
      <c r="BK253" s="42" t="n"/>
      <c r="BL253" s="69" t="n"/>
      <c r="BM253" s="69" t="n"/>
      <c r="BN253" s="69" t="n"/>
      <c r="BO253" s="69" t="n"/>
      <c r="BP253" s="42" t="n"/>
      <c r="BQ253" s="69" t="n"/>
      <c r="BR253" s="69" t="n"/>
      <c r="BS253" s="69" t="n"/>
      <c r="BT253" s="69" t="n"/>
      <c r="BU253" s="42" t="n"/>
      <c r="BV253" s="69" t="n"/>
      <c r="BW253" s="69" t="n"/>
      <c r="BX253" s="69" t="n"/>
      <c r="BY253" s="69" t="n"/>
      <c r="BZ253" s="42" t="n"/>
      <c r="CA253" s="69" t="n"/>
      <c r="CB253" s="69" t="n"/>
      <c r="CC253" s="69" t="n"/>
      <c r="CD253" s="69" t="n"/>
      <c r="CE253" s="42" t="n"/>
      <c r="CF253" s="69" t="n"/>
      <c r="CG253" s="69" t="n"/>
      <c r="CH253" s="69" t="n"/>
      <c r="CI253" s="69" t="n"/>
      <c r="CJ253" s="42" t="n"/>
      <c r="CK253" s="69" t="n"/>
      <c r="CL253" s="69" t="n"/>
      <c r="CM253" s="69" t="n"/>
      <c r="CN253" s="69" t="n"/>
      <c r="CO253" s="42" t="n"/>
      <c r="CP253" s="69" t="n"/>
      <c r="CQ253" s="69" t="n"/>
      <c r="CR253" s="69" t="n"/>
      <c r="CS253" s="69" t="n"/>
      <c r="CT253" s="42" t="n"/>
      <c r="CU253" s="69" t="n"/>
      <c r="CV253" s="69" t="n"/>
      <c r="CW253" s="69" t="n"/>
      <c r="CX253" s="69" t="n"/>
      <c r="CY253" s="42" t="n"/>
    </row>
    <row r="254" hidden="1" outlineLevel="1" customFormat="1" s="66">
      <c r="A254" s="37" t="n"/>
      <c r="B254" s="37" t="n"/>
      <c r="C254" s="67" t="n"/>
      <c r="D254" s="42" t="n"/>
      <c r="E254" s="42" t="n"/>
      <c r="F254" s="42" t="n"/>
      <c r="G254" s="42" t="n"/>
      <c r="H254" s="12" t="n"/>
      <c r="I254" s="42" t="n"/>
      <c r="J254" s="42" t="n"/>
      <c r="K254" s="42" t="n"/>
      <c r="L254" s="42" t="n"/>
      <c r="M254" s="12" t="n"/>
      <c r="N254" s="42" t="n"/>
      <c r="O254" s="42" t="n"/>
      <c r="P254" s="42" t="n"/>
      <c r="Q254" s="42" t="n"/>
      <c r="R254" s="12" t="n"/>
      <c r="S254" s="42" t="n"/>
      <c r="T254" s="42" t="n"/>
      <c r="U254" s="42" t="n"/>
      <c r="V254" s="42" t="n"/>
      <c r="W254" s="12" t="n"/>
      <c r="X254" s="42" t="n"/>
      <c r="Y254" s="42" t="n"/>
      <c r="Z254" s="42" t="n"/>
      <c r="AA254" s="42" t="n"/>
      <c r="AB254" s="12" t="n"/>
      <c r="AC254" s="42" t="n"/>
      <c r="AD254" s="42" t="n"/>
      <c r="AE254" s="42" t="n"/>
      <c r="AF254" s="42" t="n"/>
      <c r="AG254" s="12" t="n"/>
      <c r="AH254" s="42" t="n"/>
      <c r="AI254" s="42" t="n"/>
      <c r="AJ254" s="42" t="n"/>
      <c r="AK254" s="42" t="n"/>
      <c r="AL254" s="12" t="n"/>
      <c r="AM254" s="42" t="n"/>
      <c r="AN254" s="42" t="n"/>
      <c r="AO254" s="42" t="n"/>
      <c r="AP254" s="42" t="n"/>
      <c r="AQ254" s="12" t="n"/>
      <c r="AR254" s="42" t="n"/>
      <c r="AS254" s="42" t="n"/>
      <c r="AT254" s="42" t="n"/>
      <c r="AU254" s="42" t="n"/>
      <c r="AV254" s="12" t="n"/>
      <c r="AW254" s="42" t="n"/>
      <c r="AX254" s="42" t="n"/>
      <c r="AY254" s="42" t="n"/>
      <c r="AZ254" s="42" t="n"/>
      <c r="BA254" s="12" t="n"/>
      <c r="BB254" s="42" t="n"/>
      <c r="BC254" s="42" t="n"/>
      <c r="BD254" s="42" t="n"/>
      <c r="BE254" s="42" t="n"/>
      <c r="BF254" s="12" t="n"/>
      <c r="BG254" s="42" t="n"/>
      <c r="BH254" s="42" t="n"/>
      <c r="BI254" s="42" t="n"/>
      <c r="BJ254" s="42" t="n"/>
      <c r="BK254" s="12" t="n"/>
      <c r="BL254" s="42" t="n"/>
      <c r="BM254" s="42" t="n"/>
      <c r="BN254" s="42" t="n"/>
      <c r="BO254" s="42" t="n"/>
      <c r="BP254" s="12" t="n"/>
      <c r="BQ254" s="42" t="n"/>
      <c r="BR254" s="42" t="n"/>
      <c r="BS254" s="42" t="n"/>
      <c r="BT254" s="42" t="n"/>
      <c r="BU254" s="12" t="n"/>
      <c r="BV254" s="42" t="n"/>
      <c r="BW254" s="42" t="n"/>
      <c r="BX254" s="42" t="n"/>
      <c r="BY254" s="42" t="n"/>
      <c r="BZ254" s="12" t="n"/>
      <c r="CA254" s="42" t="n"/>
      <c r="CB254" s="42" t="n"/>
      <c r="CC254" s="42" t="n"/>
      <c r="CD254" s="42" t="n"/>
      <c r="CE254" s="12" t="n"/>
      <c r="CF254" s="42" t="n"/>
      <c r="CG254" s="42" t="n"/>
      <c r="CH254" s="42" t="n"/>
      <c r="CI254" s="42" t="n"/>
      <c r="CJ254" s="12" t="n"/>
      <c r="CK254" s="42" t="n"/>
      <c r="CL254" s="42" t="n"/>
      <c r="CM254" s="42" t="n"/>
      <c r="CN254" s="42" t="n"/>
      <c r="CO254" s="12" t="n"/>
      <c r="CP254" s="42" t="n"/>
      <c r="CQ254" s="42" t="n"/>
      <c r="CR254" s="42" t="n"/>
      <c r="CS254" s="42" t="n"/>
      <c r="CT254" s="12" t="n"/>
      <c r="CU254" s="42" t="n"/>
      <c r="CV254" s="42" t="n"/>
      <c r="CW254" s="42" t="n"/>
      <c r="CX254" s="42" t="n"/>
      <c r="CY254" s="12" t="n"/>
    </row>
    <row r="255" collapsed="1">
      <c r="C255" s="14" t="inlineStr">
        <is>
          <t>Treasury stock (contra account)</t>
        </is>
      </c>
      <c r="D255" s="46" t="n"/>
      <c r="E255" s="46" t="n"/>
      <c r="F255" s="46" t="n"/>
      <c r="G255" s="46" t="n"/>
      <c r="H255" s="12" t="n"/>
      <c r="I255" s="46">
        <f>'Inputs (2)'!D44</f>
        <v>0</v>
      </c>
      <c r="J255" s="46">
        <f>'Inputs (2)'!E44</f>
        <v>0</v>
      </c>
      <c r="K255" s="46">
        <f>'Inputs (2)'!F44</f>
        <v>0</v>
      </c>
      <c r="L255" s="46">
        <f>'Inputs (2)'!G44</f>
        <v>0</v>
      </c>
      <c r="M255" s="12">
        <f>'Inputs (2)'!H44</f>
        <v>0</v>
      </c>
      <c r="N255" s="46">
        <f>'Inputs (2)'!I44</f>
        <v>0</v>
      </c>
      <c r="O255" s="46">
        <f>'Inputs (2)'!J44</f>
        <v>0</v>
      </c>
      <c r="P255" s="46">
        <f>'Inputs (2)'!K44</f>
        <v>0</v>
      </c>
      <c r="Q255" s="46">
        <f>'Inputs (2)'!L44</f>
        <v>0</v>
      </c>
      <c r="R255" s="12">
        <f>'Inputs (2)'!M44</f>
        <v>0</v>
      </c>
      <c r="S255" s="46">
        <f>'Inputs (2)'!N44</f>
        <v>0</v>
      </c>
      <c r="T255" s="46">
        <f>'Inputs (2)'!O44</f>
        <v>0</v>
      </c>
      <c r="U255" s="46">
        <f>'Inputs (2)'!P44</f>
        <v>0</v>
      </c>
      <c r="V255" s="46">
        <f>'Inputs (2)'!Q44</f>
        <v>0</v>
      </c>
      <c r="W255" s="12">
        <f>'Inputs (2)'!R44</f>
        <v>0</v>
      </c>
      <c r="X255" s="46">
        <f>'Inputs (2)'!S44</f>
        <v>0</v>
      </c>
      <c r="Y255" s="46">
        <f>'Inputs (2)'!T44</f>
        <v>0</v>
      </c>
      <c r="Z255" s="46">
        <f>'Inputs (2)'!U44</f>
        <v>0</v>
      </c>
      <c r="AA255" s="46">
        <f>'Inputs (2)'!V44</f>
        <v>0</v>
      </c>
      <c r="AB255" s="12">
        <f>'Inputs (2)'!W44</f>
        <v>0</v>
      </c>
      <c r="AC255" s="46">
        <f>'Inputs (2)'!X44</f>
        <v>0</v>
      </c>
      <c r="AD255" s="46">
        <f>'Inputs (2)'!Y44</f>
        <v>0</v>
      </c>
      <c r="AE255" s="46">
        <f>'Inputs (2)'!Z44</f>
        <v>0</v>
      </c>
      <c r="AF255" s="46">
        <f>'Inputs (2)'!AA44</f>
        <v>0</v>
      </c>
      <c r="AG255" s="12">
        <f>'Inputs (2)'!AB44</f>
        <v>0</v>
      </c>
      <c r="AH255" s="12">
        <f>'Inputs (2)'!AC44</f>
        <v>0</v>
      </c>
      <c r="AI255" s="12">
        <f>'Inputs (2)'!AD44</f>
        <v>0</v>
      </c>
      <c r="AJ255" s="12">
        <f>AI255</f>
        <v>0</v>
      </c>
      <c r="AK255" s="12">
        <f>AJ255</f>
        <v>0</v>
      </c>
      <c r="AL255" s="12">
        <f>AK255</f>
        <v>0</v>
      </c>
      <c r="AM255" s="12">
        <f>AL255</f>
        <v>0</v>
      </c>
      <c r="AN255" s="12">
        <f>AM255</f>
        <v>0</v>
      </c>
      <c r="AO255" s="12">
        <f>AN255</f>
        <v>0</v>
      </c>
      <c r="AP255" s="12">
        <f>AO255</f>
        <v>0</v>
      </c>
      <c r="AQ255" s="12">
        <f>AP255</f>
        <v>0</v>
      </c>
      <c r="AR255" s="12">
        <f>AQ255</f>
        <v>0</v>
      </c>
      <c r="AS255" s="12">
        <f>AR255</f>
        <v>0</v>
      </c>
      <c r="AT255" s="12">
        <f>AS255</f>
        <v>0</v>
      </c>
      <c r="AU255" s="12">
        <f>AT255</f>
        <v>0</v>
      </c>
      <c r="AV255" s="12">
        <f>AU255</f>
        <v>0</v>
      </c>
      <c r="AW255" s="12">
        <f>AV255</f>
        <v>0</v>
      </c>
      <c r="AX255" s="12">
        <f>AW255</f>
        <v>0</v>
      </c>
      <c r="AY255" s="12">
        <f>AX255</f>
        <v>0</v>
      </c>
      <c r="AZ255" s="12">
        <f>AY255</f>
        <v>0</v>
      </c>
      <c r="BA255" s="12">
        <f>AZ255</f>
        <v>0</v>
      </c>
      <c r="BB255" s="12">
        <f>BA255</f>
        <v>0</v>
      </c>
      <c r="BC255" s="12">
        <f>BB255</f>
        <v>0</v>
      </c>
      <c r="BD255" s="12">
        <f>BC255</f>
        <v>0</v>
      </c>
      <c r="BE255" s="12">
        <f>BD255</f>
        <v>0</v>
      </c>
      <c r="BF255" s="12">
        <f>BE255</f>
        <v>0</v>
      </c>
      <c r="BG255" s="12" t="n"/>
      <c r="BH255" s="12" t="n"/>
      <c r="BI255" s="12" t="n"/>
      <c r="BJ255" s="12" t="n"/>
      <c r="BK255" s="12" t="n"/>
      <c r="BL255" s="12" t="n"/>
      <c r="BM255" s="12" t="n"/>
      <c r="BN255" s="12" t="n"/>
      <c r="BO255" s="12" t="n"/>
      <c r="BP255" s="12" t="n"/>
      <c r="BQ255" s="12" t="n"/>
      <c r="BR255" s="12" t="n"/>
      <c r="BS255" s="12" t="n"/>
      <c r="BT255" s="12" t="n"/>
      <c r="BU255" s="12" t="n"/>
      <c r="BV255" s="12" t="n"/>
      <c r="BW255" s="12" t="n"/>
      <c r="BX255" s="12" t="n"/>
      <c r="BY255" s="12" t="n"/>
      <c r="BZ255" s="12" t="n"/>
      <c r="CA255" s="12" t="n"/>
      <c r="CB255" s="12" t="n"/>
      <c r="CC255" s="12" t="n"/>
      <c r="CD255" s="12" t="n"/>
      <c r="CE255" s="12" t="n"/>
      <c r="CF255" s="12" t="n"/>
      <c r="CG255" s="12" t="n"/>
      <c r="CH255" s="12" t="n"/>
      <c r="CI255" s="12" t="n"/>
      <c r="CJ255" s="12" t="n"/>
      <c r="CK255" s="12" t="n"/>
      <c r="CL255" s="12" t="n"/>
      <c r="CM255" s="12" t="n"/>
      <c r="CN255" s="12" t="n"/>
      <c r="CO255" s="12" t="n"/>
      <c r="CP255" s="12" t="n"/>
      <c r="CQ255" s="12" t="n"/>
      <c r="CR255" s="12" t="n"/>
      <c r="CS255" s="12" t="n"/>
      <c r="CT255" s="12" t="n"/>
      <c r="CU255" s="12" t="n"/>
      <c r="CV255" s="12" t="n"/>
      <c r="CW255" s="12" t="n"/>
      <c r="CX255" s="12" t="n"/>
      <c r="CY255" s="12" t="n"/>
    </row>
    <row r="256">
      <c r="C256" s="14" t="inlineStr">
        <is>
          <t>Comprehensive (accumulated) loss</t>
        </is>
      </c>
      <c r="D256" s="46" t="n"/>
      <c r="E256" s="46" t="n"/>
      <c r="F256" s="46" t="n"/>
      <c r="G256" s="46" t="n"/>
      <c r="H256" s="12" t="n"/>
      <c r="I256" s="46">
        <f>'Inputs (2)'!D45</f>
        <v>0</v>
      </c>
      <c r="J256" s="46">
        <f>'Inputs (2)'!E45</f>
        <v>0</v>
      </c>
      <c r="K256" s="46">
        <f>'Inputs (2)'!F45</f>
        <v>0</v>
      </c>
      <c r="L256" s="46">
        <f>'Inputs (2)'!G45</f>
        <v>-31</v>
      </c>
      <c r="M256" s="12">
        <f>'Inputs (2)'!H45</f>
        <v>-31</v>
      </c>
      <c r="N256" s="46">
        <f>'Inputs (2)'!I45</f>
        <v>-2016</v>
      </c>
      <c r="O256" s="46">
        <f>'Inputs (2)'!J45</f>
        <v>-1992</v>
      </c>
      <c r="P256" s="46">
        <f>'Inputs (2)'!K45</f>
        <v>-1969</v>
      </c>
      <c r="Q256" s="46">
        <f>'Inputs (2)'!L45</f>
        <v>-1760</v>
      </c>
      <c r="R256" s="12">
        <f>'Inputs (2)'!M45</f>
        <v>-1760</v>
      </c>
      <c r="S256" s="46">
        <f>'Inputs (2)'!N45</f>
        <v>-1808</v>
      </c>
      <c r="T256" s="46">
        <f>'Inputs (2)'!O45</f>
        <v>-1800</v>
      </c>
      <c r="U256" s="46">
        <f>'Inputs (2)'!P45</f>
        <v>-1797</v>
      </c>
      <c r="V256" s="46">
        <f>'Inputs (2)'!Q45</f>
        <v>-2191</v>
      </c>
      <c r="W256" s="12">
        <f>'Inputs (2)'!R45</f>
        <v>-2191</v>
      </c>
      <c r="X256" s="46">
        <f>'Inputs (2)'!S45</f>
        <v>-2180</v>
      </c>
      <c r="Y256" s="46">
        <f>'Inputs (2)'!T45</f>
        <v>-2161</v>
      </c>
      <c r="Z256" s="46">
        <f>'Inputs (2)'!U45</f>
        <v>-2134</v>
      </c>
      <c r="AA256" s="46">
        <f>'Inputs (2)'!V45</f>
        <v>-2302</v>
      </c>
      <c r="AB256" s="12">
        <f>'Inputs (2)'!W45</f>
        <v>-2302</v>
      </c>
      <c r="AC256" s="46">
        <f>'Inputs (2)'!X45</f>
        <v>-2309</v>
      </c>
      <c r="AD256" s="46">
        <f>'Inputs (2)'!Y45</f>
        <v>-2272</v>
      </c>
      <c r="AE256" s="46">
        <f>'Inputs (2)'!Z45</f>
        <v>-2260</v>
      </c>
      <c r="AF256" s="46">
        <f>'Inputs (2)'!AA45</f>
        <v>-2425</v>
      </c>
      <c r="AG256" s="12">
        <f>'Inputs (2)'!AB45</f>
        <v>-2425</v>
      </c>
      <c r="AH256" s="12">
        <f>'Inputs (2)'!AC45</f>
        <v>-2425</v>
      </c>
      <c r="AI256" s="12">
        <f>'Inputs (2)'!AD45</f>
        <v>-2398</v>
      </c>
      <c r="AJ256" s="12">
        <f>AI256</f>
        <v>-2398</v>
      </c>
      <c r="AK256" s="12">
        <f>AJ256</f>
        <v>-2398</v>
      </c>
      <c r="AL256" s="12">
        <f>AK256</f>
        <v>-2398</v>
      </c>
      <c r="AM256" s="12">
        <f>AL256</f>
        <v>-2398</v>
      </c>
      <c r="AN256" s="12">
        <f>AM256</f>
        <v>-2398</v>
      </c>
      <c r="AO256" s="12">
        <f>AN256</f>
        <v>-2398</v>
      </c>
      <c r="AP256" s="12">
        <f>AO256</f>
        <v>-2398</v>
      </c>
      <c r="AQ256" s="12">
        <f>AP256</f>
        <v>-2398</v>
      </c>
      <c r="AR256" s="12">
        <f>AQ256</f>
        <v>-2398</v>
      </c>
      <c r="AS256" s="12">
        <f>AR256</f>
        <v>-2398</v>
      </c>
      <c r="AT256" s="12">
        <f>AS256</f>
        <v>-2398</v>
      </c>
      <c r="AU256" s="12">
        <f>AT256</f>
        <v>-2398</v>
      </c>
      <c r="AV256" s="12">
        <f>AU256</f>
        <v>-2398</v>
      </c>
      <c r="AW256" s="12">
        <f>AV256</f>
        <v>-2398</v>
      </c>
      <c r="AX256" s="12">
        <f>AW256</f>
        <v>-2398</v>
      </c>
      <c r="AY256" s="12">
        <f>AX256</f>
        <v>-2398</v>
      </c>
      <c r="AZ256" s="12">
        <f>AY256</f>
        <v>-2398</v>
      </c>
      <c r="BA256" s="12">
        <f>AZ256</f>
        <v>-2398</v>
      </c>
      <c r="BB256" s="12">
        <f>BA256</f>
        <v>-2398</v>
      </c>
      <c r="BC256" s="12">
        <f>BB256</f>
        <v>-2398</v>
      </c>
      <c r="BD256" s="12">
        <f>BC256</f>
        <v>-2398</v>
      </c>
      <c r="BE256" s="12">
        <f>BD256</f>
        <v>-2398</v>
      </c>
      <c r="BF256" s="12">
        <f>BE256</f>
        <v>-2398</v>
      </c>
      <c r="BG256" s="12" t="n"/>
      <c r="BH256" s="12" t="n"/>
      <c r="BI256" s="12" t="n"/>
      <c r="BJ256" s="12" t="n"/>
      <c r="BK256" s="12" t="n"/>
      <c r="BL256" s="12" t="n"/>
      <c r="BM256" s="12" t="n"/>
      <c r="BN256" s="12" t="n"/>
      <c r="BO256" s="12" t="n"/>
      <c r="BP256" s="12" t="n"/>
      <c r="BQ256" s="12" t="n"/>
      <c r="BR256" s="12" t="n"/>
      <c r="BS256" s="12" t="n"/>
      <c r="BT256" s="12" t="n"/>
      <c r="BU256" s="12" t="n"/>
      <c r="BV256" s="12" t="n"/>
      <c r="BW256" s="12" t="n"/>
      <c r="BX256" s="12" t="n"/>
      <c r="BY256" s="12" t="n"/>
      <c r="BZ256" s="12" t="n"/>
      <c r="CA256" s="12" t="n"/>
      <c r="CB256" s="12" t="n"/>
      <c r="CC256" s="12" t="n"/>
      <c r="CD256" s="12" t="n"/>
      <c r="CE256" s="12" t="n"/>
      <c r="CF256" s="12" t="n"/>
      <c r="CG256" s="12" t="n"/>
      <c r="CH256" s="12" t="n"/>
      <c r="CI256" s="12" t="n"/>
      <c r="CJ256" s="12" t="n"/>
      <c r="CK256" s="12" t="n"/>
      <c r="CL256" s="12" t="n"/>
      <c r="CM256" s="12" t="n"/>
      <c r="CN256" s="12" t="n"/>
      <c r="CO256" s="12" t="n"/>
      <c r="CP256" s="12" t="n"/>
      <c r="CQ256" s="12" t="n"/>
      <c r="CR256" s="12" t="n"/>
      <c r="CS256" s="12" t="n"/>
      <c r="CT256" s="12" t="n"/>
      <c r="CU256" s="12" t="n"/>
      <c r="CV256" s="12" t="n"/>
      <c r="CW256" s="12" t="n"/>
      <c r="CX256" s="12" t="n"/>
      <c r="CY256" s="12" t="n"/>
    </row>
    <row r="257">
      <c r="C257" s="14" t="inlineStr">
        <is>
          <t>Other equity account</t>
        </is>
      </c>
      <c r="D257" s="46" t="n"/>
      <c r="E257" s="46" t="n"/>
      <c r="F257" s="46" t="n"/>
      <c r="G257" s="46" t="n"/>
      <c r="H257" s="12" t="n"/>
      <c r="I257" s="46">
        <f>'Inputs (2)'!D46</f>
        <v>0</v>
      </c>
      <c r="J257" s="46">
        <f>'Inputs (2)'!E46</f>
        <v>0</v>
      </c>
      <c r="K257" s="46">
        <f>'Inputs (2)'!F46</f>
        <v>0</v>
      </c>
      <c r="L257" s="46">
        <f>'Inputs (2)'!G46</f>
        <v>11250</v>
      </c>
      <c r="M257" s="12">
        <f>'Inputs (2)'!H46</f>
        <v>11250</v>
      </c>
      <c r="N257" s="46">
        <f>'Inputs (2)'!I46</f>
        <v>0</v>
      </c>
      <c r="O257" s="46">
        <f>'Inputs (2)'!J46</f>
        <v>0</v>
      </c>
      <c r="P257" s="46">
        <f>'Inputs (2)'!K46</f>
        <v>0</v>
      </c>
      <c r="Q257" s="46">
        <f>'Inputs (2)'!L46</f>
        <v>0</v>
      </c>
      <c r="R257" s="12">
        <f>'Inputs (2)'!M46</f>
        <v>0</v>
      </c>
      <c r="S257" s="46">
        <f>'Inputs (2)'!N46</f>
        <v>0</v>
      </c>
      <c r="T257" s="46">
        <f>'Inputs (2)'!O46</f>
        <v>0</v>
      </c>
      <c r="U257" s="46">
        <f>'Inputs (2)'!P46</f>
        <v>0</v>
      </c>
      <c r="V257" s="46">
        <f>'Inputs (2)'!Q46</f>
        <v>0</v>
      </c>
      <c r="W257" s="12">
        <f>'Inputs (2)'!R46</f>
        <v>0</v>
      </c>
      <c r="X257" s="46">
        <f>'Inputs (2)'!S46</f>
        <v>0</v>
      </c>
      <c r="Y257" s="46">
        <f>'Inputs (2)'!T46</f>
        <v>0</v>
      </c>
      <c r="Z257" s="46">
        <f>'Inputs (2)'!U46</f>
        <v>0</v>
      </c>
      <c r="AA257" s="46">
        <f>'Inputs (2)'!V46</f>
        <v>0</v>
      </c>
      <c r="AB257" s="12">
        <f>'Inputs (2)'!W46</f>
        <v>0</v>
      </c>
      <c r="AC257" s="46">
        <f>'Inputs (2)'!X46</f>
        <v>0</v>
      </c>
      <c r="AD257" s="46">
        <f>'Inputs (2)'!Y46</f>
        <v>0</v>
      </c>
      <c r="AE257" s="46">
        <f>'Inputs (2)'!Z46</f>
        <v>0</v>
      </c>
      <c r="AF257" s="46">
        <f>'Inputs (2)'!AA46</f>
        <v>0</v>
      </c>
      <c r="AG257" s="12">
        <f>'Inputs (2)'!AB46</f>
        <v>0</v>
      </c>
      <c r="AH257" s="12">
        <f>'Inputs (2)'!AC46</f>
        <v>0</v>
      </c>
      <c r="AI257" s="12">
        <f>'Inputs (2)'!AD46</f>
        <v>0</v>
      </c>
      <c r="AJ257" s="12">
        <f>AI257</f>
        <v>0</v>
      </c>
      <c r="AK257" s="12">
        <f>AJ257</f>
        <v>0</v>
      </c>
      <c r="AL257" s="12">
        <f>AK257</f>
        <v>0</v>
      </c>
      <c r="AM257" s="12">
        <f>AL257</f>
        <v>0</v>
      </c>
      <c r="AN257" s="12">
        <f>AM257</f>
        <v>0</v>
      </c>
      <c r="AO257" s="12">
        <f>AN257</f>
        <v>0</v>
      </c>
      <c r="AP257" s="12">
        <f>AO257</f>
        <v>0</v>
      </c>
      <c r="AQ257" s="12">
        <f>AP257</f>
        <v>0</v>
      </c>
      <c r="AR257" s="12">
        <f>AQ257</f>
        <v>0</v>
      </c>
      <c r="AS257" s="12">
        <f>AR257</f>
        <v>0</v>
      </c>
      <c r="AT257" s="12">
        <f>AS257</f>
        <v>0</v>
      </c>
      <c r="AU257" s="12">
        <f>AT257</f>
        <v>0</v>
      </c>
      <c r="AV257" s="12">
        <f>AU257</f>
        <v>0</v>
      </c>
      <c r="AW257" s="12">
        <f>AV257</f>
        <v>0</v>
      </c>
      <c r="AX257" s="12">
        <f>AW257</f>
        <v>0</v>
      </c>
      <c r="AY257" s="12">
        <f>AX257</f>
        <v>0</v>
      </c>
      <c r="AZ257" s="12">
        <f>AY257</f>
        <v>0</v>
      </c>
      <c r="BA257" s="12">
        <f>AZ257</f>
        <v>0</v>
      </c>
      <c r="BB257" s="12">
        <f>BA257</f>
        <v>0</v>
      </c>
      <c r="BC257" s="12">
        <f>BB257</f>
        <v>0</v>
      </c>
      <c r="BD257" s="12">
        <f>BC257</f>
        <v>0</v>
      </c>
      <c r="BE257" s="12">
        <f>BD257</f>
        <v>0</v>
      </c>
      <c r="BF257" s="12">
        <f>BE257</f>
        <v>0</v>
      </c>
      <c r="BG257" s="12" t="n"/>
      <c r="BH257" s="12" t="n"/>
      <c r="BI257" s="12" t="n"/>
      <c r="BJ257" s="12" t="n"/>
      <c r="BK257" s="12" t="n"/>
      <c r="BL257" s="12" t="n"/>
      <c r="BM257" s="12" t="n"/>
      <c r="BN257" s="12" t="n"/>
      <c r="BO257" s="12" t="n"/>
      <c r="BP257" s="12" t="n"/>
      <c r="BQ257" s="12" t="n"/>
      <c r="BR257" s="12" t="n"/>
      <c r="BS257" s="12" t="n"/>
      <c r="BT257" s="12" t="n"/>
      <c r="BU257" s="12" t="n"/>
      <c r="BV257" s="12" t="n"/>
      <c r="BW257" s="12" t="n"/>
      <c r="BX257" s="12" t="n"/>
      <c r="BY257" s="12" t="n"/>
      <c r="BZ257" s="12" t="n"/>
      <c r="CA257" s="12" t="n"/>
      <c r="CB257" s="12" t="n"/>
      <c r="CC257" s="12" t="n"/>
      <c r="CD257" s="12" t="n"/>
      <c r="CE257" s="12" t="n"/>
      <c r="CF257" s="12" t="n"/>
      <c r="CG257" s="12" t="n"/>
      <c r="CH257" s="12" t="n"/>
      <c r="CI257" s="12" t="n"/>
      <c r="CJ257" s="12" t="n"/>
      <c r="CK257" s="12" t="n"/>
      <c r="CL257" s="12" t="n"/>
      <c r="CM257" s="12" t="n"/>
      <c r="CN257" s="12" t="n"/>
      <c r="CO257" s="12" t="n"/>
      <c r="CP257" s="12" t="n"/>
      <c r="CQ257" s="12" t="n"/>
      <c r="CR257" s="12" t="n"/>
      <c r="CS257" s="12" t="n"/>
      <c r="CT257" s="12" t="n"/>
      <c r="CU257" s="12" t="n"/>
      <c r="CV257" s="12" t="n"/>
      <c r="CW257" s="12" t="n"/>
      <c r="CX257" s="12" t="n"/>
      <c r="CY257" s="12" t="n"/>
    </row>
    <row r="258">
      <c r="C258" s="15" t="inlineStr">
        <is>
          <t>Retained earnings</t>
        </is>
      </c>
      <c r="D258" s="46" t="n"/>
      <c r="E258" s="46" t="n"/>
      <c r="F258" s="46" t="n"/>
      <c r="G258" s="46" t="n"/>
      <c r="H258" s="12" t="n"/>
      <c r="I258" s="46">
        <f>'Inputs (2)'!D47</f>
        <v>0</v>
      </c>
      <c r="J258" s="46">
        <f>'Inputs (2)'!E47</f>
        <v>0</v>
      </c>
      <c r="K258" s="46">
        <f>'Inputs (2)'!F47</f>
        <v>0</v>
      </c>
      <c r="L258" s="46">
        <f>'Inputs (2)'!G47</f>
        <v>0</v>
      </c>
      <c r="M258" s="12">
        <f>'Inputs (2)'!H47</f>
        <v>0</v>
      </c>
      <c r="N258" s="46">
        <f>'Inputs (2)'!I47</f>
        <v>-91</v>
      </c>
      <c r="O258" s="46">
        <f>'Inputs (2)'!J47</f>
        <v>-249</v>
      </c>
      <c r="P258" s="46">
        <f>'Inputs (2)'!K47</f>
        <v>-483</v>
      </c>
      <c r="Q258" s="46">
        <f>'Inputs (2)'!L47</f>
        <v>-496</v>
      </c>
      <c r="R258" s="12">
        <f>'Inputs (2)'!M47</f>
        <v>-496</v>
      </c>
      <c r="S258" s="46">
        <f>'Inputs (2)'!N47</f>
        <v>-493</v>
      </c>
      <c r="T258" s="46">
        <f>'Inputs (2)'!O47</f>
        <v>248</v>
      </c>
      <c r="U258" s="46">
        <f>'Inputs (2)'!P47</f>
        <v>887</v>
      </c>
      <c r="V258" s="46">
        <f>'Inputs (2)'!Q47</f>
        <v>761</v>
      </c>
      <c r="W258" s="12">
        <f>'Inputs (2)'!R47</f>
        <v>761</v>
      </c>
      <c r="X258" s="46">
        <f>'Inputs (2)'!S47</f>
        <v>1532</v>
      </c>
      <c r="Y258" s="46">
        <f>'Inputs (2)'!T47</f>
        <v>2236</v>
      </c>
      <c r="Z258" s="46">
        <f>'Inputs (2)'!U47</f>
        <v>3325</v>
      </c>
      <c r="AA258" s="46">
        <f>'Inputs (2)'!V47</f>
        <v>4066</v>
      </c>
      <c r="AB258" s="12">
        <f>'Inputs (2)'!W47</f>
        <v>4066</v>
      </c>
      <c r="AC258" s="46">
        <f>'Inputs (2)'!X47</f>
        <v>4062</v>
      </c>
      <c r="AD258" s="46">
        <f>'Inputs (2)'!Y47</f>
        <v>4779</v>
      </c>
      <c r="AE258" s="46">
        <f>'Inputs (2)'!Z47</f>
        <v>5588</v>
      </c>
      <c r="AF258" s="46">
        <f>'Inputs (2)'!AA47</f>
        <v>5899</v>
      </c>
      <c r="AG258" s="12">
        <f>'Inputs (2)'!AB47</f>
        <v>5899</v>
      </c>
      <c r="AH258" s="12">
        <f>'Inputs (2)'!AC47</f>
        <v>7334</v>
      </c>
      <c r="AI258" s="12">
        <f>'Inputs (2)'!AD47</f>
        <v>7692</v>
      </c>
      <c r="AJ258" s="12">
        <f>AI258+AJ125+AJ126</f>
        <v>8583.35842948943</v>
      </c>
      <c r="AK258" s="12">
        <f>AJ258+AK125+AK126</f>
        <v>9407.42404603719</v>
      </c>
      <c r="AL258" s="12">
        <f>AK258</f>
        <v>9407.42404603719</v>
      </c>
      <c r="AM258" s="12">
        <f>AL258+AM125+AM126</f>
        <v>10916.356839459</v>
      </c>
      <c r="AN258" s="12">
        <f>AM258+AN125+AN126</f>
        <v>11934.4319771894</v>
      </c>
      <c r="AO258" s="12">
        <f>AN258+AO125+AO126</f>
        <v>13006.4656757178</v>
      </c>
      <c r="AP258" s="12">
        <f>AO258+AP125+AP126</f>
        <v>13997.5665409936</v>
      </c>
      <c r="AQ258" s="12">
        <f>AP258</f>
        <v>13997.5665409936</v>
      </c>
      <c r="AR258" s="12">
        <f>AQ258+AR125+AR126</f>
        <v>15804.81012589</v>
      </c>
      <c r="AS258" s="12">
        <f>AR258+AS125+AS126</f>
        <v>17024.1551952177</v>
      </c>
      <c r="AT258" s="12">
        <f>AS258+AT125+AT126</f>
        <v>18308.1262460853</v>
      </c>
      <c r="AU258" s="12">
        <f>AT258+AU125+AU126</f>
        <v>19495.1643226408</v>
      </c>
      <c r="AV258" s="12">
        <f>AU258</f>
        <v>19495.1643226408</v>
      </c>
      <c r="AW258" s="12">
        <f>AV258+AW125+AW126</f>
        <v>21650.657492233</v>
      </c>
      <c r="AX258" s="12">
        <f>AW258+AX125+AX126</f>
        <v>23104.9661367772</v>
      </c>
      <c r="AY258" s="12">
        <f>AX258+AY125+AY126</f>
        <v>24636.3539658604</v>
      </c>
      <c r="AZ258" s="12">
        <f>AY258+AZ125+AZ126</f>
        <v>26052.1301719261</v>
      </c>
      <c r="BA258" s="12">
        <f>AZ258</f>
        <v>26052.1301719261</v>
      </c>
      <c r="BB258" s="12">
        <f>BA258+BB125+BB126</f>
        <v>28612.2019501911</v>
      </c>
      <c r="BC258" s="12">
        <f>BB258+BC125+BC126</f>
        <v>30339.4792945626</v>
      </c>
      <c r="BD258" s="12">
        <f>BC258+BD125+BD126</f>
        <v>32158.3033196724</v>
      </c>
      <c r="BE258" s="12">
        <f>BD258+BE125+BE126</f>
        <v>33839.8158202077</v>
      </c>
      <c r="BF258" s="12">
        <f>BE258</f>
        <v>33839.8158202077</v>
      </c>
      <c r="BG258" s="12" t="n"/>
      <c r="BH258" s="12" t="n"/>
      <c r="BI258" s="12" t="n"/>
      <c r="BJ258" s="12" t="n"/>
      <c r="BK258" s="12" t="n"/>
      <c r="BL258" s="12" t="n"/>
      <c r="BM258" s="12" t="n"/>
      <c r="BN258" s="12" t="n"/>
      <c r="BO258" s="12" t="n"/>
      <c r="BP258" s="12" t="n"/>
      <c r="BQ258" s="12" t="n"/>
      <c r="BR258" s="12" t="n"/>
      <c r="BS258" s="12" t="n"/>
      <c r="BT258" s="12" t="n"/>
      <c r="BU258" s="12" t="n"/>
      <c r="BV258" s="12" t="n"/>
      <c r="BW258" s="12" t="n"/>
      <c r="BX258" s="12" t="n"/>
      <c r="BY258" s="12" t="n"/>
      <c r="BZ258" s="12" t="n"/>
      <c r="CA258" s="12" t="n"/>
      <c r="CB258" s="12" t="n"/>
      <c r="CC258" s="12" t="n"/>
      <c r="CD258" s="12" t="n"/>
      <c r="CE258" s="12" t="n"/>
      <c r="CF258" s="12" t="n"/>
      <c r="CG258" s="12" t="n"/>
      <c r="CH258" s="12" t="n"/>
      <c r="CI258" s="12" t="n"/>
      <c r="CJ258" s="12" t="n"/>
      <c r="CK258" s="12" t="n"/>
      <c r="CL258" s="12" t="n"/>
      <c r="CM258" s="12" t="n"/>
      <c r="CN258" s="12" t="n"/>
      <c r="CO258" s="12" t="n"/>
      <c r="CP258" s="12" t="n"/>
      <c r="CQ258" s="12" t="n"/>
      <c r="CR258" s="12" t="n"/>
      <c r="CS258" s="12" t="n"/>
      <c r="CT258" s="12" t="n"/>
      <c r="CU258" s="12" t="n"/>
      <c r="CV258" s="12" t="n"/>
      <c r="CW258" s="12" t="n"/>
      <c r="CX258" s="12" t="n"/>
      <c r="CY258" s="12" t="n"/>
    </row>
    <row r="259" customFormat="1" s="32">
      <c r="A259" s="30" t="inlineStr">
        <is>
          <t xml:space="preserve"> </t>
        </is>
      </c>
      <c r="B259" s="30" t="n"/>
      <c r="C259" s="65" t="inlineStr">
        <is>
          <t>Total Shareholders' Equity</t>
        </is>
      </c>
      <c r="D259" s="35" t="n"/>
      <c r="E259" s="35" t="n"/>
      <c r="F259" s="35" t="n"/>
      <c r="G259" s="35" t="n"/>
      <c r="H259" s="35" t="n"/>
      <c r="I259" s="35">
        <f>SUM(I236+I241+I242+I255+I256+I257+I258)</f>
        <v>0</v>
      </c>
      <c r="J259" s="35">
        <f>SUM(J236+J241+J242+J255+J256+J257+J258)</f>
        <v>0</v>
      </c>
      <c r="K259" s="35">
        <f>SUM(K236+K241+K242+K255+K256+K257+K258)</f>
        <v>0</v>
      </c>
      <c r="L259" s="35">
        <f>SUM(L236+L241+L242+L255+L256+L257+L258)</f>
        <v>11614</v>
      </c>
      <c r="M259" s="35">
        <f>SUM(M236,M241,M242,M255,M256,M257,M258)</f>
        <v>11614</v>
      </c>
      <c r="N259" s="35">
        <f>SUM(N236+N241+N242+N255+N256+N257+N258)</f>
        <v>11505</v>
      </c>
      <c r="O259" s="35">
        <f>SUM(O236+O241+O242+O255+O256+O257+O258)</f>
        <v>11389</v>
      </c>
      <c r="P259" s="35">
        <f>SUM(P236+P241+P242+P255+P256+P257+P258)</f>
        <v>11169</v>
      </c>
      <c r="Q259" s="35">
        <f>SUM(Q236+Q241+Q242+Q255+Q256+Q257+Q258)</f>
        <v>11372</v>
      </c>
      <c r="R259" s="35">
        <f>SUM(R236,R241,R242,R255,R256,R257,R258)</f>
        <v>11372</v>
      </c>
      <c r="S259" s="35">
        <f>SUM(S236+S241+S242+S255+S256+S257+S258)</f>
        <v>11086</v>
      </c>
      <c r="T259" s="35">
        <f>SUM(T236+T241+T242+T255+T256+T257+T258)</f>
        <v>11612</v>
      </c>
      <c r="U259" s="35">
        <f>SUM(U236+U241+U242+U255+U256+U257+U258)</f>
        <v>12000</v>
      </c>
      <c r="V259" s="35">
        <f>SUM(V236+V241+V242+V255+V256+V257+V258)</f>
        <v>11286</v>
      </c>
      <c r="W259" s="35">
        <f>SUM(W236,W241,W242,W255,W256,W257,W258)</f>
        <v>11286</v>
      </c>
      <c r="X259" s="35">
        <f>SUM(X236+X241+X242+X255+X256+X257+X258)</f>
        <v>11560</v>
      </c>
      <c r="Y259" s="35">
        <f>SUM(Y236+Y241+Y242+Y255+Y256+Y257+Y258)</f>
        <v>11781</v>
      </c>
      <c r="Z259" s="35">
        <f>SUM(Z236+Z241+Z242+Z255+Z256+Z257+Z258)</f>
        <v>12941</v>
      </c>
      <c r="AA259" s="35">
        <f>SUM(AA236+AA241+AA242+AA255+AA256+AA257+AA258)</f>
        <v>13539</v>
      </c>
      <c r="AB259" s="35">
        <f>SUM(AB236,AB241,AB242,AB255,AB256,AB257,AB258)</f>
        <v>13539</v>
      </c>
      <c r="AC259" s="35">
        <f>SUM(AC236+AC241+AC242+AC255+AC256+AC257+AC258)</f>
        <v>13334</v>
      </c>
      <c r="AD259" s="35">
        <f>SUM(AD236+AD241+AD242+AD255+AD256+AD257+AD258)</f>
        <v>13803</v>
      </c>
      <c r="AE259" s="35">
        <f>SUM(AE236+AE241+AE242+AE255+AE256+AE257+AE258)</f>
        <v>14692</v>
      </c>
      <c r="AF259" s="35">
        <f>SUM(AF236+AF241+AF242+AF255+AF256+AF257+AF258)</f>
        <v>14853</v>
      </c>
      <c r="AG259" s="35">
        <f>SUM(AG236,AG241,AG242,AG255,AG256,AG257,AG258)</f>
        <v>14853</v>
      </c>
      <c r="AH259" s="35">
        <f>SUM(AH236+AH241+AH242+AH255+AH256+AH257+AH258)</f>
        <v>33820</v>
      </c>
      <c r="AI259" s="35">
        <f>SUM(AI236+AI241+AI242+AI255+AI256+AI257+AI258)</f>
        <v>32322</v>
      </c>
      <c r="AJ259" s="35">
        <f>SUM(AJ236+AJ241+AJ242+AJ255+AJ256+AJ257+AJ258)</f>
        <v>33213.3584294894</v>
      </c>
      <c r="AK259" s="35">
        <f>SUM(AK236+AK241+AK242+AK255+AK256+AK257+AK258)</f>
        <v>34037.4240460372</v>
      </c>
      <c r="AL259" s="35">
        <f>SUM(AL236,AL241,AL242,AL255,AL256,AL257,AL258)</f>
        <v>34037.4240460372</v>
      </c>
      <c r="AM259" s="35">
        <f>SUM(AM236+AM241+AM242+AM255+AM256+AM257+AM258)</f>
        <v>35546.356839459</v>
      </c>
      <c r="AN259" s="35">
        <f>SUM(AN236+AN241+AN242+AN255+AN256+AN257+AN258)</f>
        <v>36564.4319771894</v>
      </c>
      <c r="AO259" s="35">
        <f>SUM(AO236+AO241+AO242+AO255+AO256+AO257+AO258)</f>
        <v>37636.4656757178</v>
      </c>
      <c r="AP259" s="35">
        <f>SUM(AP236+AP241+AP242+AP255+AP256+AP257+AP258)</f>
        <v>38627.5665409936</v>
      </c>
      <c r="AQ259" s="35">
        <f>SUM(AQ236,AQ241,AQ242,AQ255,AQ256,AQ257,AQ258)</f>
        <v>38627.5665409936</v>
      </c>
      <c r="AR259" s="35">
        <f>SUM(AR236+AR241+AR242+AR255+AR256+AR257+AR258)</f>
        <v>40434.81012589</v>
      </c>
      <c r="AS259" s="35">
        <f>SUM(AS236+AS241+AS242+AS255+AS256+AS257+AS258)</f>
        <v>41654.1551952177</v>
      </c>
      <c r="AT259" s="35">
        <f>SUM(AT236+AT241+AT242+AT255+AT256+AT257+AT258)</f>
        <v>42938.1262460853</v>
      </c>
      <c r="AU259" s="35">
        <f>SUM(AU236+AU241+AU242+AU255+AU256+AU257+AU258)</f>
        <v>44125.1643226408</v>
      </c>
      <c r="AV259" s="35">
        <f>SUM(AV236,AV241,AV242,AV255,AV256,AV257,AV258)</f>
        <v>44125.1643226408</v>
      </c>
      <c r="AW259" s="35">
        <f>SUM(AW236+AW241+AW242+AW255+AW256+AW257+AW258)</f>
        <v>46280.657492233</v>
      </c>
      <c r="AX259" s="35">
        <f>SUM(AX236+AX241+AX242+AX255+AX256+AX257+AX258)</f>
        <v>47734.9661367772</v>
      </c>
      <c r="AY259" s="35">
        <f>SUM(AY236+AY241+AY242+AY255+AY256+AY257+AY258)</f>
        <v>49266.3539658604</v>
      </c>
      <c r="AZ259" s="35">
        <f>SUM(AZ236+AZ241+AZ242+AZ255+AZ256+AZ257+AZ258)</f>
        <v>50682.1301719261</v>
      </c>
      <c r="BA259" s="35">
        <f>SUM(BA236,BA241,BA242,BA255,BA256,BA257,BA258)</f>
        <v>50682.1301719261</v>
      </c>
      <c r="BB259" s="35">
        <f>SUM(BB236+BB241+BB242+BB255+BB256+BB257+BB258)</f>
        <v>53242.2019501911</v>
      </c>
      <c r="BC259" s="35">
        <f>SUM(BC236+BC241+BC242+BC255+BC256+BC257+BC258)</f>
        <v>54969.4792945626</v>
      </c>
      <c r="BD259" s="35">
        <f>SUM(BD236+BD241+BD242+BD255+BD256+BD257+BD258)</f>
        <v>56788.3033196724</v>
      </c>
      <c r="BE259" s="35">
        <f>SUM(BE236+BE241+BE242+BE255+BE256+BE257+BE258)</f>
        <v>58469.8158202077</v>
      </c>
      <c r="BF259" s="35">
        <f>SUM(BF236,BF241,BF242,BF255,BF256,BF257,BF258)</f>
        <v>58469.8158202077</v>
      </c>
      <c r="BG259" s="35" t="n"/>
      <c r="BH259" s="35" t="n"/>
      <c r="BI259" s="35" t="n"/>
      <c r="BJ259" s="35" t="n"/>
      <c r="BK259" s="35" t="n"/>
      <c r="BL259" s="35" t="n"/>
      <c r="BM259" s="35" t="n"/>
      <c r="BN259" s="35" t="n"/>
      <c r="BO259" s="35" t="n"/>
      <c r="BP259" s="35" t="n"/>
      <c r="BQ259" s="35" t="n"/>
      <c r="BR259" s="35" t="n"/>
      <c r="BS259" s="35" t="n"/>
      <c r="BT259" s="35" t="n"/>
      <c r="BU259" s="35" t="n"/>
      <c r="BV259" s="35" t="n"/>
      <c r="BW259" s="35" t="n"/>
      <c r="BX259" s="35" t="n"/>
      <c r="BY259" s="35" t="n"/>
      <c r="BZ259" s="35" t="n"/>
      <c r="CA259" s="35" t="n"/>
      <c r="CB259" s="35" t="n"/>
      <c r="CC259" s="35" t="n"/>
      <c r="CD259" s="35" t="n"/>
      <c r="CE259" s="35" t="n"/>
      <c r="CF259" s="35" t="n"/>
      <c r="CG259" s="35" t="n"/>
      <c r="CH259" s="35" t="n"/>
      <c r="CI259" s="35" t="n"/>
      <c r="CJ259" s="35" t="n"/>
      <c r="CK259" s="35" t="n"/>
      <c r="CL259" s="35" t="n"/>
      <c r="CM259" s="35" t="n"/>
      <c r="CN259" s="35" t="n"/>
      <c r="CO259" s="35" t="n"/>
      <c r="CP259" s="35" t="n"/>
      <c r="CQ259" s="35" t="n"/>
      <c r="CR259" s="35" t="n"/>
      <c r="CS259" s="35" t="n"/>
      <c r="CT259" s="35" t="n"/>
      <c r="CU259" s="35" t="n"/>
      <c r="CV259" s="35" t="n"/>
      <c r="CW259" s="35" t="n"/>
      <c r="CX259" s="35" t="n"/>
      <c r="CY259" s="35" t="n"/>
    </row>
    <row r="260">
      <c r="C260" s="10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  <c r="AA260" s="12" t="n"/>
      <c r="AB260" s="12" t="n"/>
      <c r="AC260" s="12" t="n"/>
      <c r="AD260" s="12" t="n"/>
      <c r="AE260" s="12" t="n"/>
      <c r="AF260" s="12" t="n"/>
      <c r="AG260" s="12" t="n"/>
      <c r="AH260" s="12" t="n"/>
      <c r="AI260" s="12" t="n"/>
      <c r="AJ260" s="12" t="n"/>
      <c r="AK260" s="12" t="n"/>
      <c r="AL260" s="12" t="n"/>
      <c r="AM260" s="12" t="n"/>
      <c r="AN260" s="12" t="n"/>
      <c r="AO260" s="12" t="n"/>
      <c r="AP260" s="12" t="n"/>
      <c r="AQ260" s="12" t="n"/>
      <c r="AR260" s="12" t="n"/>
      <c r="AS260" s="12" t="n"/>
      <c r="AT260" s="12" t="n"/>
      <c r="AU260" s="12" t="n"/>
      <c r="AV260" s="12" t="n"/>
      <c r="AW260" s="12" t="n"/>
      <c r="AX260" s="12" t="n"/>
      <c r="AY260" s="12" t="n"/>
      <c r="AZ260" s="12" t="n"/>
      <c r="BA260" s="12" t="n"/>
      <c r="BB260" s="12" t="n"/>
      <c r="BC260" s="12" t="n"/>
      <c r="BD260" s="12" t="n"/>
      <c r="BE260" s="12" t="n"/>
      <c r="BF260" s="12" t="n"/>
      <c r="BG260" s="12" t="n"/>
      <c r="BH260" s="12" t="n"/>
      <c r="BI260" s="12" t="n"/>
      <c r="BJ260" s="12" t="n"/>
      <c r="BK260" s="12" t="n"/>
      <c r="BL260" s="12" t="n"/>
      <c r="BM260" s="12" t="n"/>
      <c r="BN260" s="12" t="n"/>
      <c r="BO260" s="12" t="n"/>
      <c r="BP260" s="12" t="n"/>
      <c r="BQ260" s="12" t="n"/>
      <c r="BR260" s="12" t="n"/>
      <c r="BS260" s="12" t="n"/>
      <c r="BT260" s="12" t="n"/>
      <c r="BU260" s="12" t="n"/>
      <c r="BV260" s="12" t="n"/>
      <c r="BW260" s="12" t="n"/>
      <c r="BX260" s="12" t="n"/>
      <c r="BY260" s="12" t="n"/>
      <c r="BZ260" s="12" t="n"/>
      <c r="CA260" s="12" t="n"/>
      <c r="CB260" s="12" t="n"/>
      <c r="CC260" s="12" t="n"/>
      <c r="CD260" s="12" t="n"/>
      <c r="CE260" s="12" t="n"/>
      <c r="CF260" s="12" t="n"/>
      <c r="CG260" s="12" t="n"/>
      <c r="CH260" s="12" t="n"/>
      <c r="CI260" s="12" t="n"/>
      <c r="CJ260" s="12" t="n"/>
      <c r="CK260" s="12" t="n"/>
      <c r="CL260" s="12" t="n"/>
      <c r="CM260" s="12" t="n"/>
      <c r="CN260" s="12" t="n"/>
      <c r="CO260" s="12" t="n"/>
      <c r="CP260" s="12" t="n"/>
      <c r="CQ260" s="12" t="n"/>
      <c r="CR260" s="12" t="n"/>
      <c r="CS260" s="12" t="n"/>
      <c r="CT260" s="12" t="n"/>
      <c r="CU260" s="12" t="n"/>
      <c r="CV260" s="12" t="n"/>
      <c r="CW260" s="12" t="n"/>
      <c r="CX260" s="12" t="n"/>
      <c r="CY260" s="12" t="n"/>
    </row>
    <row r="261" customFormat="1" s="32">
      <c r="A261" s="30" t="n"/>
      <c r="B261" s="3" t="n"/>
      <c r="C261" s="33" t="inlineStr">
        <is>
          <t>Total Liabilities + Shareholders' Equity</t>
        </is>
      </c>
      <c r="D261" s="35" t="n"/>
      <c r="E261" s="35" t="n"/>
      <c r="F261" s="35" t="n"/>
      <c r="G261" s="35" t="n"/>
      <c r="H261" s="35" t="n"/>
      <c r="I261" s="35">
        <f>I259+I235</f>
        <v>0</v>
      </c>
      <c r="J261" s="35">
        <f>J259+J235</f>
        <v>0</v>
      </c>
      <c r="K261" s="35">
        <f>K259+K235</f>
        <v>0</v>
      </c>
      <c r="L261" s="35">
        <f>L259+L235</f>
        <v>48086</v>
      </c>
      <c r="M261" s="35">
        <f>M259+M235</f>
        <v>48086</v>
      </c>
      <c r="N261" s="35">
        <f>N259+N235</f>
        <v>46846</v>
      </c>
      <c r="O261" s="35">
        <f>O259+O235</f>
        <v>45333</v>
      </c>
      <c r="P261" s="35">
        <f>P259+P235</f>
        <v>46616</v>
      </c>
      <c r="Q261" s="35">
        <f>Q259+Q235</f>
        <v>46909</v>
      </c>
      <c r="R261" s="35">
        <f>R259+R235</f>
        <v>46909</v>
      </c>
      <c r="S261" s="35">
        <f>S259+S235</f>
        <v>46158</v>
      </c>
      <c r="T261" s="35">
        <f>T259+T235</f>
        <v>46559</v>
      </c>
      <c r="U261" s="35">
        <f>U259+U235</f>
        <v>48965</v>
      </c>
      <c r="V261" s="35">
        <f>V259+V235</f>
        <v>50758</v>
      </c>
      <c r="W261" s="35">
        <f>W259+W235</f>
        <v>50758</v>
      </c>
      <c r="X261" s="35">
        <f>X259+X235</f>
        <v>52014</v>
      </c>
      <c r="Y261" s="35">
        <f>Y259+Y235</f>
        <v>51340</v>
      </c>
      <c r="Z261" s="35">
        <f>Z259+Z235</f>
        <v>51834</v>
      </c>
      <c r="AA261" s="35">
        <f>AA259+AA235</f>
        <v>52926</v>
      </c>
      <c r="AB261" s="35">
        <f>AB259+AB235</f>
        <v>52926</v>
      </c>
      <c r="AC261" s="35">
        <f>AC259+AC235</f>
        <v>52252</v>
      </c>
      <c r="AD261" s="35">
        <f>AD259+AD235</f>
        <v>53038</v>
      </c>
      <c r="AE261" s="35">
        <f>AE259+AE235</f>
        <v>56161</v>
      </c>
      <c r="AF261" s="35">
        <f>AF259+AF235</f>
        <v>57249</v>
      </c>
      <c r="AG261" s="35">
        <f>AG259+AG235</f>
        <v>57249</v>
      </c>
      <c r="AH261" s="35">
        <f>AH259+AH235</f>
        <v>96911</v>
      </c>
      <c r="AI261" s="35">
        <f>AI259+AI235</f>
        <v>98253</v>
      </c>
      <c r="AJ261" s="35">
        <f>AJ259+AJ235</f>
        <v>94712.3584294894</v>
      </c>
      <c r="AK261" s="35">
        <f>AK259+AK235</f>
        <v>95536.4240460372</v>
      </c>
      <c r="AL261" s="35">
        <f>AL259+AL235</f>
        <v>95536.4240460372</v>
      </c>
      <c r="AM261" s="35">
        <f>AM259+AM235</f>
        <v>97045.356839459</v>
      </c>
      <c r="AN261" s="35">
        <f>AN259+AN235</f>
        <v>98063.4319771894</v>
      </c>
      <c r="AO261" s="35">
        <f>AO259+AO235</f>
        <v>99135.4656757179</v>
      </c>
      <c r="AP261" s="35">
        <f>AP259+AP235</f>
        <v>100126.566540994</v>
      </c>
      <c r="AQ261" s="35">
        <f>AQ259+AQ235</f>
        <v>100126.566540994</v>
      </c>
      <c r="AR261" s="35">
        <f>AR259+AR235</f>
        <v>101933.81012589</v>
      </c>
      <c r="AS261" s="35">
        <f>AS259+AS235</f>
        <v>103153.155195218</v>
      </c>
      <c r="AT261" s="35">
        <f>AT259+AT235</f>
        <v>104437.126246085</v>
      </c>
      <c r="AU261" s="35">
        <f>AU259+AU235</f>
        <v>105624.164322641</v>
      </c>
      <c r="AV261" s="35">
        <f>AV259+AV235</f>
        <v>105624.164322641</v>
      </c>
      <c r="AW261" s="35">
        <f>AW259+AW235</f>
        <v>107779.657492233</v>
      </c>
      <c r="AX261" s="35">
        <f>AX259+AX235</f>
        <v>109233.966136777</v>
      </c>
      <c r="AY261" s="35">
        <f>AY259+AY235</f>
        <v>110765.35396586</v>
      </c>
      <c r="AZ261" s="35">
        <f>AZ259+AZ235</f>
        <v>112181.130171926</v>
      </c>
      <c r="BA261" s="35">
        <f>BA259+BA235</f>
        <v>112181.130171926</v>
      </c>
      <c r="BB261" s="35">
        <f>BB259+BB235</f>
        <v>114741.201950191</v>
      </c>
      <c r="BC261" s="35">
        <f>BC259+BC235</f>
        <v>116468.479294563</v>
      </c>
      <c r="BD261" s="35">
        <f>BD259+BD235</f>
        <v>118287.303319672</v>
      </c>
      <c r="BE261" s="35">
        <f>BE259+BE235</f>
        <v>119968.815820208</v>
      </c>
      <c r="BF261" s="35">
        <f>BF259+BF235</f>
        <v>119968.815820208</v>
      </c>
      <c r="BG261" s="35" t="n"/>
      <c r="BH261" s="35" t="n"/>
      <c r="BI261" s="35" t="n"/>
      <c r="BJ261" s="35" t="n"/>
      <c r="BK261" s="35" t="n"/>
      <c r="BL261" s="35" t="n"/>
      <c r="BM261" s="35" t="n"/>
      <c r="BN261" s="35" t="n"/>
      <c r="BO261" s="35" t="n"/>
      <c r="BP261" s="35" t="n"/>
      <c r="BQ261" s="35" t="n"/>
      <c r="BR261" s="35" t="n"/>
      <c r="BS261" s="35" t="n"/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5" t="n"/>
      <c r="CC261" s="35" t="n"/>
      <c r="CD261" s="35" t="n"/>
      <c r="CE261" s="35" t="n"/>
      <c r="CF261" s="35" t="n"/>
      <c r="CG261" s="35" t="n"/>
      <c r="CH261" s="35" t="n"/>
      <c r="CI261" s="35" t="n"/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5" t="n"/>
      <c r="CS261" s="35" t="n"/>
      <c r="CT261" s="35" t="n"/>
      <c r="CU261" s="35" t="n"/>
      <c r="CV261" s="35" t="n"/>
      <c r="CW261" s="35" t="n"/>
      <c r="CX261" s="35" t="n"/>
      <c r="CY261" s="35" t="n"/>
    </row>
    <row r="262">
      <c r="C262" s="18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/>
      <c r="AN262" s="3" t="n"/>
      <c r="AO262" s="3" t="n"/>
      <c r="AP262" s="3" t="n"/>
      <c r="AQ262" s="3" t="n"/>
      <c r="AR262" s="3" t="n"/>
      <c r="AS262" s="3" t="n"/>
      <c r="AT262" s="3" t="n"/>
      <c r="AU262" s="3" t="n"/>
      <c r="AV262" s="3" t="n"/>
      <c r="AW262" s="3" t="n"/>
      <c r="AX262" s="3" t="n"/>
      <c r="AY262" s="3" t="n"/>
      <c r="AZ262" s="3" t="n"/>
      <c r="BA262" s="3" t="n"/>
      <c r="BB262" s="3" t="n"/>
      <c r="BC262" s="3" t="n"/>
      <c r="BD262" s="3" t="n"/>
      <c r="BE262" s="3" t="n"/>
      <c r="BF262" s="3" t="n"/>
      <c r="BG262" s="3" t="n"/>
      <c r="BH262" s="3" t="n"/>
      <c r="BI262" s="3" t="n"/>
      <c r="BJ262" s="3" t="n"/>
      <c r="BK262" s="3" t="n"/>
      <c r="BL262" s="3" t="n"/>
      <c r="BM262" s="3" t="n"/>
      <c r="BN262" s="3" t="n"/>
      <c r="BO262" s="3" t="n"/>
      <c r="BP262" s="3" t="n"/>
      <c r="BQ262" s="3" t="n"/>
      <c r="BR262" s="3" t="n"/>
      <c r="BS262" s="3" t="n"/>
      <c r="BT262" s="3" t="n"/>
      <c r="BU262" s="3" t="n"/>
      <c r="BV262" s="3" t="n"/>
      <c r="BW262" s="3" t="n"/>
      <c r="BX262" s="3" t="n"/>
      <c r="BY262" s="3" t="n"/>
      <c r="BZ262" s="3" t="n"/>
      <c r="CA262" s="3" t="n"/>
      <c r="CB262" s="3" t="n"/>
      <c r="CC262" s="3" t="n"/>
      <c r="CD262" s="3" t="n"/>
      <c r="CE262" s="3" t="n"/>
      <c r="CF262" s="3" t="n"/>
      <c r="CG262" s="3" t="n"/>
      <c r="CH262" s="3" t="n"/>
      <c r="CI262" s="3" t="n"/>
      <c r="CJ262" s="3" t="n"/>
      <c r="CK262" s="3" t="n"/>
      <c r="CL262" s="3" t="n"/>
      <c r="CM262" s="3" t="n"/>
      <c r="CN262" s="3" t="n"/>
      <c r="CO262" s="3" t="n"/>
      <c r="CP262" s="3" t="n"/>
      <c r="CQ262" s="3" t="n"/>
      <c r="CR262" s="3" t="n"/>
      <c r="CS262" s="3" t="n"/>
      <c r="CT262" s="3" t="n"/>
      <c r="CU262" s="3" t="n"/>
      <c r="CV262" s="3" t="n"/>
      <c r="CW262" s="3" t="n"/>
      <c r="CX262" s="3" t="n"/>
      <c r="CY262" s="3" t="n"/>
    </row>
    <row r="263" customFormat="1" s="32">
      <c r="A263" s="30" t="n"/>
      <c r="B263" s="30" t="n"/>
      <c r="C263" s="31" t="inlineStr">
        <is>
          <t>Cash Flow Statement</t>
        </is>
      </c>
      <c r="D263" s="70" t="n"/>
      <c r="E263" s="70" t="n"/>
      <c r="F263" s="70" t="n"/>
      <c r="G263" s="70" t="n"/>
      <c r="H263" s="70" t="n"/>
      <c r="I263" s="70" t="str">
        <f>I130</f>
        <v>1Q21</v>
      </c>
      <c r="J263" s="70" t="str">
        <f>J130</f>
        <v>2Q21</v>
      </c>
      <c r="K263" s="70" t="str">
        <f>K130</f>
        <v>3Q21</v>
      </c>
      <c r="L263" s="70" t="str">
        <f>L130</f>
        <v>4Q21</v>
      </c>
      <c r="M263" s="70">
        <f>M130</f>
        <v>2021</v>
      </c>
      <c r="N263" s="70" t="str">
        <f>N130</f>
        <v>1Q22</v>
      </c>
      <c r="O263" s="70" t="str">
        <f>O130</f>
        <v>2Q22</v>
      </c>
      <c r="P263" s="70" t="str">
        <f>P130</f>
        <v>3Q22</v>
      </c>
      <c r="Q263" s="70" t="str">
        <f>Q130</f>
        <v>4Q22</v>
      </c>
      <c r="R263" s="70">
        <f>R130</f>
        <v>2022</v>
      </c>
      <c r="S263" s="70" t="str">
        <f>S130</f>
        <v>1Q23</v>
      </c>
      <c r="T263" s="70" t="str">
        <f>T130</f>
        <v>2Q23</v>
      </c>
      <c r="U263" s="70" t="str">
        <f>U130</f>
        <v>3Q23</v>
      </c>
      <c r="V263" s="70" t="str">
        <f>V130</f>
        <v>4Q23</v>
      </c>
      <c r="W263" s="70">
        <f>W130</f>
        <v>2023</v>
      </c>
      <c r="X263" s="70" t="str">
        <f>X130</f>
        <v>1Q24</v>
      </c>
      <c r="Y263" s="70" t="str">
        <f>Y130</f>
        <v>2Q24</v>
      </c>
      <c r="Z263" s="70" t="str">
        <f>Z130</f>
        <v>3Q24</v>
      </c>
      <c r="AA263" s="70" t="str">
        <f>AA130</f>
        <v>4Q24</v>
      </c>
      <c r="AB263" s="70">
        <f>AB130</f>
        <v>2024</v>
      </c>
      <c r="AC263" s="70" t="str">
        <f>AC130</f>
        <v>1Q25</v>
      </c>
      <c r="AD263" s="70" t="str">
        <f>AD130</f>
        <v>2Q25</v>
      </c>
      <c r="AE263" s="70" t="str">
        <f>AE130</f>
        <v>3Q25</v>
      </c>
      <c r="AF263" s="70" t="str">
        <f>AF130</f>
        <v>4Q25</v>
      </c>
      <c r="AG263" s="70">
        <f>AG130</f>
        <v>2025</v>
      </c>
      <c r="AH263" s="70" t="str">
        <f>AH130</f>
        <v>1Q26</v>
      </c>
      <c r="AI263" s="70" t="str">
        <f>AI130</f>
        <v>2Q26</v>
      </c>
      <c r="AJ263" s="70" t="str">
        <f>AJ130</f>
        <v>3Q26</v>
      </c>
      <c r="AK263" s="70" t="str">
        <f>AK130</f>
        <v>4Q26</v>
      </c>
      <c r="AL263" s="70">
        <f>AL130</f>
        <v>2026</v>
      </c>
      <c r="AM263" s="70" t="str">
        <f>AM130</f>
        <v>1Q27</v>
      </c>
      <c r="AN263" s="70" t="str">
        <f>AN130</f>
        <v>2Q27</v>
      </c>
      <c r="AO263" s="70" t="str">
        <f>AO130</f>
        <v>3Q27</v>
      </c>
      <c r="AP263" s="70" t="str">
        <f>AP130</f>
        <v>4Q27</v>
      </c>
      <c r="AQ263" s="70">
        <f>AQ130</f>
        <v>2027</v>
      </c>
      <c r="AR263" s="70" t="str">
        <f>AR130</f>
        <v>1Q28</v>
      </c>
      <c r="AS263" s="70" t="str">
        <f>AS130</f>
        <v>2Q28</v>
      </c>
      <c r="AT263" s="70" t="str">
        <f>AT130</f>
        <v>3Q28</v>
      </c>
      <c r="AU263" s="70" t="str">
        <f>AU130</f>
        <v>4Q28</v>
      </c>
      <c r="AV263" s="70">
        <f>AV130</f>
        <v>2028</v>
      </c>
      <c r="AW263" s="70" t="str">
        <f>AW130</f>
        <v>1Q29</v>
      </c>
      <c r="AX263" s="70" t="str">
        <f>AX130</f>
        <v>2Q29</v>
      </c>
      <c r="AY263" s="70" t="str">
        <f>AY130</f>
        <v>3Q29</v>
      </c>
      <c r="AZ263" s="70" t="str">
        <f>AZ130</f>
        <v>4Q29</v>
      </c>
      <c r="BA263" s="70">
        <f>BA130</f>
        <v>2029</v>
      </c>
      <c r="BB263" s="70" t="str">
        <f>BB130</f>
        <v>1Q30</v>
      </c>
      <c r="BC263" s="70" t="str">
        <f>BC130</f>
        <v>2Q30</v>
      </c>
      <c r="BD263" s="70" t="str">
        <f>BD130</f>
        <v>3Q30</v>
      </c>
      <c r="BE263" s="70" t="str">
        <f>BE130</f>
        <v>4Q30</v>
      </c>
      <c r="BF263" s="70">
        <f>BF130</f>
        <v>2030</v>
      </c>
      <c r="BG263" s="70" t="n"/>
      <c r="BH263" s="70" t="n"/>
      <c r="BI263" s="70" t="n"/>
      <c r="BJ263" s="70" t="n"/>
      <c r="BK263" s="70" t="n"/>
      <c r="BL263" s="70" t="n"/>
      <c r="BM263" s="70" t="n"/>
      <c r="BN263" s="70" t="n"/>
      <c r="BO263" s="70" t="n"/>
      <c r="BP263" s="70" t="n"/>
      <c r="BQ263" s="70" t="n"/>
      <c r="BR263" s="70" t="n"/>
      <c r="BS263" s="70" t="n"/>
      <c r="BT263" s="70" t="n"/>
      <c r="BU263" s="70" t="n"/>
      <c r="BV263" s="70" t="n"/>
      <c r="BW263" s="70" t="n"/>
      <c r="BX263" s="70" t="n"/>
      <c r="BY263" s="70" t="n"/>
      <c r="BZ263" s="70" t="n"/>
      <c r="CA263" s="70" t="n"/>
      <c r="CB263" s="70" t="n"/>
      <c r="CC263" s="70" t="n"/>
      <c r="CD263" s="70" t="n"/>
      <c r="CE263" s="70" t="n"/>
      <c r="CF263" s="70" t="n"/>
      <c r="CG263" s="70" t="n"/>
      <c r="CH263" s="70" t="n"/>
      <c r="CI263" s="70" t="n"/>
      <c r="CJ263" s="70" t="n"/>
      <c r="CK263" s="70" t="n"/>
      <c r="CL263" s="70" t="n"/>
      <c r="CM263" s="70" t="n"/>
      <c r="CN263" s="70" t="n"/>
      <c r="CO263" s="70" t="n"/>
      <c r="CP263" s="70" t="n"/>
      <c r="CQ263" s="70" t="n"/>
      <c r="CR263" s="70" t="n"/>
      <c r="CS263" s="70" t="n"/>
      <c r="CT263" s="70" t="n"/>
      <c r="CU263" s="70" t="n"/>
      <c r="CV263" s="70" t="n"/>
      <c r="CW263" s="70" t="n"/>
      <c r="CX263" s="70" t="n"/>
      <c r="CY263" s="70" t="n"/>
    </row>
    <row r="264">
      <c r="C264" s="18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/>
      <c r="AR264" s="3" t="n"/>
      <c r="AS264" s="3" t="n"/>
      <c r="AT264" s="3" t="n"/>
      <c r="AU264" s="3" t="n"/>
      <c r="AV264" s="3" t="n"/>
      <c r="AW264" s="3" t="n"/>
      <c r="AX264" s="3" t="n"/>
      <c r="AY264" s="3" t="n"/>
      <c r="AZ264" s="3" t="n"/>
      <c r="BA264" s="3" t="n"/>
      <c r="BB264" s="3" t="n"/>
      <c r="BC264" s="3" t="n"/>
      <c r="BD264" s="3" t="n"/>
      <c r="BE264" s="3" t="n"/>
      <c r="BF264" s="3" t="n"/>
      <c r="BG264" s="3" t="n"/>
      <c r="BH264" s="3" t="n"/>
      <c r="BI264" s="3" t="n"/>
      <c r="BJ264" s="3" t="n"/>
      <c r="BK264" s="3" t="n"/>
      <c r="BL264" s="3" t="n"/>
      <c r="BM264" s="3" t="n"/>
      <c r="BN264" s="3" t="n"/>
      <c r="BO264" s="3" t="n"/>
      <c r="BP264" s="3" t="n"/>
      <c r="BQ264" s="3" t="n"/>
      <c r="BR264" s="3" t="n"/>
      <c r="BS264" s="3" t="n"/>
      <c r="BT264" s="3" t="n"/>
      <c r="BU264" s="3" t="n"/>
      <c r="BV264" s="3" t="n"/>
      <c r="BW264" s="3" t="n"/>
      <c r="BX264" s="3" t="n"/>
      <c r="BY264" s="3" t="n"/>
      <c r="BZ264" s="3" t="n"/>
      <c r="CA264" s="3" t="n"/>
      <c r="CB264" s="3" t="n"/>
      <c r="CC264" s="3" t="n"/>
      <c r="CD264" s="3" t="n"/>
      <c r="CE264" s="3" t="n"/>
      <c r="CF264" s="3" t="n"/>
      <c r="CG264" s="3" t="n"/>
      <c r="CH264" s="3" t="n"/>
      <c r="CI264" s="3" t="n"/>
      <c r="CJ264" s="3" t="n"/>
      <c r="CK264" s="3" t="n"/>
      <c r="CL264" s="3" t="n"/>
      <c r="CM264" s="3" t="n"/>
      <c r="CN264" s="3" t="n"/>
      <c r="CO264" s="3" t="n"/>
      <c r="CP264" s="3" t="n"/>
      <c r="CQ264" s="3" t="n"/>
      <c r="CR264" s="3" t="n"/>
      <c r="CS264" s="3" t="n"/>
      <c r="CT264" s="3" t="n"/>
      <c r="CU264" s="3" t="n"/>
      <c r="CV264" s="3" t="n"/>
      <c r="CW264" s="3" t="n"/>
      <c r="CX264" s="3" t="n"/>
      <c r="CY264" s="3" t="n"/>
    </row>
    <row r="265">
      <c r="C265" s="10" t="inlineStr">
        <is>
          <t>Net Income</t>
        </is>
      </c>
      <c r="D265" s="12" t="n"/>
      <c r="E265" s="12" t="n"/>
      <c r="F265" s="12" t="n"/>
      <c r="G265" s="12" t="n"/>
      <c r="H265" s="12" t="n"/>
      <c r="I265" s="12" t="n"/>
      <c r="J265" s="12">
        <f>J125</f>
        <v>-61</v>
      </c>
      <c r="K265" s="12">
        <f>K125</f>
        <v>607</v>
      </c>
      <c r="L265" s="12">
        <f>L125</f>
        <v>42</v>
      </c>
      <c r="M265" s="12" t="n"/>
      <c r="N265" s="12">
        <f>N125</f>
        <v>106</v>
      </c>
      <c r="O265" s="12">
        <f>O125</f>
        <v>-111</v>
      </c>
      <c r="P265" s="12">
        <f>P125</f>
        <v>-188</v>
      </c>
      <c r="Q265" s="12">
        <f>Q125</f>
        <v>34</v>
      </c>
      <c r="R265" s="12">
        <f>SUM(N265:Q265)</f>
        <v>-159</v>
      </c>
      <c r="S265" s="12">
        <f>S125</f>
        <v>96</v>
      </c>
      <c r="T265" s="12">
        <f>T125</f>
        <v>833</v>
      </c>
      <c r="U265" s="12">
        <f>U125</f>
        <v>731</v>
      </c>
      <c r="V265" s="12">
        <f>V125</f>
        <v>-37</v>
      </c>
      <c r="W265" s="12">
        <f>SUM(S265:V265)</f>
        <v>1623</v>
      </c>
      <c r="X265" s="12">
        <f>X125</f>
        <v>883</v>
      </c>
      <c r="Y265" s="12">
        <f>Y125</f>
        <v>814</v>
      </c>
      <c r="Z265" s="12">
        <f>Z125</f>
        <v>1200</v>
      </c>
      <c r="AA265" s="12">
        <f>AA125</f>
        <v>852</v>
      </c>
      <c r="AB265" s="12">
        <f>SUM(X265:AA265)</f>
        <v>3749</v>
      </c>
      <c r="AC265" s="12">
        <f>AC125</f>
        <v>118</v>
      </c>
      <c r="AD265" s="12">
        <f>AD125</f>
        <v>839</v>
      </c>
      <c r="AE265" s="12">
        <f>AE125</f>
        <v>930</v>
      </c>
      <c r="AF265" s="12">
        <f>AF125</f>
        <v>432</v>
      </c>
      <c r="AG265" s="12">
        <f>SUM(AC265:AF265)</f>
        <v>2319</v>
      </c>
      <c r="AH265" s="12">
        <f>AH125</f>
        <v>1590</v>
      </c>
      <c r="AI265" s="12">
        <f>AI125</f>
        <v>513</v>
      </c>
      <c r="AJ265" s="12">
        <f>AJ125</f>
        <v>891.358429489427</v>
      </c>
      <c r="AK265" s="12">
        <f>AK125</f>
        <v>824.065616547759</v>
      </c>
      <c r="AL265" s="12">
        <f>SUM(AH265:AK265)</f>
        <v>3818.42404603719</v>
      </c>
      <c r="AM265" s="12">
        <f>AM125</f>
        <v>1508.93279342183</v>
      </c>
      <c r="AN265" s="12">
        <f>AN125</f>
        <v>1018.07513773039</v>
      </c>
      <c r="AO265" s="12">
        <f>AO125</f>
        <v>1072.03369852845</v>
      </c>
      <c r="AP265" s="12">
        <f>AP125</f>
        <v>991.100865275767</v>
      </c>
      <c r="AQ265" s="12">
        <f>SUM(AM265:AP265)</f>
        <v>4590.14249495643</v>
      </c>
      <c r="AR265" s="12">
        <f>AR125</f>
        <v>1807.24358489642</v>
      </c>
      <c r="AS265" s="12">
        <f>AS125</f>
        <v>1219.3450693277</v>
      </c>
      <c r="AT265" s="12">
        <f>AT125</f>
        <v>1283.97105086754</v>
      </c>
      <c r="AU265" s="12">
        <f>AU125</f>
        <v>1187.03807655547</v>
      </c>
      <c r="AV265" s="12">
        <f>SUM(AR265:AU265)</f>
        <v>5497.59778164714</v>
      </c>
      <c r="AW265" s="12">
        <f>AW125</f>
        <v>2155.49316959225</v>
      </c>
      <c r="AX265" s="12">
        <f>AX125</f>
        <v>1454.30864454417</v>
      </c>
      <c r="AY265" s="12">
        <f>AY125</f>
        <v>1531.38782908326</v>
      </c>
      <c r="AZ265" s="12">
        <f>AZ125</f>
        <v>1415.77620606571</v>
      </c>
      <c r="BA265" s="12">
        <f>SUM(AW265:AZ265)</f>
        <v>6556.96584928539</v>
      </c>
      <c r="BB265" s="12">
        <f>BB125</f>
        <v>2560.07177826494</v>
      </c>
      <c r="BC265" s="12">
        <f>BC125</f>
        <v>1727.27734437153</v>
      </c>
      <c r="BD265" s="12">
        <f>BD125</f>
        <v>1818.8240251098</v>
      </c>
      <c r="BE265" s="12">
        <f>BE125</f>
        <v>1681.5125005353</v>
      </c>
      <c r="BF265" s="12">
        <f>SUM(BB265:BE265)</f>
        <v>7787.68564828157</v>
      </c>
      <c r="BG265" s="12" t="n"/>
      <c r="BH265" s="12" t="n"/>
      <c r="BI265" s="12" t="n"/>
      <c r="BJ265" s="12" t="n"/>
      <c r="BK265" s="12" t="n"/>
      <c r="BL265" s="12" t="n"/>
      <c r="BM265" s="12" t="n"/>
      <c r="BN265" s="12" t="n"/>
      <c r="BO265" s="12" t="n"/>
      <c r="BP265" s="12" t="n"/>
      <c r="BQ265" s="12" t="n"/>
      <c r="BR265" s="12" t="n"/>
      <c r="BS265" s="12" t="n"/>
      <c r="BT265" s="12" t="n"/>
      <c r="BU265" s="12" t="n"/>
      <c r="BV265" s="12" t="n"/>
      <c r="BW265" s="12" t="n"/>
      <c r="BX265" s="12" t="n"/>
      <c r="BY265" s="12" t="n"/>
      <c r="BZ265" s="12" t="n"/>
      <c r="CA265" s="12" t="n"/>
      <c r="CB265" s="12" t="n"/>
      <c r="CC265" s="12" t="n"/>
      <c r="CD265" s="12" t="n"/>
      <c r="CE265" s="12" t="n"/>
      <c r="CF265" s="12" t="n"/>
      <c r="CG265" s="12" t="n"/>
      <c r="CH265" s="12" t="n"/>
      <c r="CI265" s="12" t="n"/>
      <c r="CJ265" s="12" t="n"/>
      <c r="CK265" s="12" t="n"/>
      <c r="CL265" s="12" t="n"/>
      <c r="CM265" s="12" t="n"/>
      <c r="CN265" s="12" t="n"/>
      <c r="CO265" s="12" t="n"/>
      <c r="CP265" s="12" t="n"/>
      <c r="CQ265" s="12" t="n"/>
      <c r="CR265" s="12" t="n"/>
      <c r="CS265" s="12" t="n"/>
      <c r="CT265" s="12" t="n"/>
      <c r="CU265" s="12" t="n"/>
      <c r="CV265" s="12" t="n"/>
      <c r="CW265" s="12" t="n"/>
      <c r="CX265" s="12" t="n"/>
      <c r="CY265" s="12" t="n"/>
    </row>
    <row r="266">
      <c r="C266" s="10" t="inlineStr">
        <is>
          <t>Depreciation &amp; amortization</t>
        </is>
      </c>
      <c r="D266" s="12" t="n"/>
      <c r="E266" s="12" t="n"/>
      <c r="F266" s="12" t="n"/>
      <c r="G266" s="12" t="n"/>
      <c r="H266" s="12" t="n"/>
      <c r="I266" s="12" t="n"/>
      <c r="J266" s="12">
        <f>-J58</f>
        <v>1340</v>
      </c>
      <c r="K266" s="12">
        <f>-K58</f>
        <v>1265</v>
      </c>
      <c r="L266" s="12">
        <f>-L58</f>
        <v>589</v>
      </c>
      <c r="M266" s="12" t="n"/>
      <c r="N266" s="12">
        <f>-N58</f>
        <v>602</v>
      </c>
      <c r="O266" s="12">
        <f>-O58</f>
        <v>605</v>
      </c>
      <c r="P266" s="12">
        <f>-P58</f>
        <v>603</v>
      </c>
      <c r="Q266" s="12">
        <f>-Q58</f>
        <v>617</v>
      </c>
      <c r="R266" s="12">
        <f>SUM(N266:Q266)</f>
        <v>2427</v>
      </c>
      <c r="S266" s="12">
        <f>-S58</f>
        <v>605</v>
      </c>
      <c r="T266" s="12">
        <f>-T58</f>
        <v>614</v>
      </c>
      <c r="U266" s="12">
        <f>-U58</f>
        <v>621</v>
      </c>
      <c r="V266" s="12">
        <f>-V58</f>
        <v>674</v>
      </c>
      <c r="W266" s="12">
        <f>SUM(S266:V266)</f>
        <v>2514</v>
      </c>
      <c r="X266" s="12">
        <f>-X58</f>
        <v>694</v>
      </c>
      <c r="Y266" s="12">
        <f>-Y58</f>
        <v>694</v>
      </c>
      <c r="Z266" s="12">
        <f>-Z58</f>
        <v>661</v>
      </c>
      <c r="AA266" s="12">
        <f>-AA58</f>
        <v>651</v>
      </c>
      <c r="AB266" s="12">
        <f>SUM(X266:AA266)</f>
        <v>2700</v>
      </c>
      <c r="AC266" s="12">
        <f>-AC58</f>
        <v>640</v>
      </c>
      <c r="AD266" s="12">
        <f>-AD58</f>
        <v>660</v>
      </c>
      <c r="AE266" s="12">
        <f>-AE58</f>
        <v>645</v>
      </c>
      <c r="AF266" s="12">
        <f>-AF58</f>
        <v>656</v>
      </c>
      <c r="AG266" s="12">
        <f>SUM(AC266:AF266)</f>
        <v>2601</v>
      </c>
      <c r="AH266" s="12">
        <f>-AH58</f>
        <v>1202</v>
      </c>
      <c r="AI266" s="12">
        <f>-AI58</f>
        <v>1166</v>
      </c>
      <c r="AJ266" s="12">
        <f>-AJ58</f>
        <v>885.118298016032</v>
      </c>
      <c r="AK266" s="12">
        <f>-AK58</f>
        <v>818.296581757896</v>
      </c>
      <c r="AL266" s="12">
        <f>SUM(AH266:AK266)</f>
        <v>4071.41487977393</v>
      </c>
      <c r="AM266" s="12">
        <f>-AM58</f>
        <v>1498.36921012699</v>
      </c>
      <c r="AN266" s="12">
        <f>-AN58</f>
        <v>1010.94790080857</v>
      </c>
      <c r="AO266" s="12">
        <f>-AO58</f>
        <v>1064.52871399988</v>
      </c>
      <c r="AP266" s="12">
        <f>-AP58</f>
        <v>984.162467098213</v>
      </c>
      <c r="AQ266" s="12">
        <f>SUM(AM266:AP266)</f>
        <v>4558.00829203365</v>
      </c>
      <c r="AR266" s="12">
        <f>-AR58</f>
        <v>1794.59161774033</v>
      </c>
      <c r="AS266" s="12">
        <f>-AS58</f>
        <v>1210.80880233083</v>
      </c>
      <c r="AT266" s="12">
        <f>-AT58</f>
        <v>1274.98235686928</v>
      </c>
      <c r="AU266" s="12">
        <f>-AU58</f>
        <v>1178.72798106911</v>
      </c>
      <c r="AV266" s="12">
        <f>SUM(AR266:AU266)</f>
        <v>5459.11075800955</v>
      </c>
      <c r="AW266" s="12">
        <f>-AW58</f>
        <v>2140.40321214835</v>
      </c>
      <c r="AX266" s="12">
        <f>-AX58</f>
        <v>1444.12746843744</v>
      </c>
      <c r="AY266" s="12">
        <f>-AY58</f>
        <v>1520.66704485764</v>
      </c>
      <c r="AZ266" s="12">
        <f>-AZ58</f>
        <v>1405.86478393688</v>
      </c>
      <c r="BA266" s="12">
        <f>SUM(AW266:AZ266)</f>
        <v>6511.06250938032</v>
      </c>
      <c r="BB266" s="12">
        <f>-BB58</f>
        <v>2542.14948802884</v>
      </c>
      <c r="BC266" s="12">
        <f>-BC58</f>
        <v>1715.18519674235</v>
      </c>
      <c r="BD266" s="12">
        <f>-BD58</f>
        <v>1806.09098678519</v>
      </c>
      <c r="BE266" s="12">
        <f>-BE58</f>
        <v>1669.74073877218</v>
      </c>
      <c r="BF266" s="12">
        <f>SUM(BB266:BE266)</f>
        <v>7733.16641032857</v>
      </c>
      <c r="BG266" s="12" t="n"/>
      <c r="BH266" s="12" t="n"/>
      <c r="BI266" s="12" t="n"/>
      <c r="BJ266" s="12" t="n"/>
      <c r="BK266" s="12" t="n"/>
      <c r="BL266" s="12" t="n"/>
      <c r="BM266" s="12" t="n"/>
      <c r="BN266" s="12" t="n"/>
      <c r="BO266" s="12" t="n"/>
      <c r="BP266" s="12" t="n"/>
      <c r="BQ266" s="12" t="n"/>
      <c r="BR266" s="12" t="n"/>
      <c r="BS266" s="12" t="n"/>
      <c r="BT266" s="12" t="n"/>
      <c r="BU266" s="12" t="n"/>
      <c r="BV266" s="12" t="n"/>
      <c r="BW266" s="12" t="n"/>
      <c r="BX266" s="12" t="n"/>
      <c r="BY266" s="12" t="n"/>
      <c r="BZ266" s="12" t="n"/>
      <c r="CA266" s="12" t="n"/>
      <c r="CB266" s="12" t="n"/>
      <c r="CC266" s="12" t="n"/>
      <c r="CD266" s="12" t="n"/>
      <c r="CE266" s="12" t="n"/>
      <c r="CF266" s="12" t="n"/>
      <c r="CG266" s="12" t="n"/>
      <c r="CH266" s="12" t="n"/>
      <c r="CI266" s="12" t="n"/>
      <c r="CJ266" s="12" t="n"/>
      <c r="CK266" s="12" t="n"/>
      <c r="CL266" s="12" t="n"/>
      <c r="CM266" s="12" t="n"/>
      <c r="CN266" s="12" t="n"/>
      <c r="CO266" s="12" t="n"/>
      <c r="CP266" s="12" t="n"/>
      <c r="CQ266" s="12" t="n"/>
      <c r="CR266" s="12" t="n"/>
      <c r="CS266" s="12" t="n"/>
      <c r="CT266" s="12" t="n"/>
      <c r="CU266" s="12" t="n"/>
      <c r="CV266" s="12" t="n"/>
      <c r="CW266" s="12" t="n"/>
      <c r="CX266" s="12" t="n"/>
      <c r="CY266" s="12" t="n"/>
    </row>
    <row r="267">
      <c r="C267" s="10" t="inlineStr">
        <is>
          <t xml:space="preserve">Changes in working capital </t>
        </is>
      </c>
      <c r="D267" s="12" t="n"/>
      <c r="E267" s="12" t="n"/>
      <c r="F267" s="12" t="n"/>
      <c r="G267" s="12" t="n"/>
      <c r="H267" s="12" t="n"/>
      <c r="I267" s="12" t="n"/>
      <c r="J267" s="12">
        <f>SUM(J268:J277)</f>
        <v>0</v>
      </c>
      <c r="K267" s="12">
        <f>SUM(K268:K277)</f>
        <v>0</v>
      </c>
      <c r="L267" s="12">
        <f>SUM(L268:L277)</f>
        <v>-2239</v>
      </c>
      <c r="M267" s="12" t="n"/>
      <c r="N267" s="12">
        <f>SUM(N268:N277)</f>
        <v>1900</v>
      </c>
      <c r="O267" s="12">
        <f>SUM(O268:O277)</f>
        <v>-559</v>
      </c>
      <c r="P267" s="12">
        <f>SUM(P268:P277)</f>
        <v>530</v>
      </c>
      <c r="Q267" s="12">
        <f>SUM(Q268:Q277)</f>
        <v>-1549</v>
      </c>
      <c r="R267" s="12">
        <f>SUM(N267:Q267)</f>
        <v>322</v>
      </c>
      <c r="S267" s="12">
        <f>SUM(S268:S277)</f>
        <v>-582</v>
      </c>
      <c r="T267" s="12">
        <f>SUM(T268:T277)</f>
        <v>-345</v>
      </c>
      <c r="U267" s="12">
        <f>SUM(U268:U277)</f>
        <v>1385</v>
      </c>
      <c r="V267" s="12">
        <f>SUM(V268:V277)</f>
        <v>-1516</v>
      </c>
      <c r="W267" s="12">
        <f>SUM(S267:V267)</f>
        <v>-1058</v>
      </c>
      <c r="X267" s="12">
        <f>SUM(X268:X277)</f>
        <v>-25</v>
      </c>
      <c r="Y267" s="12">
        <f>SUM(Y268:Y277)</f>
        <v>-97</v>
      </c>
      <c r="Z267" s="12">
        <f>SUM(Z268:Z277)</f>
        <v>1885</v>
      </c>
      <c r="AA267" s="12">
        <f>SUM(AA268:AA277)</f>
        <v>2405</v>
      </c>
      <c r="AB267" s="12">
        <f>SUM(X267:AA267)</f>
        <v>4168</v>
      </c>
      <c r="AC267" s="12">
        <f>SUM(AC268:AC277)</f>
        <v>-1528</v>
      </c>
      <c r="AD267" s="12">
        <f>SUM(AD268:AD277)</f>
        <v>369</v>
      </c>
      <c r="AE267" s="12">
        <f>SUM(AE268:AE277)</f>
        <v>2054</v>
      </c>
      <c r="AF267" s="12">
        <f>SUM(AF268:AF277)</f>
        <v>-616</v>
      </c>
      <c r="AG267" s="12">
        <f>SUM(AC267:AF267)</f>
        <v>279</v>
      </c>
      <c r="AH267" s="12">
        <f>SUM(AH268:AH277)</f>
        <v>-9767</v>
      </c>
      <c r="AI267" s="12">
        <f>SUM(AI268:AI277)</f>
        <v>-1453</v>
      </c>
      <c r="AJ267" s="12">
        <f>SUM(AJ268:AJ277)</f>
        <v>-518.61580151889</v>
      </c>
      <c r="AK267" s="12">
        <f>SUM(AK268:AK277)</f>
        <v>310.707068120756</v>
      </c>
      <c r="AL267" s="12">
        <f>SUM(AH267:AK267)</f>
        <v>-11427.9087333981</v>
      </c>
      <c r="AM267" s="12">
        <f>SUM(AM268:AM277)</f>
        <v>-3317.02068127017</v>
      </c>
      <c r="AN267" s="12">
        <f>SUM(AN268:AN277)</f>
        <v>2369.57614445405</v>
      </c>
      <c r="AO267" s="12">
        <f>SUM(AO268:AO277)</f>
        <v>-197.483611848635</v>
      </c>
      <c r="AP267" s="12">
        <f>SUM(AP268:AP277)</f>
        <v>373.686315601703</v>
      </c>
      <c r="AQ267" s="12">
        <f>SUM(AM267:AP267)</f>
        <v>-771.241833063047</v>
      </c>
      <c r="AR267" s="12">
        <f>SUM(AR268:AR277)</f>
        <v>-3860.02437039373</v>
      </c>
      <c r="AS267" s="12">
        <f>SUM(AS268:AS277)</f>
        <v>2744.29787102509</v>
      </c>
      <c r="AT267" s="12">
        <f>SUM(AT268:AT277)</f>
        <v>-236.525438502977</v>
      </c>
      <c r="AU267" s="12">
        <f>SUM(AU268:AU277)</f>
        <v>447.562807024211</v>
      </c>
      <c r="AV267" s="12">
        <f>SUM(AR267:AU267)</f>
        <v>-904.689130847405</v>
      </c>
      <c r="AW267" s="12">
        <f>SUM(AW268:AW277)</f>
        <v>-4692.75469639757</v>
      </c>
      <c r="AX267" s="12">
        <f>SUM(AX268:AX277)</f>
        <v>3384.91231449537</v>
      </c>
      <c r="AY267" s="12">
        <f>SUM(AY268:AY277)</f>
        <v>-282.103071986944</v>
      </c>
      <c r="AZ267" s="12">
        <f>SUM(AZ268:AZ277)</f>
        <v>533.806611110208</v>
      </c>
      <c r="BA267" s="12">
        <f>SUM(AW267:AZ267)</f>
        <v>-1056.13884277893</v>
      </c>
      <c r="BB267" s="12">
        <f>SUM(BB268:BB277)</f>
        <v>-5546.16431476478</v>
      </c>
      <c r="BC267" s="12">
        <f>SUM(BC268:BC277)</f>
        <v>4020.24864216124</v>
      </c>
      <c r="BD267" s="12">
        <f>SUM(BD268:BD277)</f>
        <v>-335.052842358224</v>
      </c>
      <c r="BE267" s="12">
        <f>SUM(BE268:BE277)</f>
        <v>634.000264734314</v>
      </c>
      <c r="BF267" s="12">
        <f>SUM(BB267:BE267)</f>
        <v>-1226.96825022745</v>
      </c>
      <c r="BG267" s="12" t="n"/>
      <c r="BH267" s="12" t="n"/>
      <c r="BI267" s="12" t="n"/>
      <c r="BJ267" s="12" t="n"/>
      <c r="BK267" s="12" t="n"/>
      <c r="BL267" s="12" t="n"/>
      <c r="BM267" s="12" t="n"/>
      <c r="BN267" s="12" t="n"/>
      <c r="BO267" s="12" t="n"/>
      <c r="BP267" s="12" t="n"/>
      <c r="BQ267" s="12" t="n"/>
      <c r="BR267" s="12" t="n"/>
      <c r="BS267" s="12" t="n"/>
      <c r="BT267" s="12" t="n"/>
      <c r="BU267" s="12" t="n"/>
      <c r="BV267" s="12" t="n"/>
      <c r="BW267" s="12" t="n"/>
      <c r="BX267" s="12" t="n"/>
      <c r="BY267" s="12" t="n"/>
      <c r="BZ267" s="12" t="n"/>
      <c r="CA267" s="12" t="n"/>
      <c r="CB267" s="12" t="n"/>
      <c r="CC267" s="12" t="n"/>
      <c r="CD267" s="12" t="n"/>
      <c r="CE267" s="12" t="n"/>
      <c r="CF267" s="12" t="n"/>
      <c r="CG267" s="12" t="n"/>
      <c r="CH267" s="12" t="n"/>
      <c r="CI267" s="12" t="n"/>
      <c r="CJ267" s="12" t="n"/>
      <c r="CK267" s="12" t="n"/>
      <c r="CL267" s="12" t="n"/>
      <c r="CM267" s="12" t="n"/>
      <c r="CN267" s="12" t="n"/>
      <c r="CO267" s="12" t="n"/>
      <c r="CP267" s="12" t="n"/>
      <c r="CQ267" s="12" t="n"/>
      <c r="CR267" s="12" t="n"/>
      <c r="CS267" s="12" t="n"/>
      <c r="CT267" s="12" t="n"/>
      <c r="CU267" s="12" t="n"/>
      <c r="CV267" s="12" t="n"/>
      <c r="CW267" s="12" t="n"/>
      <c r="CX267" s="12" t="n"/>
      <c r="CY267" s="12" t="n"/>
    </row>
    <row r="268" hidden="1" outlineLevel="1">
      <c r="C268" s="10" t="inlineStr">
        <is>
          <t>Accounts receivable</t>
        </is>
      </c>
      <c r="D268" s="12" t="n"/>
      <c r="E268" s="12" t="n"/>
      <c r="F268" s="12" t="n"/>
      <c r="G268" s="12" t="n"/>
      <c r="H268" s="12" t="n"/>
      <c r="I268" s="12" t="n"/>
      <c r="J268" s="12">
        <f>(J133-I133)*-1</f>
        <v>0</v>
      </c>
      <c r="K268" s="12">
        <f>(K133-J133)*-1</f>
        <v>0</v>
      </c>
      <c r="L268" s="12">
        <f>(L133-K133)*-1</f>
        <v>-1669</v>
      </c>
      <c r="M268" s="12" t="n"/>
      <c r="N268" s="12">
        <f>(N133-M133)*-1</f>
        <v>-267</v>
      </c>
      <c r="O268" s="12">
        <f>(O133-N133)*-1</f>
        <v>202</v>
      </c>
      <c r="P268" s="12">
        <f>(P133-O133)*-1</f>
        <v>-85</v>
      </c>
      <c r="Q268" s="12">
        <f>(Q133-P133)*-1</f>
        <v>-766</v>
      </c>
      <c r="R268" s="12">
        <f>SUM(N268:Q268)</f>
        <v>-916</v>
      </c>
      <c r="S268" s="12">
        <f>(S133-R133)*-1</f>
        <v>438</v>
      </c>
      <c r="T268" s="12">
        <f>(T133-S133)*-1</f>
        <v>841</v>
      </c>
      <c r="U268" s="12">
        <f>(U133-T133)*-1</f>
        <v>-235</v>
      </c>
      <c r="V268" s="12">
        <f>(V133-U133)*-1</f>
        <v>-393</v>
      </c>
      <c r="W268" s="12">
        <f>SUM(S268:V268)</f>
        <v>651</v>
      </c>
      <c r="X268" s="12">
        <f>(X133-W133)*-1</f>
        <v>79</v>
      </c>
      <c r="Y268" s="12">
        <f>(Y133-X133)*-1</f>
        <v>277</v>
      </c>
      <c r="Z268" s="12">
        <f>(Z133-Y133)*-1</f>
        <v>370</v>
      </c>
      <c r="AA268" s="12">
        <f>(AA133-Z133)*-1</f>
        <v>-1908</v>
      </c>
      <c r="AB268" s="12">
        <f>SUM(X268:AA268)</f>
        <v>-1182</v>
      </c>
      <c r="AC268" s="12">
        <f>(AC133-AB133)*-1</f>
        <v>-77</v>
      </c>
      <c r="AD268" s="12">
        <f>(AD133-AC133)*-1</f>
        <v>246</v>
      </c>
      <c r="AE268" s="12">
        <f>(AE133-AD133)*-1</f>
        <v>-221</v>
      </c>
      <c r="AF268" s="12">
        <f>(AF133-AE133)*-1</f>
        <v>-1098</v>
      </c>
      <c r="AG268" s="12">
        <f>SUM(AC268:AF268)</f>
        <v>-1150</v>
      </c>
      <c r="AH268" s="12">
        <f>(AH133-AG133)*-1</f>
        <v>-148</v>
      </c>
      <c r="AI268" s="12">
        <f>(AI133-AH133)*-1</f>
        <v>-247</v>
      </c>
      <c r="AJ268" s="12">
        <f>(AJ133-AI133)*-1</f>
        <v>545.38419848111</v>
      </c>
      <c r="AK268" s="12">
        <f>(AK133-AJ133)*-1</f>
        <v>310.707068120756</v>
      </c>
      <c r="AL268" s="12">
        <f>SUM(AH268:AK268)</f>
        <v>461.091266601866</v>
      </c>
      <c r="AM268" s="12">
        <f>(AM133-AL133)*-1</f>
        <v>-3317.02068127017</v>
      </c>
      <c r="AN268" s="12">
        <f>(AN133-AM133)*-1</f>
        <v>2369.57614445405</v>
      </c>
      <c r="AO268" s="12">
        <f>(AO133-AN133)*-1</f>
        <v>-197.483611848635</v>
      </c>
      <c r="AP268" s="12">
        <f>(AP133-AO133)*-1</f>
        <v>373.686315601703</v>
      </c>
      <c r="AQ268" s="12">
        <f>SUM(AM268:AP268)</f>
        <v>-771.241833063047</v>
      </c>
      <c r="AR268" s="12">
        <f>(AR133-AQ133)*-1</f>
        <v>-3860.02437039373</v>
      </c>
      <c r="AS268" s="12">
        <f>(AS133-AR133)*-1</f>
        <v>2744.29787102509</v>
      </c>
      <c r="AT268" s="12">
        <f>(AT133-AS133)*-1</f>
        <v>-236.525438502977</v>
      </c>
      <c r="AU268" s="12">
        <f>(AU133-AT133)*-1</f>
        <v>447.562807024211</v>
      </c>
      <c r="AV268" s="12">
        <f>SUM(AR268:AU268)</f>
        <v>-904.689130847405</v>
      </c>
      <c r="AW268" s="12">
        <f>(AW133-AV133)*-1</f>
        <v>-4692.75469639757</v>
      </c>
      <c r="AX268" s="12">
        <f>(AX133-AW133)*-1</f>
        <v>3384.91231449537</v>
      </c>
      <c r="AY268" s="12">
        <f>(AY133-AX133)*-1</f>
        <v>-282.103071986944</v>
      </c>
      <c r="AZ268" s="12">
        <f>(AZ133-AY133)*-1</f>
        <v>533.806611110208</v>
      </c>
      <c r="BA268" s="12">
        <f>SUM(AW268:AZ268)</f>
        <v>-1056.13884277893</v>
      </c>
      <c r="BB268" s="12">
        <f>(BB133-BA133)*-1</f>
        <v>-5546.16431476478</v>
      </c>
      <c r="BC268" s="12">
        <f>(BC133-BB133)*-1</f>
        <v>4020.24864216124</v>
      </c>
      <c r="BD268" s="12">
        <f>(BD133-BC133)*-1</f>
        <v>-335.052842358224</v>
      </c>
      <c r="BE268" s="12">
        <f>(BE133-BD133)*-1</f>
        <v>634.000264734314</v>
      </c>
      <c r="BF268" s="12">
        <f>SUM(BB268:BE268)</f>
        <v>-1226.96825022745</v>
      </c>
      <c r="BG268" s="12" t="n"/>
      <c r="BH268" s="12" t="n"/>
      <c r="BI268" s="12" t="n"/>
      <c r="BJ268" s="12" t="n"/>
      <c r="BK268" s="12" t="n"/>
      <c r="BL268" s="12" t="n"/>
      <c r="BM268" s="12" t="n"/>
      <c r="BN268" s="12" t="n"/>
      <c r="BO268" s="12" t="n"/>
      <c r="BP268" s="12" t="n"/>
      <c r="BQ268" s="12" t="n"/>
      <c r="BR268" s="12" t="n"/>
      <c r="BS268" s="12" t="n"/>
      <c r="BT268" s="12" t="n"/>
      <c r="BU268" s="12" t="n"/>
      <c r="BV268" s="12" t="n"/>
      <c r="BW268" s="12" t="n"/>
      <c r="BX268" s="12" t="n"/>
      <c r="BY268" s="12" t="n"/>
      <c r="BZ268" s="12" t="n"/>
      <c r="CA268" s="12" t="n"/>
      <c r="CB268" s="12" t="n"/>
      <c r="CC268" s="12" t="n"/>
      <c r="CD268" s="12" t="n"/>
      <c r="CE268" s="12" t="n"/>
      <c r="CF268" s="12" t="n"/>
      <c r="CG268" s="12" t="n"/>
      <c r="CH268" s="12" t="n"/>
      <c r="CI268" s="12" t="n"/>
      <c r="CJ268" s="12" t="n"/>
      <c r="CK268" s="12" t="n"/>
      <c r="CL268" s="12" t="n"/>
      <c r="CM268" s="12" t="n"/>
      <c r="CN268" s="12" t="n"/>
      <c r="CO268" s="12" t="n"/>
      <c r="CP268" s="12" t="n"/>
      <c r="CQ268" s="12" t="n"/>
      <c r="CR268" s="12" t="n"/>
      <c r="CS268" s="12" t="n"/>
      <c r="CT268" s="12" t="n"/>
      <c r="CU268" s="12" t="n"/>
      <c r="CV268" s="12" t="n"/>
      <c r="CW268" s="12" t="n"/>
      <c r="CX268" s="12" t="n"/>
      <c r="CY268" s="12" t="n"/>
    </row>
    <row r="269" hidden="1" outlineLevel="1">
      <c r="C269" s="10" t="inlineStr">
        <is>
          <t>Inventories</t>
        </is>
      </c>
      <c r="D269" s="12" t="n"/>
      <c r="E269" s="12" t="n"/>
      <c r="F269" s="12" t="n"/>
      <c r="G269" s="12" t="n"/>
      <c r="H269" s="12" t="n"/>
      <c r="I269" s="12" t="n"/>
      <c r="J269" s="12">
        <f>(J137-I137)*-1</f>
        <v>0</v>
      </c>
      <c r="K269" s="12">
        <f>(K137-J137)*-1</f>
        <v>0</v>
      </c>
      <c r="L269" s="12">
        <f>(L137-K137)*-1</f>
        <v>0</v>
      </c>
      <c r="M269" s="12" t="n"/>
      <c r="N269" s="12">
        <f>(N137-M137)*-1</f>
        <v>0</v>
      </c>
      <c r="O269" s="12">
        <f>(O137-N137)*-1</f>
        <v>0</v>
      </c>
      <c r="P269" s="12">
        <f>(P137-O137)*-1</f>
        <v>0</v>
      </c>
      <c r="Q269" s="12">
        <f>(Q137-P137)*-1</f>
        <v>0</v>
      </c>
      <c r="R269" s="12">
        <f>SUM(N269:Q269)</f>
        <v>0</v>
      </c>
      <c r="S269" s="12">
        <f>(S137-R137)*-1</f>
        <v>0</v>
      </c>
      <c r="T269" s="12">
        <f>(T137-S137)*-1</f>
        <v>0</v>
      </c>
      <c r="U269" s="12">
        <f>(U137-T137)*-1</f>
        <v>0</v>
      </c>
      <c r="V269" s="12">
        <f>(V137-U137)*-1</f>
        <v>0</v>
      </c>
      <c r="W269" s="12">
        <f>SUM(S269:V269)</f>
        <v>0</v>
      </c>
      <c r="X269" s="12">
        <f>(X137-W137)*-1</f>
        <v>0</v>
      </c>
      <c r="Y269" s="12">
        <f>(Y137-X137)*-1</f>
        <v>0</v>
      </c>
      <c r="Z269" s="12">
        <f>(Z137-Y137)*-1</f>
        <v>0</v>
      </c>
      <c r="AA269" s="12">
        <f>(AA137-Z137)*-1</f>
        <v>0</v>
      </c>
      <c r="AB269" s="12">
        <f>SUM(X269:AA269)</f>
        <v>0</v>
      </c>
      <c r="AC269" s="12">
        <f>(AC137-AB137)*-1</f>
        <v>0</v>
      </c>
      <c r="AD269" s="12">
        <f>(AD137-AC137)*-1</f>
        <v>0</v>
      </c>
      <c r="AE269" s="12">
        <f>(AE137-AD137)*-1</f>
        <v>0</v>
      </c>
      <c r="AF269" s="12">
        <f>(AF137-AE137)*-1</f>
        <v>-1736</v>
      </c>
      <c r="AG269" s="12">
        <f>SUM(AC269:AF269)</f>
        <v>-1736</v>
      </c>
      <c r="AH269" s="12">
        <f>(AH137-AG137)*-1</f>
        <v>-846</v>
      </c>
      <c r="AI269" s="12">
        <f>(AI137-AH137)*-1</f>
        <v>-786</v>
      </c>
      <c r="AJ269" s="12">
        <f>(AJ137-AI137)*-1</f>
        <v>3368</v>
      </c>
      <c r="AK269" s="12">
        <f>(AK137-AJ137)*-1</f>
        <v>0</v>
      </c>
      <c r="AL269" s="12">
        <f>SUM(AH269:AK269)</f>
        <v>1736</v>
      </c>
      <c r="AM269" s="12">
        <f>(AM137-AL137)*-1</f>
        <v>0</v>
      </c>
      <c r="AN269" s="12">
        <f>(AN137-AM137)*-1</f>
        <v>0</v>
      </c>
      <c r="AO269" s="12">
        <f>(AO137-AN137)*-1</f>
        <v>0</v>
      </c>
      <c r="AP269" s="12">
        <f>(AP137-AO137)*-1</f>
        <v>0</v>
      </c>
      <c r="AQ269" s="12">
        <f>SUM(AM269:AP269)</f>
        <v>0</v>
      </c>
      <c r="AR269" s="12">
        <f>(AR137-AQ137)*-1</f>
        <v>0</v>
      </c>
      <c r="AS269" s="12">
        <f>(AS137-AR137)*-1</f>
        <v>0</v>
      </c>
      <c r="AT269" s="12">
        <f>(AT137-AS137)*-1</f>
        <v>0</v>
      </c>
      <c r="AU269" s="12">
        <f>(AU137-AT137)*-1</f>
        <v>0</v>
      </c>
      <c r="AV269" s="12">
        <f>SUM(AR269:AU269)</f>
        <v>0</v>
      </c>
      <c r="AW269" s="12">
        <f>(AW137-AV137)*-1</f>
        <v>0</v>
      </c>
      <c r="AX269" s="12">
        <f>(AX137-AW137)*-1</f>
        <v>0</v>
      </c>
      <c r="AY269" s="12">
        <f>(AY137-AX137)*-1</f>
        <v>0</v>
      </c>
      <c r="AZ269" s="12">
        <f>(AZ137-AY137)*-1</f>
        <v>0</v>
      </c>
      <c r="BA269" s="12">
        <f>SUM(AW269:AZ269)</f>
        <v>0</v>
      </c>
      <c r="BB269" s="12">
        <f>(BB137-BA137)*-1</f>
        <v>0</v>
      </c>
      <c r="BC269" s="12">
        <f>(BC137-BB137)*-1</f>
        <v>0</v>
      </c>
      <c r="BD269" s="12">
        <f>(BD137-BC137)*-1</f>
        <v>0</v>
      </c>
      <c r="BE269" s="12">
        <f>(BE137-BD137)*-1</f>
        <v>0</v>
      </c>
      <c r="BF269" s="12">
        <f>SUM(BB269:BE269)</f>
        <v>0</v>
      </c>
      <c r="BG269" s="12" t="n"/>
      <c r="BH269" s="12" t="n"/>
      <c r="BI269" s="12" t="n"/>
      <c r="BJ269" s="12" t="n"/>
      <c r="BK269" s="12" t="n"/>
      <c r="BL269" s="12" t="n"/>
      <c r="BM269" s="12" t="n"/>
      <c r="BN269" s="12" t="n"/>
      <c r="BO269" s="12" t="n"/>
      <c r="BP269" s="12" t="n"/>
      <c r="BQ269" s="12" t="n"/>
      <c r="BR269" s="12" t="n"/>
      <c r="BS269" s="12" t="n"/>
      <c r="BT269" s="12" t="n"/>
      <c r="BU269" s="12" t="n"/>
      <c r="BV269" s="12" t="n"/>
      <c r="BW269" s="12" t="n"/>
      <c r="BX269" s="12" t="n"/>
      <c r="BY269" s="12" t="n"/>
      <c r="BZ269" s="12" t="n"/>
      <c r="CA269" s="12" t="n"/>
      <c r="CB269" s="12" t="n"/>
      <c r="CC269" s="12" t="n"/>
      <c r="CD269" s="12" t="n"/>
      <c r="CE269" s="12" t="n"/>
      <c r="CF269" s="12" t="n"/>
      <c r="CG269" s="12" t="n"/>
      <c r="CH269" s="12" t="n"/>
      <c r="CI269" s="12" t="n"/>
      <c r="CJ269" s="12" t="n"/>
      <c r="CK269" s="12" t="n"/>
      <c r="CL269" s="12" t="n"/>
      <c r="CM269" s="12" t="n"/>
      <c r="CN269" s="12" t="n"/>
      <c r="CO269" s="12" t="n"/>
      <c r="CP269" s="12" t="n"/>
      <c r="CQ269" s="12" t="n"/>
      <c r="CR269" s="12" t="n"/>
      <c r="CS269" s="12" t="n"/>
      <c r="CT269" s="12" t="n"/>
      <c r="CU269" s="12" t="n"/>
      <c r="CV269" s="12" t="n"/>
      <c r="CW269" s="12" t="n"/>
      <c r="CX269" s="12" t="n"/>
      <c r="CY269" s="12" t="n"/>
    </row>
    <row r="270" hidden="1" outlineLevel="1">
      <c r="C270" s="10" t="inlineStr">
        <is>
          <t>Deferred income taxes</t>
        </is>
      </c>
      <c r="D270" s="12" t="n"/>
      <c r="E270" s="12" t="n"/>
      <c r="F270" s="12" t="n"/>
      <c r="G270" s="12" t="n"/>
      <c r="H270" s="12" t="n"/>
      <c r="I270" s="12" t="n"/>
      <c r="J270" s="12">
        <f>(J141-I141)*-1</f>
        <v>0</v>
      </c>
      <c r="K270" s="12">
        <f>(K141-J141)*-1</f>
        <v>0</v>
      </c>
      <c r="L270" s="12">
        <f>(L141-K141)*-1</f>
        <v>-32</v>
      </c>
      <c r="M270" s="12" t="n"/>
      <c r="N270" s="12">
        <f>(N141-M141)*-1</f>
        <v>-4</v>
      </c>
      <c r="O270" s="12">
        <f>(O141-N141)*-1</f>
        <v>2</v>
      </c>
      <c r="P270" s="12">
        <f>(P141-O141)*-1</f>
        <v>11</v>
      </c>
      <c r="Q270" s="12">
        <f>(Q141-P141)*-1</f>
        <v>-21</v>
      </c>
      <c r="R270" s="12">
        <f>SUM(N270:Q270)</f>
        <v>-12</v>
      </c>
      <c r="S270" s="12">
        <f>(S141-R141)*-1</f>
        <v>-1</v>
      </c>
      <c r="T270" s="12">
        <f>(T141-S141)*-1</f>
        <v>2</v>
      </c>
      <c r="U270" s="12">
        <f>(U141-T141)*-1</f>
        <v>0</v>
      </c>
      <c r="V270" s="12">
        <f>(V141-U141)*-1</f>
        <v>-9</v>
      </c>
      <c r="W270" s="12">
        <f>SUM(S270:V270)</f>
        <v>-8</v>
      </c>
      <c r="X270" s="12">
        <f>(X141-W141)*-1</f>
        <v>14</v>
      </c>
      <c r="Y270" s="12">
        <f>(Y141-X141)*-1</f>
        <v>13</v>
      </c>
      <c r="Z270" s="12">
        <f>(Z141-Y141)*-1</f>
        <v>-10</v>
      </c>
      <c r="AA270" s="12">
        <f>(AA141-Z141)*-1</f>
        <v>35</v>
      </c>
      <c r="AB270" s="12">
        <f>SUM(X270:AA270)</f>
        <v>52</v>
      </c>
      <c r="AC270" s="12">
        <f>(AC141-AB141)*-1</f>
        <v>0</v>
      </c>
      <c r="AD270" s="12">
        <f>(AD141-AC141)*-1</f>
        <v>0</v>
      </c>
      <c r="AE270" s="12">
        <f>(AE141-AD141)*-1</f>
        <v>0</v>
      </c>
      <c r="AF270" s="12">
        <f>(AF141-AE141)*-1</f>
        <v>0</v>
      </c>
      <c r="AG270" s="12">
        <f>SUM(AC270:AF270)</f>
        <v>0</v>
      </c>
      <c r="AH270" s="12">
        <f>(AH141-AG141)*-1</f>
        <v>0</v>
      </c>
      <c r="AI270" s="12">
        <f>(AI141-AH141)*-1</f>
        <v>0</v>
      </c>
      <c r="AJ270" s="12">
        <f>(AJ141-AI141)*-1</f>
        <v>0</v>
      </c>
      <c r="AK270" s="12">
        <f>(AK141-AJ141)*-1</f>
        <v>0</v>
      </c>
      <c r="AL270" s="12">
        <f>SUM(AH270:AK270)</f>
        <v>0</v>
      </c>
      <c r="AM270" s="12">
        <f>(AM141-AL141)*-1</f>
        <v>0</v>
      </c>
      <c r="AN270" s="12">
        <f>(AN141-AM141)*-1</f>
        <v>0</v>
      </c>
      <c r="AO270" s="12">
        <f>(AO141-AN141)*-1</f>
        <v>0</v>
      </c>
      <c r="AP270" s="12">
        <f>(AP141-AO141)*-1</f>
        <v>0</v>
      </c>
      <c r="AQ270" s="12">
        <f>SUM(AM270:AP270)</f>
        <v>0</v>
      </c>
      <c r="AR270" s="12">
        <f>(AR141-AQ141)*-1</f>
        <v>0</v>
      </c>
      <c r="AS270" s="12">
        <f>(AS141-AR141)*-1</f>
        <v>0</v>
      </c>
      <c r="AT270" s="12">
        <f>(AT141-AS141)*-1</f>
        <v>0</v>
      </c>
      <c r="AU270" s="12">
        <f>(AU141-AT141)*-1</f>
        <v>0</v>
      </c>
      <c r="AV270" s="12">
        <f>SUM(AR270:AU270)</f>
        <v>0</v>
      </c>
      <c r="AW270" s="12">
        <f>(AW141-AV141)*-1</f>
        <v>0</v>
      </c>
      <c r="AX270" s="12">
        <f>(AX141-AW141)*-1</f>
        <v>0</v>
      </c>
      <c r="AY270" s="12">
        <f>(AY141-AX141)*-1</f>
        <v>0</v>
      </c>
      <c r="AZ270" s="12">
        <f>(AZ141-AY141)*-1</f>
        <v>0</v>
      </c>
      <c r="BA270" s="12">
        <f>SUM(AW270:AZ270)</f>
        <v>0</v>
      </c>
      <c r="BB270" s="12">
        <f>(BB141-BA141)*-1</f>
        <v>0</v>
      </c>
      <c r="BC270" s="12">
        <f>(BC141-BB141)*-1</f>
        <v>0</v>
      </c>
      <c r="BD270" s="12">
        <f>(BD141-BC141)*-1</f>
        <v>0</v>
      </c>
      <c r="BE270" s="12">
        <f>(BE141-BD141)*-1</f>
        <v>0</v>
      </c>
      <c r="BF270" s="12">
        <f>SUM(BB270:BE270)</f>
        <v>0</v>
      </c>
      <c r="BG270" s="12" t="n"/>
      <c r="BH270" s="12" t="n"/>
      <c r="BI270" s="12" t="n"/>
      <c r="BJ270" s="12" t="n"/>
      <c r="BK270" s="12" t="n"/>
      <c r="BL270" s="12" t="n"/>
      <c r="BM270" s="12" t="n"/>
      <c r="BN270" s="12" t="n"/>
      <c r="BO270" s="12" t="n"/>
      <c r="BP270" s="12" t="n"/>
      <c r="BQ270" s="12" t="n"/>
      <c r="BR270" s="12" t="n"/>
      <c r="BS270" s="12" t="n"/>
      <c r="BT270" s="12" t="n"/>
      <c r="BU270" s="12" t="n"/>
      <c r="BV270" s="12" t="n"/>
      <c r="BW270" s="12" t="n"/>
      <c r="BX270" s="12" t="n"/>
      <c r="BY270" s="12" t="n"/>
      <c r="BZ270" s="12" t="n"/>
      <c r="CA270" s="12" t="n"/>
      <c r="CB270" s="12" t="n"/>
      <c r="CC270" s="12" t="n"/>
      <c r="CD270" s="12" t="n"/>
      <c r="CE270" s="12" t="n"/>
      <c r="CF270" s="12" t="n"/>
      <c r="CG270" s="12" t="n"/>
      <c r="CH270" s="12" t="n"/>
      <c r="CI270" s="12" t="n"/>
      <c r="CJ270" s="12" t="n"/>
      <c r="CK270" s="12" t="n"/>
      <c r="CL270" s="12" t="n"/>
      <c r="CM270" s="12" t="n"/>
      <c r="CN270" s="12" t="n"/>
      <c r="CO270" s="12" t="n"/>
      <c r="CP270" s="12" t="n"/>
      <c r="CQ270" s="12" t="n"/>
      <c r="CR270" s="12" t="n"/>
      <c r="CS270" s="12" t="n"/>
      <c r="CT270" s="12" t="n"/>
      <c r="CU270" s="12" t="n"/>
      <c r="CV270" s="12" t="n"/>
      <c r="CW270" s="12" t="n"/>
      <c r="CX270" s="12" t="n"/>
      <c r="CY270" s="12" t="n"/>
    </row>
    <row r="271" hidden="1" outlineLevel="1">
      <c r="C271" s="10" t="inlineStr">
        <is>
          <t>Prepaid expenses</t>
        </is>
      </c>
      <c r="D271" s="12" t="n"/>
      <c r="E271" s="12" t="n"/>
      <c r="F271" s="12" t="n"/>
      <c r="G271" s="12" t="n"/>
      <c r="H271" s="12" t="n"/>
      <c r="I271" s="12" t="n"/>
      <c r="J271" s="12">
        <f>(J142-I142)*-1</f>
        <v>0</v>
      </c>
      <c r="K271" s="12">
        <f>(K142-J142)*-1</f>
        <v>0</v>
      </c>
      <c r="L271" s="12">
        <f>(L142-K142)*-1</f>
        <v>0</v>
      </c>
      <c r="M271" s="12" t="n"/>
      <c r="N271" s="12">
        <f>(N142-M142)*-1</f>
        <v>0</v>
      </c>
      <c r="O271" s="12">
        <f>(O142-N142)*-1</f>
        <v>0</v>
      </c>
      <c r="P271" s="12">
        <f>(P142-O142)*-1</f>
        <v>0</v>
      </c>
      <c r="Q271" s="12">
        <f>(Q142-P142)*-1</f>
        <v>0</v>
      </c>
      <c r="R271" s="12">
        <f>SUM(N271:Q271)</f>
        <v>0</v>
      </c>
      <c r="S271" s="12">
        <f>(S142-R142)*-1</f>
        <v>0</v>
      </c>
      <c r="T271" s="12">
        <f>(T142-S142)*-1</f>
        <v>0</v>
      </c>
      <c r="U271" s="12">
        <f>(U142-T142)*-1</f>
        <v>0</v>
      </c>
      <c r="V271" s="12">
        <f>(V142-U142)*-1</f>
        <v>0</v>
      </c>
      <c r="W271" s="12">
        <f>SUM(S271:V271)</f>
        <v>0</v>
      </c>
      <c r="X271" s="12">
        <f>(X142-W142)*-1</f>
        <v>0</v>
      </c>
      <c r="Y271" s="12">
        <f>(Y142-X142)*-1</f>
        <v>0</v>
      </c>
      <c r="Z271" s="12">
        <f>(Z142-Y142)*-1</f>
        <v>0</v>
      </c>
      <c r="AA271" s="12">
        <f>(AA142-Z142)*-1</f>
        <v>0</v>
      </c>
      <c r="AB271" s="12">
        <f>SUM(X271:AA271)</f>
        <v>0</v>
      </c>
      <c r="AC271" s="12">
        <f>(AC142-AB142)*-1</f>
        <v>0</v>
      </c>
      <c r="AD271" s="12">
        <f>(AD142-AC142)*-1</f>
        <v>0</v>
      </c>
      <c r="AE271" s="12">
        <f>(AE142-AD142)*-1</f>
        <v>0</v>
      </c>
      <c r="AF271" s="12">
        <f>(AF142-AE142)*-1</f>
        <v>0</v>
      </c>
      <c r="AG271" s="12">
        <f>SUM(AC271:AF271)</f>
        <v>0</v>
      </c>
      <c r="AH271" s="12">
        <f>(AH142-AG142)*-1</f>
        <v>0</v>
      </c>
      <c r="AI271" s="12">
        <f>(AI142-AH142)*-1</f>
        <v>0</v>
      </c>
      <c r="AJ271" s="12">
        <f>(AJ142-AI142)*-1</f>
        <v>0</v>
      </c>
      <c r="AK271" s="12">
        <f>(AK142-AJ142)*-1</f>
        <v>0</v>
      </c>
      <c r="AL271" s="12">
        <f>SUM(AH271:AK271)</f>
        <v>0</v>
      </c>
      <c r="AM271" s="12">
        <f>(AM142-AL142)*-1</f>
        <v>0</v>
      </c>
      <c r="AN271" s="12">
        <f>(AN142-AM142)*-1</f>
        <v>0</v>
      </c>
      <c r="AO271" s="12">
        <f>(AO142-AN142)*-1</f>
        <v>0</v>
      </c>
      <c r="AP271" s="12">
        <f>(AP142-AO142)*-1</f>
        <v>0</v>
      </c>
      <c r="AQ271" s="12">
        <f>SUM(AM271:AP271)</f>
        <v>0</v>
      </c>
      <c r="AR271" s="12">
        <f>(AR142-AQ142)*-1</f>
        <v>0</v>
      </c>
      <c r="AS271" s="12">
        <f>(AS142-AR142)*-1</f>
        <v>0</v>
      </c>
      <c r="AT271" s="12">
        <f>(AT142-AS142)*-1</f>
        <v>0</v>
      </c>
      <c r="AU271" s="12">
        <f>(AU142-AT142)*-1</f>
        <v>0</v>
      </c>
      <c r="AV271" s="12">
        <f>SUM(AR271:AU271)</f>
        <v>0</v>
      </c>
      <c r="AW271" s="12">
        <f>(AW142-AV142)*-1</f>
        <v>0</v>
      </c>
      <c r="AX271" s="12">
        <f>(AX142-AW142)*-1</f>
        <v>0</v>
      </c>
      <c r="AY271" s="12">
        <f>(AY142-AX142)*-1</f>
        <v>0</v>
      </c>
      <c r="AZ271" s="12">
        <f>(AZ142-AY142)*-1</f>
        <v>0</v>
      </c>
      <c r="BA271" s="12">
        <f>SUM(AW271:AZ271)</f>
        <v>0</v>
      </c>
      <c r="BB271" s="12">
        <f>(BB142-BA142)*-1</f>
        <v>0</v>
      </c>
      <c r="BC271" s="12">
        <f>(BC142-BB142)*-1</f>
        <v>0</v>
      </c>
      <c r="BD271" s="12">
        <f>(BD142-BC142)*-1</f>
        <v>0</v>
      </c>
      <c r="BE271" s="12">
        <f>(BE142-BD142)*-1</f>
        <v>0</v>
      </c>
      <c r="BF271" s="12">
        <f>SUM(BB271:BE271)</f>
        <v>0</v>
      </c>
      <c r="BG271" s="12" t="n"/>
      <c r="BH271" s="12" t="n"/>
      <c r="BI271" s="12" t="n"/>
      <c r="BJ271" s="12" t="n"/>
      <c r="BK271" s="12" t="n"/>
      <c r="BL271" s="12" t="n"/>
      <c r="BM271" s="12" t="n"/>
      <c r="BN271" s="12" t="n"/>
      <c r="BO271" s="12" t="n"/>
      <c r="BP271" s="12" t="n"/>
      <c r="BQ271" s="12" t="n"/>
      <c r="BR271" s="12" t="n"/>
      <c r="BS271" s="12" t="n"/>
      <c r="BT271" s="12" t="n"/>
      <c r="BU271" s="12" t="n"/>
      <c r="BV271" s="12" t="n"/>
      <c r="BW271" s="12" t="n"/>
      <c r="BX271" s="12" t="n"/>
      <c r="BY271" s="12" t="n"/>
      <c r="BZ271" s="12" t="n"/>
      <c r="CA271" s="12" t="n"/>
      <c r="CB271" s="12" t="n"/>
      <c r="CC271" s="12" t="n"/>
      <c r="CD271" s="12" t="n"/>
      <c r="CE271" s="12" t="n"/>
      <c r="CF271" s="12" t="n"/>
      <c r="CG271" s="12" t="n"/>
      <c r="CH271" s="12" t="n"/>
      <c r="CI271" s="12" t="n"/>
      <c r="CJ271" s="12" t="n"/>
      <c r="CK271" s="12" t="n"/>
      <c r="CL271" s="12" t="n"/>
      <c r="CM271" s="12" t="n"/>
      <c r="CN271" s="12" t="n"/>
      <c r="CO271" s="12" t="n"/>
      <c r="CP271" s="12" t="n"/>
      <c r="CQ271" s="12" t="n"/>
      <c r="CR271" s="12" t="n"/>
      <c r="CS271" s="12" t="n"/>
      <c r="CT271" s="12" t="n"/>
      <c r="CU271" s="12" t="n"/>
      <c r="CV271" s="12" t="n"/>
      <c r="CW271" s="12" t="n"/>
      <c r="CX271" s="12" t="n"/>
      <c r="CY271" s="12" t="n"/>
    </row>
    <row r="272" hidden="1" outlineLevel="1">
      <c r="C272" s="10" t="inlineStr">
        <is>
          <t>Other current assets</t>
        </is>
      </c>
      <c r="D272" s="12" t="n"/>
      <c r="E272" s="12" t="n"/>
      <c r="F272" s="12" t="n"/>
      <c r="G272" s="12" t="n"/>
      <c r="H272" s="12" t="n"/>
      <c r="I272" s="12" t="n"/>
      <c r="J272" s="12">
        <f>(J143-I143)*-1</f>
        <v>0</v>
      </c>
      <c r="K272" s="12">
        <f>(K143-J143)*-1</f>
        <v>0</v>
      </c>
      <c r="L272" s="12">
        <f>(L143-K143)*-1</f>
        <v>-5232</v>
      </c>
      <c r="M272" s="12" t="n"/>
      <c r="N272" s="12">
        <f>(N143-M143)*-1</f>
        <v>1702</v>
      </c>
      <c r="O272" s="12">
        <f>(O143-N143)*-1</f>
        <v>-1094</v>
      </c>
      <c r="P272" s="12">
        <f>(P143-O143)*-1</f>
        <v>-915</v>
      </c>
      <c r="Q272" s="12">
        <f>(Q143-P143)*-1</f>
        <v>-286</v>
      </c>
      <c r="R272" s="12">
        <f>SUM(N272:Q272)</f>
        <v>-593</v>
      </c>
      <c r="S272" s="12">
        <f>(S143-R143)*-1</f>
        <v>437</v>
      </c>
      <c r="T272" s="12">
        <f>(T143-S143)*-1</f>
        <v>-287</v>
      </c>
      <c r="U272" s="12">
        <f>(U143-T143)*-1</f>
        <v>1180</v>
      </c>
      <c r="V272" s="12">
        <f>(V143-U143)*-1</f>
        <v>-1048</v>
      </c>
      <c r="W272" s="12">
        <f>SUM(S272:V272)</f>
        <v>282</v>
      </c>
      <c r="X272" s="12">
        <f>(X143-W143)*-1</f>
        <v>145</v>
      </c>
      <c r="Y272" s="12">
        <f>(Y143-X143)*-1</f>
        <v>-182</v>
      </c>
      <c r="Z272" s="12">
        <f>(Z143-Y143)*-1</f>
        <v>1193</v>
      </c>
      <c r="AA272" s="12">
        <f>(AA143-Z143)*-1</f>
        <v>2878</v>
      </c>
      <c r="AB272" s="12">
        <f>SUM(X272:AA272)</f>
        <v>4034</v>
      </c>
      <c r="AC272" s="12">
        <f>(AC143-AB143)*-1</f>
        <v>-1141</v>
      </c>
      <c r="AD272" s="12">
        <f>(AD143-AC143)*-1</f>
        <v>400</v>
      </c>
      <c r="AE272" s="12">
        <f>(AE143-AD143)*-1</f>
        <v>1819</v>
      </c>
      <c r="AF272" s="12">
        <f>(AF143-AE143)*-1</f>
        <v>1703</v>
      </c>
      <c r="AG272" s="12">
        <f>SUM(AC272:AF272)</f>
        <v>2781</v>
      </c>
      <c r="AH272" s="12">
        <f>(AH143-AG143)*-1</f>
        <v>-10314</v>
      </c>
      <c r="AI272" s="12">
        <f>(AI143-AH143)*-1</f>
        <v>-120</v>
      </c>
      <c r="AJ272" s="12">
        <f>(AJ143-AI143)*-1</f>
        <v>0</v>
      </c>
      <c r="AK272" s="12">
        <f>(AK143-AJ143)*-1</f>
        <v>0</v>
      </c>
      <c r="AL272" s="12">
        <f>SUM(AH272:AK272)</f>
        <v>-10434</v>
      </c>
      <c r="AM272" s="12">
        <f>(AM143-AL143)*-1</f>
        <v>0</v>
      </c>
      <c r="AN272" s="12">
        <f>(AN143-AM143)*-1</f>
        <v>0</v>
      </c>
      <c r="AO272" s="12">
        <f>(AO143-AN143)*-1</f>
        <v>0</v>
      </c>
      <c r="AP272" s="12">
        <f>(AP143-AO143)*-1</f>
        <v>0</v>
      </c>
      <c r="AQ272" s="12">
        <f>SUM(AM272:AP272)</f>
        <v>0</v>
      </c>
      <c r="AR272" s="12">
        <f>(AR143-AQ143)*-1</f>
        <v>0</v>
      </c>
      <c r="AS272" s="12">
        <f>(AS143-AR143)*-1</f>
        <v>0</v>
      </c>
      <c r="AT272" s="12">
        <f>(AT143-AS143)*-1</f>
        <v>0</v>
      </c>
      <c r="AU272" s="12">
        <f>(AU143-AT143)*-1</f>
        <v>0</v>
      </c>
      <c r="AV272" s="12">
        <f>SUM(AR272:AU272)</f>
        <v>0</v>
      </c>
      <c r="AW272" s="12">
        <f>(AW143-AV143)*-1</f>
        <v>0</v>
      </c>
      <c r="AX272" s="12">
        <f>(AX143-AW143)*-1</f>
        <v>0</v>
      </c>
      <c r="AY272" s="12">
        <f>(AY143-AX143)*-1</f>
        <v>0</v>
      </c>
      <c r="AZ272" s="12">
        <f>(AZ143-AY143)*-1</f>
        <v>0</v>
      </c>
      <c r="BA272" s="12">
        <f>SUM(AW272:AZ272)</f>
        <v>0</v>
      </c>
      <c r="BB272" s="12">
        <f>(BB143-BA143)*-1</f>
        <v>0</v>
      </c>
      <c r="BC272" s="12">
        <f>(BC143-BB143)*-1</f>
        <v>0</v>
      </c>
      <c r="BD272" s="12">
        <f>(BD143-BC143)*-1</f>
        <v>0</v>
      </c>
      <c r="BE272" s="12">
        <f>(BE143-BD143)*-1</f>
        <v>0</v>
      </c>
      <c r="BF272" s="12">
        <f>SUM(BB272:BE272)</f>
        <v>0</v>
      </c>
      <c r="BG272" s="12" t="n"/>
      <c r="BH272" s="12" t="n"/>
      <c r="BI272" s="12" t="n"/>
      <c r="BJ272" s="12" t="n"/>
      <c r="BK272" s="12" t="n"/>
      <c r="BL272" s="12" t="n"/>
      <c r="BM272" s="12" t="n"/>
      <c r="BN272" s="12" t="n"/>
      <c r="BO272" s="12" t="n"/>
      <c r="BP272" s="12" t="n"/>
      <c r="BQ272" s="12" t="n"/>
      <c r="BR272" s="12" t="n"/>
      <c r="BS272" s="12" t="n"/>
      <c r="BT272" s="12" t="n"/>
      <c r="BU272" s="12" t="n"/>
      <c r="BV272" s="12" t="n"/>
      <c r="BW272" s="12" t="n"/>
      <c r="BX272" s="12" t="n"/>
      <c r="BY272" s="12" t="n"/>
      <c r="BZ272" s="12" t="n"/>
      <c r="CA272" s="12" t="n"/>
      <c r="CB272" s="12" t="n"/>
      <c r="CC272" s="12" t="n"/>
      <c r="CD272" s="12" t="n"/>
      <c r="CE272" s="12" t="n"/>
      <c r="CF272" s="12" t="n"/>
      <c r="CG272" s="12" t="n"/>
      <c r="CH272" s="12" t="n"/>
      <c r="CI272" s="12" t="n"/>
      <c r="CJ272" s="12" t="n"/>
      <c r="CK272" s="12" t="n"/>
      <c r="CL272" s="12" t="n"/>
      <c r="CM272" s="12" t="n"/>
      <c r="CN272" s="12" t="n"/>
      <c r="CO272" s="12" t="n"/>
      <c r="CP272" s="12" t="n"/>
      <c r="CQ272" s="12" t="n"/>
      <c r="CR272" s="12" t="n"/>
      <c r="CS272" s="12" t="n"/>
      <c r="CT272" s="12" t="n"/>
      <c r="CU272" s="12" t="n"/>
      <c r="CV272" s="12" t="n"/>
      <c r="CW272" s="12" t="n"/>
      <c r="CX272" s="12" t="n"/>
      <c r="CY272" s="12" t="n"/>
    </row>
    <row r="273" hidden="1" outlineLevel="1">
      <c r="C273" s="10" t="inlineStr">
        <is>
          <t>Accounts payable</t>
        </is>
      </c>
      <c r="D273" s="12" t="n"/>
      <c r="E273" s="12" t="n"/>
      <c r="F273" s="12" t="n"/>
      <c r="G273" s="12" t="n"/>
      <c r="H273" s="12" t="n"/>
      <c r="I273" s="12" t="n"/>
      <c r="J273" s="12">
        <f>J186-I186</f>
        <v>0</v>
      </c>
      <c r="K273" s="12">
        <f>K186-J186</f>
        <v>0</v>
      </c>
      <c r="L273" s="12">
        <f>L186-K186</f>
        <v>1757</v>
      </c>
      <c r="M273" s="12" t="n"/>
      <c r="N273" s="12">
        <f>N186-M186</f>
        <v>90</v>
      </c>
      <c r="O273" s="12">
        <f>O186-N186</f>
        <v>313</v>
      </c>
      <c r="P273" s="12">
        <f>P186-O186</f>
        <v>437</v>
      </c>
      <c r="Q273" s="12">
        <f>Q186-P186</f>
        <v>231</v>
      </c>
      <c r="R273" s="12">
        <f>SUM(N273:Q273)</f>
        <v>1071</v>
      </c>
      <c r="S273" s="12">
        <f>S186-R186</f>
        <v>-1270</v>
      </c>
      <c r="T273" s="12">
        <f>T186-S186</f>
        <v>-298</v>
      </c>
      <c r="U273" s="12">
        <f>U186-T186</f>
        <v>992</v>
      </c>
      <c r="V273" s="12">
        <f>V186-U186</f>
        <v>360</v>
      </c>
      <c r="W273" s="12">
        <f>SUM(S273:V273)</f>
        <v>-216</v>
      </c>
      <c r="X273" s="12">
        <f>X186-W186</f>
        <v>-195</v>
      </c>
      <c r="Y273" s="12">
        <f>Y186-X186</f>
        <v>5</v>
      </c>
      <c r="Z273" s="12">
        <f>Z186-Y186</f>
        <v>263</v>
      </c>
      <c r="AA273" s="12">
        <f>AA186-Z186</f>
        <v>1258</v>
      </c>
      <c r="AB273" s="12">
        <f>SUM(X273:AA273)</f>
        <v>1331</v>
      </c>
      <c r="AC273" s="12">
        <f>AC186-AB186</f>
        <v>-329</v>
      </c>
      <c r="AD273" s="12">
        <f>AD186-AC186</f>
        <v>45</v>
      </c>
      <c r="AE273" s="12">
        <f>AE186-AD186</f>
        <v>267</v>
      </c>
      <c r="AF273" s="12">
        <f>AF186-AE186</f>
        <v>368</v>
      </c>
      <c r="AG273" s="12">
        <f>SUM(AC273:AF273)</f>
        <v>351</v>
      </c>
      <c r="AH273" s="12">
        <f>AH186-AG186</f>
        <v>155</v>
      </c>
      <c r="AI273" s="12">
        <f>AI186-AH186</f>
        <v>-17</v>
      </c>
      <c r="AJ273" s="12">
        <f>AJ186-AI186</f>
        <v>-4432</v>
      </c>
      <c r="AK273" s="12">
        <f>AK186-AJ186</f>
        <v>0</v>
      </c>
      <c r="AL273" s="12">
        <f>SUM(AH273:AK273)</f>
        <v>-4294</v>
      </c>
      <c r="AM273" s="12">
        <f>AM186-AL186</f>
        <v>0</v>
      </c>
      <c r="AN273" s="12">
        <f>AN186-AM186</f>
        <v>0</v>
      </c>
      <c r="AO273" s="12">
        <f>AO186-AN186</f>
        <v>0</v>
      </c>
      <c r="AP273" s="12">
        <f>AP186-AO186</f>
        <v>0</v>
      </c>
      <c r="AQ273" s="12">
        <f>SUM(AM273:AP273)</f>
        <v>0</v>
      </c>
      <c r="AR273" s="12">
        <f>AR186-AQ186</f>
        <v>0</v>
      </c>
      <c r="AS273" s="12">
        <f>AS186-AR186</f>
        <v>0</v>
      </c>
      <c r="AT273" s="12">
        <f>AT186-AS186</f>
        <v>0</v>
      </c>
      <c r="AU273" s="12">
        <f>AU186-AT186</f>
        <v>0</v>
      </c>
      <c r="AV273" s="12">
        <f>SUM(AR273:AU273)</f>
        <v>0</v>
      </c>
      <c r="AW273" s="12">
        <f>AW186-AV186</f>
        <v>0</v>
      </c>
      <c r="AX273" s="12">
        <f>AX186-AW186</f>
        <v>0</v>
      </c>
      <c r="AY273" s="12">
        <f>AY186-AX186</f>
        <v>0</v>
      </c>
      <c r="AZ273" s="12">
        <f>AZ186-AY186</f>
        <v>0</v>
      </c>
      <c r="BA273" s="12">
        <f>SUM(AW273:AZ273)</f>
        <v>0</v>
      </c>
      <c r="BB273" s="12">
        <f>BB186-BA186</f>
        <v>0</v>
      </c>
      <c r="BC273" s="12">
        <f>BC186-BB186</f>
        <v>0</v>
      </c>
      <c r="BD273" s="12">
        <f>BD186-BC186</f>
        <v>0</v>
      </c>
      <c r="BE273" s="12">
        <f>BE186-BD186</f>
        <v>0</v>
      </c>
      <c r="BF273" s="12">
        <f>SUM(BB273:BE273)</f>
        <v>0</v>
      </c>
      <c r="BG273" s="12" t="n"/>
      <c r="BH273" s="12" t="n"/>
      <c r="BI273" s="12" t="n"/>
      <c r="BJ273" s="12" t="n"/>
      <c r="BK273" s="12" t="n"/>
      <c r="BL273" s="12" t="n"/>
      <c r="BM273" s="12" t="n"/>
      <c r="BN273" s="12" t="n"/>
      <c r="BO273" s="12" t="n"/>
      <c r="BP273" s="12" t="n"/>
      <c r="BQ273" s="12" t="n"/>
      <c r="BR273" s="12" t="n"/>
      <c r="BS273" s="12" t="n"/>
      <c r="BT273" s="12" t="n"/>
      <c r="BU273" s="12" t="n"/>
      <c r="BV273" s="12" t="n"/>
      <c r="BW273" s="12" t="n"/>
      <c r="BX273" s="12" t="n"/>
      <c r="BY273" s="12" t="n"/>
      <c r="BZ273" s="12" t="n"/>
      <c r="CA273" s="12" t="n"/>
      <c r="CB273" s="12" t="n"/>
      <c r="CC273" s="12" t="n"/>
      <c r="CD273" s="12" t="n"/>
      <c r="CE273" s="12" t="n"/>
      <c r="CF273" s="12" t="n"/>
      <c r="CG273" s="12" t="n"/>
      <c r="CH273" s="12" t="n"/>
      <c r="CI273" s="12" t="n"/>
      <c r="CJ273" s="12" t="n"/>
      <c r="CK273" s="12" t="n"/>
      <c r="CL273" s="12" t="n"/>
      <c r="CM273" s="12" t="n"/>
      <c r="CN273" s="12" t="n"/>
      <c r="CO273" s="12" t="n"/>
      <c r="CP273" s="12" t="n"/>
      <c r="CQ273" s="12" t="n"/>
      <c r="CR273" s="12" t="n"/>
      <c r="CS273" s="12" t="n"/>
      <c r="CT273" s="12" t="n"/>
      <c r="CU273" s="12" t="n"/>
      <c r="CV273" s="12" t="n"/>
      <c r="CW273" s="12" t="n"/>
      <c r="CX273" s="12" t="n"/>
      <c r="CY273" s="12" t="n"/>
    </row>
    <row r="274" hidden="1" outlineLevel="1">
      <c r="C274" s="10" t="inlineStr">
        <is>
          <t>Accrued expenses</t>
        </is>
      </c>
      <c r="D274" s="12" t="n"/>
      <c r="E274" s="12" t="n"/>
      <c r="F274" s="12" t="n"/>
      <c r="G274" s="12" t="n"/>
      <c r="H274" s="12" t="n"/>
      <c r="I274" s="12" t="n"/>
      <c r="J274" s="12">
        <f>J190-I190</f>
        <v>0</v>
      </c>
      <c r="K274" s="12">
        <f>K190-J190</f>
        <v>0</v>
      </c>
      <c r="L274" s="12">
        <f>L190-K190</f>
        <v>737</v>
      </c>
      <c r="M274" s="12" t="n"/>
      <c r="N274" s="12">
        <f>N190-M190</f>
        <v>66</v>
      </c>
      <c r="O274" s="12">
        <f>O190-N190</f>
        <v>-54</v>
      </c>
      <c r="P274" s="12">
        <f>P190-O190</f>
        <v>184</v>
      </c>
      <c r="Q274" s="12">
        <f>Q190-P190</f>
        <v>-27</v>
      </c>
      <c r="R274" s="12">
        <f>SUM(N274:Q274)</f>
        <v>169</v>
      </c>
      <c r="S274" s="12">
        <f>S190-R190</f>
        <v>-163</v>
      </c>
      <c r="T274" s="12">
        <f>T190-S190</f>
        <v>1</v>
      </c>
      <c r="U274" s="12">
        <f>U190-T190</f>
        <v>-744</v>
      </c>
      <c r="V274" s="12">
        <f>V190-U190</f>
        <v>0</v>
      </c>
      <c r="W274" s="12">
        <f>SUM(S274:V274)</f>
        <v>-906</v>
      </c>
      <c r="X274" s="12">
        <f>X190-W190</f>
        <v>0</v>
      </c>
      <c r="Y274" s="12">
        <f>Y190-X190</f>
        <v>0</v>
      </c>
      <c r="Z274" s="12">
        <f>Z190-Y190</f>
        <v>0</v>
      </c>
      <c r="AA274" s="12">
        <f>AA190-Z190</f>
        <v>0</v>
      </c>
      <c r="AB274" s="12">
        <f>SUM(X274:AA274)</f>
        <v>0</v>
      </c>
      <c r="AC274" s="12">
        <f>AC190-AB190</f>
        <v>0</v>
      </c>
      <c r="AD274" s="12">
        <f>AD190-AC190</f>
        <v>0</v>
      </c>
      <c r="AE274" s="12">
        <f>AE190-AD190</f>
        <v>0</v>
      </c>
      <c r="AF274" s="12">
        <f>AF190-AE190</f>
        <v>0</v>
      </c>
      <c r="AG274" s="12">
        <f>SUM(AC274:AF274)</f>
        <v>0</v>
      </c>
      <c r="AH274" s="12">
        <f>AH190-AG190</f>
        <v>0</v>
      </c>
      <c r="AI274" s="12">
        <f>AI190-AH190</f>
        <v>0</v>
      </c>
      <c r="AJ274" s="12">
        <f>AJ190-AI190</f>
        <v>0</v>
      </c>
      <c r="AK274" s="12">
        <f>AK190-AJ190</f>
        <v>0</v>
      </c>
      <c r="AL274" s="12">
        <f>SUM(AH274:AK274)</f>
        <v>0</v>
      </c>
      <c r="AM274" s="12">
        <f>AM190-AL190</f>
        <v>0</v>
      </c>
      <c r="AN274" s="12">
        <f>AN190-AM190</f>
        <v>0</v>
      </c>
      <c r="AO274" s="12">
        <f>AO190-AN190</f>
        <v>0</v>
      </c>
      <c r="AP274" s="12">
        <f>AP190-AO190</f>
        <v>0</v>
      </c>
      <c r="AQ274" s="12">
        <f>SUM(AM274:AP274)</f>
        <v>0</v>
      </c>
      <c r="AR274" s="12">
        <f>AR190-AQ190</f>
        <v>0</v>
      </c>
      <c r="AS274" s="12">
        <f>AS190-AR190</f>
        <v>0</v>
      </c>
      <c r="AT274" s="12">
        <f>AT190-AS190</f>
        <v>0</v>
      </c>
      <c r="AU274" s="12">
        <f>AU190-AT190</f>
        <v>0</v>
      </c>
      <c r="AV274" s="12">
        <f>SUM(AR274:AU274)</f>
        <v>0</v>
      </c>
      <c r="AW274" s="12">
        <f>AW190-AV190</f>
        <v>0</v>
      </c>
      <c r="AX274" s="12">
        <f>AX190-AW190</f>
        <v>0</v>
      </c>
      <c r="AY274" s="12">
        <f>AY190-AX190</f>
        <v>0</v>
      </c>
      <c r="AZ274" s="12">
        <f>AZ190-AY190</f>
        <v>0</v>
      </c>
      <c r="BA274" s="12">
        <f>SUM(AW274:AZ274)</f>
        <v>0</v>
      </c>
      <c r="BB274" s="12">
        <f>BB190-BA190</f>
        <v>0</v>
      </c>
      <c r="BC274" s="12">
        <f>BC190-BB190</f>
        <v>0</v>
      </c>
      <c r="BD274" s="12">
        <f>BD190-BC190</f>
        <v>0</v>
      </c>
      <c r="BE274" s="12">
        <f>BE190-BD190</f>
        <v>0</v>
      </c>
      <c r="BF274" s="12">
        <f>SUM(BB274:BE274)</f>
        <v>0</v>
      </c>
      <c r="BG274" s="12" t="n"/>
      <c r="BH274" s="12" t="n"/>
      <c r="BI274" s="12" t="n"/>
      <c r="BJ274" s="12" t="n"/>
      <c r="BK274" s="12" t="n"/>
      <c r="BL274" s="12" t="n"/>
      <c r="BM274" s="12" t="n"/>
      <c r="BN274" s="12" t="n"/>
      <c r="BO274" s="12" t="n"/>
      <c r="BP274" s="12" t="n"/>
      <c r="BQ274" s="12" t="n"/>
      <c r="BR274" s="12" t="n"/>
      <c r="BS274" s="12" t="n"/>
      <c r="BT274" s="12" t="n"/>
      <c r="BU274" s="12" t="n"/>
      <c r="BV274" s="12" t="n"/>
      <c r="BW274" s="12" t="n"/>
      <c r="BX274" s="12" t="n"/>
      <c r="BY274" s="12" t="n"/>
      <c r="BZ274" s="12" t="n"/>
      <c r="CA274" s="12" t="n"/>
      <c r="CB274" s="12" t="n"/>
      <c r="CC274" s="12" t="n"/>
      <c r="CD274" s="12" t="n"/>
      <c r="CE274" s="12" t="n"/>
      <c r="CF274" s="12" t="n"/>
      <c r="CG274" s="12" t="n"/>
      <c r="CH274" s="12" t="n"/>
      <c r="CI274" s="12" t="n"/>
      <c r="CJ274" s="12" t="n"/>
      <c r="CK274" s="12" t="n"/>
      <c r="CL274" s="12" t="n"/>
      <c r="CM274" s="12" t="n"/>
      <c r="CN274" s="12" t="n"/>
      <c r="CO274" s="12" t="n"/>
      <c r="CP274" s="12" t="n"/>
      <c r="CQ274" s="12" t="n"/>
      <c r="CR274" s="12" t="n"/>
      <c r="CS274" s="12" t="n"/>
      <c r="CT274" s="12" t="n"/>
      <c r="CU274" s="12" t="n"/>
      <c r="CV274" s="12" t="n"/>
      <c r="CW274" s="12" t="n"/>
      <c r="CX274" s="12" t="n"/>
      <c r="CY274" s="12" t="n"/>
    </row>
    <row r="275" hidden="1" outlineLevel="1">
      <c r="C275" s="10" t="inlineStr">
        <is>
          <t>Taxes payable</t>
        </is>
      </c>
      <c r="D275" s="12" t="n"/>
      <c r="E275" s="12" t="n"/>
      <c r="F275" s="12" t="n"/>
      <c r="G275" s="12" t="n"/>
      <c r="H275" s="12" t="n"/>
      <c r="I275" s="12" t="n"/>
      <c r="J275" s="12">
        <f>J192-I192</f>
        <v>0</v>
      </c>
      <c r="K275" s="12">
        <f>K192-J192</f>
        <v>0</v>
      </c>
      <c r="L275" s="12">
        <f>L192-K192</f>
        <v>0</v>
      </c>
      <c r="M275" s="12" t="n"/>
      <c r="N275" s="12">
        <f>N192-M192</f>
        <v>0</v>
      </c>
      <c r="O275" s="12">
        <f>O192-N192</f>
        <v>0</v>
      </c>
      <c r="P275" s="12">
        <f>P192-O192</f>
        <v>0</v>
      </c>
      <c r="Q275" s="12">
        <f>Q192-P192</f>
        <v>0</v>
      </c>
      <c r="R275" s="12">
        <f>SUM(N275:Q275)</f>
        <v>0</v>
      </c>
      <c r="S275" s="12">
        <f>S192-R192</f>
        <v>0</v>
      </c>
      <c r="T275" s="12">
        <f>T192-S192</f>
        <v>0</v>
      </c>
      <c r="U275" s="12">
        <f>U192-T192</f>
        <v>0</v>
      </c>
      <c r="V275" s="12">
        <f>V192-U192</f>
        <v>0</v>
      </c>
      <c r="W275" s="12">
        <f>SUM(S275:V275)</f>
        <v>0</v>
      </c>
      <c r="X275" s="12">
        <f>X192-W192</f>
        <v>0</v>
      </c>
      <c r="Y275" s="12">
        <f>Y192-X192</f>
        <v>0</v>
      </c>
      <c r="Z275" s="12">
        <f>Z192-Y192</f>
        <v>0</v>
      </c>
      <c r="AA275" s="12">
        <f>AA192-Z192</f>
        <v>0</v>
      </c>
      <c r="AB275" s="12">
        <f>SUM(X275:AA275)</f>
        <v>0</v>
      </c>
      <c r="AC275" s="12">
        <f>AC192-AB192</f>
        <v>0</v>
      </c>
      <c r="AD275" s="12">
        <f>AD192-AC192</f>
        <v>0</v>
      </c>
      <c r="AE275" s="12">
        <f>AE192-AD192</f>
        <v>0</v>
      </c>
      <c r="AF275" s="12">
        <f>AF192-AE192</f>
        <v>0</v>
      </c>
      <c r="AG275" s="12">
        <f>SUM(AC275:AF275)</f>
        <v>0</v>
      </c>
      <c r="AH275" s="12">
        <f>AH192-AG192</f>
        <v>0</v>
      </c>
      <c r="AI275" s="12">
        <f>AI192-AH192</f>
        <v>0</v>
      </c>
      <c r="AJ275" s="12">
        <f>AJ192-AI192</f>
        <v>0</v>
      </c>
      <c r="AK275" s="12">
        <f>AK192-AJ192</f>
        <v>0</v>
      </c>
      <c r="AL275" s="12">
        <f>SUM(AH275:AK275)</f>
        <v>0</v>
      </c>
      <c r="AM275" s="12">
        <f>AM192-AL192</f>
        <v>0</v>
      </c>
      <c r="AN275" s="12">
        <f>AN192-AM192</f>
        <v>0</v>
      </c>
      <c r="AO275" s="12">
        <f>AO192-AN192</f>
        <v>0</v>
      </c>
      <c r="AP275" s="12">
        <f>AP192-AO192</f>
        <v>0</v>
      </c>
      <c r="AQ275" s="12">
        <f>SUM(AM275:AP275)</f>
        <v>0</v>
      </c>
      <c r="AR275" s="12">
        <f>AR192-AQ192</f>
        <v>0</v>
      </c>
      <c r="AS275" s="12">
        <f>AS192-AR192</f>
        <v>0</v>
      </c>
      <c r="AT275" s="12">
        <f>AT192-AS192</f>
        <v>0</v>
      </c>
      <c r="AU275" s="12">
        <f>AU192-AT192</f>
        <v>0</v>
      </c>
      <c r="AV275" s="12">
        <f>SUM(AR275:AU275)</f>
        <v>0</v>
      </c>
      <c r="AW275" s="12">
        <f>AW192-AV192</f>
        <v>0</v>
      </c>
      <c r="AX275" s="12">
        <f>AX192-AW192</f>
        <v>0</v>
      </c>
      <c r="AY275" s="12">
        <f>AY192-AX192</f>
        <v>0</v>
      </c>
      <c r="AZ275" s="12">
        <f>AZ192-AY192</f>
        <v>0</v>
      </c>
      <c r="BA275" s="12">
        <f>SUM(AW275:AZ275)</f>
        <v>0</v>
      </c>
      <c r="BB275" s="12">
        <f>BB192-BA192</f>
        <v>0</v>
      </c>
      <c r="BC275" s="12">
        <f>BC192-BB192</f>
        <v>0</v>
      </c>
      <c r="BD275" s="12">
        <f>BD192-BC192</f>
        <v>0</v>
      </c>
      <c r="BE275" s="12">
        <f>BE192-BD192</f>
        <v>0</v>
      </c>
      <c r="BF275" s="12">
        <f>SUM(BB275:BE275)</f>
        <v>0</v>
      </c>
      <c r="BG275" s="12" t="n"/>
      <c r="BH275" s="12" t="n"/>
      <c r="BI275" s="12" t="n"/>
      <c r="BJ275" s="12" t="n"/>
      <c r="BK275" s="12" t="n"/>
      <c r="BL275" s="12" t="n"/>
      <c r="BM275" s="12" t="n"/>
      <c r="BN275" s="12" t="n"/>
      <c r="BO275" s="12" t="n"/>
      <c r="BP275" s="12" t="n"/>
      <c r="BQ275" s="12" t="n"/>
      <c r="BR275" s="12" t="n"/>
      <c r="BS275" s="12" t="n"/>
      <c r="BT275" s="12" t="n"/>
      <c r="BU275" s="12" t="n"/>
      <c r="BV275" s="12" t="n"/>
      <c r="BW275" s="12" t="n"/>
      <c r="BX275" s="12" t="n"/>
      <c r="BY275" s="12" t="n"/>
      <c r="BZ275" s="12" t="n"/>
      <c r="CA275" s="12" t="n"/>
      <c r="CB275" s="12" t="n"/>
      <c r="CC275" s="12" t="n"/>
      <c r="CD275" s="12" t="n"/>
      <c r="CE275" s="12" t="n"/>
      <c r="CF275" s="12" t="n"/>
      <c r="CG275" s="12" t="n"/>
      <c r="CH275" s="12" t="n"/>
      <c r="CI275" s="12" t="n"/>
      <c r="CJ275" s="12" t="n"/>
      <c r="CK275" s="12" t="n"/>
      <c r="CL275" s="12" t="n"/>
      <c r="CM275" s="12" t="n"/>
      <c r="CN275" s="12" t="n"/>
      <c r="CO275" s="12" t="n"/>
      <c r="CP275" s="12" t="n"/>
      <c r="CQ275" s="12" t="n"/>
      <c r="CR275" s="12" t="n"/>
      <c r="CS275" s="12" t="n"/>
      <c r="CT275" s="12" t="n"/>
      <c r="CU275" s="12" t="n"/>
      <c r="CV275" s="12" t="n"/>
      <c r="CW275" s="12" t="n"/>
      <c r="CX275" s="12" t="n"/>
      <c r="CY275" s="12" t="n"/>
    </row>
    <row r="276" hidden="1" outlineLevel="1">
      <c r="C276" s="10" t="inlineStr">
        <is>
          <t>Other current liabilities (non-debt)</t>
        </is>
      </c>
      <c r="D276" s="12" t="n"/>
      <c r="E276" s="12" t="n"/>
      <c r="F276" s="12" t="n"/>
      <c r="G276" s="12" t="n"/>
      <c r="H276" s="12" t="n"/>
      <c r="I276" s="12" t="n"/>
      <c r="J276" s="12">
        <f>J193-I193</f>
        <v>0</v>
      </c>
      <c r="K276" s="12">
        <f>K193-J193</f>
        <v>0</v>
      </c>
      <c r="L276" s="12">
        <f>L193-K193</f>
        <v>2200</v>
      </c>
      <c r="M276" s="12" t="n"/>
      <c r="N276" s="12">
        <f>N193-M193</f>
        <v>313</v>
      </c>
      <c r="O276" s="12">
        <f>O193-N193</f>
        <v>72</v>
      </c>
      <c r="P276" s="12">
        <f>P193-O193</f>
        <v>898</v>
      </c>
      <c r="Q276" s="12">
        <f>Q193-P193</f>
        <v>-680</v>
      </c>
      <c r="R276" s="12">
        <f>SUM(N276:Q276)</f>
        <v>603</v>
      </c>
      <c r="S276" s="12">
        <f>S193-R193</f>
        <v>-23</v>
      </c>
      <c r="T276" s="12">
        <f>T193-S193</f>
        <v>-604</v>
      </c>
      <c r="U276" s="12">
        <f>U193-T193</f>
        <v>192</v>
      </c>
      <c r="V276" s="12">
        <f>V193-U193</f>
        <v>-426</v>
      </c>
      <c r="W276" s="12">
        <f>SUM(S276:V276)</f>
        <v>-861</v>
      </c>
      <c r="X276" s="12">
        <f>X193-W193</f>
        <v>-68</v>
      </c>
      <c r="Y276" s="12">
        <f>Y193-X193</f>
        <v>-210</v>
      </c>
      <c r="Z276" s="12">
        <f>Z193-Y193</f>
        <v>69</v>
      </c>
      <c r="AA276" s="12">
        <f>AA193-Z193</f>
        <v>142</v>
      </c>
      <c r="AB276" s="12">
        <f>SUM(X276:AA276)</f>
        <v>-67</v>
      </c>
      <c r="AC276" s="12">
        <f>AC193-AB193</f>
        <v>19</v>
      </c>
      <c r="AD276" s="12">
        <f>AD193-AC193</f>
        <v>-322</v>
      </c>
      <c r="AE276" s="12">
        <f>AE193-AD193</f>
        <v>189</v>
      </c>
      <c r="AF276" s="12">
        <f>AF193-AE193</f>
        <v>147</v>
      </c>
      <c r="AG276" s="12">
        <f>SUM(AC276:AF276)</f>
        <v>33</v>
      </c>
      <c r="AH276" s="12">
        <f>AH193-AG193</f>
        <v>1386</v>
      </c>
      <c r="AI276" s="12">
        <f>AI193-AH193</f>
        <v>-283</v>
      </c>
      <c r="AJ276" s="12">
        <f>AJ193-AI193</f>
        <v>0</v>
      </c>
      <c r="AK276" s="12">
        <f>AK193-AJ193</f>
        <v>0</v>
      </c>
      <c r="AL276" s="12">
        <f>SUM(AH276:AK276)</f>
        <v>1103</v>
      </c>
      <c r="AM276" s="12">
        <f>AM193-AL193</f>
        <v>0</v>
      </c>
      <c r="AN276" s="12">
        <f>AN193-AM193</f>
        <v>0</v>
      </c>
      <c r="AO276" s="12">
        <f>AO193-AN193</f>
        <v>0</v>
      </c>
      <c r="AP276" s="12">
        <f>AP193-AO193</f>
        <v>0</v>
      </c>
      <c r="AQ276" s="12">
        <f>SUM(AM276:AP276)</f>
        <v>0</v>
      </c>
      <c r="AR276" s="12">
        <f>AR193-AQ193</f>
        <v>0</v>
      </c>
      <c r="AS276" s="12">
        <f>AS193-AR193</f>
        <v>0</v>
      </c>
      <c r="AT276" s="12">
        <f>AT193-AS193</f>
        <v>0</v>
      </c>
      <c r="AU276" s="12">
        <f>AU193-AT193</f>
        <v>0</v>
      </c>
      <c r="AV276" s="12">
        <f>SUM(AR276:AU276)</f>
        <v>0</v>
      </c>
      <c r="AW276" s="12">
        <f>AW193-AV193</f>
        <v>0</v>
      </c>
      <c r="AX276" s="12">
        <f>AX193-AW193</f>
        <v>0</v>
      </c>
      <c r="AY276" s="12">
        <f>AY193-AX193</f>
        <v>0</v>
      </c>
      <c r="AZ276" s="12">
        <f>AZ193-AY193</f>
        <v>0</v>
      </c>
      <c r="BA276" s="12">
        <f>SUM(AW276:AZ276)</f>
        <v>0</v>
      </c>
      <c r="BB276" s="12">
        <f>BB193-BA193</f>
        <v>0</v>
      </c>
      <c r="BC276" s="12">
        <f>BC193-BB193</f>
        <v>0</v>
      </c>
      <c r="BD276" s="12">
        <f>BD193-BC193</f>
        <v>0</v>
      </c>
      <c r="BE276" s="12">
        <f>BE193-BD193</f>
        <v>0</v>
      </c>
      <c r="BF276" s="12">
        <f>SUM(BB276:BE276)</f>
        <v>0</v>
      </c>
      <c r="BG276" s="12" t="n"/>
      <c r="BH276" s="12" t="n"/>
      <c r="BI276" s="12" t="n"/>
      <c r="BJ276" s="12" t="n"/>
      <c r="BK276" s="12" t="n"/>
      <c r="BL276" s="12" t="n"/>
      <c r="BM276" s="12" t="n"/>
      <c r="BN276" s="12" t="n"/>
      <c r="BO276" s="12" t="n"/>
      <c r="BP276" s="12" t="n"/>
      <c r="BQ276" s="12" t="n"/>
      <c r="BR276" s="12" t="n"/>
      <c r="BS276" s="12" t="n"/>
      <c r="BT276" s="12" t="n"/>
      <c r="BU276" s="12" t="n"/>
      <c r="BV276" s="12" t="n"/>
      <c r="BW276" s="12" t="n"/>
      <c r="BX276" s="12" t="n"/>
      <c r="BY276" s="12" t="n"/>
      <c r="BZ276" s="12" t="n"/>
      <c r="CA276" s="12" t="n"/>
      <c r="CB276" s="12" t="n"/>
      <c r="CC276" s="12" t="n"/>
      <c r="CD276" s="12" t="n"/>
      <c r="CE276" s="12" t="n"/>
      <c r="CF276" s="12" t="n"/>
      <c r="CG276" s="12" t="n"/>
      <c r="CH276" s="12" t="n"/>
      <c r="CI276" s="12" t="n"/>
      <c r="CJ276" s="12" t="n"/>
      <c r="CK276" s="12" t="n"/>
      <c r="CL276" s="12" t="n"/>
      <c r="CM276" s="12" t="n"/>
      <c r="CN276" s="12" t="n"/>
      <c r="CO276" s="12" t="n"/>
      <c r="CP276" s="12" t="n"/>
      <c r="CQ276" s="12" t="n"/>
      <c r="CR276" s="12" t="n"/>
      <c r="CS276" s="12" t="n"/>
      <c r="CT276" s="12" t="n"/>
      <c r="CU276" s="12" t="n"/>
      <c r="CV276" s="12" t="n"/>
      <c r="CW276" s="12" t="n"/>
      <c r="CX276" s="12" t="n"/>
      <c r="CY276" s="12" t="n"/>
    </row>
    <row r="277" hidden="1" outlineLevel="1">
      <c r="C277" s="10" t="inlineStr">
        <is>
          <t>Deferred income taxes</t>
        </is>
      </c>
      <c r="D277" s="12" t="n"/>
      <c r="E277" s="12" t="n"/>
      <c r="F277" s="12" t="n"/>
      <c r="G277" s="12" t="n"/>
      <c r="H277" s="12" t="n"/>
      <c r="I277" s="12" t="n"/>
      <c r="J277" s="12">
        <f>J227-I227</f>
        <v>0</v>
      </c>
      <c r="K277" s="12">
        <f>K227-J227</f>
        <v>0</v>
      </c>
      <c r="L277" s="12">
        <f>L227-K227</f>
        <v>0</v>
      </c>
      <c r="M277" s="12" t="n"/>
      <c r="N277" s="12">
        <f>N227-M227</f>
        <v>0</v>
      </c>
      <c r="O277" s="12">
        <f>O227-N227</f>
        <v>0</v>
      </c>
      <c r="P277" s="12">
        <f>P227-O227</f>
        <v>0</v>
      </c>
      <c r="Q277" s="12">
        <f>Q227-P227</f>
        <v>0</v>
      </c>
      <c r="R277" s="12">
        <f>SUM(N277:Q277)</f>
        <v>0</v>
      </c>
      <c r="S277" s="12">
        <f>S227-R227</f>
        <v>0</v>
      </c>
      <c r="T277" s="12">
        <f>T227-S227</f>
        <v>0</v>
      </c>
      <c r="U277" s="12">
        <f>U227-T227</f>
        <v>0</v>
      </c>
      <c r="V277" s="12">
        <f>V227-U227</f>
        <v>0</v>
      </c>
      <c r="W277" s="12">
        <f>SUM(S277:V277)</f>
        <v>0</v>
      </c>
      <c r="X277" s="12">
        <f>X227-W227</f>
        <v>0</v>
      </c>
      <c r="Y277" s="12">
        <f>Y227-X227</f>
        <v>0</v>
      </c>
      <c r="Z277" s="12">
        <f>Z227-Y227</f>
        <v>0</v>
      </c>
      <c r="AA277" s="12">
        <f>AA227-Z227</f>
        <v>0</v>
      </c>
      <c r="AB277" s="12">
        <f>SUM(X277:AA277)</f>
        <v>0</v>
      </c>
      <c r="AC277" s="12">
        <f>AC227-AB227</f>
        <v>0</v>
      </c>
      <c r="AD277" s="12">
        <f>AD227-AC227</f>
        <v>0</v>
      </c>
      <c r="AE277" s="12">
        <f>AE227-AD227</f>
        <v>0</v>
      </c>
      <c r="AF277" s="12">
        <f>AF227-AE227</f>
        <v>0</v>
      </c>
      <c r="AG277" s="12">
        <f>SUM(AC277:AF277)</f>
        <v>0</v>
      </c>
      <c r="AH277" s="12">
        <f>AH227-AG227</f>
        <v>0</v>
      </c>
      <c r="AI277" s="12">
        <f>AI227-AH227</f>
        <v>0</v>
      </c>
      <c r="AJ277" s="12">
        <f>AJ227-AI227</f>
        <v>0</v>
      </c>
      <c r="AK277" s="12">
        <f>AK227-AJ227</f>
        <v>0</v>
      </c>
      <c r="AL277" s="12">
        <f>SUM(AH277:AK277)</f>
        <v>0</v>
      </c>
      <c r="AM277" s="12">
        <f>AM227-AL227</f>
        <v>0</v>
      </c>
      <c r="AN277" s="12">
        <f>AN227-AM227</f>
        <v>0</v>
      </c>
      <c r="AO277" s="12">
        <f>AO227-AN227</f>
        <v>0</v>
      </c>
      <c r="AP277" s="12">
        <f>AP227-AO227</f>
        <v>0</v>
      </c>
      <c r="AQ277" s="12">
        <f>SUM(AM277:AP277)</f>
        <v>0</v>
      </c>
      <c r="AR277" s="12">
        <f>AR227-AQ227</f>
        <v>0</v>
      </c>
      <c r="AS277" s="12">
        <f>AS227-AR227</f>
        <v>0</v>
      </c>
      <c r="AT277" s="12">
        <f>AT227-AS227</f>
        <v>0</v>
      </c>
      <c r="AU277" s="12">
        <f>AU227-AT227</f>
        <v>0</v>
      </c>
      <c r="AV277" s="12">
        <f>SUM(AR277:AU277)</f>
        <v>0</v>
      </c>
      <c r="AW277" s="12">
        <f>AW227-AV227</f>
        <v>0</v>
      </c>
      <c r="AX277" s="12">
        <f>AX227-AW227</f>
        <v>0</v>
      </c>
      <c r="AY277" s="12">
        <f>AY227-AX227</f>
        <v>0</v>
      </c>
      <c r="AZ277" s="12">
        <f>AZ227-AY227</f>
        <v>0</v>
      </c>
      <c r="BA277" s="12">
        <f>SUM(AW277:AZ277)</f>
        <v>0</v>
      </c>
      <c r="BB277" s="12">
        <f>BB227-BA227</f>
        <v>0</v>
      </c>
      <c r="BC277" s="12">
        <f>BC227-BB227</f>
        <v>0</v>
      </c>
      <c r="BD277" s="12">
        <f>BD227-BC227</f>
        <v>0</v>
      </c>
      <c r="BE277" s="12">
        <f>BE227-BD227</f>
        <v>0</v>
      </c>
      <c r="BF277" s="12">
        <f>SUM(BB277:BE277)</f>
        <v>0</v>
      </c>
      <c r="BG277" s="12" t="n"/>
      <c r="BH277" s="12" t="n"/>
      <c r="BI277" s="12" t="n"/>
      <c r="BJ277" s="12" t="n"/>
      <c r="BK277" s="12" t="n"/>
      <c r="BL277" s="12" t="n"/>
      <c r="BM277" s="12" t="n"/>
      <c r="BN277" s="12" t="n"/>
      <c r="BO277" s="12" t="n"/>
      <c r="BP277" s="12" t="n"/>
      <c r="BQ277" s="12" t="n"/>
      <c r="BR277" s="12" t="n"/>
      <c r="BS277" s="12" t="n"/>
      <c r="BT277" s="12" t="n"/>
      <c r="BU277" s="12" t="n"/>
      <c r="BV277" s="12" t="n"/>
      <c r="BW277" s="12" t="n"/>
      <c r="BX277" s="12" t="n"/>
      <c r="BY277" s="12" t="n"/>
      <c r="BZ277" s="12" t="n"/>
      <c r="CA277" s="12" t="n"/>
      <c r="CB277" s="12" t="n"/>
      <c r="CC277" s="12" t="n"/>
      <c r="CD277" s="12" t="n"/>
      <c r="CE277" s="12" t="n"/>
      <c r="CF277" s="12" t="n"/>
      <c r="CG277" s="12" t="n"/>
      <c r="CH277" s="12" t="n"/>
      <c r="CI277" s="12" t="n"/>
      <c r="CJ277" s="12" t="n"/>
      <c r="CK277" s="12" t="n"/>
      <c r="CL277" s="12" t="n"/>
      <c r="CM277" s="12" t="n"/>
      <c r="CN277" s="12" t="n"/>
      <c r="CO277" s="12" t="n"/>
      <c r="CP277" s="12" t="n"/>
      <c r="CQ277" s="12" t="n"/>
      <c r="CR277" s="12" t="n"/>
      <c r="CS277" s="12" t="n"/>
      <c r="CT277" s="12" t="n"/>
      <c r="CU277" s="12" t="n"/>
      <c r="CV277" s="12" t="n"/>
      <c r="CW277" s="12" t="n"/>
      <c r="CX277" s="12" t="n"/>
      <c r="CY277" s="12" t="n"/>
    </row>
    <row r="278" collapsed="1">
      <c r="C278" s="10" t="inlineStr">
        <is>
          <t>Equity income in affiliates</t>
        </is>
      </c>
      <c r="D278" s="12" t="n"/>
      <c r="E278" s="12" t="n"/>
      <c r="F278" s="12" t="n"/>
      <c r="G278" s="12" t="n"/>
      <c r="H278" s="12" t="n"/>
      <c r="I278" s="12" t="n"/>
      <c r="J278" s="12">
        <f>(J149-I149)*-1</f>
        <v>0</v>
      </c>
      <c r="K278" s="12">
        <f>(K149-J149)*-1</f>
        <v>0</v>
      </c>
      <c r="L278" s="12">
        <f>(L149-K149)*-1</f>
        <v>0</v>
      </c>
      <c r="M278" s="12" t="n"/>
      <c r="N278" s="12">
        <f>(N149-M149)*-1</f>
        <v>0</v>
      </c>
      <c r="O278" s="12">
        <f>(O149-N149)*-1</f>
        <v>0</v>
      </c>
      <c r="P278" s="12">
        <f>(P149-O149)*-1</f>
        <v>0</v>
      </c>
      <c r="Q278" s="12">
        <f>(Q149-P149)*-1</f>
        <v>0</v>
      </c>
      <c r="R278" s="12">
        <f>SUM(N278:Q278)</f>
        <v>0</v>
      </c>
      <c r="S278" s="12">
        <f>(S149-R149)*-1</f>
        <v>0</v>
      </c>
      <c r="T278" s="12">
        <f>(T149-S149)*-1</f>
        <v>0</v>
      </c>
      <c r="U278" s="12">
        <f>(U149-T149)*-1</f>
        <v>0</v>
      </c>
      <c r="V278" s="12">
        <f>(V149-U149)*-1</f>
        <v>0</v>
      </c>
      <c r="W278" s="12">
        <f>SUM(S278:V278)</f>
        <v>0</v>
      </c>
      <c r="X278" s="12">
        <f>(X149-W149)*-1</f>
        <v>0</v>
      </c>
      <c r="Y278" s="12">
        <f>(Y149-X149)*-1</f>
        <v>0</v>
      </c>
      <c r="Z278" s="12">
        <f>(Z149-Y149)*-1</f>
        <v>0</v>
      </c>
      <c r="AA278" s="12">
        <f>(AA149-Z149)*-1</f>
        <v>0</v>
      </c>
      <c r="AB278" s="12">
        <f>SUM(X278:AA278)</f>
        <v>0</v>
      </c>
      <c r="AC278" s="12">
        <f>(AC149-AB149)*-1</f>
        <v>0</v>
      </c>
      <c r="AD278" s="12">
        <f>(AD149-AC149)*-1</f>
        <v>0</v>
      </c>
      <c r="AE278" s="12">
        <f>(AE149-AD149)*-1</f>
        <v>0</v>
      </c>
      <c r="AF278" s="12">
        <f>(AF149-AE149)*-1</f>
        <v>0</v>
      </c>
      <c r="AG278" s="12">
        <f>SUM(AC278:AF278)</f>
        <v>0</v>
      </c>
      <c r="AH278" s="12">
        <f>(AH149-AG149)*-1</f>
        <v>0</v>
      </c>
      <c r="AI278" s="12">
        <f>(AI149-AH149)*-1</f>
        <v>0</v>
      </c>
      <c r="AJ278" s="12">
        <f>(AJ149-AI149)*-1</f>
        <v>0</v>
      </c>
      <c r="AK278" s="12">
        <f>(AK149-AJ149)*-1</f>
        <v>0</v>
      </c>
      <c r="AL278" s="12">
        <f>SUM(AH278:AK278)</f>
        <v>0</v>
      </c>
      <c r="AM278" s="12">
        <f>(AM149-AL149)*-1</f>
        <v>0</v>
      </c>
      <c r="AN278" s="12">
        <f>(AN149-AM149)*-1</f>
        <v>0</v>
      </c>
      <c r="AO278" s="12">
        <f>(AO149-AN149)*-1</f>
        <v>0</v>
      </c>
      <c r="AP278" s="12">
        <f>(AP149-AO149)*-1</f>
        <v>0</v>
      </c>
      <c r="AQ278" s="12">
        <f>SUM(AM278:AP278)</f>
        <v>0</v>
      </c>
      <c r="AR278" s="12">
        <f>(AR149-AQ149)*-1</f>
        <v>0</v>
      </c>
      <c r="AS278" s="12">
        <f>(AS149-AR149)*-1</f>
        <v>0</v>
      </c>
      <c r="AT278" s="12">
        <f>(AT149-AS149)*-1</f>
        <v>0</v>
      </c>
      <c r="AU278" s="12">
        <f>(AU149-AT149)*-1</f>
        <v>0</v>
      </c>
      <c r="AV278" s="12">
        <f>SUM(AR278:AU278)</f>
        <v>0</v>
      </c>
      <c r="AW278" s="12">
        <f>(AW149-AV149)*-1</f>
        <v>0</v>
      </c>
      <c r="AX278" s="12">
        <f>(AX149-AW149)*-1</f>
        <v>0</v>
      </c>
      <c r="AY278" s="12">
        <f>(AY149-AX149)*-1</f>
        <v>0</v>
      </c>
      <c r="AZ278" s="12">
        <f>(AZ149-AY149)*-1</f>
        <v>0</v>
      </c>
      <c r="BA278" s="12">
        <f>SUM(AW278:AZ278)</f>
        <v>0</v>
      </c>
      <c r="BB278" s="12">
        <f>(BB149-BA149)*-1</f>
        <v>0</v>
      </c>
      <c r="BC278" s="12">
        <f>(BC149-BB149)*-1</f>
        <v>0</v>
      </c>
      <c r="BD278" s="12">
        <f>(BD149-BC149)*-1</f>
        <v>0</v>
      </c>
      <c r="BE278" s="12">
        <f>(BE149-BD149)*-1</f>
        <v>0</v>
      </c>
      <c r="BF278" s="12">
        <f>SUM(BB278:BE278)</f>
        <v>0</v>
      </c>
      <c r="BG278" s="12" t="n"/>
      <c r="BH278" s="12" t="n"/>
      <c r="BI278" s="12" t="n"/>
      <c r="BJ278" s="12" t="n"/>
      <c r="BK278" s="12" t="n"/>
      <c r="BL278" s="12" t="n"/>
      <c r="BM278" s="12" t="n"/>
      <c r="BN278" s="12" t="n"/>
      <c r="BO278" s="12" t="n"/>
      <c r="BP278" s="12" t="n"/>
      <c r="BQ278" s="12" t="n"/>
      <c r="BR278" s="12" t="n"/>
      <c r="BS278" s="12" t="n"/>
      <c r="BT278" s="12" t="n"/>
      <c r="BU278" s="12" t="n"/>
      <c r="BV278" s="12" t="n"/>
      <c r="BW278" s="12" t="n"/>
      <c r="BX278" s="12" t="n"/>
      <c r="BY278" s="12" t="n"/>
      <c r="BZ278" s="12" t="n"/>
      <c r="CA278" s="12" t="n"/>
      <c r="CB278" s="12" t="n"/>
      <c r="CC278" s="12" t="n"/>
      <c r="CD278" s="12" t="n"/>
      <c r="CE278" s="12" t="n"/>
      <c r="CF278" s="12" t="n"/>
      <c r="CG278" s="12" t="n"/>
      <c r="CH278" s="12" t="n"/>
      <c r="CI278" s="12" t="n"/>
      <c r="CJ278" s="12" t="n"/>
      <c r="CK278" s="12" t="n"/>
      <c r="CL278" s="12" t="n"/>
      <c r="CM278" s="12" t="n"/>
      <c r="CN278" s="12" t="n"/>
      <c r="CO278" s="12" t="n"/>
      <c r="CP278" s="12" t="n"/>
      <c r="CQ278" s="12" t="n"/>
      <c r="CR278" s="12" t="n"/>
      <c r="CS278" s="12" t="n"/>
      <c r="CT278" s="12" t="n"/>
      <c r="CU278" s="12" t="n"/>
      <c r="CV278" s="12" t="n"/>
      <c r="CW278" s="12" t="n"/>
      <c r="CX278" s="12" t="n"/>
      <c r="CY278" s="12" t="n"/>
    </row>
    <row r="279">
      <c r="C279" s="10" t="inlineStr">
        <is>
          <t>Dividends received from affiliates</t>
        </is>
      </c>
      <c r="D279" s="12" t="n"/>
      <c r="E279" s="12" t="n"/>
      <c r="F279" s="12" t="n"/>
      <c r="G279" s="12" t="n"/>
      <c r="H279" s="12" t="n"/>
      <c r="I279" s="12" t="n"/>
      <c r="J279" s="12">
        <f>-J152</f>
        <v>0</v>
      </c>
      <c r="K279" s="12">
        <f>-K152</f>
        <v>0</v>
      </c>
      <c r="L279" s="12">
        <f>-L152</f>
        <v>0</v>
      </c>
      <c r="M279" s="12" t="n"/>
      <c r="N279" s="12">
        <f>-N152</f>
        <v>0</v>
      </c>
      <c r="O279" s="12">
        <f>-O152</f>
        <v>0</v>
      </c>
      <c r="P279" s="12">
        <f>-P152</f>
        <v>0</v>
      </c>
      <c r="Q279" s="12">
        <f>-Q152</f>
        <v>0</v>
      </c>
      <c r="R279" s="12">
        <f>SUM(N279:Q279)</f>
        <v>0</v>
      </c>
      <c r="S279" s="12">
        <f>-S152</f>
        <v>0</v>
      </c>
      <c r="T279" s="12">
        <f>-T152</f>
        <v>0</v>
      </c>
      <c r="U279" s="12">
        <f>-U152</f>
        <v>0</v>
      </c>
      <c r="V279" s="12">
        <f>-V152</f>
        <v>0</v>
      </c>
      <c r="W279" s="12">
        <f>SUM(S279:V279)</f>
        <v>0</v>
      </c>
      <c r="X279" s="12">
        <f>-X152</f>
        <v>0</v>
      </c>
      <c r="Y279" s="12">
        <f>-Y152</f>
        <v>0</v>
      </c>
      <c r="Z279" s="12">
        <f>-Z152</f>
        <v>0</v>
      </c>
      <c r="AA279" s="12">
        <f>-AA152</f>
        <v>0</v>
      </c>
      <c r="AB279" s="12">
        <f>SUM(X279:AA279)</f>
        <v>0</v>
      </c>
      <c r="AC279" s="12">
        <f>-AC152</f>
        <v>0</v>
      </c>
      <c r="AD279" s="12">
        <f>-AD152</f>
        <v>0</v>
      </c>
      <c r="AE279" s="12">
        <f>-AE152</f>
        <v>0</v>
      </c>
      <c r="AF279" s="12">
        <f>-AF152</f>
        <v>0</v>
      </c>
      <c r="AG279" s="12">
        <f>SUM(AC279:AF279)</f>
        <v>0</v>
      </c>
      <c r="AH279" s="12">
        <f>-AH152</f>
        <v>0</v>
      </c>
      <c r="AI279" s="12">
        <f>-AI152</f>
        <v>0</v>
      </c>
      <c r="AJ279" s="12">
        <f>-AJ152</f>
        <v>0</v>
      </c>
      <c r="AK279" s="12">
        <f>-AK152</f>
        <v>0</v>
      </c>
      <c r="AL279" s="12">
        <f>SUM(AH279:AK279)</f>
        <v>0</v>
      </c>
      <c r="AM279" s="12">
        <f>-AM152</f>
        <v>0</v>
      </c>
      <c r="AN279" s="12">
        <f>-AN152</f>
        <v>0</v>
      </c>
      <c r="AO279" s="12">
        <f>-AO152</f>
        <v>0</v>
      </c>
      <c r="AP279" s="12">
        <f>-AP152</f>
        <v>0</v>
      </c>
      <c r="AQ279" s="12">
        <f>SUM(AM279:AP279)</f>
        <v>0</v>
      </c>
      <c r="AR279" s="12">
        <f>-AR152</f>
        <v>0</v>
      </c>
      <c r="AS279" s="12">
        <f>-AS152</f>
        <v>0</v>
      </c>
      <c r="AT279" s="12">
        <f>-AT152</f>
        <v>0</v>
      </c>
      <c r="AU279" s="12">
        <f>-AU152</f>
        <v>0</v>
      </c>
      <c r="AV279" s="12">
        <f>SUM(AR279:AU279)</f>
        <v>0</v>
      </c>
      <c r="AW279" s="12">
        <f>-AW152</f>
        <v>0</v>
      </c>
      <c r="AX279" s="12">
        <f>-AX152</f>
        <v>0</v>
      </c>
      <c r="AY279" s="12">
        <f>-AY152</f>
        <v>0</v>
      </c>
      <c r="AZ279" s="12">
        <f>-AZ152</f>
        <v>0</v>
      </c>
      <c r="BA279" s="12">
        <f>SUM(AW279:AZ279)</f>
        <v>0</v>
      </c>
      <c r="BB279" s="12">
        <f>-BB152</f>
        <v>0</v>
      </c>
      <c r="BC279" s="12">
        <f>-BC152</f>
        <v>0</v>
      </c>
      <c r="BD279" s="12">
        <f>-BD152</f>
        <v>0</v>
      </c>
      <c r="BE279" s="12">
        <f>-BE152</f>
        <v>0</v>
      </c>
      <c r="BF279" s="12">
        <f>SUM(BB279:BE279)</f>
        <v>0</v>
      </c>
      <c r="BG279" s="12" t="n"/>
      <c r="BH279" s="12" t="n"/>
      <c r="BI279" s="12" t="n"/>
      <c r="BJ279" s="12" t="n"/>
      <c r="BK279" s="12" t="n"/>
      <c r="BL279" s="12" t="n"/>
      <c r="BM279" s="12" t="n"/>
      <c r="BN279" s="12" t="n"/>
      <c r="BO279" s="12" t="n"/>
      <c r="BP279" s="12" t="n"/>
      <c r="BQ279" s="12" t="n"/>
      <c r="BR279" s="12" t="n"/>
      <c r="BS279" s="12" t="n"/>
      <c r="BT279" s="12" t="n"/>
      <c r="BU279" s="12" t="n"/>
      <c r="BV279" s="12" t="n"/>
      <c r="BW279" s="12" t="n"/>
      <c r="BX279" s="12" t="n"/>
      <c r="BY279" s="12" t="n"/>
      <c r="BZ279" s="12" t="n"/>
      <c r="CA279" s="12" t="n"/>
      <c r="CB279" s="12" t="n"/>
      <c r="CC279" s="12" t="n"/>
      <c r="CD279" s="12" t="n"/>
      <c r="CE279" s="12" t="n"/>
      <c r="CF279" s="12" t="n"/>
      <c r="CG279" s="12" t="n"/>
      <c r="CH279" s="12" t="n"/>
      <c r="CI279" s="12" t="n"/>
      <c r="CJ279" s="12" t="n"/>
      <c r="CK279" s="12" t="n"/>
      <c r="CL279" s="12" t="n"/>
      <c r="CM279" s="12" t="n"/>
      <c r="CN279" s="12" t="n"/>
      <c r="CO279" s="12" t="n"/>
      <c r="CP279" s="12" t="n"/>
      <c r="CQ279" s="12" t="n"/>
      <c r="CR279" s="12" t="n"/>
      <c r="CS279" s="12" t="n"/>
      <c r="CT279" s="12" t="n"/>
      <c r="CU279" s="12" t="n"/>
      <c r="CV279" s="12" t="n"/>
      <c r="CW279" s="12" t="n"/>
      <c r="CX279" s="12" t="n"/>
      <c r="CY279" s="12" t="n"/>
    </row>
    <row r="280">
      <c r="C280" s="71" t="inlineStr">
        <is>
          <t>Minority interest expense</t>
        </is>
      </c>
      <c r="D280" s="12" t="n"/>
      <c r="E280" s="12" t="n"/>
      <c r="F280" s="12" t="n"/>
      <c r="G280" s="12" t="n"/>
      <c r="H280" s="12" t="n"/>
      <c r="I280" s="12" t="n"/>
      <c r="J280" s="12">
        <f>-J124</f>
        <v>74</v>
      </c>
      <c r="K280" s="12">
        <f>-K124</f>
        <v>26</v>
      </c>
      <c r="L280" s="12">
        <f>-L124</f>
        <v>-3</v>
      </c>
      <c r="M280" s="12" t="n"/>
      <c r="N280" s="12">
        <f>-N124</f>
        <v>5</v>
      </c>
      <c r="O280" s="12">
        <f>-O124</f>
        <v>-2</v>
      </c>
      <c r="P280" s="12">
        <f>-P124</f>
        <v>-5</v>
      </c>
      <c r="Q280" s="12">
        <f>-Q124</f>
        <v>-6</v>
      </c>
      <c r="R280" s="12">
        <f>SUM(N280:Q280)</f>
        <v>-8</v>
      </c>
      <c r="S280" s="12">
        <f>-S124</f>
        <v>6</v>
      </c>
      <c r="T280" s="12">
        <f>-T124</f>
        <v>-9</v>
      </c>
      <c r="U280" s="12">
        <f>-U124</f>
        <v>-41</v>
      </c>
      <c r="V280" s="12">
        <f>-V124</f>
        <v>-2</v>
      </c>
      <c r="W280" s="12">
        <f>SUM(S280:V280)</f>
        <v>-46</v>
      </c>
      <c r="X280" s="12">
        <f>-X124</f>
        <v>0</v>
      </c>
      <c r="Y280" s="12">
        <f>-Y124</f>
        <v>-5</v>
      </c>
      <c r="Z280" s="12">
        <f>-Z124</f>
        <v>-4</v>
      </c>
      <c r="AA280" s="12">
        <f>-AA124</f>
        <v>-2</v>
      </c>
      <c r="AB280" s="12">
        <f>SUM(X280:AA280)</f>
        <v>-11</v>
      </c>
      <c r="AC280" s="12">
        <f>-AC124</f>
        <v>11</v>
      </c>
      <c r="AD280" s="12">
        <f>-AD124</f>
        <v>-6</v>
      </c>
      <c r="AE280" s="12">
        <f>-AE124</f>
        <v>-1</v>
      </c>
      <c r="AF280" s="12">
        <f>-AF124</f>
        <v>0</v>
      </c>
      <c r="AG280" s="12">
        <f>SUM(AC280:AF280)</f>
        <v>4</v>
      </c>
      <c r="AH280" s="12">
        <f>-AH124</f>
        <v>13</v>
      </c>
      <c r="AI280" s="12">
        <f>-AI124</f>
        <v>-5</v>
      </c>
      <c r="AJ280" s="12">
        <f>-AJ124</f>
        <v>0</v>
      </c>
      <c r="AK280" s="12">
        <f>-AK124</f>
        <v>0</v>
      </c>
      <c r="AL280" s="12">
        <f>SUM(AH280:AK280)</f>
        <v>8</v>
      </c>
      <c r="AM280" s="12">
        <f>-AM124</f>
        <v>0</v>
      </c>
      <c r="AN280" s="12">
        <f>-AN124</f>
        <v>0</v>
      </c>
      <c r="AO280" s="12">
        <f>-AO124</f>
        <v>0</v>
      </c>
      <c r="AP280" s="12">
        <f>-AP124</f>
        <v>0</v>
      </c>
      <c r="AQ280" s="12">
        <f>SUM(AM280:AP280)</f>
        <v>0</v>
      </c>
      <c r="AR280" s="12">
        <f>-AR124</f>
        <v>0</v>
      </c>
      <c r="AS280" s="12">
        <f>-AS124</f>
        <v>0</v>
      </c>
      <c r="AT280" s="12">
        <f>-AT124</f>
        <v>0</v>
      </c>
      <c r="AU280" s="12">
        <f>-AU124</f>
        <v>0</v>
      </c>
      <c r="AV280" s="12">
        <f>SUM(AR280:AU280)</f>
        <v>0</v>
      </c>
      <c r="AW280" s="12">
        <f>-AW124</f>
        <v>0</v>
      </c>
      <c r="AX280" s="12">
        <f>-AX124</f>
        <v>0</v>
      </c>
      <c r="AY280" s="12">
        <f>-AY124</f>
        <v>0</v>
      </c>
      <c r="AZ280" s="12">
        <f>-AZ124</f>
        <v>0</v>
      </c>
      <c r="BA280" s="12">
        <f>SUM(AW280:AZ280)</f>
        <v>0</v>
      </c>
      <c r="BB280" s="12">
        <f>-BB124</f>
        <v>0</v>
      </c>
      <c r="BC280" s="12">
        <f>-BC124</f>
        <v>0</v>
      </c>
      <c r="BD280" s="12">
        <f>-BD124</f>
        <v>0</v>
      </c>
      <c r="BE280" s="12">
        <f>-BE124</f>
        <v>0</v>
      </c>
      <c r="BF280" s="12">
        <f>SUM(BB280:BE280)</f>
        <v>0</v>
      </c>
      <c r="BG280" s="12" t="n"/>
      <c r="BH280" s="12" t="n"/>
      <c r="BI280" s="12" t="n"/>
      <c r="BJ280" s="12" t="n"/>
      <c r="BK280" s="12" t="n"/>
      <c r="BL280" s="12" t="n"/>
      <c r="BM280" s="12" t="n"/>
      <c r="BN280" s="12" t="n"/>
      <c r="BO280" s="12" t="n"/>
      <c r="BP280" s="12" t="n"/>
      <c r="BQ280" s="12" t="n"/>
      <c r="BR280" s="12" t="n"/>
      <c r="BS280" s="12" t="n"/>
      <c r="BT280" s="12" t="n"/>
      <c r="BU280" s="12" t="n"/>
      <c r="BV280" s="12" t="n"/>
      <c r="BW280" s="12" t="n"/>
      <c r="BX280" s="12" t="n"/>
      <c r="BY280" s="12" t="n"/>
      <c r="BZ280" s="12" t="n"/>
      <c r="CA280" s="12" t="n"/>
      <c r="CB280" s="12" t="n"/>
      <c r="CC280" s="12" t="n"/>
      <c r="CD280" s="12" t="n"/>
      <c r="CE280" s="12" t="n"/>
      <c r="CF280" s="12" t="n"/>
      <c r="CG280" s="12" t="n"/>
      <c r="CH280" s="12" t="n"/>
      <c r="CI280" s="12" t="n"/>
      <c r="CJ280" s="12" t="n"/>
      <c r="CK280" s="12" t="n"/>
      <c r="CL280" s="12" t="n"/>
      <c r="CM280" s="12" t="n"/>
      <c r="CN280" s="12" t="n"/>
      <c r="CO280" s="12" t="n"/>
      <c r="CP280" s="12" t="n"/>
      <c r="CQ280" s="12" t="n"/>
      <c r="CR280" s="12" t="n"/>
      <c r="CS280" s="12" t="n"/>
      <c r="CT280" s="12" t="n"/>
      <c r="CU280" s="12" t="n"/>
      <c r="CV280" s="12" t="n"/>
      <c r="CW280" s="12" t="n"/>
      <c r="CX280" s="12" t="n"/>
      <c r="CY280" s="12" t="n"/>
    </row>
    <row r="281">
      <c r="C281" s="14" t="inlineStr">
        <is>
          <t>Cash from operations</t>
        </is>
      </c>
      <c r="D281" s="12" t="n"/>
      <c r="E281" s="12" t="n"/>
      <c r="F281" s="12" t="n"/>
      <c r="G281" s="12" t="n"/>
      <c r="H281" s="12" t="n"/>
      <c r="I281" s="12" t="n"/>
      <c r="J281" s="12">
        <f>SUM(J265,J266,J267,J278,J279,J280)</f>
        <v>1353</v>
      </c>
      <c r="K281" s="12">
        <f>SUM(K265,K266,K267,K278,K279,K280)</f>
        <v>1898</v>
      </c>
      <c r="L281" s="12">
        <f>SUM(L265,L266,L267,L278,L279,L280)</f>
        <v>-1611</v>
      </c>
      <c r="M281" s="12" t="n"/>
      <c r="N281" s="12">
        <f>SUM(N265,N266,N267,N278,N279,N280)</f>
        <v>2613</v>
      </c>
      <c r="O281" s="12">
        <f>SUM(O265,O266,O267,O278,O279,O280)</f>
        <v>-67</v>
      </c>
      <c r="P281" s="12">
        <f>SUM(P265,P266,P267,P278,P279,P280)</f>
        <v>940</v>
      </c>
      <c r="Q281" s="12">
        <f>SUM(Q265,Q266,Q267,Q278,Q279,Q280)</f>
        <v>-904</v>
      </c>
      <c r="R281" s="12">
        <f>SUM(R265,R266,R267,R278,R279,R280)</f>
        <v>2582</v>
      </c>
      <c r="S281" s="12">
        <f>SUM(S265,S266,S267,S278,S279,S280)</f>
        <v>125</v>
      </c>
      <c r="T281" s="12">
        <f>SUM(T265,T266,T267,T278,T279,T280)</f>
        <v>1093</v>
      </c>
      <c r="U281" s="12">
        <f>SUM(U265,U266,U267,U278,U279,U280)</f>
        <v>2696</v>
      </c>
      <c r="V281" s="12">
        <f>SUM(V265,V266,V267,V278,V279,V280)</f>
        <v>-881</v>
      </c>
      <c r="W281" s="12">
        <f>SUM(W265,W266,W267,W278,W279,W280)</f>
        <v>3033</v>
      </c>
      <c r="X281" s="12">
        <f>SUM(X265,X266,X267,X278,X279,X280)</f>
        <v>1552</v>
      </c>
      <c r="Y281" s="12">
        <f>SUM(Y265,Y266,Y267,Y278,Y279,Y280)</f>
        <v>1406</v>
      </c>
      <c r="Z281" s="12">
        <f>SUM(Z265,Z266,Z267,Z278,Z279,Z280)</f>
        <v>3742</v>
      </c>
      <c r="AA281" s="12">
        <f>SUM(AA265,AA266,AA267,AA278,AA279,AA280)</f>
        <v>3906</v>
      </c>
      <c r="AB281" s="12">
        <f>SUM(AB265,AB266,AB267,AB278,AB279,AB280)</f>
        <v>10606</v>
      </c>
      <c r="AC281" s="12">
        <f>SUM(AC265,AC266,AC267,AC278,AC279,AC280)</f>
        <v>-759</v>
      </c>
      <c r="AD281" s="12">
        <f>SUM(AD265,AD266,AD267,AD278,AD279,AD280)</f>
        <v>1862</v>
      </c>
      <c r="AE281" s="12">
        <f>SUM(AE265,AE266,AE267,AE278,AE279,AE280)</f>
        <v>3628</v>
      </c>
      <c r="AF281" s="12">
        <f>SUM(AF265,AF266,AF267,AF278,AF279,AF280)</f>
        <v>472</v>
      </c>
      <c r="AG281" s="12">
        <f>SUM(AG265,AG266,AG267,AG278,AG279,AG280)</f>
        <v>5203</v>
      </c>
      <c r="AH281" s="12">
        <f>SUM(AH265,AH266,AH267,AH278,AH279,AH280)</f>
        <v>-6962</v>
      </c>
      <c r="AI281" s="12">
        <f>SUM(AI265,AI266,AI267,AI278,AI279,AI280)</f>
        <v>221</v>
      </c>
      <c r="AJ281" s="12">
        <f>SUM(AJ265,AJ266,AJ267,AJ278,AJ279,AJ280)</f>
        <v>1257.86092598657</v>
      </c>
      <c r="AK281" s="12">
        <f>SUM(AK265,AK266,AK267,AK278,AK279,AK280)</f>
        <v>1953.06926642641</v>
      </c>
      <c r="AL281" s="12">
        <f>SUM(AL265,AL266,AL267,AL278,AL279,AL280)</f>
        <v>-3530.06980758702</v>
      </c>
      <c r="AM281" s="12">
        <f>SUM(AM265,AM266,AM267,AM278,AM279,AM280)</f>
        <v>-309.718677721352</v>
      </c>
      <c r="AN281" s="12">
        <f>SUM(AN265,AN266,AN267,AN278,AN279,AN280)</f>
        <v>4398.59918299301</v>
      </c>
      <c r="AO281" s="12">
        <f>SUM(AO265,AO266,AO267,AO278,AO279,AO280)</f>
        <v>1939.07880067969</v>
      </c>
      <c r="AP281" s="12">
        <f>SUM(AP265,AP266,AP267,AP278,AP279,AP280)</f>
        <v>2348.94964797568</v>
      </c>
      <c r="AQ281" s="12">
        <f>SUM(AQ265,AQ266,AQ267,AQ278,AQ279,AQ280)</f>
        <v>8376.90895392703</v>
      </c>
      <c r="AR281" s="12">
        <f>SUM(AR265,AR266,AR267,AR278,AR279,AR280)</f>
        <v>-258.189167756981</v>
      </c>
      <c r="AS281" s="12">
        <f>SUM(AS265,AS266,AS267,AS278,AS279,AS280)</f>
        <v>5174.45174268362</v>
      </c>
      <c r="AT281" s="12">
        <f>SUM(AT265,AT266,AT267,AT278,AT279,AT280)</f>
        <v>2322.42796923385</v>
      </c>
      <c r="AU281" s="12">
        <f>SUM(AU265,AU266,AU267,AU278,AU279,AU280)</f>
        <v>2813.32886464879</v>
      </c>
      <c r="AV281" s="12">
        <f>SUM(AV265,AV266,AV267,AV278,AV279,AV280)</f>
        <v>10052.0194088093</v>
      </c>
      <c r="AW281" s="12">
        <f>SUM(AW265,AW266,AW267,AW278,AW279,AW280)</f>
        <v>-396.858314656965</v>
      </c>
      <c r="AX281" s="12">
        <f>SUM(AX265,AX266,AX267,AX278,AX279,AX280)</f>
        <v>6283.34842747698</v>
      </c>
      <c r="AY281" s="12">
        <f>SUM(AY265,AY266,AY267,AY278,AY279,AY280)</f>
        <v>2769.95180195396</v>
      </c>
      <c r="AZ281" s="12">
        <f>SUM(AZ265,AZ266,AZ267,AZ278,AZ279,AZ280)</f>
        <v>3355.4476011128</v>
      </c>
      <c r="BA281" s="12">
        <f>SUM(BA265,BA266,BA267,BA278,BA279,BA280)</f>
        <v>12011.8895158868</v>
      </c>
      <c r="BB281" s="12">
        <f>SUM(BB265,BB266,BB267,BB278,BB279,BB280)</f>
        <v>-443.943048470996</v>
      </c>
      <c r="BC281" s="12">
        <f>SUM(BC265,BC266,BC267,BC278,BC279,BC280)</f>
        <v>7462.71118327512</v>
      </c>
      <c r="BD281" s="12">
        <f>SUM(BD265,BD266,BD267,BD278,BD279,BD280)</f>
        <v>3289.86216953676</v>
      </c>
      <c r="BE281" s="12">
        <f>SUM(BE265,BE266,BE267,BE278,BE279,BE280)</f>
        <v>3985.2535040418</v>
      </c>
      <c r="BF281" s="12">
        <f>SUM(BF265,BF266,BF267,BF278,BF279,BF280)</f>
        <v>14293.8838083827</v>
      </c>
      <c r="BG281" s="12" t="n"/>
      <c r="BH281" s="12" t="n"/>
      <c r="BI281" s="12" t="n"/>
      <c r="BJ281" s="12" t="n"/>
      <c r="BK281" s="12" t="n"/>
      <c r="BL281" s="12" t="n"/>
      <c r="BM281" s="12" t="n"/>
      <c r="BN281" s="12" t="n"/>
      <c r="BO281" s="12" t="n"/>
      <c r="BP281" s="12" t="n"/>
      <c r="BQ281" s="12" t="n"/>
      <c r="BR281" s="12" t="n"/>
      <c r="BS281" s="12" t="n"/>
      <c r="BT281" s="12" t="n"/>
      <c r="BU281" s="12" t="n"/>
      <c r="BV281" s="12" t="n"/>
      <c r="BW281" s="12" t="n"/>
      <c r="BX281" s="12" t="n"/>
      <c r="BY281" s="12" t="n"/>
      <c r="BZ281" s="12" t="n"/>
      <c r="CA281" s="12" t="n"/>
      <c r="CB281" s="12" t="n"/>
      <c r="CC281" s="12" t="n"/>
      <c r="CD281" s="12" t="n"/>
      <c r="CE281" s="12" t="n"/>
      <c r="CF281" s="12" t="n"/>
      <c r="CG281" s="12" t="n"/>
      <c r="CH281" s="12" t="n"/>
      <c r="CI281" s="12" t="n"/>
      <c r="CJ281" s="12" t="n"/>
      <c r="CK281" s="12" t="n"/>
      <c r="CL281" s="12" t="n"/>
      <c r="CM281" s="12" t="n"/>
      <c r="CN281" s="12" t="n"/>
      <c r="CO281" s="12" t="n"/>
      <c r="CP281" s="12" t="n"/>
      <c r="CQ281" s="12" t="n"/>
      <c r="CR281" s="12" t="n"/>
      <c r="CS281" s="12" t="n"/>
      <c r="CT281" s="12" t="n"/>
      <c r="CU281" s="12" t="n"/>
      <c r="CV281" s="12" t="n"/>
      <c r="CW281" s="12" t="n"/>
      <c r="CX281" s="12" t="n"/>
      <c r="CY281" s="12" t="n"/>
    </row>
    <row r="282">
      <c r="C282" s="14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  <c r="AA282" s="12" t="n"/>
      <c r="AB282" s="12" t="n"/>
      <c r="AC282" s="12" t="n"/>
      <c r="AD282" s="12" t="n"/>
      <c r="AE282" s="12" t="n"/>
      <c r="AF282" s="12" t="n"/>
      <c r="AG282" s="12" t="n"/>
      <c r="AH282" s="12" t="n"/>
      <c r="AI282" s="12" t="n"/>
      <c r="AJ282" s="12" t="n"/>
      <c r="AK282" s="12" t="n"/>
      <c r="AL282" s="12" t="n"/>
      <c r="AM282" s="12" t="n"/>
      <c r="AN282" s="12" t="n"/>
      <c r="AO282" s="12" t="n"/>
      <c r="AP282" s="12" t="n"/>
      <c r="AQ282" s="12" t="n"/>
      <c r="AR282" s="12" t="n"/>
      <c r="AS282" s="12" t="n"/>
      <c r="AT282" s="12" t="n"/>
      <c r="AU282" s="12" t="n"/>
      <c r="AV282" s="12" t="n"/>
      <c r="AW282" s="12" t="n"/>
      <c r="AX282" s="12" t="n"/>
      <c r="AY282" s="12" t="n"/>
      <c r="AZ282" s="12" t="n"/>
      <c r="BA282" s="12" t="n"/>
      <c r="BB282" s="12" t="n"/>
      <c r="BC282" s="12" t="n"/>
      <c r="BD282" s="12" t="n"/>
      <c r="BE282" s="12" t="n"/>
      <c r="BF282" s="12" t="n"/>
      <c r="BG282" s="12" t="n"/>
      <c r="BH282" s="12" t="n"/>
      <c r="BI282" s="12" t="n"/>
      <c r="BJ282" s="12" t="n"/>
      <c r="BK282" s="12" t="n"/>
      <c r="BL282" s="12" t="n"/>
      <c r="BM282" s="12" t="n"/>
      <c r="BN282" s="12" t="n"/>
      <c r="BO282" s="12" t="n"/>
      <c r="BP282" s="12" t="n"/>
      <c r="BQ282" s="12" t="n"/>
      <c r="BR282" s="12" t="n"/>
      <c r="BS282" s="12" t="n"/>
      <c r="BT282" s="12" t="n"/>
      <c r="BU282" s="12" t="n"/>
      <c r="BV282" s="12" t="n"/>
      <c r="BW282" s="12" t="n"/>
      <c r="BX282" s="12" t="n"/>
      <c r="BY282" s="12" t="n"/>
      <c r="BZ282" s="12" t="n"/>
      <c r="CA282" s="12" t="n"/>
      <c r="CB282" s="12" t="n"/>
      <c r="CC282" s="12" t="n"/>
      <c r="CD282" s="12" t="n"/>
      <c r="CE282" s="12" t="n"/>
      <c r="CF282" s="12" t="n"/>
      <c r="CG282" s="12" t="n"/>
      <c r="CH282" s="12" t="n"/>
      <c r="CI282" s="12" t="n"/>
      <c r="CJ282" s="12" t="n"/>
      <c r="CK282" s="12" t="n"/>
      <c r="CL282" s="12" t="n"/>
      <c r="CM282" s="12" t="n"/>
      <c r="CN282" s="12" t="n"/>
      <c r="CO282" s="12" t="n"/>
      <c r="CP282" s="12" t="n"/>
      <c r="CQ282" s="12" t="n"/>
      <c r="CR282" s="12" t="n"/>
      <c r="CS282" s="12" t="n"/>
      <c r="CT282" s="12" t="n"/>
      <c r="CU282" s="12" t="n"/>
      <c r="CV282" s="12" t="n"/>
      <c r="CW282" s="12" t="n"/>
      <c r="CX282" s="12" t="n"/>
      <c r="CY282" s="12" t="n"/>
    </row>
    <row r="283">
      <c r="C283" s="10" t="inlineStr">
        <is>
          <t>Purchase of fixed assets (capital expenditures)</t>
        </is>
      </c>
      <c r="D283" s="12" t="n"/>
      <c r="E283" s="12" t="n"/>
      <c r="F283" s="12" t="n"/>
      <c r="G283" s="12" t="n"/>
      <c r="H283" s="12" t="n"/>
      <c r="I283" s="12" t="n"/>
      <c r="J283" s="12">
        <f>-J156</f>
        <v>-1340</v>
      </c>
      <c r="K283" s="12">
        <f>-K156</f>
        <v>-1265</v>
      </c>
      <c r="L283" s="12">
        <f>-L156</f>
        <v>-20201</v>
      </c>
      <c r="M283" s="12" t="n"/>
      <c r="N283" s="12">
        <f>-N156</f>
        <v>-827</v>
      </c>
      <c r="O283" s="12">
        <f>-O156</f>
        <v>-507</v>
      </c>
      <c r="P283" s="12">
        <f>-P156</f>
        <v>-569</v>
      </c>
      <c r="Q283" s="12">
        <f>-Q156</f>
        <v>-734</v>
      </c>
      <c r="R283" s="12">
        <f>SUM(N283:Q283)</f>
        <v>-2637</v>
      </c>
      <c r="S283" s="12">
        <f>-S156</f>
        <v>-857</v>
      </c>
      <c r="T283" s="12">
        <f>-T156</f>
        <v>-779</v>
      </c>
      <c r="U283" s="12">
        <f>-U156</f>
        <v>-1231</v>
      </c>
      <c r="V283" s="12">
        <f>-V156</f>
        <v>-1941</v>
      </c>
      <c r="W283" s="12">
        <f>SUM(S283:V283)</f>
        <v>-4808</v>
      </c>
      <c r="X283" s="12">
        <f>-X156</f>
        <v>-1024</v>
      </c>
      <c r="Y283" s="12">
        <f>-Y156</f>
        <v>-221</v>
      </c>
      <c r="Z283" s="12">
        <f>-Z156</f>
        <v>420</v>
      </c>
      <c r="AA283" s="12">
        <f>-AA156</f>
        <v>-994</v>
      </c>
      <c r="AB283" s="12">
        <f>SUM(X283:AA283)</f>
        <v>-1819</v>
      </c>
      <c r="AC283" s="12">
        <f>-AC156</f>
        <v>-971</v>
      </c>
      <c r="AD283" s="12">
        <f>-AD156</f>
        <v>-914</v>
      </c>
      <c r="AE283" s="12">
        <f>-AE156</f>
        <v>-815</v>
      </c>
      <c r="AF283" s="12">
        <f>-AF156</f>
        <v>-1140</v>
      </c>
      <c r="AG283" s="12">
        <f>SUM(AC283:AF283)</f>
        <v>-3840</v>
      </c>
      <c r="AH283" s="12">
        <f>-AH156</f>
        <v>-19497</v>
      </c>
      <c r="AI283" s="12">
        <f>-AI156</f>
        <v>-1625</v>
      </c>
      <c r="AJ283" s="12">
        <f>-AJ156</f>
        <v>-4466.64646802369</v>
      </c>
      <c r="AK283" s="12">
        <f>-AK156</f>
        <v>-4129.4384546082</v>
      </c>
      <c r="AL283" s="12">
        <f>SUM(AH283:AK283)</f>
        <v>-29718.0849226319</v>
      </c>
      <c r="AM283" s="12">
        <f>-AM156</f>
        <v>-7561.34581694969</v>
      </c>
      <c r="AN283" s="12">
        <f>-AN156</f>
        <v>-5101.63091264076</v>
      </c>
      <c r="AO283" s="12">
        <f>-AO156</f>
        <v>-5372.02024989798</v>
      </c>
      <c r="AP283" s="12">
        <f>-AP156</f>
        <v>-4966.46133909898</v>
      </c>
      <c r="AQ283" s="12">
        <f>SUM(AM283:AP283)</f>
        <v>-23001.4583185874</v>
      </c>
      <c r="AR283" s="12">
        <f>-AR156</f>
        <v>-9056.19771830723</v>
      </c>
      <c r="AS283" s="12">
        <f>-AS156</f>
        <v>-6110.2056894603</v>
      </c>
      <c r="AT283" s="12">
        <f>-AT156</f>
        <v>-6434.05006298894</v>
      </c>
      <c r="AU283" s="12">
        <f>-AU156</f>
        <v>-5948.31355899465</v>
      </c>
      <c r="AV283" s="12">
        <f>SUM(AR283:AU283)</f>
        <v>-27548.7670297511</v>
      </c>
      <c r="AW283" s="12">
        <f>-AW156</f>
        <v>-10801.2956789148</v>
      </c>
      <c r="AX283" s="12">
        <f>-AX156</f>
        <v>-7287.62118095456</v>
      </c>
      <c r="AY283" s="12">
        <f>-AY156</f>
        <v>-7673.86924457232</v>
      </c>
      <c r="AZ283" s="12">
        <f>-AZ156</f>
        <v>-7094.53299718908</v>
      </c>
      <c r="BA283" s="12">
        <f>SUM(AW283:AZ283)</f>
        <v>-32857.3191016308</v>
      </c>
      <c r="BB283" s="12">
        <f>-BB156</f>
        <v>-12828.6614990831</v>
      </c>
      <c r="BC283" s="12">
        <f>-BC156</f>
        <v>-8655.48245721273</v>
      </c>
      <c r="BD283" s="12">
        <f>-BD156</f>
        <v>-9114.22794572864</v>
      </c>
      <c r="BE283" s="12">
        <f>-BE156</f>
        <v>-8426.15228955186</v>
      </c>
      <c r="BF283" s="12">
        <f>SUM(BB283:BE283)</f>
        <v>-39024.5241915764</v>
      </c>
      <c r="BG283" s="12" t="n"/>
      <c r="BH283" s="12" t="n"/>
      <c r="BI283" s="12" t="n"/>
      <c r="BJ283" s="12" t="n"/>
      <c r="BK283" s="12" t="n"/>
      <c r="BL283" s="12" t="n"/>
      <c r="BM283" s="12" t="n"/>
      <c r="BN283" s="12" t="n"/>
      <c r="BO283" s="12" t="n"/>
      <c r="BP283" s="12" t="n"/>
      <c r="BQ283" s="12" t="n"/>
      <c r="BR283" s="12" t="n"/>
      <c r="BS283" s="12" t="n"/>
      <c r="BT283" s="12" t="n"/>
      <c r="BU283" s="12" t="n"/>
      <c r="BV283" s="12" t="n"/>
      <c r="BW283" s="12" t="n"/>
      <c r="BX283" s="12" t="n"/>
      <c r="BY283" s="12" t="n"/>
      <c r="BZ283" s="12" t="n"/>
      <c r="CA283" s="12" t="n"/>
      <c r="CB283" s="12" t="n"/>
      <c r="CC283" s="12" t="n"/>
      <c r="CD283" s="12" t="n"/>
      <c r="CE283" s="12" t="n"/>
      <c r="CF283" s="12" t="n"/>
      <c r="CG283" s="12" t="n"/>
      <c r="CH283" s="12" t="n"/>
      <c r="CI283" s="12" t="n"/>
      <c r="CJ283" s="12" t="n"/>
      <c r="CK283" s="12" t="n"/>
      <c r="CL283" s="12" t="n"/>
      <c r="CM283" s="12" t="n"/>
      <c r="CN283" s="12" t="n"/>
      <c r="CO283" s="12" t="n"/>
      <c r="CP283" s="12" t="n"/>
      <c r="CQ283" s="12" t="n"/>
      <c r="CR283" s="12" t="n"/>
      <c r="CS283" s="12" t="n"/>
      <c r="CT283" s="12" t="n"/>
      <c r="CU283" s="12" t="n"/>
      <c r="CV283" s="12" t="n"/>
      <c r="CW283" s="12" t="n"/>
      <c r="CX283" s="12" t="n"/>
      <c r="CY283" s="12" t="n"/>
    </row>
    <row r="284">
      <c r="C284" s="10" t="inlineStr">
        <is>
          <t>Proceeds from sale of fixed assets</t>
        </is>
      </c>
      <c r="D284" s="12" t="n"/>
      <c r="E284" s="12" t="n"/>
      <c r="F284" s="12" t="n"/>
      <c r="G284" s="12" t="n"/>
      <c r="H284" s="12" t="n"/>
      <c r="I284" s="12" t="n"/>
      <c r="J284" s="12">
        <f>-J157</f>
        <v>0</v>
      </c>
      <c r="K284" s="12">
        <f>-K157</f>
        <v>0</v>
      </c>
      <c r="L284" s="12">
        <f>-L157</f>
        <v>0</v>
      </c>
      <c r="M284" s="12" t="n"/>
      <c r="N284" s="12">
        <f>-N157</f>
        <v>0</v>
      </c>
      <c r="O284" s="12">
        <f>-O157</f>
        <v>0</v>
      </c>
      <c r="P284" s="12">
        <f>-P157</f>
        <v>0</v>
      </c>
      <c r="Q284" s="12">
        <f>-Q157</f>
        <v>0</v>
      </c>
      <c r="R284" s="12">
        <f>SUM(N284:Q284)</f>
        <v>0</v>
      </c>
      <c r="S284" s="12">
        <f>-S157</f>
        <v>0</v>
      </c>
      <c r="T284" s="12">
        <f>-T157</f>
        <v>0</v>
      </c>
      <c r="U284" s="12">
        <f>-U157</f>
        <v>0</v>
      </c>
      <c r="V284" s="12">
        <f>-V157</f>
        <v>0</v>
      </c>
      <c r="W284" s="12">
        <f>SUM(S284:V284)</f>
        <v>0</v>
      </c>
      <c r="X284" s="12">
        <f>-X157</f>
        <v>0</v>
      </c>
      <c r="Y284" s="12">
        <f>-Y157</f>
        <v>0</v>
      </c>
      <c r="Z284" s="12">
        <f>-Z157</f>
        <v>0</v>
      </c>
      <c r="AA284" s="12">
        <f>-AA157</f>
        <v>0</v>
      </c>
      <c r="AB284" s="12">
        <f>SUM(X284:AA284)</f>
        <v>0</v>
      </c>
      <c r="AC284" s="12">
        <f>-AC157</f>
        <v>0</v>
      </c>
      <c r="AD284" s="12">
        <f>-AD157</f>
        <v>0</v>
      </c>
      <c r="AE284" s="12">
        <f>-AE157</f>
        <v>0</v>
      </c>
      <c r="AF284" s="12">
        <f>-AF157</f>
        <v>0</v>
      </c>
      <c r="AG284" s="12">
        <f>SUM(AC284:AF284)</f>
        <v>0</v>
      </c>
      <c r="AH284" s="12">
        <f>-AH157</f>
        <v>0</v>
      </c>
      <c r="AI284" s="12">
        <f>-AI157</f>
        <v>0</v>
      </c>
      <c r="AJ284" s="12">
        <f>-AJ157</f>
        <v>0</v>
      </c>
      <c r="AK284" s="12">
        <f>-AK157</f>
        <v>0</v>
      </c>
      <c r="AL284" s="12">
        <f>SUM(AH284:AK284)</f>
        <v>0</v>
      </c>
      <c r="AM284" s="12">
        <f>-AM157</f>
        <v>0</v>
      </c>
      <c r="AN284" s="12">
        <f>-AN157</f>
        <v>0</v>
      </c>
      <c r="AO284" s="12">
        <f>-AO157</f>
        <v>0</v>
      </c>
      <c r="AP284" s="12">
        <f>-AP157</f>
        <v>0</v>
      </c>
      <c r="AQ284" s="12">
        <f>SUM(AM284:AP284)</f>
        <v>0</v>
      </c>
      <c r="AR284" s="12">
        <f>-AR157</f>
        <v>0</v>
      </c>
      <c r="AS284" s="12">
        <f>-AS157</f>
        <v>0</v>
      </c>
      <c r="AT284" s="12">
        <f>-AT157</f>
        <v>0</v>
      </c>
      <c r="AU284" s="12">
        <f>-AU157</f>
        <v>0</v>
      </c>
      <c r="AV284" s="12">
        <f>SUM(AR284:AU284)</f>
        <v>0</v>
      </c>
      <c r="AW284" s="12">
        <f>-AW157</f>
        <v>0</v>
      </c>
      <c r="AX284" s="12">
        <f>-AX157</f>
        <v>0</v>
      </c>
      <c r="AY284" s="12">
        <f>-AY157</f>
        <v>0</v>
      </c>
      <c r="AZ284" s="12">
        <f>-AZ157</f>
        <v>0</v>
      </c>
      <c r="BA284" s="12">
        <f>SUM(AW284:AZ284)</f>
        <v>0</v>
      </c>
      <c r="BB284" s="12">
        <f>-BB157</f>
        <v>0</v>
      </c>
      <c r="BC284" s="12">
        <f>-BC157</f>
        <v>0</v>
      </c>
      <c r="BD284" s="12">
        <f>-BD157</f>
        <v>0</v>
      </c>
      <c r="BE284" s="12">
        <f>-BE157</f>
        <v>0</v>
      </c>
      <c r="BF284" s="12">
        <f>SUM(BB284:BE284)</f>
        <v>0</v>
      </c>
      <c r="BG284" s="12" t="n"/>
      <c r="BH284" s="12" t="n"/>
      <c r="BI284" s="12" t="n"/>
      <c r="BJ284" s="12" t="n"/>
      <c r="BK284" s="12" t="n"/>
      <c r="BL284" s="12" t="n"/>
      <c r="BM284" s="12" t="n"/>
      <c r="BN284" s="12" t="n"/>
      <c r="BO284" s="12" t="n"/>
      <c r="BP284" s="12" t="n"/>
      <c r="BQ284" s="12" t="n"/>
      <c r="BR284" s="12" t="n"/>
      <c r="BS284" s="12" t="n"/>
      <c r="BT284" s="12" t="n"/>
      <c r="BU284" s="12" t="n"/>
      <c r="BV284" s="12" t="n"/>
      <c r="BW284" s="12" t="n"/>
      <c r="BX284" s="12" t="n"/>
      <c r="BY284" s="12" t="n"/>
      <c r="BZ284" s="12" t="n"/>
      <c r="CA284" s="12" t="n"/>
      <c r="CB284" s="12" t="n"/>
      <c r="CC284" s="12" t="n"/>
      <c r="CD284" s="12" t="n"/>
      <c r="CE284" s="12" t="n"/>
      <c r="CF284" s="12" t="n"/>
      <c r="CG284" s="12" t="n"/>
      <c r="CH284" s="12" t="n"/>
      <c r="CI284" s="12" t="n"/>
      <c r="CJ284" s="12" t="n"/>
      <c r="CK284" s="12" t="n"/>
      <c r="CL284" s="12" t="n"/>
      <c r="CM284" s="12" t="n"/>
      <c r="CN284" s="12" t="n"/>
      <c r="CO284" s="12" t="n"/>
      <c r="CP284" s="12" t="n"/>
      <c r="CQ284" s="12" t="n"/>
      <c r="CR284" s="12" t="n"/>
      <c r="CS284" s="12" t="n"/>
      <c r="CT284" s="12" t="n"/>
      <c r="CU284" s="12" t="n"/>
      <c r="CV284" s="12" t="n"/>
      <c r="CW284" s="12" t="n"/>
      <c r="CX284" s="12" t="n"/>
      <c r="CY284" s="12" t="n"/>
    </row>
    <row r="285">
      <c r="C285" s="10" t="inlineStr">
        <is>
          <t>Var.Right-of-use-assets</t>
        </is>
      </c>
      <c r="D285" s="12" t="n"/>
      <c r="E285" s="12" t="n"/>
      <c r="F285" s="12" t="n"/>
      <c r="G285" s="12" t="n"/>
      <c r="H285" s="12" t="n"/>
      <c r="I285" s="12" t="n"/>
      <c r="J285" s="12">
        <f>(J164-I164)*-1</f>
        <v>0</v>
      </c>
      <c r="K285" s="12">
        <f>(K164-J164)*-1</f>
        <v>0</v>
      </c>
      <c r="L285" s="12">
        <f>(L164-K164)*-1</f>
        <v>0</v>
      </c>
      <c r="M285" s="12" t="n"/>
      <c r="N285" s="12">
        <f>(N164-M164)*-1</f>
        <v>0</v>
      </c>
      <c r="O285" s="12">
        <f>(O164-N164)*-1</f>
        <v>0</v>
      </c>
      <c r="P285" s="12">
        <f>(P164-O164)*-1</f>
        <v>0</v>
      </c>
      <c r="Q285" s="12">
        <f>(Q164-P164)*-1</f>
        <v>0</v>
      </c>
      <c r="R285" s="12">
        <f>SUM(N285:Q285)</f>
        <v>0</v>
      </c>
      <c r="S285" s="12">
        <f>(S164-R164)*-1</f>
        <v>0</v>
      </c>
      <c r="T285" s="12">
        <f>(T164-S164)*-1</f>
        <v>0</v>
      </c>
      <c r="U285" s="12">
        <f>(U164-T164)*-1</f>
        <v>0</v>
      </c>
      <c r="V285" s="12">
        <f>(V164-U164)*-1</f>
        <v>0</v>
      </c>
      <c r="W285" s="12">
        <f>SUM(S285:V285)</f>
        <v>0</v>
      </c>
      <c r="X285" s="12">
        <f>(X164-W164)*-1</f>
        <v>0</v>
      </c>
      <c r="Y285" s="12">
        <f>(Y164-X164)*-1</f>
        <v>0</v>
      </c>
      <c r="Z285" s="12">
        <f>(Z164-Y164)*-1</f>
        <v>0</v>
      </c>
      <c r="AA285" s="12">
        <f>(AA164-Z164)*-1</f>
        <v>0</v>
      </c>
      <c r="AB285" s="12">
        <f>SUM(X285:AA285)</f>
        <v>0</v>
      </c>
      <c r="AC285" s="12">
        <f>(AC164-AB164)*-1</f>
        <v>0</v>
      </c>
      <c r="AD285" s="12">
        <f>(AD164-AC164)*-1</f>
        <v>0</v>
      </c>
      <c r="AE285" s="12">
        <f>(AE164-AD164)*-1</f>
        <v>0</v>
      </c>
      <c r="AF285" s="12">
        <f>(AF164-AE164)*-1</f>
        <v>0</v>
      </c>
      <c r="AG285" s="12">
        <f>SUM(AC285:AF285)</f>
        <v>0</v>
      </c>
      <c r="AH285" s="12">
        <f>(AH164-AG164)*-1</f>
        <v>0</v>
      </c>
      <c r="AI285" s="12">
        <f>(AI164-AH164)*-1</f>
        <v>0</v>
      </c>
      <c r="AJ285" s="12">
        <f>(AJ164-AI164)*-1</f>
        <v>0</v>
      </c>
      <c r="AK285" s="12">
        <f>(AK164-AJ164)*-1</f>
        <v>0</v>
      </c>
      <c r="AL285" s="12">
        <f>SUM(AH285:AK285)</f>
        <v>0</v>
      </c>
      <c r="AM285" s="12">
        <f>(AM164-AL164)*-1</f>
        <v>0</v>
      </c>
      <c r="AN285" s="12">
        <f>(AN164-AM164)*-1</f>
        <v>0</v>
      </c>
      <c r="AO285" s="12">
        <f>(AO164-AN164)*-1</f>
        <v>0</v>
      </c>
      <c r="AP285" s="12">
        <f>(AP164-AO164)*-1</f>
        <v>0</v>
      </c>
      <c r="AQ285" s="12">
        <f>SUM(AM285:AP285)</f>
        <v>0</v>
      </c>
      <c r="AR285" s="12">
        <f>(AR164-AQ164)*-1</f>
        <v>0</v>
      </c>
      <c r="AS285" s="12">
        <f>(AS164-AR164)*-1</f>
        <v>0</v>
      </c>
      <c r="AT285" s="12">
        <f>(AT164-AS164)*-1</f>
        <v>0</v>
      </c>
      <c r="AU285" s="12">
        <f>(AU164-AT164)*-1</f>
        <v>0</v>
      </c>
      <c r="AV285" s="12">
        <f>SUM(AR285:AU285)</f>
        <v>0</v>
      </c>
      <c r="AW285" s="12">
        <f>(AW164-AV164)*-1</f>
        <v>0</v>
      </c>
      <c r="AX285" s="12">
        <f>(AX164-AW164)*-1</f>
        <v>0</v>
      </c>
      <c r="AY285" s="12">
        <f>(AY164-AX164)*-1</f>
        <v>0</v>
      </c>
      <c r="AZ285" s="12">
        <f>(AZ164-AY164)*-1</f>
        <v>0</v>
      </c>
      <c r="BA285" s="12">
        <f>SUM(AW285:AZ285)</f>
        <v>0</v>
      </c>
      <c r="BB285" s="12">
        <f>(BB164-BA164)*-1</f>
        <v>0</v>
      </c>
      <c r="BC285" s="12">
        <f>(BC164-BB164)*-1</f>
        <v>0</v>
      </c>
      <c r="BD285" s="12">
        <f>(BD164-BC164)*-1</f>
        <v>0</v>
      </c>
      <c r="BE285" s="12">
        <f>(BE164-BD164)*-1</f>
        <v>0</v>
      </c>
      <c r="BF285" s="12">
        <f>SUM(BB285:BE285)</f>
        <v>0</v>
      </c>
      <c r="BG285" s="12" t="n"/>
      <c r="BH285" s="12" t="n"/>
      <c r="BI285" s="12" t="n"/>
      <c r="BJ285" s="12" t="n"/>
      <c r="BK285" s="12" t="n"/>
      <c r="BL285" s="12" t="n"/>
      <c r="BM285" s="12" t="n"/>
      <c r="BN285" s="12" t="n"/>
      <c r="BO285" s="12" t="n"/>
      <c r="BP285" s="12" t="n"/>
      <c r="BQ285" s="12" t="n"/>
      <c r="BR285" s="12" t="n"/>
      <c r="BS285" s="12" t="n"/>
      <c r="BT285" s="12" t="n"/>
      <c r="BU285" s="12" t="n"/>
      <c r="BV285" s="12" t="n"/>
      <c r="BW285" s="12" t="n"/>
      <c r="BX285" s="12" t="n"/>
      <c r="BY285" s="12" t="n"/>
      <c r="BZ285" s="12" t="n"/>
      <c r="CA285" s="12" t="n"/>
      <c r="CB285" s="12" t="n"/>
      <c r="CC285" s="12" t="n"/>
      <c r="CD285" s="12" t="n"/>
      <c r="CE285" s="12" t="n"/>
      <c r="CF285" s="12" t="n"/>
      <c r="CG285" s="12" t="n"/>
      <c r="CH285" s="12" t="n"/>
      <c r="CI285" s="12" t="n"/>
      <c r="CJ285" s="12" t="n"/>
      <c r="CK285" s="12" t="n"/>
      <c r="CL285" s="12" t="n"/>
      <c r="CM285" s="12" t="n"/>
      <c r="CN285" s="12" t="n"/>
      <c r="CO285" s="12" t="n"/>
      <c r="CP285" s="12" t="n"/>
      <c r="CQ285" s="12" t="n"/>
      <c r="CR285" s="12" t="n"/>
      <c r="CS285" s="12" t="n"/>
      <c r="CT285" s="12" t="n"/>
      <c r="CU285" s="12" t="n"/>
      <c r="CV285" s="12" t="n"/>
      <c r="CW285" s="12" t="n"/>
      <c r="CX285" s="12" t="n"/>
      <c r="CY285" s="12" t="n"/>
      <c r="CZ285" s="12" t="n"/>
      <c r="DA285" s="12" t="n"/>
      <c r="DB285" s="12" t="n"/>
      <c r="DC285" s="12" t="n"/>
    </row>
    <row r="286">
      <c r="C286" s="10" t="inlineStr">
        <is>
          <t>Purchases of intangible assets</t>
        </is>
      </c>
      <c r="D286" s="12" t="n"/>
      <c r="E286" s="12" t="n"/>
      <c r="F286" s="12" t="n"/>
      <c r="G286" s="12" t="n"/>
      <c r="H286" s="12" t="n"/>
      <c r="I286" s="12" t="n"/>
      <c r="J286" s="12">
        <f>((J168-I168)*-1)+((J167-I167)*-1)</f>
        <v>0</v>
      </c>
      <c r="K286" s="12">
        <f>((K168-J168)*-1)+((K167-J167)*-1)</f>
        <v>0</v>
      </c>
      <c r="L286" s="12">
        <f>((L168-K168)*-1)+((L167-K167)*-1)</f>
        <v>0</v>
      </c>
      <c r="M286" s="12" t="n"/>
      <c r="N286" s="12">
        <f>((N168-M168)*-1)+((N167-M167)*-1)</f>
        <v>0</v>
      </c>
      <c r="O286" s="12">
        <f>((O168-N168)*-1)+((O167-N167)*-1)</f>
        <v>0</v>
      </c>
      <c r="P286" s="12">
        <f>((P168-O168)*-1)+((P167-O167)*-1)</f>
        <v>0</v>
      </c>
      <c r="Q286" s="12">
        <f>((Q168-P168)*-1)+((Q167-P167)*-1)</f>
        <v>0</v>
      </c>
      <c r="R286" s="12">
        <f>SUM(N286:Q286)</f>
        <v>0</v>
      </c>
      <c r="S286" s="12">
        <f>((S168-R168)*-1)+((S167-R167)*-1)</f>
        <v>0</v>
      </c>
      <c r="T286" s="12">
        <f>((T168-S168)*-1)+((T167-S167)*-1)</f>
        <v>0</v>
      </c>
      <c r="U286" s="12">
        <f>((U168-T168)*-1)+((U167-T167)*-1)</f>
        <v>0</v>
      </c>
      <c r="V286" s="12">
        <f>((V168-U168)*-1)+((V167-U167)*-1)</f>
        <v>-425</v>
      </c>
      <c r="W286" s="12">
        <f>SUM(S286:V286)</f>
        <v>-425</v>
      </c>
      <c r="X286" s="12">
        <f>((X168-W168)*-1)+((X167-W167)*-1)</f>
        <v>0</v>
      </c>
      <c r="Y286" s="12">
        <f>((Y168-X168)*-1)+((Y167-X167)*-1)</f>
        <v>5</v>
      </c>
      <c r="Z286" s="12">
        <f>((Z168-Y168)*-1)+((Z167-Y167)*-1)</f>
        <v>0</v>
      </c>
      <c r="AA286" s="12">
        <f>((AA168-Z168)*-1)+((AA167-Z167)*-1)</f>
        <v>0</v>
      </c>
      <c r="AB286" s="12">
        <f>SUM(X286:AA286)</f>
        <v>5</v>
      </c>
      <c r="AC286" s="12">
        <f>((AC168-AB168)*-1)+((AC167-AB167)*-1)</f>
        <v>0</v>
      </c>
      <c r="AD286" s="12">
        <f>((AD168-AC168)*-1)+((AD167-AC167)*-1)</f>
        <v>0</v>
      </c>
      <c r="AE286" s="12">
        <f>((AE168-AD168)*-1)+((AE167-AD167)*-1)</f>
        <v>0</v>
      </c>
      <c r="AF286" s="12">
        <f>((AF168-AE168)*-1)+((AF167-AE167)*-1)</f>
        <v>0</v>
      </c>
      <c r="AG286" s="12">
        <f>SUM(AC286:AF286)</f>
        <v>0</v>
      </c>
      <c r="AH286" s="12">
        <f>((AH168-AG168)*-1)+((AH167-AG167)*-1)</f>
        <v>-11107</v>
      </c>
      <c r="AI286" s="12">
        <f>((AI168-AH168)*-1)+((AI167-AH167)*-1)</f>
        <v>0</v>
      </c>
      <c r="AJ286" s="12">
        <f>((AJ168-AI168)*-1)+((AJ167-AI167)*-1)</f>
        <v>0</v>
      </c>
      <c r="AK286" s="12">
        <f>((AK168-AJ168)*-1)+((AK167-AJ167)*-1)</f>
        <v>0</v>
      </c>
      <c r="AL286" s="12">
        <f>SUM(AH286:AK286)</f>
        <v>-11107</v>
      </c>
      <c r="AM286" s="12">
        <f>((AM168-AL168)*-1)+((AM167-AL167)*-1)</f>
        <v>0</v>
      </c>
      <c r="AN286" s="12">
        <f>((AN168-AM168)*-1)+((AN167-AM167)*-1)</f>
        <v>0</v>
      </c>
      <c r="AO286" s="12">
        <f>((AO168-AN168)*-1)+((AO167-AN167)*-1)</f>
        <v>0</v>
      </c>
      <c r="AP286" s="12">
        <f>((AP168-AO168)*-1)+((AP167-AO167)*-1)</f>
        <v>0</v>
      </c>
      <c r="AQ286" s="12">
        <f>SUM(AM286:AP286)</f>
        <v>0</v>
      </c>
      <c r="AR286" s="12">
        <f>((AR168-AQ168)*-1)+((AR167-AQ167)*-1)</f>
        <v>0</v>
      </c>
      <c r="AS286" s="12">
        <f>((AS168-AR168)*-1)+((AS167-AR167)*-1)</f>
        <v>0</v>
      </c>
      <c r="AT286" s="12">
        <f>((AT168-AS168)*-1)+((AT167-AS167)*-1)</f>
        <v>0</v>
      </c>
      <c r="AU286" s="12">
        <f>((AU168-AT168)*-1)+((AU167-AT167)*-1)</f>
        <v>0</v>
      </c>
      <c r="AV286" s="12">
        <f>SUM(AR286:AU286)</f>
        <v>0</v>
      </c>
      <c r="AW286" s="12">
        <f>((AW168-AV168)*-1)+((AW167-AV167)*-1)</f>
        <v>0</v>
      </c>
      <c r="AX286" s="12">
        <f>((AX168-AW168)*-1)+((AX167-AW167)*-1)</f>
        <v>0</v>
      </c>
      <c r="AY286" s="12">
        <f>((AY168-AX168)*-1)+((AY167-AX167)*-1)</f>
        <v>0</v>
      </c>
      <c r="AZ286" s="12">
        <f>((AZ168-AY168)*-1)+((AZ167-AY167)*-1)</f>
        <v>0</v>
      </c>
      <c r="BA286" s="12">
        <f>SUM(AW286:AZ286)</f>
        <v>0</v>
      </c>
      <c r="BB286" s="12">
        <f>((BB168-BA168)*-1)+((BB167-BA167)*-1)</f>
        <v>0</v>
      </c>
      <c r="BC286" s="12">
        <f>((BC168-BB168)*-1)+((BC167-BB167)*-1)</f>
        <v>0</v>
      </c>
      <c r="BD286" s="12">
        <f>((BD168-BC168)*-1)+((BD167-BC167)*-1)</f>
        <v>0</v>
      </c>
      <c r="BE286" s="12">
        <f>((BE168-BD168)*-1)+((BE167-BD167)*-1)</f>
        <v>0</v>
      </c>
      <c r="BF286" s="12">
        <f>SUM(BB286:BE286)</f>
        <v>0</v>
      </c>
      <c r="BG286" s="12" t="n"/>
      <c r="BH286" s="12" t="n"/>
      <c r="BI286" s="12" t="n"/>
      <c r="BJ286" s="12" t="n"/>
      <c r="BK286" s="12" t="n"/>
      <c r="BL286" s="12" t="n"/>
      <c r="BM286" s="12" t="n"/>
      <c r="BN286" s="12" t="n"/>
      <c r="BO286" s="12" t="n"/>
      <c r="BP286" s="12" t="n"/>
      <c r="BQ286" s="12" t="n"/>
      <c r="BR286" s="12" t="n"/>
      <c r="BS286" s="12" t="n"/>
      <c r="BT286" s="12" t="n"/>
      <c r="BU286" s="12" t="n"/>
      <c r="BV286" s="12" t="n"/>
      <c r="BW286" s="12" t="n"/>
      <c r="BX286" s="12" t="n"/>
      <c r="BY286" s="12" t="n"/>
      <c r="BZ286" s="12" t="n"/>
      <c r="CA286" s="12" t="n"/>
      <c r="CB286" s="12" t="n"/>
      <c r="CC286" s="12" t="n"/>
      <c r="CD286" s="12" t="n"/>
      <c r="CE286" s="12" t="n"/>
      <c r="CF286" s="12" t="n"/>
      <c r="CG286" s="12" t="n"/>
      <c r="CH286" s="12" t="n"/>
      <c r="CI286" s="12" t="n"/>
      <c r="CJ286" s="12" t="n"/>
      <c r="CK286" s="12" t="n"/>
      <c r="CL286" s="12" t="n"/>
      <c r="CM286" s="12" t="n"/>
      <c r="CN286" s="12" t="n"/>
      <c r="CO286" s="12" t="n"/>
      <c r="CP286" s="12" t="n"/>
      <c r="CQ286" s="12" t="n"/>
      <c r="CR286" s="12" t="n"/>
      <c r="CS286" s="12" t="n"/>
      <c r="CT286" s="12" t="n"/>
      <c r="CU286" s="12" t="n"/>
      <c r="CV286" s="12" t="n"/>
      <c r="CW286" s="12" t="n"/>
      <c r="CX286" s="12" t="n"/>
      <c r="CY286" s="12" t="n"/>
      <c r="CZ286" s="12" t="n"/>
      <c r="DA286" s="12" t="n"/>
      <c r="DB286" s="12" t="n"/>
      <c r="DC286" s="12" t="n"/>
    </row>
    <row r="287">
      <c r="C287" s="71" t="inlineStr">
        <is>
          <t>Purchases/Proceeds from other long-term assets</t>
        </is>
      </c>
      <c r="D287" s="12" t="n"/>
      <c r="E287" s="12" t="n"/>
      <c r="F287" s="12" t="n"/>
      <c r="G287" s="12" t="n"/>
      <c r="H287" s="12" t="n"/>
      <c r="I287" s="12" t="n"/>
      <c r="J287" s="12">
        <f>((J177-I177)*-1)+(J228-I228)</f>
        <v>0</v>
      </c>
      <c r="K287" s="12">
        <f>((K177-J177)*-1)+(K228-J228)</f>
        <v>0</v>
      </c>
      <c r="L287" s="12">
        <f>((L177-K177)*-1)+(L228-K228)</f>
        <v>3440</v>
      </c>
      <c r="M287" s="12" t="n"/>
      <c r="N287" s="12">
        <f>((N177-M177)*-1)+(N228-M228)</f>
        <v>2713</v>
      </c>
      <c r="O287" s="12">
        <f>((O177-N177)*-1)+(O228-N228)</f>
        <v>-64</v>
      </c>
      <c r="P287" s="12">
        <f>((P177-O177)*-1)+(P228-O228)</f>
        <v>-44</v>
      </c>
      <c r="Q287" s="12">
        <f>((Q177-P177)*-1)+(Q228-P228)</f>
        <v>-496</v>
      </c>
      <c r="R287" s="12">
        <f>SUM(N287:Q287)</f>
        <v>2109</v>
      </c>
      <c r="S287" s="12">
        <f>((S177-R177)*-1)+(S228-R228)</f>
        <v>-118</v>
      </c>
      <c r="T287" s="12">
        <f>((T177-S177)*-1)+(T228-S228)</f>
        <v>-567</v>
      </c>
      <c r="U287" s="12">
        <f>((U177-T177)*-1)+(U228-T228)</f>
        <v>1155</v>
      </c>
      <c r="V287" s="12">
        <f>((V177-U177)*-1)+(V228-U228)</f>
        <v>-228</v>
      </c>
      <c r="W287" s="12">
        <f>SUM(S287:V287)</f>
        <v>242</v>
      </c>
      <c r="X287" s="12">
        <f>((X177-W177)*-1)+(X228-W228)</f>
        <v>-256</v>
      </c>
      <c r="Y287" s="12">
        <f>((Y177-X177)*-1)+(Y228-X228)</f>
        <v>-256</v>
      </c>
      <c r="Z287" s="12">
        <f>((Z177-Y177)*-1)+(Z228-Y228)</f>
        <v>-433</v>
      </c>
      <c r="AA287" s="12">
        <f>((AA177-Z177)*-1)+(AA228-Z228)</f>
        <v>-184</v>
      </c>
      <c r="AB287" s="12">
        <f>SUM(X287:AA287)</f>
        <v>-1129</v>
      </c>
      <c r="AC287" s="12">
        <f>((AC177-AB177)*-1)+(AC228-AB228)</f>
        <v>-245</v>
      </c>
      <c r="AD287" s="12">
        <f>((AD177-AC177)*-1)+(AD228-AC228)</f>
        <v>-289</v>
      </c>
      <c r="AE287" s="12">
        <f>((AE177-AD177)*-1)+(AE228-AD228)</f>
        <v>515</v>
      </c>
      <c r="AF287" s="12">
        <f>((AF177-AE177)*-1)+(AF228-AE228)</f>
        <v>323</v>
      </c>
      <c r="AG287" s="12">
        <f>SUM(AC287:AF287)</f>
        <v>304</v>
      </c>
      <c r="AH287" s="12">
        <f>((AH177-AG177)*-1)+(AH228-AG228)</f>
        <v>1310</v>
      </c>
      <c r="AI287" s="12">
        <f>((AI177-AH177)*-1)+(AI228-AH228)</f>
        <v>979</v>
      </c>
      <c r="AJ287" s="12">
        <f>((AJ177-AI177)*-1)+(AJ228-AI228)</f>
        <v>0</v>
      </c>
      <c r="AK287" s="12">
        <f>((AK177-AJ177)*-1)+(AK228-AJ228)</f>
        <v>0</v>
      </c>
      <c r="AL287" s="12">
        <f>SUM(AH287:AK287)</f>
        <v>2289</v>
      </c>
      <c r="AM287" s="12">
        <f>((AM177-AL177)*-1)+(AM228-AL228)</f>
        <v>0</v>
      </c>
      <c r="AN287" s="12">
        <f>((AN177-AM177)*-1)+(AN228-AM228)</f>
        <v>0</v>
      </c>
      <c r="AO287" s="12">
        <f>((AO177-AN177)*-1)+(AO228-AN228)</f>
        <v>0</v>
      </c>
      <c r="AP287" s="12">
        <f>((AP177-AO177)*-1)+(AP228-AO228)</f>
        <v>0</v>
      </c>
      <c r="AQ287" s="12">
        <f>SUM(AM287:AP287)</f>
        <v>0</v>
      </c>
      <c r="AR287" s="12">
        <f>((AR177-AQ177)*-1)+(AR228-AQ228)</f>
        <v>0</v>
      </c>
      <c r="AS287" s="12">
        <f>((AS177-AR177)*-1)+(AS228-AR228)</f>
        <v>0</v>
      </c>
      <c r="AT287" s="12">
        <f>((AT177-AS177)*-1)+(AT228-AS228)</f>
        <v>0</v>
      </c>
      <c r="AU287" s="12">
        <f>((AU177-AT177)*-1)+(AU228-AT228)</f>
        <v>0</v>
      </c>
      <c r="AV287" s="12">
        <f>SUM(AR287:AU287)</f>
        <v>0</v>
      </c>
      <c r="AW287" s="12">
        <f>((AW177-AV177)*-1)+(AW228-AV228)</f>
        <v>0</v>
      </c>
      <c r="AX287" s="12">
        <f>((AX177-AW177)*-1)+(AX228-AW228)</f>
        <v>0</v>
      </c>
      <c r="AY287" s="12">
        <f>((AY177-AX177)*-1)+(AY228-AX228)</f>
        <v>0</v>
      </c>
      <c r="AZ287" s="12">
        <f>((AZ177-AY177)*-1)+(AZ228-AY228)</f>
        <v>0</v>
      </c>
      <c r="BA287" s="12">
        <f>SUM(AW287:AZ287)</f>
        <v>0</v>
      </c>
      <c r="BB287" s="12">
        <f>((BB177-BA177)*-1)+(BB228-BA228)</f>
        <v>0</v>
      </c>
      <c r="BC287" s="12">
        <f>((BC177-BB177)*-1)+(BC228-BB228)</f>
        <v>0</v>
      </c>
      <c r="BD287" s="12">
        <f>((BD177-BC177)*-1)+(BD228-BC228)</f>
        <v>0</v>
      </c>
      <c r="BE287" s="12">
        <f>((BE177-BD177)*-1)+(BE228-BD228)</f>
        <v>0</v>
      </c>
      <c r="BF287" s="12">
        <f>SUM(BB287:BE287)</f>
        <v>0</v>
      </c>
      <c r="BG287" s="12" t="n"/>
      <c r="BH287" s="12" t="n"/>
      <c r="BI287" s="12" t="n"/>
      <c r="BJ287" s="12" t="n"/>
      <c r="BK287" s="12" t="n"/>
      <c r="BL287" s="12" t="n"/>
      <c r="BM287" s="12" t="n"/>
      <c r="BN287" s="12" t="n"/>
      <c r="BO287" s="12" t="n"/>
      <c r="BP287" s="12" t="n"/>
      <c r="BQ287" s="12" t="n"/>
      <c r="BR287" s="12" t="n"/>
      <c r="BS287" s="12" t="n"/>
      <c r="BT287" s="12" t="n"/>
      <c r="BU287" s="12" t="n"/>
      <c r="BV287" s="12" t="n"/>
      <c r="BW287" s="12" t="n"/>
      <c r="BX287" s="12" t="n"/>
      <c r="BY287" s="12" t="n"/>
      <c r="BZ287" s="12" t="n"/>
      <c r="CA287" s="12" t="n"/>
      <c r="CB287" s="12" t="n"/>
      <c r="CC287" s="12" t="n"/>
      <c r="CD287" s="12" t="n"/>
      <c r="CE287" s="12" t="n"/>
      <c r="CF287" s="12" t="n"/>
      <c r="CG287" s="12" t="n"/>
      <c r="CH287" s="12" t="n"/>
      <c r="CI287" s="12" t="n"/>
      <c r="CJ287" s="12" t="n"/>
      <c r="CK287" s="12" t="n"/>
      <c r="CL287" s="12" t="n"/>
      <c r="CM287" s="12" t="n"/>
      <c r="CN287" s="12" t="n"/>
      <c r="CO287" s="12" t="n"/>
      <c r="CP287" s="12" t="n"/>
      <c r="CQ287" s="12" t="n"/>
      <c r="CR287" s="12" t="n"/>
      <c r="CS287" s="12" t="n"/>
      <c r="CT287" s="12" t="n"/>
      <c r="CU287" s="12" t="n"/>
      <c r="CV287" s="12" t="n"/>
      <c r="CW287" s="12" t="n"/>
      <c r="CX287" s="12" t="n"/>
      <c r="CY287" s="12" t="n"/>
    </row>
    <row r="288">
      <c r="C288" s="14" t="inlineStr">
        <is>
          <t>Cash from investing</t>
        </is>
      </c>
      <c r="D288" s="12" t="n"/>
      <c r="E288" s="12" t="n"/>
      <c r="F288" s="12" t="n"/>
      <c r="G288" s="12" t="n"/>
      <c r="H288" s="12" t="n"/>
      <c r="I288" s="12" t="n"/>
      <c r="J288" s="12">
        <f>SUM(J283,J284,J286,J287,J285)</f>
        <v>-1340</v>
      </c>
      <c r="K288" s="12">
        <f>SUM(K283,K284,K286,K287,K285)</f>
        <v>-1265</v>
      </c>
      <c r="L288" s="12">
        <f>SUM(L283,L284,L286,L287,L285)</f>
        <v>-16761</v>
      </c>
      <c r="M288" s="12" t="n"/>
      <c r="N288" s="12">
        <f>SUM(N283,N284,N286,N287,N285)</f>
        <v>1886</v>
      </c>
      <c r="O288" s="12">
        <f>SUM(O283,O284,O286,O287,O285)</f>
        <v>-571</v>
      </c>
      <c r="P288" s="12">
        <f>SUM(P283,P284,P286,P287,P285)</f>
        <v>-613</v>
      </c>
      <c r="Q288" s="12">
        <f>SUM(Q283,Q284,Q286,Q287,Q285)</f>
        <v>-1230</v>
      </c>
      <c r="R288" s="12">
        <f>SUM(R283,R284,R286,R287)</f>
        <v>-528</v>
      </c>
      <c r="S288" s="12">
        <f>SUM(S283,S284,S286,S287,S285)</f>
        <v>-975</v>
      </c>
      <c r="T288" s="12">
        <f>SUM(T283,T284,T286,T287,T285)</f>
        <v>-1346</v>
      </c>
      <c r="U288" s="12">
        <f>SUM(U283,U284,U286,U287,U285)</f>
        <v>-76</v>
      </c>
      <c r="V288" s="12">
        <f>SUM(V283,V284,V286,V287,V285)</f>
        <v>-2594</v>
      </c>
      <c r="W288" s="12">
        <f>SUM(W283,W284,W286,W287)</f>
        <v>-4991</v>
      </c>
      <c r="X288" s="12">
        <f>SUM(X283,X284,X286,X287,X285)</f>
        <v>-1280</v>
      </c>
      <c r="Y288" s="12">
        <f>SUM(Y283,Y284,Y286,Y287,Y285)</f>
        <v>-472</v>
      </c>
      <c r="Z288" s="12">
        <f>SUM(Z283,Z284,Z286,Z287,Z285)</f>
        <v>-13</v>
      </c>
      <c r="AA288" s="12">
        <f>SUM(AA283,AA284,AA286,AA287,AA285)</f>
        <v>-1178</v>
      </c>
      <c r="AB288" s="12">
        <f>SUM(AB283,AB284,AB286,AB287)</f>
        <v>-2943</v>
      </c>
      <c r="AC288" s="12">
        <f>SUM(AC283,AC284,AC286,AC287,AC285)</f>
        <v>-1216</v>
      </c>
      <c r="AD288" s="12">
        <f>SUM(AD283,AD284,AD286,AD287,AD285)</f>
        <v>-1203</v>
      </c>
      <c r="AE288" s="12">
        <f>SUM(AE283,AE284,AE286,AE287,AE285)</f>
        <v>-300</v>
      </c>
      <c r="AF288" s="12">
        <f>SUM(AF283,AF284,AF286,AF287,AF285)</f>
        <v>-817</v>
      </c>
      <c r="AG288" s="12">
        <f>SUM(AG283,AG284,AG286,AG287)</f>
        <v>-3536</v>
      </c>
      <c r="AH288" s="12">
        <f>SUM(AH283,AH284,AH286,AH287,AH285)</f>
        <v>-29294</v>
      </c>
      <c r="AI288" s="12">
        <f>SUM(AI283,AI284,AI286,AI287,AI285)</f>
        <v>-646</v>
      </c>
      <c r="AJ288" s="12">
        <f>SUM(AJ283,AJ284,AJ286,AJ287,AJ285)</f>
        <v>-4466.64646802369</v>
      </c>
      <c r="AK288" s="12">
        <f>SUM(AK283,AK284,AK286,AK287,AK285)</f>
        <v>-4129.4384546082</v>
      </c>
      <c r="AL288" s="12">
        <f>SUM(AL283,AL284,AL286,AL287)</f>
        <v>-38536.0849226319</v>
      </c>
      <c r="AM288" s="12">
        <f>SUM(AM283,AM284,AM286,AM287,AM285)</f>
        <v>-7561.34581694969</v>
      </c>
      <c r="AN288" s="12">
        <f>SUM(AN283,AN284,AN286,AN287,AN285)</f>
        <v>-5101.63091264076</v>
      </c>
      <c r="AO288" s="12">
        <f>SUM(AO283,AO284,AO286,AO287,AO285)</f>
        <v>-5372.02024989798</v>
      </c>
      <c r="AP288" s="12">
        <f>SUM(AP283,AP284,AP286,AP287,AP285)</f>
        <v>-4966.46133909898</v>
      </c>
      <c r="AQ288" s="12">
        <f>SUM(AQ283,AQ284,AQ286,AQ287)</f>
        <v>-23001.4583185874</v>
      </c>
      <c r="AR288" s="12">
        <f>SUM(AR283,AR284,AR286,AR287,AR285)</f>
        <v>-9056.19771830723</v>
      </c>
      <c r="AS288" s="12">
        <f>SUM(AS283,AS284,AS286,AS287,AS285)</f>
        <v>-6110.2056894603</v>
      </c>
      <c r="AT288" s="12">
        <f>SUM(AT283,AT284,AT286,AT287,AT285)</f>
        <v>-6434.05006298894</v>
      </c>
      <c r="AU288" s="12">
        <f>SUM(AU283,AU284,AU286,AU287,AU285)</f>
        <v>-5948.31355899465</v>
      </c>
      <c r="AV288" s="12">
        <f>SUM(AV283,AV284,AV286,AV287)</f>
        <v>-27548.7670297511</v>
      </c>
      <c r="AW288" s="12">
        <f>SUM(AW283,AW284,AW286,AW287,AW285)</f>
        <v>-10801.2956789148</v>
      </c>
      <c r="AX288" s="12">
        <f>SUM(AX283,AX284,AX286,AX287,AX285)</f>
        <v>-7287.62118095456</v>
      </c>
      <c r="AY288" s="12">
        <f>SUM(AY283,AY284,AY286,AY287,AY285)</f>
        <v>-7673.86924457232</v>
      </c>
      <c r="AZ288" s="12">
        <f>SUM(AZ283,AZ284,AZ286,AZ287,AZ285)</f>
        <v>-7094.53299718908</v>
      </c>
      <c r="BA288" s="12">
        <f>SUM(BA283,BA284,BA286,BA287)</f>
        <v>-32857.3191016308</v>
      </c>
      <c r="BB288" s="12">
        <f>SUM(BB283,BB284,BB286,BB287,BB285)</f>
        <v>-12828.6614990831</v>
      </c>
      <c r="BC288" s="12">
        <f>SUM(BC283,BC284,BC286,BC287,BC285)</f>
        <v>-8655.48245721273</v>
      </c>
      <c r="BD288" s="12">
        <f>SUM(BD283,BD284,BD286,BD287,BD285)</f>
        <v>-9114.22794572864</v>
      </c>
      <c r="BE288" s="12">
        <f>SUM(BE283,BE284,BE286,BE287,BE285)</f>
        <v>-8426.15228955186</v>
      </c>
      <c r="BF288" s="12">
        <f>SUM(BF283,BF284,BF286,BF287)</f>
        <v>-39024.5241915764</v>
      </c>
      <c r="BG288" s="12" t="n"/>
      <c r="BH288" s="12" t="n"/>
      <c r="BI288" s="12" t="n"/>
      <c r="BJ288" s="12" t="n"/>
      <c r="BK288" s="12" t="n"/>
      <c r="BL288" s="12" t="n"/>
      <c r="BM288" s="12" t="n"/>
      <c r="BN288" s="12" t="n"/>
      <c r="BO288" s="12" t="n"/>
      <c r="BP288" s="12" t="n"/>
      <c r="BQ288" s="12" t="n"/>
      <c r="BR288" s="12" t="n"/>
      <c r="BS288" s="12" t="n"/>
      <c r="BT288" s="12" t="n"/>
      <c r="BU288" s="12" t="n"/>
      <c r="BV288" s="12" t="n"/>
      <c r="BW288" s="12" t="n"/>
      <c r="BX288" s="12" t="n"/>
      <c r="BY288" s="12" t="n"/>
      <c r="BZ288" s="12" t="n"/>
      <c r="CA288" s="12" t="n"/>
      <c r="CB288" s="12" t="n"/>
      <c r="CC288" s="12" t="n"/>
      <c r="CD288" s="12" t="n"/>
      <c r="CE288" s="12" t="n"/>
      <c r="CF288" s="12" t="n"/>
      <c r="CG288" s="12" t="n"/>
      <c r="CH288" s="12" t="n"/>
      <c r="CI288" s="12" t="n"/>
      <c r="CJ288" s="12" t="n"/>
      <c r="CK288" s="12" t="n"/>
      <c r="CL288" s="12" t="n"/>
      <c r="CM288" s="12" t="n"/>
      <c r="CN288" s="12" t="n"/>
      <c r="CO288" s="12" t="n"/>
      <c r="CP288" s="12" t="n"/>
      <c r="CQ288" s="12" t="n"/>
      <c r="CR288" s="12" t="n"/>
      <c r="CS288" s="12" t="n"/>
      <c r="CT288" s="12" t="n"/>
      <c r="CU288" s="12" t="n"/>
      <c r="CV288" s="12" t="n"/>
      <c r="CW288" s="12" t="n"/>
      <c r="CX288" s="12" t="n"/>
      <c r="CY288" s="12" t="n"/>
    </row>
    <row r="289">
      <c r="C289" s="14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  <c r="AA289" s="12" t="n"/>
      <c r="AB289" s="12" t="n"/>
      <c r="AC289" s="12" t="n"/>
      <c r="AD289" s="12" t="n"/>
      <c r="AE289" s="12" t="n"/>
      <c r="AF289" s="12" t="n"/>
      <c r="AG289" s="12" t="n"/>
      <c r="AH289" s="12" t="n"/>
      <c r="AI289" s="12" t="n"/>
      <c r="AJ289" s="12" t="n"/>
      <c r="AK289" s="12" t="n"/>
      <c r="AL289" s="12" t="n"/>
      <c r="AM289" s="12" t="n"/>
      <c r="AN289" s="12" t="n"/>
      <c r="AO289" s="12" t="n"/>
      <c r="AP289" s="12" t="n"/>
      <c r="AQ289" s="12" t="n"/>
      <c r="AR289" s="12" t="n"/>
      <c r="AS289" s="12" t="n"/>
      <c r="AT289" s="12" t="n"/>
      <c r="AU289" s="12" t="n"/>
      <c r="AV289" s="12" t="n"/>
      <c r="AW289" s="12" t="n"/>
      <c r="AX289" s="12" t="n"/>
      <c r="AY289" s="12" t="n"/>
      <c r="AZ289" s="12" t="n"/>
      <c r="BA289" s="12" t="n"/>
      <c r="BB289" s="12" t="n"/>
      <c r="BC289" s="12" t="n"/>
      <c r="BD289" s="12" t="n"/>
      <c r="BE289" s="12" t="n"/>
      <c r="BF289" s="12" t="n"/>
      <c r="BG289" s="12" t="n"/>
      <c r="BH289" s="12" t="n"/>
      <c r="BI289" s="12" t="n"/>
      <c r="BJ289" s="12" t="n"/>
      <c r="BK289" s="12" t="n"/>
      <c r="BL289" s="12" t="n"/>
      <c r="BM289" s="12" t="n"/>
      <c r="BN289" s="12" t="n"/>
      <c r="BO289" s="12" t="n"/>
      <c r="BP289" s="12" t="n"/>
      <c r="BQ289" s="12" t="n"/>
      <c r="BR289" s="12" t="n"/>
      <c r="BS289" s="12" t="n"/>
      <c r="BT289" s="12" t="n"/>
      <c r="BU289" s="12" t="n"/>
      <c r="BV289" s="12" t="n"/>
      <c r="BW289" s="12" t="n"/>
      <c r="BX289" s="12" t="n"/>
      <c r="BY289" s="12" t="n"/>
      <c r="BZ289" s="12" t="n"/>
      <c r="CA289" s="12" t="n"/>
      <c r="CB289" s="12" t="n"/>
      <c r="CC289" s="12" t="n"/>
      <c r="CD289" s="12" t="n"/>
      <c r="CE289" s="12" t="n"/>
      <c r="CF289" s="12" t="n"/>
      <c r="CG289" s="12" t="n"/>
      <c r="CH289" s="12" t="n"/>
      <c r="CI289" s="12" t="n"/>
      <c r="CJ289" s="12" t="n"/>
      <c r="CK289" s="12" t="n"/>
      <c r="CL289" s="12" t="n"/>
      <c r="CM289" s="12" t="n"/>
      <c r="CN289" s="12" t="n"/>
      <c r="CO289" s="12" t="n"/>
      <c r="CP289" s="12" t="n"/>
      <c r="CQ289" s="12" t="n"/>
      <c r="CR289" s="12" t="n"/>
      <c r="CS289" s="12" t="n"/>
      <c r="CT289" s="12" t="n"/>
      <c r="CU289" s="12" t="n"/>
      <c r="CV289" s="12" t="n"/>
      <c r="CW289" s="12" t="n"/>
      <c r="CX289" s="12" t="n"/>
      <c r="CY289" s="12" t="n"/>
    </row>
    <row r="290">
      <c r="C290" s="14" t="inlineStr">
        <is>
          <t>Convertible preferred stock</t>
        </is>
      </c>
      <c r="D290" s="12" t="n"/>
      <c r="E290" s="12" t="n"/>
      <c r="F290" s="12" t="n"/>
      <c r="G290" s="12" t="n"/>
      <c r="H290" s="12" t="n"/>
      <c r="I290" s="12" t="n"/>
      <c r="J290" s="12">
        <f>J241-I241</f>
        <v>0</v>
      </c>
      <c r="K290" s="12">
        <f>K241-J241</f>
        <v>0</v>
      </c>
      <c r="L290" s="12">
        <f>L241-K241</f>
        <v>0</v>
      </c>
      <c r="M290" s="12" t="n"/>
      <c r="N290" s="12">
        <f>N241-M241</f>
        <v>0</v>
      </c>
      <c r="O290" s="12">
        <f>O241-N241</f>
        <v>0</v>
      </c>
      <c r="P290" s="12">
        <f>P241-O241</f>
        <v>0</v>
      </c>
      <c r="Q290" s="12">
        <f>Q241-P241</f>
        <v>0</v>
      </c>
      <c r="R290" s="12">
        <f>SUM(N290:Q290)</f>
        <v>0</v>
      </c>
      <c r="S290" s="12">
        <f>S241-R241</f>
        <v>0</v>
      </c>
      <c r="T290" s="12">
        <f>T241-S241</f>
        <v>0</v>
      </c>
      <c r="U290" s="12">
        <f>U241-T241</f>
        <v>0</v>
      </c>
      <c r="V290" s="12">
        <f>V241-U241</f>
        <v>0</v>
      </c>
      <c r="W290" s="12">
        <f>SUM(S290:V290)</f>
        <v>0</v>
      </c>
      <c r="X290" s="12">
        <f>X241-W241</f>
        <v>0</v>
      </c>
      <c r="Y290" s="12">
        <f>Y241-X241</f>
        <v>0</v>
      </c>
      <c r="Z290" s="12">
        <f>Z241-Y241</f>
        <v>0</v>
      </c>
      <c r="AA290" s="12">
        <f>AA241-Z241</f>
        <v>0</v>
      </c>
      <c r="AB290" s="12">
        <f>SUM(X290:AA290)</f>
        <v>0</v>
      </c>
      <c r="AC290" s="12">
        <f>AC241-AB241</f>
        <v>0</v>
      </c>
      <c r="AD290" s="12">
        <f>AD241-AC241</f>
        <v>0</v>
      </c>
      <c r="AE290" s="12">
        <f>AE241-AD241</f>
        <v>0</v>
      </c>
      <c r="AF290" s="12">
        <f>AF241-AE241</f>
        <v>0</v>
      </c>
      <c r="AG290" s="12">
        <f>SUM(AC290:AF290)</f>
        <v>0</v>
      </c>
      <c r="AH290" s="12">
        <f>AH241-AG241</f>
        <v>0</v>
      </c>
      <c r="AI290" s="12">
        <f>AI241-AH241</f>
        <v>0</v>
      </c>
      <c r="AJ290" s="12">
        <f>AJ241-AI241</f>
        <v>0</v>
      </c>
      <c r="AK290" s="12">
        <f>AK241-AJ241</f>
        <v>0</v>
      </c>
      <c r="AL290" s="12">
        <f>SUM(AH290:AK290)</f>
        <v>0</v>
      </c>
      <c r="AM290" s="12">
        <f>AM241-AL241</f>
        <v>0</v>
      </c>
      <c r="AN290" s="12">
        <f>AN241-AM241</f>
        <v>0</v>
      </c>
      <c r="AO290" s="12">
        <f>AO241-AN241</f>
        <v>0</v>
      </c>
      <c r="AP290" s="12">
        <f>AP241-AO241</f>
        <v>0</v>
      </c>
      <c r="AQ290" s="12">
        <f>SUM(AM290:AP290)</f>
        <v>0</v>
      </c>
      <c r="AR290" s="12">
        <f>AR241-AQ241</f>
        <v>0</v>
      </c>
      <c r="AS290" s="12">
        <f>AS241-AR241</f>
        <v>0</v>
      </c>
      <c r="AT290" s="12">
        <f>AT241-AS241</f>
        <v>0</v>
      </c>
      <c r="AU290" s="12">
        <f>AU241-AT241</f>
        <v>0</v>
      </c>
      <c r="AV290" s="12">
        <f>SUM(AR290:AU290)</f>
        <v>0</v>
      </c>
      <c r="AW290" s="12">
        <f>AW241-AV241</f>
        <v>0</v>
      </c>
      <c r="AX290" s="12">
        <f>AX241-AW241</f>
        <v>0</v>
      </c>
      <c r="AY290" s="12">
        <f>AY241-AX241</f>
        <v>0</v>
      </c>
      <c r="AZ290" s="12">
        <f>AZ241-AY241</f>
        <v>0</v>
      </c>
      <c r="BA290" s="12">
        <f>SUM(AW290:AZ290)</f>
        <v>0</v>
      </c>
      <c r="BB290" s="12">
        <f>BB241-BA241</f>
        <v>0</v>
      </c>
      <c r="BC290" s="12">
        <f>BC241-BB241</f>
        <v>0</v>
      </c>
      <c r="BD290" s="12">
        <f>BD241-BC241</f>
        <v>0</v>
      </c>
      <c r="BE290" s="12">
        <f>BE241-BD241</f>
        <v>0</v>
      </c>
      <c r="BF290" s="12">
        <f>SUM(BB290:BE290)</f>
        <v>0</v>
      </c>
      <c r="BG290" s="12" t="n"/>
      <c r="BH290" s="12" t="n"/>
      <c r="BI290" s="12" t="n"/>
      <c r="BJ290" s="12" t="n"/>
      <c r="BK290" s="12" t="n"/>
      <c r="BL290" s="12" t="n"/>
      <c r="BM290" s="12" t="n"/>
      <c r="BN290" s="12" t="n"/>
      <c r="BO290" s="12" t="n"/>
      <c r="BP290" s="12" t="n"/>
      <c r="BQ290" s="12" t="n"/>
      <c r="BR290" s="12" t="n"/>
      <c r="BS290" s="12" t="n"/>
      <c r="BT290" s="12" t="n"/>
      <c r="BU290" s="12" t="n"/>
      <c r="BV290" s="12" t="n"/>
      <c r="BW290" s="12" t="n"/>
      <c r="BX290" s="12" t="n"/>
      <c r="BY290" s="12" t="n"/>
      <c r="BZ290" s="12" t="n"/>
      <c r="CA290" s="12" t="n"/>
      <c r="CB290" s="12" t="n"/>
      <c r="CC290" s="12" t="n"/>
      <c r="CD290" s="12" t="n"/>
      <c r="CE290" s="12" t="n"/>
      <c r="CF290" s="12" t="n"/>
      <c r="CG290" s="12" t="n"/>
      <c r="CH290" s="12" t="n"/>
      <c r="CI290" s="12" t="n"/>
      <c r="CJ290" s="12" t="n"/>
      <c r="CK290" s="12" t="n"/>
      <c r="CL290" s="12" t="n"/>
      <c r="CM290" s="12" t="n"/>
      <c r="CN290" s="12" t="n"/>
      <c r="CO290" s="12" t="n"/>
      <c r="CP290" s="12" t="n"/>
      <c r="CQ290" s="12" t="n"/>
      <c r="CR290" s="12" t="n"/>
      <c r="CS290" s="12" t="n"/>
      <c r="CT290" s="12" t="n"/>
      <c r="CU290" s="12" t="n"/>
      <c r="CV290" s="12" t="n"/>
      <c r="CW290" s="12" t="n"/>
      <c r="CX290" s="12" t="n"/>
      <c r="CY290" s="12" t="n"/>
    </row>
    <row r="291">
      <c r="C291" s="14" t="inlineStr">
        <is>
          <t>Common stock and APIC</t>
        </is>
      </c>
      <c r="D291" s="12" t="n"/>
      <c r="E291" s="12" t="n"/>
      <c r="F291" s="12" t="n"/>
      <c r="G291" s="12" t="n"/>
      <c r="H291" s="12" t="n"/>
      <c r="I291" s="12" t="n"/>
      <c r="J291" s="12">
        <f>J242-I242</f>
        <v>0</v>
      </c>
      <c r="K291" s="12">
        <f>K242-J242</f>
        <v>0</v>
      </c>
      <c r="L291" s="12">
        <f>L242-K242</f>
        <v>0</v>
      </c>
      <c r="M291" s="12" t="n"/>
      <c r="N291" s="12">
        <f>N242-M242</f>
        <v>13212</v>
      </c>
      <c r="O291" s="12">
        <f>O242-N242</f>
        <v>29</v>
      </c>
      <c r="P291" s="12">
        <f>P242-O242</f>
        <v>14</v>
      </c>
      <c r="Q291" s="12">
        <f>Q242-P242</f>
        <v>19</v>
      </c>
      <c r="R291" s="12">
        <f>SUM(N291:Q291)</f>
        <v>13274</v>
      </c>
      <c r="S291" s="12">
        <f>S242-R242</f>
        <v>-245</v>
      </c>
      <c r="T291" s="12">
        <f>T242-S242</f>
        <v>-221</v>
      </c>
      <c r="U291" s="12">
        <f>U242-T242</f>
        <v>-232</v>
      </c>
      <c r="V291" s="12">
        <f>V242-U242</f>
        <v>-221</v>
      </c>
      <c r="W291" s="12">
        <f>SUM(S291:V291)</f>
        <v>-919</v>
      </c>
      <c r="X291" s="12">
        <f>X242-W242</f>
        <v>-508</v>
      </c>
      <c r="Y291" s="12">
        <f>Y242-X242</f>
        <v>-497</v>
      </c>
      <c r="Z291" s="12">
        <f>Z242-Y242</f>
        <v>29</v>
      </c>
      <c r="AA291" s="12">
        <f>AA242-Z242</f>
        <v>23</v>
      </c>
      <c r="AB291" s="12">
        <f>SUM(X291:AA291)</f>
        <v>-953</v>
      </c>
      <c r="AC291" s="12">
        <f>AC242-AB242</f>
        <v>-199</v>
      </c>
      <c r="AD291" s="12">
        <f>AD242-AC242</f>
        <v>-264</v>
      </c>
      <c r="AE291" s="12">
        <f>AE242-AD242</f>
        <v>83</v>
      </c>
      <c r="AF291" s="12">
        <f>AF242-AE242</f>
        <v>21</v>
      </c>
      <c r="AG291" s="12">
        <f>SUM(AC291:AF291)</f>
        <v>-359</v>
      </c>
      <c r="AH291" s="12">
        <f>AH242-AG242</f>
        <v>17531</v>
      </c>
      <c r="AI291" s="12">
        <f>AI242-AH242</f>
        <v>-1891</v>
      </c>
      <c r="AJ291" s="12">
        <f>AJ242-AI242</f>
        <v>0</v>
      </c>
      <c r="AK291" s="12">
        <f>AK242-AJ242</f>
        <v>0</v>
      </c>
      <c r="AL291" s="12">
        <f>SUM(AH291:AK291)</f>
        <v>15640</v>
      </c>
      <c r="AM291" s="12">
        <f>AM242-AL242</f>
        <v>0</v>
      </c>
      <c r="AN291" s="12">
        <f>AN242-AM242</f>
        <v>0</v>
      </c>
      <c r="AO291" s="12">
        <f>AO242-AN242</f>
        <v>0</v>
      </c>
      <c r="AP291" s="12">
        <f>AP242-AO242</f>
        <v>0</v>
      </c>
      <c r="AQ291" s="12">
        <f>SUM(AM291:AP291)</f>
        <v>0</v>
      </c>
      <c r="AR291" s="12">
        <f>AR242-AQ242</f>
        <v>0</v>
      </c>
      <c r="AS291" s="12">
        <f>AS242-AR242</f>
        <v>0</v>
      </c>
      <c r="AT291" s="12">
        <f>AT242-AS242</f>
        <v>0</v>
      </c>
      <c r="AU291" s="12">
        <f>AU242-AT242</f>
        <v>0</v>
      </c>
      <c r="AV291" s="12">
        <f>SUM(AR291:AU291)</f>
        <v>0</v>
      </c>
      <c r="AW291" s="12">
        <f>AW242-AV242</f>
        <v>0</v>
      </c>
      <c r="AX291" s="12">
        <f>AX242-AW242</f>
        <v>0</v>
      </c>
      <c r="AY291" s="12">
        <f>AY242-AX242</f>
        <v>0</v>
      </c>
      <c r="AZ291" s="12">
        <f>AZ242-AY242</f>
        <v>0</v>
      </c>
      <c r="BA291" s="12">
        <f>SUM(AW291:AZ291)</f>
        <v>0</v>
      </c>
      <c r="BB291" s="12">
        <f>BB242-BA242</f>
        <v>0</v>
      </c>
      <c r="BC291" s="12">
        <f>BC242-BB242</f>
        <v>0</v>
      </c>
      <c r="BD291" s="12">
        <f>BD242-BC242</f>
        <v>0</v>
      </c>
      <c r="BE291" s="12">
        <f>BE242-BD242</f>
        <v>0</v>
      </c>
      <c r="BF291" s="12">
        <f>SUM(BB291:BE291)</f>
        <v>0</v>
      </c>
      <c r="BG291" s="12" t="n"/>
      <c r="BH291" s="12" t="n"/>
      <c r="BI291" s="12" t="n"/>
      <c r="BJ291" s="12" t="n"/>
      <c r="BK291" s="12" t="n"/>
      <c r="BL291" s="12" t="n"/>
      <c r="BM291" s="12" t="n"/>
      <c r="BN291" s="12" t="n"/>
      <c r="BO291" s="12" t="n"/>
      <c r="BP291" s="12" t="n"/>
      <c r="BQ291" s="12" t="n"/>
      <c r="BR291" s="12" t="n"/>
      <c r="BS291" s="12" t="n"/>
      <c r="BT291" s="12" t="n"/>
      <c r="BU291" s="12" t="n"/>
      <c r="BV291" s="12" t="n"/>
      <c r="BW291" s="12" t="n"/>
      <c r="BX291" s="12" t="n"/>
      <c r="BY291" s="12" t="n"/>
      <c r="BZ291" s="12" t="n"/>
      <c r="CA291" s="12" t="n"/>
      <c r="CB291" s="12" t="n"/>
      <c r="CC291" s="12" t="n"/>
      <c r="CD291" s="12" t="n"/>
      <c r="CE291" s="12" t="n"/>
      <c r="CF291" s="12" t="n"/>
      <c r="CG291" s="12" t="n"/>
      <c r="CH291" s="12" t="n"/>
      <c r="CI291" s="12" t="n"/>
      <c r="CJ291" s="12" t="n"/>
      <c r="CK291" s="12" t="n"/>
      <c r="CL291" s="12" t="n"/>
      <c r="CM291" s="12" t="n"/>
      <c r="CN291" s="12" t="n"/>
      <c r="CO291" s="12" t="n"/>
      <c r="CP291" s="12" t="n"/>
      <c r="CQ291" s="12" t="n"/>
      <c r="CR291" s="12" t="n"/>
      <c r="CS291" s="12" t="n"/>
      <c r="CT291" s="12" t="n"/>
      <c r="CU291" s="12" t="n"/>
      <c r="CV291" s="12" t="n"/>
      <c r="CW291" s="12" t="n"/>
      <c r="CX291" s="12" t="n"/>
      <c r="CY291" s="12" t="n"/>
    </row>
    <row r="292">
      <c r="C292" s="14" t="inlineStr">
        <is>
          <t>Treasury stock repurchases</t>
        </is>
      </c>
      <c r="D292" s="12" t="n"/>
      <c r="E292" s="12" t="n"/>
      <c r="F292" s="12" t="n"/>
      <c r="G292" s="12" t="n"/>
      <c r="H292" s="12" t="n"/>
      <c r="I292" s="12" t="n"/>
      <c r="J292" s="12">
        <f>J255-I255</f>
        <v>0</v>
      </c>
      <c r="K292" s="12">
        <f>K255-J255</f>
        <v>0</v>
      </c>
      <c r="L292" s="12">
        <f>L255-K255</f>
        <v>0</v>
      </c>
      <c r="M292" s="12" t="n"/>
      <c r="N292" s="12">
        <f>N255-M255</f>
        <v>0</v>
      </c>
      <c r="O292" s="12">
        <f>O255-N255</f>
        <v>0</v>
      </c>
      <c r="P292" s="12">
        <f>P255-O255</f>
        <v>0</v>
      </c>
      <c r="Q292" s="12">
        <f>Q255-P255</f>
        <v>0</v>
      </c>
      <c r="R292" s="12">
        <f>SUM(N292:Q292)</f>
        <v>0</v>
      </c>
      <c r="S292" s="12">
        <f>S255-R255</f>
        <v>0</v>
      </c>
      <c r="T292" s="12">
        <f>T255-S255</f>
        <v>0</v>
      </c>
      <c r="U292" s="12">
        <f>U255-T255</f>
        <v>0</v>
      </c>
      <c r="V292" s="12">
        <f>V255-U255</f>
        <v>0</v>
      </c>
      <c r="W292" s="12">
        <f>SUM(S292:V292)</f>
        <v>0</v>
      </c>
      <c r="X292" s="12">
        <f>X255-W255</f>
        <v>0</v>
      </c>
      <c r="Y292" s="12">
        <f>Y255-X255</f>
        <v>0</v>
      </c>
      <c r="Z292" s="12">
        <f>Z255-Y255</f>
        <v>0</v>
      </c>
      <c r="AA292" s="12">
        <f>AA255-Z255</f>
        <v>0</v>
      </c>
      <c r="AB292" s="12">
        <f>SUM(X292:AA292)</f>
        <v>0</v>
      </c>
      <c r="AC292" s="12">
        <f>AC255-AB255</f>
        <v>0</v>
      </c>
      <c r="AD292" s="12">
        <f>AD255-AC255</f>
        <v>0</v>
      </c>
      <c r="AE292" s="12">
        <f>AE255-AD255</f>
        <v>0</v>
      </c>
      <c r="AF292" s="12">
        <f>AF255-AE255</f>
        <v>0</v>
      </c>
      <c r="AG292" s="12">
        <f>SUM(AC292:AF292)</f>
        <v>0</v>
      </c>
      <c r="AH292" s="12">
        <f>AH255-AG255</f>
        <v>0</v>
      </c>
      <c r="AI292" s="12">
        <f>AI255-AH255</f>
        <v>0</v>
      </c>
      <c r="AJ292" s="12">
        <f>AJ255-AI255</f>
        <v>0</v>
      </c>
      <c r="AK292" s="12">
        <f>AK255-AJ255</f>
        <v>0</v>
      </c>
      <c r="AL292" s="12">
        <f>SUM(AH292:AK292)</f>
        <v>0</v>
      </c>
      <c r="AM292" s="12">
        <f>AM255-AL255</f>
        <v>0</v>
      </c>
      <c r="AN292" s="12">
        <f>AN255-AM255</f>
        <v>0</v>
      </c>
      <c r="AO292" s="12">
        <f>AO255-AN255</f>
        <v>0</v>
      </c>
      <c r="AP292" s="12">
        <f>AP255-AO255</f>
        <v>0</v>
      </c>
      <c r="AQ292" s="12">
        <f>SUM(AM292:AP292)</f>
        <v>0</v>
      </c>
      <c r="AR292" s="12">
        <f>AR255-AQ255</f>
        <v>0</v>
      </c>
      <c r="AS292" s="12">
        <f>AS255-AR255</f>
        <v>0</v>
      </c>
      <c r="AT292" s="12">
        <f>AT255-AS255</f>
        <v>0</v>
      </c>
      <c r="AU292" s="12">
        <f>AU255-AT255</f>
        <v>0</v>
      </c>
      <c r="AV292" s="12">
        <f>SUM(AR292:AU292)</f>
        <v>0</v>
      </c>
      <c r="AW292" s="12">
        <f>AW255-AV255</f>
        <v>0</v>
      </c>
      <c r="AX292" s="12">
        <f>AX255-AW255</f>
        <v>0</v>
      </c>
      <c r="AY292" s="12">
        <f>AY255-AX255</f>
        <v>0</v>
      </c>
      <c r="AZ292" s="12">
        <f>AZ255-AY255</f>
        <v>0</v>
      </c>
      <c r="BA292" s="12">
        <f>SUM(AW292:AZ292)</f>
        <v>0</v>
      </c>
      <c r="BB292" s="12">
        <f>BB255-BA255</f>
        <v>0</v>
      </c>
      <c r="BC292" s="12">
        <f>BC255-BB255</f>
        <v>0</v>
      </c>
      <c r="BD292" s="12">
        <f>BD255-BC255</f>
        <v>0</v>
      </c>
      <c r="BE292" s="12">
        <f>BE255-BD255</f>
        <v>0</v>
      </c>
      <c r="BF292" s="12">
        <f>SUM(BB292:BE292)</f>
        <v>0</v>
      </c>
      <c r="BG292" s="12" t="n"/>
      <c r="BH292" s="12" t="n"/>
      <c r="BI292" s="12" t="n"/>
      <c r="BJ292" s="12" t="n"/>
      <c r="BK292" s="12" t="n"/>
      <c r="BL292" s="12" t="n"/>
      <c r="BM292" s="12" t="n"/>
      <c r="BN292" s="12" t="n"/>
      <c r="BO292" s="12" t="n"/>
      <c r="BP292" s="12" t="n"/>
      <c r="BQ292" s="12" t="n"/>
      <c r="BR292" s="12" t="n"/>
      <c r="BS292" s="12" t="n"/>
      <c r="BT292" s="12" t="n"/>
      <c r="BU292" s="12" t="n"/>
      <c r="BV292" s="12" t="n"/>
      <c r="BW292" s="12" t="n"/>
      <c r="BX292" s="12" t="n"/>
      <c r="BY292" s="12" t="n"/>
      <c r="BZ292" s="12" t="n"/>
      <c r="CA292" s="12" t="n"/>
      <c r="CB292" s="12" t="n"/>
      <c r="CC292" s="12" t="n"/>
      <c r="CD292" s="12" t="n"/>
      <c r="CE292" s="12" t="n"/>
      <c r="CF292" s="12" t="n"/>
      <c r="CG292" s="12" t="n"/>
      <c r="CH292" s="12" t="n"/>
      <c r="CI292" s="12" t="n"/>
      <c r="CJ292" s="12" t="n"/>
      <c r="CK292" s="12" t="n"/>
      <c r="CL292" s="12" t="n"/>
      <c r="CM292" s="12" t="n"/>
      <c r="CN292" s="12" t="n"/>
      <c r="CO292" s="12" t="n"/>
      <c r="CP292" s="12" t="n"/>
      <c r="CQ292" s="12" t="n"/>
      <c r="CR292" s="12" t="n"/>
      <c r="CS292" s="12" t="n"/>
      <c r="CT292" s="12" t="n"/>
      <c r="CU292" s="12" t="n"/>
      <c r="CV292" s="12" t="n"/>
      <c r="CW292" s="12" t="n"/>
      <c r="CX292" s="12" t="n"/>
      <c r="CY292" s="12" t="n"/>
    </row>
    <row r="293">
      <c r="C293" s="14" t="inlineStr">
        <is>
          <t>Comprehensive accumulated loss</t>
        </is>
      </c>
      <c r="D293" s="12" t="n"/>
      <c r="E293" s="12" t="n"/>
      <c r="F293" s="12" t="n"/>
      <c r="G293" s="12" t="n"/>
      <c r="H293" s="12" t="n"/>
      <c r="I293" s="12" t="n"/>
      <c r="J293" s="12">
        <f>J256-I256</f>
        <v>0</v>
      </c>
      <c r="K293" s="12">
        <f>K256-J256</f>
        <v>0</v>
      </c>
      <c r="L293" s="12">
        <f>L256-K256</f>
        <v>-31</v>
      </c>
      <c r="M293" s="12" t="n"/>
      <c r="N293" s="12">
        <f>N256-M256</f>
        <v>-1985</v>
      </c>
      <c r="O293" s="12">
        <f>O256-N256</f>
        <v>24</v>
      </c>
      <c r="P293" s="12">
        <f>P256-O256</f>
        <v>23</v>
      </c>
      <c r="Q293" s="12">
        <f>Q256-P256</f>
        <v>209</v>
      </c>
      <c r="R293" s="12">
        <f>SUM(N293:Q293)</f>
        <v>-1729</v>
      </c>
      <c r="S293" s="12">
        <f>S256-R256</f>
        <v>-48</v>
      </c>
      <c r="T293" s="12">
        <f>T256-S256</f>
        <v>8</v>
      </c>
      <c r="U293" s="12">
        <f>U256-T256</f>
        <v>3</v>
      </c>
      <c r="V293" s="12">
        <f>V256-U256</f>
        <v>-394</v>
      </c>
      <c r="W293" s="12">
        <f>SUM(S293:V293)</f>
        <v>-431</v>
      </c>
      <c r="X293" s="12">
        <f>X256-W256</f>
        <v>11</v>
      </c>
      <c r="Y293" s="12">
        <f>Y256-X256</f>
        <v>19</v>
      </c>
      <c r="Z293" s="12">
        <f>Z256-Y256</f>
        <v>27</v>
      </c>
      <c r="AA293" s="12">
        <f>AA256-Z256</f>
        <v>-168</v>
      </c>
      <c r="AB293" s="12">
        <f>SUM(X293:AA293)</f>
        <v>-111</v>
      </c>
      <c r="AC293" s="12">
        <f>AC256-AB256</f>
        <v>-7</v>
      </c>
      <c r="AD293" s="12">
        <f>AD256-AC256</f>
        <v>37</v>
      </c>
      <c r="AE293" s="12">
        <f>AE256-AD256</f>
        <v>12</v>
      </c>
      <c r="AF293" s="12">
        <f>AF256-AE256</f>
        <v>-165</v>
      </c>
      <c r="AG293" s="12">
        <f>SUM(AC293:AF293)</f>
        <v>-123</v>
      </c>
      <c r="AH293" s="12">
        <f>AH256-AG256</f>
        <v>0</v>
      </c>
      <c r="AI293" s="12">
        <f>AI256-AH256</f>
        <v>27</v>
      </c>
      <c r="AJ293" s="12">
        <f>AJ256-AI256</f>
        <v>0</v>
      </c>
      <c r="AK293" s="12">
        <f>AK256-AJ256</f>
        <v>0</v>
      </c>
      <c r="AL293" s="12">
        <f>SUM(AH293:AK293)</f>
        <v>27</v>
      </c>
      <c r="AM293" s="12">
        <f>AM256-AL256</f>
        <v>0</v>
      </c>
      <c r="AN293" s="12">
        <f>AN256-AM256</f>
        <v>0</v>
      </c>
      <c r="AO293" s="12">
        <f>AO256-AN256</f>
        <v>0</v>
      </c>
      <c r="AP293" s="12">
        <f>AP256-AO256</f>
        <v>0</v>
      </c>
      <c r="AQ293" s="12">
        <f>SUM(AM293:AP293)</f>
        <v>0</v>
      </c>
      <c r="AR293" s="12">
        <f>AR256-AQ256</f>
        <v>0</v>
      </c>
      <c r="AS293" s="12">
        <f>AS256-AR256</f>
        <v>0</v>
      </c>
      <c r="AT293" s="12">
        <f>AT256-AS256</f>
        <v>0</v>
      </c>
      <c r="AU293" s="12">
        <f>AU256-AT256</f>
        <v>0</v>
      </c>
      <c r="AV293" s="12">
        <f>SUM(AR293:AU293)</f>
        <v>0</v>
      </c>
      <c r="AW293" s="12">
        <f>AW256-AV256</f>
        <v>0</v>
      </c>
      <c r="AX293" s="12">
        <f>AX256-AW256</f>
        <v>0</v>
      </c>
      <c r="AY293" s="12">
        <f>AY256-AX256</f>
        <v>0</v>
      </c>
      <c r="AZ293" s="12">
        <f>AZ256-AY256</f>
        <v>0</v>
      </c>
      <c r="BA293" s="12">
        <f>SUM(AW293:AZ293)</f>
        <v>0</v>
      </c>
      <c r="BB293" s="12">
        <f>BB256-BA256</f>
        <v>0</v>
      </c>
      <c r="BC293" s="12">
        <f>BC256-BB256</f>
        <v>0</v>
      </c>
      <c r="BD293" s="12">
        <f>BD256-BC256</f>
        <v>0</v>
      </c>
      <c r="BE293" s="12">
        <f>BE256-BD256</f>
        <v>0</v>
      </c>
      <c r="BF293" s="12">
        <f>SUM(BB293:BE293)</f>
        <v>0</v>
      </c>
      <c r="BG293" s="12" t="n"/>
      <c r="BH293" s="12" t="n"/>
      <c r="BI293" s="12" t="n"/>
      <c r="BJ293" s="12" t="n"/>
      <c r="BK293" s="12" t="n"/>
      <c r="BL293" s="12" t="n"/>
      <c r="BM293" s="12" t="n"/>
      <c r="BN293" s="12" t="n"/>
      <c r="BO293" s="12" t="n"/>
      <c r="BP293" s="12" t="n"/>
      <c r="BQ293" s="12" t="n"/>
      <c r="BR293" s="12" t="n"/>
      <c r="BS293" s="12" t="n"/>
      <c r="BT293" s="12" t="n"/>
      <c r="BU293" s="12" t="n"/>
      <c r="BV293" s="12" t="n"/>
      <c r="BW293" s="12" t="n"/>
      <c r="BX293" s="12" t="n"/>
      <c r="BY293" s="12" t="n"/>
      <c r="BZ293" s="12" t="n"/>
      <c r="CA293" s="12" t="n"/>
      <c r="CB293" s="12" t="n"/>
      <c r="CC293" s="12" t="n"/>
      <c r="CD293" s="12" t="n"/>
      <c r="CE293" s="12" t="n"/>
      <c r="CF293" s="12" t="n"/>
      <c r="CG293" s="12" t="n"/>
      <c r="CH293" s="12" t="n"/>
      <c r="CI293" s="12" t="n"/>
      <c r="CJ293" s="12" t="n"/>
      <c r="CK293" s="12" t="n"/>
      <c r="CL293" s="12" t="n"/>
      <c r="CM293" s="12" t="n"/>
      <c r="CN293" s="12" t="n"/>
      <c r="CO293" s="12" t="n"/>
      <c r="CP293" s="12" t="n"/>
      <c r="CQ293" s="12" t="n"/>
      <c r="CR293" s="12" t="n"/>
      <c r="CS293" s="12" t="n"/>
      <c r="CT293" s="12" t="n"/>
      <c r="CU293" s="12" t="n"/>
      <c r="CV293" s="12" t="n"/>
      <c r="CW293" s="12" t="n"/>
      <c r="CX293" s="12" t="n"/>
      <c r="CY293" s="12" t="n"/>
    </row>
    <row r="294">
      <c r="C294" s="14" t="inlineStr">
        <is>
          <t>Other equity account</t>
        </is>
      </c>
      <c r="D294" s="12" t="n"/>
      <c r="E294" s="12" t="n"/>
      <c r="F294" s="12" t="n"/>
      <c r="G294" s="12" t="n"/>
      <c r="H294" s="12" t="n"/>
      <c r="I294" s="12" t="n"/>
      <c r="J294" s="12">
        <f>J257-I257</f>
        <v>0</v>
      </c>
      <c r="K294" s="12">
        <f>K257-J257</f>
        <v>0</v>
      </c>
      <c r="L294" s="12">
        <f>L257-K257</f>
        <v>11250</v>
      </c>
      <c r="M294" s="12" t="n"/>
      <c r="N294" s="12">
        <f>N257-M257</f>
        <v>-11250</v>
      </c>
      <c r="O294" s="12">
        <f>O257-N257</f>
        <v>0</v>
      </c>
      <c r="P294" s="12">
        <f>P257-O257</f>
        <v>0</v>
      </c>
      <c r="Q294" s="12">
        <f>Q257-P257</f>
        <v>0</v>
      </c>
      <c r="R294" s="12">
        <f>SUM(N294:Q294)</f>
        <v>-11250</v>
      </c>
      <c r="S294" s="12">
        <f>S257-R257</f>
        <v>0</v>
      </c>
      <c r="T294" s="12">
        <f>T257-S257</f>
        <v>0</v>
      </c>
      <c r="U294" s="12">
        <f>U257-T257</f>
        <v>0</v>
      </c>
      <c r="V294" s="12">
        <f>V257-U257</f>
        <v>0</v>
      </c>
      <c r="W294" s="12">
        <f>SUM(S294:V294)</f>
        <v>0</v>
      </c>
      <c r="X294" s="12">
        <f>X257-W257</f>
        <v>0</v>
      </c>
      <c r="Y294" s="12">
        <f>Y257-X257</f>
        <v>0</v>
      </c>
      <c r="Z294" s="12">
        <f>Z257-Y257</f>
        <v>0</v>
      </c>
      <c r="AA294" s="12">
        <f>AA257-Z257</f>
        <v>0</v>
      </c>
      <c r="AB294" s="12">
        <f>SUM(X294:AA294)</f>
        <v>0</v>
      </c>
      <c r="AC294" s="12">
        <f>AC257-AB257</f>
        <v>0</v>
      </c>
      <c r="AD294" s="12">
        <f>AD257-AC257</f>
        <v>0</v>
      </c>
      <c r="AE294" s="12">
        <f>AE257-AD257</f>
        <v>0</v>
      </c>
      <c r="AF294" s="12">
        <f>AF257-AE257</f>
        <v>0</v>
      </c>
      <c r="AG294" s="12">
        <f>SUM(AC294:AF294)</f>
        <v>0</v>
      </c>
      <c r="AH294" s="12">
        <f>AH257-AG257</f>
        <v>0</v>
      </c>
      <c r="AI294" s="12">
        <f>AI257-AH257</f>
        <v>0</v>
      </c>
      <c r="AJ294" s="12">
        <f>AJ257-AI257</f>
        <v>0</v>
      </c>
      <c r="AK294" s="12">
        <f>AK257-AJ257</f>
        <v>0</v>
      </c>
      <c r="AL294" s="12">
        <f>SUM(AH294:AK294)</f>
        <v>0</v>
      </c>
      <c r="AM294" s="12">
        <f>AM257-AL257</f>
        <v>0</v>
      </c>
      <c r="AN294" s="12">
        <f>AN257-AM257</f>
        <v>0</v>
      </c>
      <c r="AO294" s="12">
        <f>AO257-AN257</f>
        <v>0</v>
      </c>
      <c r="AP294" s="12">
        <f>AP257-AO257</f>
        <v>0</v>
      </c>
      <c r="AQ294" s="12">
        <f>SUM(AM294:AP294)</f>
        <v>0</v>
      </c>
      <c r="AR294" s="12">
        <f>AR257-AQ257</f>
        <v>0</v>
      </c>
      <c r="AS294" s="12">
        <f>AS257-AR257</f>
        <v>0</v>
      </c>
      <c r="AT294" s="12">
        <f>AT257-AS257</f>
        <v>0</v>
      </c>
      <c r="AU294" s="12">
        <f>AU257-AT257</f>
        <v>0</v>
      </c>
      <c r="AV294" s="12">
        <f>SUM(AR294:AU294)</f>
        <v>0</v>
      </c>
      <c r="AW294" s="12">
        <f>AW257-AV257</f>
        <v>0</v>
      </c>
      <c r="AX294" s="12">
        <f>AX257-AW257</f>
        <v>0</v>
      </c>
      <c r="AY294" s="12">
        <f>AY257-AX257</f>
        <v>0</v>
      </c>
      <c r="AZ294" s="12">
        <f>AZ257-AY257</f>
        <v>0</v>
      </c>
      <c r="BA294" s="12">
        <f>SUM(AW294:AZ294)</f>
        <v>0</v>
      </c>
      <c r="BB294" s="12">
        <f>BB257-BA257</f>
        <v>0</v>
      </c>
      <c r="BC294" s="12">
        <f>BC257-BB257</f>
        <v>0</v>
      </c>
      <c r="BD294" s="12">
        <f>BD257-BC257</f>
        <v>0</v>
      </c>
      <c r="BE294" s="12">
        <f>BE257-BD257</f>
        <v>0</v>
      </c>
      <c r="BF294" s="12">
        <f>SUM(BB294:BE294)</f>
        <v>0</v>
      </c>
      <c r="BG294" s="12" t="n"/>
      <c r="BH294" s="12" t="n"/>
      <c r="BI294" s="12" t="n"/>
      <c r="BJ294" s="12" t="n"/>
      <c r="BK294" s="12" t="n"/>
      <c r="BL294" s="12" t="n"/>
      <c r="BM294" s="12" t="n"/>
      <c r="BN294" s="12" t="n"/>
      <c r="BO294" s="12" t="n"/>
      <c r="BP294" s="12" t="n"/>
      <c r="BQ294" s="12" t="n"/>
      <c r="BR294" s="12" t="n"/>
      <c r="BS294" s="12" t="n"/>
      <c r="BT294" s="12" t="n"/>
      <c r="BU294" s="12" t="n"/>
      <c r="BV294" s="12" t="n"/>
      <c r="BW294" s="12" t="n"/>
      <c r="BX294" s="12" t="n"/>
      <c r="BY294" s="12" t="n"/>
      <c r="BZ294" s="12" t="n"/>
      <c r="CA294" s="12" t="n"/>
      <c r="CB294" s="12" t="n"/>
      <c r="CC294" s="12" t="n"/>
      <c r="CD294" s="12" t="n"/>
      <c r="CE294" s="12" t="n"/>
      <c r="CF294" s="12" t="n"/>
      <c r="CG294" s="12" t="n"/>
      <c r="CH294" s="12" t="n"/>
      <c r="CI294" s="12" t="n"/>
      <c r="CJ294" s="12" t="n"/>
      <c r="CK294" s="12" t="n"/>
      <c r="CL294" s="12" t="n"/>
      <c r="CM294" s="12" t="n"/>
      <c r="CN294" s="12" t="n"/>
      <c r="CO294" s="12" t="n"/>
      <c r="CP294" s="12" t="n"/>
      <c r="CQ294" s="12" t="n"/>
      <c r="CR294" s="12" t="n"/>
      <c r="CS294" s="12" t="n"/>
      <c r="CT294" s="12" t="n"/>
      <c r="CU294" s="12" t="n"/>
      <c r="CV294" s="12" t="n"/>
      <c r="CW294" s="12" t="n"/>
      <c r="CX294" s="12" t="n"/>
      <c r="CY294" s="12" t="n"/>
    </row>
    <row r="295">
      <c r="C295" s="10" t="inlineStr">
        <is>
          <t>Common and preferred dividends</t>
        </is>
      </c>
      <c r="D295" s="12" t="n"/>
      <c r="E295" s="12" t="n"/>
      <c r="F295" s="12" t="n"/>
      <c r="G295" s="12" t="n"/>
      <c r="H295" s="12" t="n"/>
      <c r="I295" s="12" t="n"/>
      <c r="J295" s="12">
        <f>(J258-I258)-J265</f>
        <v>61</v>
      </c>
      <c r="K295" s="12">
        <f>(K258-J258)-K265</f>
        <v>-607</v>
      </c>
      <c r="L295" s="12">
        <f>(L258-K258)-L265</f>
        <v>-42</v>
      </c>
      <c r="M295" s="12" t="n"/>
      <c r="N295" s="12">
        <f>(N258-M258)-N265</f>
        <v>-197</v>
      </c>
      <c r="O295" s="12">
        <f>(O258-N258)-O265</f>
        <v>-47</v>
      </c>
      <c r="P295" s="12">
        <f>(P258-O258)-P265</f>
        <v>-46</v>
      </c>
      <c r="Q295" s="12">
        <f>(Q258-P258)-Q265</f>
        <v>-47</v>
      </c>
      <c r="R295" s="12">
        <f>SUM(N295:Q295)</f>
        <v>-337</v>
      </c>
      <c r="S295" s="12">
        <f>(S258-R258)-S265</f>
        <v>-93</v>
      </c>
      <c r="T295" s="12">
        <f>(T258-S258)-T265</f>
        <v>-92</v>
      </c>
      <c r="U295" s="12">
        <f>(U258-T258)-U265</f>
        <v>-92</v>
      </c>
      <c r="V295" s="12">
        <f>(V258-U258)-V265</f>
        <v>-89</v>
      </c>
      <c r="W295" s="12">
        <f>SUM(S295:V295)</f>
        <v>-366</v>
      </c>
      <c r="X295" s="12">
        <f>(X258-W258)-X265</f>
        <v>-112</v>
      </c>
      <c r="Y295" s="12">
        <f>(Y258-X258)-Y265</f>
        <v>-110</v>
      </c>
      <c r="Z295" s="12">
        <f>(Z258-Y258)-Z265</f>
        <v>-111</v>
      </c>
      <c r="AA295" s="12">
        <f>(AA258-Z258)-AA265</f>
        <v>-111</v>
      </c>
      <c r="AB295" s="12">
        <f>SUM(X295:AA295)</f>
        <v>-444</v>
      </c>
      <c r="AC295" s="12">
        <f>(AC258-AB258)-AC265</f>
        <v>-122</v>
      </c>
      <c r="AD295" s="12">
        <f>(AD258-AC258)-AD265</f>
        <v>-122</v>
      </c>
      <c r="AE295" s="12">
        <f>(AE258-AD258)-AE265</f>
        <v>-121</v>
      </c>
      <c r="AF295" s="12">
        <f>(AF258-AE258)-AF265</f>
        <v>-121</v>
      </c>
      <c r="AG295" s="12">
        <f>SUM(AC295:AF295)</f>
        <v>-486</v>
      </c>
      <c r="AH295" s="12">
        <f>(AH258-AG258)-AH265</f>
        <v>-155</v>
      </c>
      <c r="AI295" s="12">
        <f>(AI258-AH258)-AI265</f>
        <v>-155</v>
      </c>
      <c r="AJ295" s="12">
        <f>(AJ258-AI258)-AJ265</f>
        <v>0</v>
      </c>
      <c r="AK295" s="12">
        <f>(AK258-AJ258)-AK265</f>
        <v>0</v>
      </c>
      <c r="AL295" s="12">
        <f>SUM(AH295:AK295)</f>
        <v>-310</v>
      </c>
      <c r="AM295" s="12">
        <f>(AM258-AL258)-AM265</f>
        <v>0</v>
      </c>
      <c r="AN295" s="12">
        <f>(AN258-AM258)-AN265</f>
        <v>0</v>
      </c>
      <c r="AO295" s="12">
        <f>(AO258-AN258)-AO265</f>
        <v>0</v>
      </c>
      <c r="AP295" s="12">
        <f>(AP258-AO258)-AP265</f>
        <v>0</v>
      </c>
      <c r="AQ295" s="12">
        <f>SUM(AM295:AP295)</f>
        <v>0</v>
      </c>
      <c r="AR295" s="12">
        <f>(AR258-AQ258)-AR265</f>
        <v>0</v>
      </c>
      <c r="AS295" s="12">
        <f>(AS258-AR258)-AS265</f>
        <v>0</v>
      </c>
      <c r="AT295" s="12">
        <f>(AT258-AS258)-AT265</f>
        <v>0</v>
      </c>
      <c r="AU295" s="12">
        <f>(AU258-AT258)-AU265</f>
        <v>0</v>
      </c>
      <c r="AV295" s="12">
        <f>SUM(AR295:AU295)</f>
        <v>0</v>
      </c>
      <c r="AW295" s="12">
        <f>(AW258-AV258)-AW265</f>
        <v>0</v>
      </c>
      <c r="AX295" s="12">
        <f>(AX258-AW258)-AX265</f>
        <v>0</v>
      </c>
      <c r="AY295" s="12">
        <f>(AY258-AX258)-AY265</f>
        <v>0</v>
      </c>
      <c r="AZ295" s="12">
        <f>(AZ258-AY258)-AZ265</f>
        <v>0</v>
      </c>
      <c r="BA295" s="12">
        <f>SUM(AW295:AZ295)</f>
        <v>0</v>
      </c>
      <c r="BB295" s="12">
        <f>(BB258-BA258)-BB265</f>
        <v>0</v>
      </c>
      <c r="BC295" s="12">
        <f>(BC258-BB258)-BC265</f>
        <v>0</v>
      </c>
      <c r="BD295" s="12">
        <f>(BD258-BC258)-BD265</f>
        <v>0</v>
      </c>
      <c r="BE295" s="12">
        <f>(BE258-BD258)-BE265</f>
        <v>0</v>
      </c>
      <c r="BF295" s="12">
        <f>SUM(BB295:BE295)</f>
        <v>0</v>
      </c>
      <c r="BG295" s="12" t="n"/>
      <c r="BH295" s="12" t="n"/>
      <c r="BI295" s="12" t="n"/>
      <c r="BJ295" s="12" t="n"/>
      <c r="BK295" s="12" t="n"/>
      <c r="BL295" s="12" t="n"/>
      <c r="BM295" s="12" t="n"/>
      <c r="BN295" s="12" t="n"/>
      <c r="BO295" s="12" t="n"/>
      <c r="BP295" s="12" t="n"/>
      <c r="BQ295" s="12" t="n"/>
      <c r="BR295" s="12" t="n"/>
      <c r="BS295" s="12" t="n"/>
      <c r="BT295" s="12" t="n"/>
      <c r="BU295" s="12" t="n"/>
      <c r="BV295" s="12" t="n"/>
      <c r="BW295" s="12" t="n"/>
      <c r="BX295" s="12" t="n"/>
      <c r="BY295" s="12" t="n"/>
      <c r="BZ295" s="12" t="n"/>
      <c r="CA295" s="12" t="n"/>
      <c r="CB295" s="12" t="n"/>
      <c r="CC295" s="12" t="n"/>
      <c r="CD295" s="12" t="n"/>
      <c r="CE295" s="12" t="n"/>
      <c r="CF295" s="12" t="n"/>
      <c r="CG295" s="12" t="n"/>
      <c r="CH295" s="12" t="n"/>
      <c r="CI295" s="12" t="n"/>
      <c r="CJ295" s="12" t="n"/>
      <c r="CK295" s="12" t="n"/>
      <c r="CL295" s="12" t="n"/>
      <c r="CM295" s="12" t="n"/>
      <c r="CN295" s="12" t="n"/>
      <c r="CO295" s="12" t="n"/>
      <c r="CP295" s="12" t="n"/>
      <c r="CQ295" s="12" t="n"/>
      <c r="CR295" s="12" t="n"/>
      <c r="CS295" s="12" t="n"/>
      <c r="CT295" s="12" t="n"/>
      <c r="CU295" s="12" t="n"/>
      <c r="CV295" s="12" t="n"/>
      <c r="CW295" s="12" t="n"/>
      <c r="CX295" s="12" t="n"/>
      <c r="CY295" s="12" t="n"/>
    </row>
    <row r="296">
      <c r="C296" s="14" t="inlineStr">
        <is>
          <t>Dividends to minority interests</t>
        </is>
      </c>
      <c r="D296" s="12" t="n"/>
      <c r="E296" s="12" t="n"/>
      <c r="F296" s="12" t="n"/>
      <c r="G296" s="12" t="n"/>
      <c r="H296" s="12" t="n"/>
      <c r="I296" s="12" t="n"/>
      <c r="J296" s="12">
        <f>(J236-I236)+J124</f>
        <v>-74</v>
      </c>
      <c r="K296" s="12">
        <f>(K236-J236)+K124</f>
        <v>-26</v>
      </c>
      <c r="L296" s="12">
        <f>(L236-K236)+L124</f>
        <v>398</v>
      </c>
      <c r="M296" s="12" t="n"/>
      <c r="N296" s="12">
        <f>(N236-M236)+N124</f>
        <v>0</v>
      </c>
      <c r="O296" s="12">
        <f>(O236-N236)+O124</f>
        <v>-9</v>
      </c>
      <c r="P296" s="12">
        <f>(P236-O236)+P124</f>
        <v>-18</v>
      </c>
      <c r="Q296" s="12">
        <f>(Q236-P236)+Q124</f>
        <v>-6</v>
      </c>
      <c r="R296" s="12">
        <f>SUM(N296:Q296)</f>
        <v>-33</v>
      </c>
      <c r="S296" s="12">
        <f>(S236-R236)+S124</f>
        <v>-2</v>
      </c>
      <c r="T296" s="12">
        <f>(T236-S236)+T124</f>
        <v>7</v>
      </c>
      <c r="U296" s="12">
        <f>(U236-T236)+U124</f>
        <v>19</v>
      </c>
      <c r="V296" s="12">
        <f>(V236-U236)+V124</f>
        <v>29</v>
      </c>
      <c r="W296" s="12">
        <f>SUM(S296:V296)</f>
        <v>53</v>
      </c>
      <c r="X296" s="12">
        <f>(X236-W236)+X124</f>
        <v>0</v>
      </c>
      <c r="Y296" s="12">
        <f>(Y236-X236)+Y124</f>
        <v>0</v>
      </c>
      <c r="Z296" s="12">
        <f>(Z236-Y236)+Z124</f>
        <v>19</v>
      </c>
      <c r="AA296" s="12">
        <f>(AA236-Z236)+AA124</f>
        <v>4</v>
      </c>
      <c r="AB296" s="12">
        <f>SUM(X296:AA296)</f>
        <v>23</v>
      </c>
      <c r="AC296" s="12">
        <f>(AC236-AB236)+AC124</f>
        <v>-6</v>
      </c>
      <c r="AD296" s="12">
        <f>(AD236-AC236)+AD124</f>
        <v>-15</v>
      </c>
      <c r="AE296" s="12">
        <f>(AE236-AD236)+AE124</f>
        <v>-14</v>
      </c>
      <c r="AF296" s="12">
        <f>(AF236-AE236)+AF124</f>
        <v>-6</v>
      </c>
      <c r="AG296" s="12">
        <f>SUM(AC296:AF296)</f>
        <v>-41</v>
      </c>
      <c r="AH296" s="12">
        <f>(AH236-AG236)+AH124</f>
        <v>-12</v>
      </c>
      <c r="AI296" s="12">
        <f>(AI236-AH236)+AI124</f>
        <v>13</v>
      </c>
      <c r="AJ296" s="12">
        <f>(AJ236-AI236)+AJ124</f>
        <v>0</v>
      </c>
      <c r="AK296" s="12">
        <f>(AK236-AJ236)+AK124</f>
        <v>0</v>
      </c>
      <c r="AL296" s="12">
        <f>SUM(AH296:AK296)</f>
        <v>1</v>
      </c>
      <c r="AM296" s="12">
        <f>(AM236-AL236)+AM124</f>
        <v>0</v>
      </c>
      <c r="AN296" s="12">
        <f>(AN236-AM236)+AN124</f>
        <v>0</v>
      </c>
      <c r="AO296" s="12">
        <f>(AO236-AN236)+AO124</f>
        <v>0</v>
      </c>
      <c r="AP296" s="12">
        <f>(AP236-AO236)+AP124</f>
        <v>0</v>
      </c>
      <c r="AQ296" s="12">
        <f>SUM(AM296:AP296)</f>
        <v>0</v>
      </c>
      <c r="AR296" s="12">
        <f>(AR236-AQ236)+AR124</f>
        <v>0</v>
      </c>
      <c r="AS296" s="12">
        <f>(AS236-AR236)+AS124</f>
        <v>0</v>
      </c>
      <c r="AT296" s="12">
        <f>(AT236-AS236)+AT124</f>
        <v>0</v>
      </c>
      <c r="AU296" s="12">
        <f>(AU236-AT236)+AU124</f>
        <v>0</v>
      </c>
      <c r="AV296" s="12">
        <f>SUM(AR296:AU296)</f>
        <v>0</v>
      </c>
      <c r="AW296" s="12">
        <f>(AW236-AV236)+AW124</f>
        <v>0</v>
      </c>
      <c r="AX296" s="12">
        <f>(AX236-AW236)+AX124</f>
        <v>0</v>
      </c>
      <c r="AY296" s="12">
        <f>(AY236-AX236)+AY124</f>
        <v>0</v>
      </c>
      <c r="AZ296" s="12">
        <f>(AZ236-AY236)+AZ124</f>
        <v>0</v>
      </c>
      <c r="BA296" s="12">
        <f>SUM(AW296:AZ296)</f>
        <v>0</v>
      </c>
      <c r="BB296" s="12">
        <f>(BB236-BA236)+BB124</f>
        <v>0</v>
      </c>
      <c r="BC296" s="12">
        <f>(BC236-BB236)+BC124</f>
        <v>0</v>
      </c>
      <c r="BD296" s="12">
        <f>(BD236-BC236)+BD124</f>
        <v>0</v>
      </c>
      <c r="BE296" s="12">
        <f>(BE236-BD236)+BE124</f>
        <v>0</v>
      </c>
      <c r="BF296" s="12">
        <f>SUM(BB296:BE296)</f>
        <v>0</v>
      </c>
      <c r="BG296" s="12" t="n"/>
      <c r="BH296" s="12" t="n"/>
      <c r="BI296" s="12" t="n"/>
      <c r="BJ296" s="12" t="n"/>
      <c r="BK296" s="12" t="n"/>
      <c r="BL296" s="12" t="n"/>
      <c r="BM296" s="12" t="n"/>
      <c r="BN296" s="12" t="n"/>
      <c r="BO296" s="12" t="n"/>
      <c r="BP296" s="12" t="n"/>
      <c r="BQ296" s="12" t="n"/>
      <c r="BR296" s="12" t="n"/>
      <c r="BS296" s="12" t="n"/>
      <c r="BT296" s="12" t="n"/>
      <c r="BU296" s="12" t="n"/>
      <c r="BV296" s="12" t="n"/>
      <c r="BW296" s="12" t="n"/>
      <c r="BX296" s="12" t="n"/>
      <c r="BY296" s="12" t="n"/>
      <c r="BZ296" s="12" t="n"/>
      <c r="CA296" s="12" t="n"/>
      <c r="CB296" s="12" t="n"/>
      <c r="CC296" s="12" t="n"/>
      <c r="CD296" s="12" t="n"/>
      <c r="CE296" s="12" t="n"/>
      <c r="CF296" s="12" t="n"/>
      <c r="CG296" s="12" t="n"/>
      <c r="CH296" s="12" t="n"/>
      <c r="CI296" s="12" t="n"/>
      <c r="CJ296" s="12" t="n"/>
      <c r="CK296" s="12" t="n"/>
      <c r="CL296" s="12" t="n"/>
      <c r="CM296" s="12" t="n"/>
      <c r="CN296" s="12" t="n"/>
      <c r="CO296" s="12" t="n"/>
      <c r="CP296" s="12" t="n"/>
      <c r="CQ296" s="12" t="n"/>
      <c r="CR296" s="12" t="n"/>
      <c r="CS296" s="12" t="n"/>
      <c r="CT296" s="12" t="n"/>
      <c r="CU296" s="12" t="n"/>
      <c r="CV296" s="12" t="n"/>
      <c r="CW296" s="12" t="n"/>
      <c r="CX296" s="12" t="n"/>
      <c r="CY296" s="12" t="n"/>
    </row>
    <row r="297">
      <c r="C297" s="15" t="inlineStr">
        <is>
          <t>Increases / (decreases) in debt</t>
        </is>
      </c>
      <c r="D297" s="12" t="n"/>
      <c r="E297" s="12" t="n"/>
      <c r="F297" s="12" t="n"/>
      <c r="G297" s="12" t="n"/>
      <c r="H297" s="12" t="n"/>
      <c r="I297" s="12" t="n"/>
      <c r="J297" s="12">
        <f>SUM(J200:J202,J205,J226,J223)-SUM(I200:I202,I205,I226,I223)</f>
        <v>0</v>
      </c>
      <c r="K297" s="12">
        <f>SUM(K200:K202,K205,K226,K223)-SUM(J200:J202,J205,J226,J223)</f>
        <v>0</v>
      </c>
      <c r="L297" s="12">
        <f>SUM(L200:L202,L205,L226,L223)-SUM(K200:K202,K205,K226,K223)</f>
        <v>7877</v>
      </c>
      <c r="M297" s="12" t="n"/>
      <c r="N297" s="12">
        <f>SUM(N200:N202,N205,N226,N223)-SUM(M200:M202,M205,M226,M223)</f>
        <v>-2058</v>
      </c>
      <c r="O297" s="12">
        <f>SUM(O200:O202,O205,O226,O223)-SUM(N200:N202,N205,N226,N223)</f>
        <v>-928</v>
      </c>
      <c r="P297" s="12">
        <f>SUM(P200:P202,P205,P226,P223)-SUM(O200:O202,O205,O226,O223)</f>
        <v>463</v>
      </c>
      <c r="Q297" s="12">
        <f>SUM(Q200:Q202,Q205,Q226,Q223)-SUM(P200:P202,P205,P226,P223)</f>
        <v>414</v>
      </c>
      <c r="R297" s="12">
        <f>SUM(N297:Q297)</f>
        <v>-2109</v>
      </c>
      <c r="S297" s="12">
        <f>SUM(S200:S202,S205,S226,S223)-SUM(R200:R202,R205,R226,R223)</f>
        <v>861</v>
      </c>
      <c r="T297" s="12">
        <f>SUM(T200:T202,T205,T226,T223)-SUM(S200:S202,S205,S226,S223)</f>
        <v>572</v>
      </c>
      <c r="U297" s="12">
        <f>SUM(U200:U202,U205,U226,U223)-SUM(T200:T202,T205,T226,T223)</f>
        <v>954</v>
      </c>
      <c r="V297" s="12">
        <f>SUM(V200:V202,V205,V226,V223)-SUM(U200:U202,U205,U226,U223)</f>
        <v>1106</v>
      </c>
      <c r="W297" s="12">
        <f>SUM(S297:V297)</f>
        <v>3493</v>
      </c>
      <c r="X297" s="12">
        <f>SUM(X200:X202,X205,X226,X223)-SUM(W200:W202,W205,W226,W223)</f>
        <v>722</v>
      </c>
      <c r="Y297" s="12">
        <f>SUM(Y200:Y202,Y205,Y226,Y223)-SUM(X200:X202,X205,X226,X223)</f>
        <v>-859</v>
      </c>
      <c r="Z297" s="12">
        <f>SUM(Z200:Z202,Z205,Z226,Z223)-SUM(Y200:Y202,Y205,Y226,Y223)</f>
        <v>-712</v>
      </c>
      <c r="AA297" s="12">
        <f>SUM(AA200:AA202,AA205,AA226,AA223)-SUM(Z200:Z202,Z205,Z226,Z223)</f>
        <v>0</v>
      </c>
      <c r="AB297" s="12">
        <f>SUM(X297:AA297)</f>
        <v>-849</v>
      </c>
      <c r="AC297" s="12">
        <f>SUM(AC200:AC202,AC205,AC226,AC223)-SUM(AB200:AB202,AB205,AB226,AB223)</f>
        <v>-54</v>
      </c>
      <c r="AD297" s="12">
        <f>SUM(AD200:AD202,AD205,AD226,AD223)-SUM(AC200:AC202,AC205,AC226,AC223)</f>
        <v>-47</v>
      </c>
      <c r="AE297" s="12">
        <f>SUM(AE200:AE202,AE205,AE226,AE223)-SUM(AD200:AD202,AD205,AD226,AD223)</f>
        <v>726</v>
      </c>
      <c r="AF297" s="12">
        <f>SUM(AF200:AF202,AF205,AF226,AF223)-SUM(AE200:AE202,AE205,AE226,AE223)</f>
        <v>-45</v>
      </c>
      <c r="AG297" s="12">
        <f>SUM(AC297:AF297)</f>
        <v>580</v>
      </c>
      <c r="AH297" s="12">
        <f>SUM(AH200:AH202,AH205,AH226,AH223)-SUM(AG200:AG202,AG205,AG226,AG223)</f>
        <v>13474</v>
      </c>
      <c r="AI297" s="12">
        <f>SUM(AI200:AI202,AI205,AI226,AI223)-SUM(AH200:AH202,AH205,AH226,AH223)</f>
        <v>2234</v>
      </c>
      <c r="AJ297" s="12">
        <f>SUM(AJ200:AJ202,AJ205,AJ226,AJ223)-SUM(AI200:AI202,AI205,AI226,AI223)</f>
        <v>0</v>
      </c>
      <c r="AK297" s="12">
        <f>SUM(AK200:AK202,AK205,AK226,AK223)-SUM(AJ200:AJ202,AJ205,AJ226,AJ223)</f>
        <v>0</v>
      </c>
      <c r="AL297" s="12">
        <f>SUM(AH297:AK297)</f>
        <v>15708</v>
      </c>
      <c r="AM297" s="12">
        <f>SUM(AM200:AM202,AM205,AM226,AM223)-SUM(AL200:AL202,AL205,AL226,AL223)</f>
        <v>0</v>
      </c>
      <c r="AN297" s="12">
        <f>SUM(AN200:AN202,AN205,AN226,AN223)-SUM(AM200:AM202,AM205,AM226,AM223)</f>
        <v>0</v>
      </c>
      <c r="AO297" s="12">
        <f>SUM(AO200:AO202,AO205,AO226,AO223)-SUM(AN200:AN202,AN205,AN226,AN223)</f>
        <v>0</v>
      </c>
      <c r="AP297" s="12">
        <f>SUM(AP200:AP202,AP205,AP226,AP223)-SUM(AO200:AO202,AO205,AO226,AO223)</f>
        <v>0</v>
      </c>
      <c r="AQ297" s="12">
        <f>SUM(AM297:AP297)</f>
        <v>0</v>
      </c>
      <c r="AR297" s="12">
        <f>SUM(AR200:AR202,AR205,AR226,AR223)-SUM(AQ200:AQ202,AQ205,AQ226,AQ223)</f>
        <v>0</v>
      </c>
      <c r="AS297" s="12">
        <f>SUM(AS200:AS202,AS205,AS226,AS223)-SUM(AR200:AR202,AR205,AR226,AR223)</f>
        <v>0</v>
      </c>
      <c r="AT297" s="12">
        <f>SUM(AT200:AT202,AT205,AT226,AT223)-SUM(AS200:AS202,AS205,AS226,AS223)</f>
        <v>0</v>
      </c>
      <c r="AU297" s="12">
        <f>SUM(AU200:AU202,AU205,AU226,AU223)-SUM(AT200:AT202,AT205,AT226,AT223)</f>
        <v>0</v>
      </c>
      <c r="AV297" s="12">
        <f>SUM(AR297:AU297)</f>
        <v>0</v>
      </c>
      <c r="AW297" s="12">
        <f>SUM(AW200:AW202,AW205,AW226,AW223)-SUM(AV200:AV202,AV205,AV226,AV223)</f>
        <v>0</v>
      </c>
      <c r="AX297" s="12">
        <f>SUM(AX200:AX202,AX205,AX226,AX223)-SUM(AW200:AW202,AW205,AW226,AW223)</f>
        <v>0</v>
      </c>
      <c r="AY297" s="12">
        <f>SUM(AY200:AY202,AY205,AY226,AY223)-SUM(AX200:AX202,AX205,AX226,AX223)</f>
        <v>0</v>
      </c>
      <c r="AZ297" s="12">
        <f>SUM(AZ200:AZ202,AZ205,AZ226,AZ223)-SUM(AY200:AY202,AY205,AY226,AY223)</f>
        <v>0</v>
      </c>
      <c r="BA297" s="12">
        <f>SUM(AW297:AZ297)</f>
        <v>0</v>
      </c>
      <c r="BB297" s="12">
        <f>SUM(BB200:BB202,BB205,BB226,BB223)-SUM(BA200:BA202,BA205,BA226,BA223)</f>
        <v>0</v>
      </c>
      <c r="BC297" s="12">
        <f>SUM(BC200:BC202,BC205,BC226,BC223)-SUM(BB200:BB202,BB205,BB226,BB223)</f>
        <v>0</v>
      </c>
      <c r="BD297" s="12">
        <f>SUM(BD200:BD202,BD205,BD226,BD223)-SUM(BC200:BC202,BC205,BC226,BC223)</f>
        <v>0</v>
      </c>
      <c r="BE297" s="12">
        <f>SUM(BE200:BE202,BE205,BE226,BE223)-SUM(BD200:BD202,BD205,BD226,BD223)</f>
        <v>0</v>
      </c>
      <c r="BF297" s="12">
        <f>SUM(BB297:BE297)</f>
        <v>0</v>
      </c>
      <c r="BG297" s="12" t="n"/>
      <c r="BH297" s="12" t="n"/>
      <c r="BI297" s="12" t="n"/>
      <c r="BJ297" s="12" t="n"/>
      <c r="BK297" s="12" t="n"/>
      <c r="BL297" s="12" t="n"/>
      <c r="BM297" s="12" t="n"/>
      <c r="BN297" s="12" t="n"/>
      <c r="BO297" s="12" t="n"/>
      <c r="BP297" s="12" t="n"/>
      <c r="BQ297" s="12" t="n"/>
      <c r="BR297" s="12" t="n"/>
      <c r="BS297" s="12" t="n"/>
      <c r="BT297" s="12" t="n"/>
      <c r="BU297" s="12" t="n"/>
      <c r="BV297" s="12" t="n"/>
      <c r="BW297" s="12" t="n"/>
      <c r="BX297" s="12" t="n"/>
      <c r="BY297" s="12" t="n"/>
      <c r="BZ297" s="12" t="n"/>
      <c r="CA297" s="12" t="n"/>
      <c r="CB297" s="12" t="n"/>
      <c r="CC297" s="12" t="n"/>
      <c r="CD297" s="12" t="n"/>
      <c r="CE297" s="12" t="n"/>
      <c r="CF297" s="12" t="n"/>
      <c r="CG297" s="12" t="n"/>
      <c r="CH297" s="12" t="n"/>
      <c r="CI297" s="12" t="n"/>
      <c r="CJ297" s="12" t="n"/>
      <c r="CK297" s="12" t="n"/>
      <c r="CL297" s="12" t="n"/>
      <c r="CM297" s="12" t="n"/>
      <c r="CN297" s="12" t="n"/>
      <c r="CO297" s="12" t="n"/>
      <c r="CP297" s="12" t="n"/>
      <c r="CQ297" s="12" t="n"/>
      <c r="CR297" s="12" t="n"/>
      <c r="CS297" s="12" t="n"/>
      <c r="CT297" s="12" t="n"/>
      <c r="CU297" s="12" t="n"/>
      <c r="CV297" s="12" t="n"/>
      <c r="CW297" s="12" t="n"/>
      <c r="CX297" s="12" t="n"/>
      <c r="CY297" s="12" t="n"/>
      <c r="CZ297" s="12" t="n"/>
      <c r="DA297" s="12" t="n"/>
      <c r="DB297" s="12" t="n"/>
      <c r="DC297" s="12" t="n"/>
    </row>
    <row r="298">
      <c r="C298" s="14" t="inlineStr">
        <is>
          <t>Cash from financing</t>
        </is>
      </c>
      <c r="D298" s="12" t="n"/>
      <c r="E298" s="12" t="n"/>
      <c r="F298" s="12" t="n"/>
      <c r="G298" s="12" t="n"/>
      <c r="H298" s="12" t="n"/>
      <c r="I298" s="12" t="n"/>
      <c r="J298" s="12">
        <f>SUM(J290,J291,J292,J293,J294,J295,J296,J297)</f>
        <v>-13</v>
      </c>
      <c r="K298" s="12">
        <f>SUM(K290,K291,K292,K293,K294,K295,K296,K297)</f>
        <v>-633</v>
      </c>
      <c r="L298" s="12">
        <f>SUM(L290,L291,L292,L293,L294,L295,L296,L297)</f>
        <v>19452</v>
      </c>
      <c r="M298" s="12" t="n"/>
      <c r="N298" s="12">
        <f>SUM(N290,N291,N292,N293,N294,N295,N296,N297)</f>
        <v>-2278</v>
      </c>
      <c r="O298" s="12">
        <f>SUM(O290,O291,O292,O293,O294,O295,O296,O297)</f>
        <v>-931</v>
      </c>
      <c r="P298" s="12">
        <f>SUM(P290,P291,P292,P293,P294,P295,P296,P297)</f>
        <v>436</v>
      </c>
      <c r="Q298" s="12">
        <f>SUM(Q290,Q291,Q292,Q293,Q294,Q295,Q296,Q297)</f>
        <v>589</v>
      </c>
      <c r="R298" s="12">
        <f>SUM(R290,R291,R292,R293,R294,R295,R296,R297)</f>
        <v>-2184</v>
      </c>
      <c r="S298" s="12">
        <f>SUM(S290,S291,S292,S293,S294,S295,S296,S297)</f>
        <v>473</v>
      </c>
      <c r="T298" s="12">
        <f>SUM(T290,T291,T292,T293,T294,T295,T296,T297)</f>
        <v>274</v>
      </c>
      <c r="U298" s="12">
        <f>SUM(U290,U291,U292,U293,U294,U295,U296,U297)</f>
        <v>652</v>
      </c>
      <c r="V298" s="12">
        <f>SUM(V290,V291,V292,V293,V294,V295,V296,V297)</f>
        <v>431</v>
      </c>
      <c r="W298" s="12">
        <f>SUM(W290,W291,W292,W293,W294,W295,W296,W297)</f>
        <v>1830</v>
      </c>
      <c r="X298" s="12">
        <f>SUM(X290,X291,X292,X293,X294,X295,X296,X297)</f>
        <v>113</v>
      </c>
      <c r="Y298" s="12">
        <f>SUM(Y290,Y291,Y292,Y293,Y294,Y295,Y296,Y297)</f>
        <v>-1447</v>
      </c>
      <c r="Z298" s="12">
        <f>SUM(Z290,Z291,Z292,Z293,Z294,Z295,Z296,Z297)</f>
        <v>-748</v>
      </c>
      <c r="AA298" s="12">
        <f>SUM(AA290,AA291,AA292,AA293,AA294,AA295,AA296,AA297)</f>
        <v>-252</v>
      </c>
      <c r="AB298" s="12">
        <f>SUM(AB290,AB291,AB292,AB293,AB294,AB295,AB296,AB297)</f>
        <v>-2334</v>
      </c>
      <c r="AC298" s="12">
        <f>SUM(AC290,AC291,AC292,AC293,AC294,AC295,AC296,AC297)</f>
        <v>-388</v>
      </c>
      <c r="AD298" s="12">
        <f>SUM(AD290,AD291,AD292,AD293,AD294,AD295,AD296,AD297)</f>
        <v>-411</v>
      </c>
      <c r="AE298" s="12">
        <f>SUM(AE290,AE291,AE292,AE293,AE294,AE295,AE296,AE297)</f>
        <v>686</v>
      </c>
      <c r="AF298" s="12">
        <f>SUM(AF290,AF291,AF292,AF293,AF294,AF295,AF296,AF297)</f>
        <v>-316</v>
      </c>
      <c r="AG298" s="12">
        <f>SUM(AG290,AG291,AG292,AG293,AG294,AG295,AG296,AG297)</f>
        <v>-429</v>
      </c>
      <c r="AH298" s="12">
        <f>SUM(AH290,AH291,AH292,AH293,AH294,AH295,AH296,AH297)</f>
        <v>30838</v>
      </c>
      <c r="AI298" s="12">
        <f>SUM(AI290,AI291,AI292,AI293,AI294,AI295,AI296,AI297)</f>
        <v>228</v>
      </c>
      <c r="AJ298" s="12">
        <f>SUM(AJ290,AJ291,AJ292,AJ293,AJ294,AJ295,AJ296,AJ297)</f>
        <v>0</v>
      </c>
      <c r="AK298" s="12">
        <f>SUM(AK290,AK291,AK292,AK293,AK294,AK295,AK296,AK297)</f>
        <v>0</v>
      </c>
      <c r="AL298" s="12">
        <f>SUM(AL290,AL291,AL292,AL293,AL294,AL295,AL296,AL297)</f>
        <v>31066</v>
      </c>
      <c r="AM298" s="12">
        <f>SUM(AM290,AM291,AM292,AM293,AM294,AM295,AM296,AM297)</f>
        <v>0</v>
      </c>
      <c r="AN298" s="12">
        <f>SUM(AN290,AN291,AN292,AN293,AN294,AN295,AN296,AN297)</f>
        <v>0</v>
      </c>
      <c r="AO298" s="12">
        <f>SUM(AO290,AO291,AO292,AO293,AO294,AO295,AO296,AO297)</f>
        <v>0</v>
      </c>
      <c r="AP298" s="12">
        <f>SUM(AP290,AP291,AP292,AP293,AP294,AP295,AP296,AP297)</f>
        <v>0</v>
      </c>
      <c r="AQ298" s="12">
        <f>SUM(AQ290,AQ291,AQ292,AQ293,AQ294,AQ295,AQ296,AQ297)</f>
        <v>0</v>
      </c>
      <c r="AR298" s="12">
        <f>SUM(AR290,AR291,AR292,AR293,AR294,AR295,AR296,AR297)</f>
        <v>0</v>
      </c>
      <c r="AS298" s="12">
        <f>SUM(AS290,AS291,AS292,AS293,AS294,AS295,AS296,AS297)</f>
        <v>0</v>
      </c>
      <c r="AT298" s="12">
        <f>SUM(AT290,AT291,AT292,AT293,AT294,AT295,AT296,AT297)</f>
        <v>0</v>
      </c>
      <c r="AU298" s="12">
        <f>SUM(AU290,AU291,AU292,AU293,AU294,AU295,AU296,AU297)</f>
        <v>0</v>
      </c>
      <c r="AV298" s="12">
        <f>SUM(AV290,AV291,AV292,AV293,AV294,AV295,AV296,AV297)</f>
        <v>0</v>
      </c>
      <c r="AW298" s="12">
        <f>SUM(AW290,AW291,AW292,AW293,AW294,AW295,AW296,AW297)</f>
        <v>0</v>
      </c>
      <c r="AX298" s="12">
        <f>SUM(AX290,AX291,AX292,AX293,AX294,AX295,AX296,AX297)</f>
        <v>0</v>
      </c>
      <c r="AY298" s="12">
        <f>SUM(AY290,AY291,AY292,AY293,AY294,AY295,AY296,AY297)</f>
        <v>0</v>
      </c>
      <c r="AZ298" s="12">
        <f>SUM(AZ290,AZ291,AZ292,AZ293,AZ294,AZ295,AZ296,AZ297)</f>
        <v>0</v>
      </c>
      <c r="BA298" s="12">
        <f>SUM(BA290,BA291,BA292,BA293,BA294,BA295,BA296,BA297)</f>
        <v>0</v>
      </c>
      <c r="BB298" s="12">
        <f>SUM(BB290,BB291,BB292,BB293,BB294,BB295,BB296,BB297)</f>
        <v>0</v>
      </c>
      <c r="BC298" s="12">
        <f>SUM(BC290,BC291,BC292,BC293,BC294,BC295,BC296,BC297)</f>
        <v>0</v>
      </c>
      <c r="BD298" s="12">
        <f>SUM(BD290,BD291,BD292,BD293,BD294,BD295,BD296,BD297)</f>
        <v>0</v>
      </c>
      <c r="BE298" s="12">
        <f>SUM(BE290,BE291,BE292,BE293,BE294,BE295,BE296,BE297)</f>
        <v>0</v>
      </c>
      <c r="BF298" s="12">
        <f>SUM(BF290,BF291,BF292,BF293,BF294,BF295,BF296,BF297)</f>
        <v>0</v>
      </c>
      <c r="BG298" s="12" t="n"/>
      <c r="BH298" s="12" t="n"/>
      <c r="BI298" s="12" t="n"/>
      <c r="BJ298" s="12" t="n"/>
      <c r="BK298" s="12" t="n"/>
      <c r="BL298" s="12" t="n"/>
      <c r="BM298" s="12" t="n"/>
      <c r="BN298" s="12" t="n"/>
      <c r="BO298" s="12" t="n"/>
      <c r="BP298" s="12" t="n"/>
      <c r="BQ298" s="12" t="n"/>
      <c r="BR298" s="12" t="n"/>
      <c r="BS298" s="12" t="n"/>
      <c r="BT298" s="12" t="n"/>
      <c r="BU298" s="12" t="n"/>
      <c r="BV298" s="12" t="n"/>
      <c r="BW298" s="12" t="n"/>
      <c r="BX298" s="12" t="n"/>
      <c r="BY298" s="12" t="n"/>
      <c r="BZ298" s="12" t="n"/>
      <c r="CA298" s="12" t="n"/>
      <c r="CB298" s="12" t="n"/>
      <c r="CC298" s="12" t="n"/>
      <c r="CD298" s="12" t="n"/>
      <c r="CE298" s="12" t="n"/>
      <c r="CF298" s="12" t="n"/>
      <c r="CG298" s="12" t="n"/>
      <c r="CH298" s="12" t="n"/>
      <c r="CI298" s="12" t="n"/>
      <c r="CJ298" s="12" t="n"/>
      <c r="CK298" s="12" t="n"/>
      <c r="CL298" s="12" t="n"/>
      <c r="CM298" s="12" t="n"/>
      <c r="CN298" s="12" t="n"/>
      <c r="CO298" s="12" t="n"/>
      <c r="CP298" s="12" t="n"/>
      <c r="CQ298" s="12" t="n"/>
      <c r="CR298" s="12" t="n"/>
      <c r="CS298" s="12" t="n"/>
      <c r="CT298" s="12" t="n"/>
      <c r="CU298" s="12" t="n"/>
      <c r="CV298" s="12" t="n"/>
      <c r="CW298" s="12" t="n"/>
      <c r="CX298" s="12" t="n"/>
      <c r="CY298" s="12" t="n"/>
    </row>
    <row r="299">
      <c r="C299" s="14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  <c r="AA299" s="12" t="n"/>
      <c r="AB299" s="12" t="n"/>
      <c r="AC299" s="12" t="n"/>
      <c r="AD299" s="12" t="n"/>
      <c r="AE299" s="12" t="n"/>
      <c r="AF299" s="12" t="n"/>
      <c r="AG299" s="12" t="n"/>
      <c r="AH299" s="12" t="n"/>
      <c r="AI299" s="12" t="n"/>
      <c r="AJ299" s="12" t="n"/>
      <c r="AK299" s="12" t="n"/>
      <c r="AL299" s="12" t="n"/>
      <c r="AM299" s="12" t="n"/>
      <c r="AN299" s="12" t="n"/>
      <c r="AO299" s="12" t="n"/>
      <c r="AP299" s="12" t="n"/>
      <c r="AQ299" s="12" t="n"/>
      <c r="AR299" s="12" t="n"/>
      <c r="AS299" s="12" t="n"/>
      <c r="AT299" s="12" t="n"/>
      <c r="AU299" s="12" t="n"/>
      <c r="AV299" s="12" t="n"/>
      <c r="AW299" s="12" t="n"/>
      <c r="AX299" s="12" t="n"/>
      <c r="AY299" s="12" t="n"/>
      <c r="AZ299" s="12" t="n"/>
      <c r="BA299" s="12" t="n"/>
      <c r="BB299" s="12" t="n"/>
      <c r="BC299" s="12" t="n"/>
      <c r="BD299" s="12" t="n"/>
      <c r="BE299" s="12" t="n"/>
      <c r="BF299" s="12" t="n"/>
      <c r="BG299" s="12" t="n"/>
      <c r="BH299" s="12" t="n"/>
      <c r="BI299" s="12" t="n"/>
      <c r="BJ299" s="12" t="n"/>
      <c r="BK299" s="12" t="n"/>
      <c r="BL299" s="12" t="n"/>
      <c r="BM299" s="12" t="n"/>
      <c r="BN299" s="12" t="n"/>
      <c r="BO299" s="12" t="n"/>
      <c r="BP299" s="12" t="n"/>
      <c r="BQ299" s="12" t="n"/>
      <c r="BR299" s="12" t="n"/>
      <c r="BS299" s="12" t="n"/>
      <c r="BT299" s="12" t="n"/>
      <c r="BU299" s="12" t="n"/>
      <c r="BV299" s="12" t="n"/>
      <c r="BW299" s="12" t="n"/>
      <c r="BX299" s="12" t="n"/>
      <c r="BY299" s="12" t="n"/>
      <c r="BZ299" s="12" t="n"/>
      <c r="CA299" s="12" t="n"/>
      <c r="CB299" s="12" t="n"/>
      <c r="CC299" s="12" t="n"/>
      <c r="CD299" s="12" t="n"/>
      <c r="CE299" s="12" t="n"/>
      <c r="CF299" s="12" t="n"/>
      <c r="CG299" s="12" t="n"/>
      <c r="CH299" s="12" t="n"/>
      <c r="CI299" s="12" t="n"/>
      <c r="CJ299" s="12" t="n"/>
      <c r="CK299" s="12" t="n"/>
      <c r="CL299" s="12" t="n"/>
      <c r="CM299" s="12" t="n"/>
      <c r="CN299" s="12" t="n"/>
      <c r="CO299" s="12" t="n"/>
      <c r="CP299" s="12" t="n"/>
      <c r="CQ299" s="12" t="n"/>
      <c r="CR299" s="12" t="n"/>
      <c r="CS299" s="12" t="n"/>
      <c r="CT299" s="12" t="n"/>
      <c r="CU299" s="12" t="n"/>
      <c r="CV299" s="12" t="n"/>
      <c r="CW299" s="12" t="n"/>
      <c r="CX299" s="12" t="n"/>
      <c r="CY299" s="12" t="n"/>
    </row>
    <row r="300">
      <c r="C300" s="14" t="inlineStr">
        <is>
          <t>Others / cash reconciliation plug</t>
        </is>
      </c>
      <c r="D300" s="12" t="n"/>
      <c r="E300" s="12" t="n"/>
      <c r="F300" s="12" t="n"/>
      <c r="G300" s="12" t="n"/>
      <c r="H300" s="12" t="n"/>
      <c r="I300" s="12" t="n"/>
      <c r="J300" s="12">
        <f>J132-I132-SUM(J281,J288,J298)</f>
        <v>0</v>
      </c>
      <c r="K300" s="12">
        <f>K132-J132-SUM(K281,K288,K298)</f>
        <v>0</v>
      </c>
      <c r="L300" s="12">
        <f>L132-K132-SUM(L281,L288,L298)</f>
        <v>0</v>
      </c>
      <c r="M300" s="12" t="n"/>
      <c r="N300" s="12">
        <f>N132-M132-SUM(N281,N288,N298)</f>
        <v>0</v>
      </c>
      <c r="O300" s="12">
        <f>O132-N132-SUM(O281,O288,O298)</f>
        <v>0</v>
      </c>
      <c r="P300" s="12">
        <f>P132-O132-SUM(P281,P288,P298)</f>
        <v>0</v>
      </c>
      <c r="Q300" s="12">
        <f>Q132-P132-SUM(Q281,Q288,Q298)</f>
        <v>0</v>
      </c>
      <c r="R300" s="12">
        <f>SUM(N300:Q300)</f>
        <v>0</v>
      </c>
      <c r="S300" s="12">
        <f>S132-R132-SUM(S281,S288,S298)</f>
        <v>0</v>
      </c>
      <c r="T300" s="12">
        <f>T132-S132-SUM(T281,T288,T298)</f>
        <v>0</v>
      </c>
      <c r="U300" s="12">
        <f>U132-T132-SUM(U281,U288,U298)</f>
        <v>0</v>
      </c>
      <c r="V300" s="12">
        <f>V132-U132-SUM(V281,V288,V298)</f>
        <v>0</v>
      </c>
      <c r="W300" s="12">
        <f>SUM(S300:V300)</f>
        <v>0</v>
      </c>
      <c r="X300" s="12">
        <f>X132-W132-SUM(X281,X288,X298)</f>
        <v>0</v>
      </c>
      <c r="Y300" s="12">
        <f>Y132-X132-SUM(Y281,Y288,Y298)</f>
        <v>0</v>
      </c>
      <c r="Z300" s="12">
        <f>Z132-Y132-SUM(Z281,Z288,Z298)</f>
        <v>0</v>
      </c>
      <c r="AA300" s="12">
        <f>AA132-Z132-SUM(AA281,AA288,AA298)</f>
        <v>0</v>
      </c>
      <c r="AB300" s="12">
        <f>SUM(X300:AA300)</f>
        <v>0</v>
      </c>
      <c r="AC300" s="12">
        <f>AC132-AB132-SUM(AC281,AC288,AC298)</f>
        <v>0</v>
      </c>
      <c r="AD300" s="12">
        <f>AD132-AC132-SUM(AD281,AD288,AD298)</f>
        <v>0</v>
      </c>
      <c r="AE300" s="12">
        <f>AE132-AD132-SUM(AE281,AE288,AE298)</f>
        <v>0</v>
      </c>
      <c r="AF300" s="12">
        <f>AF132-AE132-SUM(AF281,AF288,AF298)</f>
        <v>0</v>
      </c>
      <c r="AG300" s="12">
        <f>SUM(AC300:AF300)</f>
        <v>0</v>
      </c>
      <c r="AH300" s="12">
        <f>AH132-AG132-SUM(AH281,AH288,AH298)</f>
        <v>0</v>
      </c>
      <c r="AI300" s="12">
        <f>AI132-AH132-SUM(AI281,AI288,AI298)</f>
        <v>0</v>
      </c>
      <c r="AJ300" s="12">
        <f>AJ132-AI132-SUM(AJ281,AJ288,AJ298)</f>
        <v>0</v>
      </c>
      <c r="AK300" s="12">
        <f>AK132-AJ132-SUM(AK281,AK288,AK298)</f>
        <v>1.31876731757075e-11</v>
      </c>
      <c r="AL300" s="12">
        <f>SUM(AH300:AK300)</f>
        <v>1.31876731757075e-11</v>
      </c>
      <c r="AM300" s="12">
        <f>AM132-AL132-SUM(AM281,AM288,AM298)</f>
        <v>0</v>
      </c>
      <c r="AN300" s="12">
        <f>AN132-AM132-SUM(AN281,AN288,AN298)</f>
        <v>3.63797880709171e-12</v>
      </c>
      <c r="AO300" s="12">
        <f>AO132-AN132-SUM(AO281,AO288,AO298)</f>
        <v>0</v>
      </c>
      <c r="AP300" s="12">
        <f>AP132-AO132-SUM(AP281,AP288,AP298)</f>
        <v>1.13686837721616e-11</v>
      </c>
      <c r="AQ300" s="12">
        <f>SUM(AM300:AP300)</f>
        <v>1.50066625792533e-11</v>
      </c>
      <c r="AR300" s="12">
        <f>AR132-AQ132-SUM(AR281,AR288,AR298)</f>
        <v>0</v>
      </c>
      <c r="AS300" s="12">
        <f>AS132-AR132-SUM(AS281,AS288,AS298)</f>
        <v>-1.00044417195022e-11</v>
      </c>
      <c r="AT300" s="12">
        <f>AT132-AS132-SUM(AT281,AT288,AT298)</f>
        <v>0</v>
      </c>
      <c r="AU300" s="12">
        <f>AU132-AT132-SUM(AU281,AU288,AU298)</f>
        <v>0</v>
      </c>
      <c r="AV300" s="12">
        <f>SUM(AR300:AU300)</f>
        <v>-1.00044417195022e-11</v>
      </c>
      <c r="AW300" s="12">
        <f>AW132-AV132-SUM(AW281,AW288,AW298)</f>
        <v>0</v>
      </c>
      <c r="AX300" s="12">
        <f>AX132-AW132-SUM(AX281,AX288,AX298)</f>
        <v>0</v>
      </c>
      <c r="AY300" s="12">
        <f>AY132-AX132-SUM(AY281,AY288,AY298)</f>
        <v>0</v>
      </c>
      <c r="AZ300" s="12">
        <f>AZ132-AY132-SUM(AZ281,AZ288,AZ298)</f>
        <v>0</v>
      </c>
      <c r="BA300" s="12">
        <f>SUM(AW300:AZ300)</f>
        <v>0</v>
      </c>
      <c r="BB300" s="12">
        <f>BB132-BA132-SUM(BB281,BB288,BB298)</f>
        <v>0</v>
      </c>
      <c r="BC300" s="12">
        <f>BC132-BB132-SUM(BC281,BC288,BC298)</f>
        <v>-1.90993887372315e-11</v>
      </c>
      <c r="BD300" s="12">
        <f>BD132-BC132-SUM(BD281,BD288,BD298)</f>
        <v>0</v>
      </c>
      <c r="BE300" s="12">
        <f>BE132-BD132-SUM(BE281,BE288,BE298)</f>
        <v>-2.00088834390044e-11</v>
      </c>
      <c r="BF300" s="12">
        <f>SUM(BB300:BE300)</f>
        <v>-3.91082721762359e-11</v>
      </c>
      <c r="BG300" s="12" t="n"/>
      <c r="BH300" s="12" t="n"/>
      <c r="BI300" s="12" t="n"/>
      <c r="BJ300" s="12" t="n"/>
      <c r="BK300" s="12" t="n"/>
      <c r="BL300" s="12" t="n"/>
      <c r="BM300" s="12" t="n"/>
      <c r="BN300" s="12" t="n"/>
      <c r="BO300" s="12" t="n"/>
      <c r="BP300" s="12" t="n"/>
      <c r="BQ300" s="12" t="n"/>
      <c r="BR300" s="12" t="n"/>
      <c r="BS300" s="12" t="n"/>
      <c r="BT300" s="12" t="n"/>
      <c r="BU300" s="12" t="n"/>
      <c r="BV300" s="12" t="n"/>
      <c r="BW300" s="12" t="n"/>
      <c r="BX300" s="12" t="n"/>
      <c r="BY300" s="12" t="n"/>
      <c r="BZ300" s="12" t="n"/>
      <c r="CA300" s="12" t="n"/>
      <c r="CB300" s="12" t="n"/>
      <c r="CC300" s="12" t="n"/>
      <c r="CD300" s="12" t="n"/>
      <c r="CE300" s="12" t="n"/>
      <c r="CF300" s="12" t="n"/>
      <c r="CG300" s="12" t="n"/>
      <c r="CH300" s="12" t="n"/>
      <c r="CI300" s="12" t="n"/>
      <c r="CJ300" s="12" t="n"/>
      <c r="CK300" s="12" t="n"/>
      <c r="CL300" s="12" t="n"/>
      <c r="CM300" s="12" t="n"/>
      <c r="CN300" s="12" t="n"/>
      <c r="CO300" s="12" t="n"/>
      <c r="CP300" s="12" t="n"/>
      <c r="CQ300" s="12" t="n"/>
      <c r="CR300" s="12" t="n"/>
      <c r="CS300" s="12" t="n"/>
      <c r="CT300" s="12" t="n"/>
      <c r="CU300" s="12" t="n"/>
      <c r="CV300" s="12" t="n"/>
      <c r="CW300" s="12" t="n"/>
      <c r="CX300" s="12" t="n"/>
      <c r="CY300" s="12" t="n"/>
    </row>
    <row r="301">
      <c r="C301" s="14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2" t="n"/>
      <c r="AC301" s="12" t="n"/>
      <c r="AD301" s="12" t="n"/>
      <c r="AE301" s="12" t="n"/>
      <c r="AF301" s="12" t="n"/>
      <c r="AG301" s="12" t="n"/>
      <c r="AH301" s="12" t="n"/>
      <c r="AI301" s="12" t="n"/>
      <c r="AJ301" s="12" t="n"/>
      <c r="AK301" s="12" t="n"/>
      <c r="AL301" s="12" t="n"/>
      <c r="AM301" s="12" t="n"/>
      <c r="AN301" s="12" t="n"/>
      <c r="AO301" s="12" t="n"/>
      <c r="AP301" s="12" t="n"/>
      <c r="AQ301" s="12" t="n"/>
      <c r="AR301" s="12" t="n"/>
      <c r="AS301" s="12" t="n"/>
      <c r="AT301" s="12" t="n"/>
      <c r="AU301" s="12" t="n"/>
      <c r="AV301" s="12" t="n"/>
      <c r="AW301" s="12" t="n"/>
      <c r="AX301" s="12" t="n"/>
      <c r="AY301" s="12" t="n"/>
      <c r="AZ301" s="12" t="n"/>
      <c r="BA301" s="12" t="n"/>
      <c r="BB301" s="12" t="n"/>
      <c r="BC301" s="12" t="n"/>
      <c r="BD301" s="12" t="n"/>
      <c r="BE301" s="12" t="n"/>
      <c r="BF301" s="12" t="n"/>
      <c r="BG301" s="12" t="n"/>
      <c r="BH301" s="12" t="n"/>
      <c r="BI301" s="12" t="n"/>
      <c r="BJ301" s="12" t="n"/>
      <c r="BK301" s="12" t="n"/>
      <c r="BL301" s="12" t="n"/>
      <c r="BM301" s="12" t="n"/>
      <c r="BN301" s="12" t="n"/>
      <c r="BO301" s="12" t="n"/>
      <c r="BP301" s="12" t="n"/>
      <c r="BQ301" s="12" t="n"/>
      <c r="BR301" s="12" t="n"/>
      <c r="BS301" s="12" t="n"/>
      <c r="BT301" s="12" t="n"/>
      <c r="BU301" s="12" t="n"/>
      <c r="BV301" s="12" t="n"/>
      <c r="BW301" s="12" t="n"/>
      <c r="BX301" s="12" t="n"/>
      <c r="BY301" s="12" t="n"/>
      <c r="BZ301" s="12" t="n"/>
      <c r="CA301" s="12" t="n"/>
      <c r="CB301" s="12" t="n"/>
      <c r="CC301" s="12" t="n"/>
      <c r="CD301" s="12" t="n"/>
      <c r="CE301" s="12" t="n"/>
      <c r="CF301" s="12" t="n"/>
      <c r="CG301" s="12" t="n"/>
      <c r="CH301" s="12" t="n"/>
      <c r="CI301" s="12" t="n"/>
      <c r="CJ301" s="12" t="n"/>
      <c r="CK301" s="12" t="n"/>
      <c r="CL301" s="12" t="n"/>
      <c r="CM301" s="12" t="n"/>
      <c r="CN301" s="12" t="n"/>
      <c r="CO301" s="12" t="n"/>
      <c r="CP301" s="12" t="n"/>
      <c r="CQ301" s="12" t="n"/>
      <c r="CR301" s="12" t="n"/>
      <c r="CS301" s="12" t="n"/>
      <c r="CT301" s="12" t="n"/>
      <c r="CU301" s="12" t="n"/>
      <c r="CV301" s="12" t="n"/>
      <c r="CW301" s="12" t="n"/>
      <c r="CX301" s="12" t="n"/>
      <c r="CY301" s="12" t="n"/>
    </row>
    <row r="302">
      <c r="C302" s="14" t="inlineStr">
        <is>
          <t>Total increase/decrease of cash</t>
        </is>
      </c>
      <c r="D302" s="12" t="n"/>
      <c r="E302" s="12" t="n"/>
      <c r="F302" s="12" t="n"/>
      <c r="G302" s="12" t="n"/>
      <c r="H302" s="12" t="n"/>
      <c r="I302" s="12" t="n"/>
      <c r="J302" s="12">
        <f>SUM(J281,J288,J298,J300)</f>
        <v>0</v>
      </c>
      <c r="K302" s="12">
        <f>SUM(K281,K288,K298,K300)</f>
        <v>0</v>
      </c>
      <c r="L302" s="12">
        <f>SUM(L281,L288,L298,L300)</f>
        <v>1080</v>
      </c>
      <c r="M302" s="12" t="n"/>
      <c r="N302" s="12">
        <f>SUM(N281,N288,N298,N300)</f>
        <v>2221</v>
      </c>
      <c r="O302" s="12">
        <f>SUM(O281,O288,O298,O300)</f>
        <v>-1569</v>
      </c>
      <c r="P302" s="12">
        <f>SUM(P281,P288,P298,P300)</f>
        <v>763</v>
      </c>
      <c r="Q302" s="12">
        <f>SUM(Q281,Q288,Q298,Q300)</f>
        <v>-1545</v>
      </c>
      <c r="R302" s="12">
        <f>SUM(N302:Q302)</f>
        <v>-130</v>
      </c>
      <c r="S302" s="12">
        <f>SUM(S281,S288,S298,S300)</f>
        <v>-377</v>
      </c>
      <c r="T302" s="12">
        <f>SUM(T281,T288,T298,T300)</f>
        <v>21</v>
      </c>
      <c r="U302" s="12">
        <f>SUM(U281,U288,U298,U300)</f>
        <v>3272</v>
      </c>
      <c r="V302" s="12">
        <f>SUM(V281,V288,V298,V300)</f>
        <v>-3044</v>
      </c>
      <c r="W302" s="12">
        <f>SUM(S302:V302)</f>
        <v>-128</v>
      </c>
      <c r="X302" s="12">
        <f>SUM(X281,X288,X298,X300)</f>
        <v>385</v>
      </c>
      <c r="Y302" s="12">
        <f>SUM(Y281,Y288,Y298,Y300)</f>
        <v>-513</v>
      </c>
      <c r="Z302" s="12">
        <f>SUM(Z281,Z288,Z298,Z300)</f>
        <v>2981</v>
      </c>
      <c r="AA302" s="12">
        <f>SUM(AA281,AA288,AA298,AA300)</f>
        <v>2476</v>
      </c>
      <c r="AB302" s="12">
        <f>SUM(X302:AA302)</f>
        <v>5329</v>
      </c>
      <c r="AC302" s="12">
        <f>SUM(AC281,AC288,AC298,AC300)</f>
        <v>-2363</v>
      </c>
      <c r="AD302" s="12">
        <f>SUM(AD281,AD288,AD298,AD300)</f>
        <v>248</v>
      </c>
      <c r="AE302" s="12">
        <f>SUM(AE281,AE288,AE298,AE300)</f>
        <v>4014</v>
      </c>
      <c r="AF302" s="12">
        <f>SUM(AF281,AF288,AF298,AF300)</f>
        <v>-661</v>
      </c>
      <c r="AG302" s="12">
        <f>SUM(AC302:AF302)</f>
        <v>1238</v>
      </c>
      <c r="AH302" s="12">
        <f>SUM(AH281,AH288,AH298,AH300)</f>
        <v>-5418</v>
      </c>
      <c r="AI302" s="12">
        <f>SUM(AI281,AI288,AI298,AI300)</f>
        <v>-197</v>
      </c>
      <c r="AJ302" s="12">
        <f>SUM(AJ281,AJ288,AJ298,AJ300)</f>
        <v>-3208.78554203712</v>
      </c>
      <c r="AK302" s="12">
        <f>SUM(AK281,AK288,AK298,AK300)</f>
        <v>-2176.36918818178</v>
      </c>
      <c r="AL302" s="12">
        <f>SUM(AH302:AK302)</f>
        <v>-11000.1547302189</v>
      </c>
      <c r="AM302" s="12">
        <f>SUM(AM281,AM288,AM298,AM300)</f>
        <v>-7871.06449467105</v>
      </c>
      <c r="AN302" s="12">
        <f>SUM(AN281,AN288,AN298,AN300)</f>
        <v>-703.031729647744</v>
      </c>
      <c r="AO302" s="12">
        <f>SUM(AO281,AO288,AO298,AO300)</f>
        <v>-3432.94144921829</v>
      </c>
      <c r="AP302" s="12">
        <f>SUM(AP281,AP288,AP298,AP300)</f>
        <v>-2617.51169112329</v>
      </c>
      <c r="AQ302" s="12">
        <f>SUM(AM302:AP302)</f>
        <v>-14624.5493646604</v>
      </c>
      <c r="AR302" s="12">
        <f>SUM(AR281,AR288,AR298,AR300)</f>
        <v>-9314.38688606421</v>
      </c>
      <c r="AS302" s="12">
        <f>SUM(AS281,AS288,AS298,AS300)</f>
        <v>-935.753946776691</v>
      </c>
      <c r="AT302" s="12">
        <f>SUM(AT281,AT288,AT298,AT300)</f>
        <v>-4111.62209375509</v>
      </c>
      <c r="AU302" s="12">
        <f>SUM(AU281,AU288,AU298,AU300)</f>
        <v>-3134.98469434586</v>
      </c>
      <c r="AV302" s="12">
        <f>SUM(AR302:AU302)</f>
        <v>-17496.7476209419</v>
      </c>
      <c r="AW302" s="12">
        <f>SUM(AW281,AW288,AW298,AW300)</f>
        <v>-11198.1539935718</v>
      </c>
      <c r="AX302" s="12">
        <f>SUM(AX281,AX288,AX298,AX300)</f>
        <v>-1004.27275347758</v>
      </c>
      <c r="AY302" s="12">
        <f>SUM(AY281,AY288,AY298,AY300)</f>
        <v>-4903.91744261836</v>
      </c>
      <c r="AZ302" s="12">
        <f>SUM(AZ281,AZ288,AZ298,AZ300)</f>
        <v>-3739.08539607628</v>
      </c>
      <c r="BA302" s="12">
        <f>SUM(AW302:AZ302)</f>
        <v>-20845.429585744</v>
      </c>
      <c r="BB302" s="12">
        <f>SUM(BB281,BB288,BB298,BB300)</f>
        <v>-13272.6045475541</v>
      </c>
      <c r="BC302" s="12">
        <f>SUM(BC281,BC288,BC298,BC300)</f>
        <v>-1192.77127393763</v>
      </c>
      <c r="BD302" s="12">
        <f>SUM(BD281,BD288,BD298,BD300)</f>
        <v>-5824.36577619187</v>
      </c>
      <c r="BE302" s="12">
        <f>SUM(BE281,BE288,BE298,BE300)</f>
        <v>-4440.89878551009</v>
      </c>
      <c r="BF302" s="12">
        <f>SUM(BB302:BE302)</f>
        <v>-24730.6403831937</v>
      </c>
      <c r="BG302" s="12" t="n"/>
      <c r="BH302" s="12" t="n"/>
      <c r="BI302" s="12" t="n"/>
      <c r="BJ302" s="12" t="n"/>
      <c r="BK302" s="12" t="n"/>
      <c r="BL302" s="12" t="n"/>
      <c r="BM302" s="12" t="n"/>
      <c r="BN302" s="12" t="n"/>
      <c r="BO302" s="12" t="n"/>
      <c r="BP302" s="12" t="n"/>
      <c r="BQ302" s="12" t="n"/>
      <c r="BR302" s="12" t="n"/>
      <c r="BS302" s="12" t="n"/>
      <c r="BT302" s="12" t="n"/>
      <c r="BU302" s="12" t="n"/>
      <c r="BV302" s="12" t="n"/>
      <c r="BW302" s="12" t="n"/>
      <c r="BX302" s="12" t="n"/>
      <c r="BY302" s="12" t="n"/>
      <c r="BZ302" s="12" t="n"/>
      <c r="CA302" s="12" t="n"/>
      <c r="CB302" s="12" t="n"/>
      <c r="CC302" s="12" t="n"/>
      <c r="CD302" s="12" t="n"/>
      <c r="CE302" s="12" t="n"/>
      <c r="CF302" s="12" t="n"/>
      <c r="CG302" s="12" t="n"/>
      <c r="CH302" s="12" t="n"/>
      <c r="CI302" s="12" t="n"/>
      <c r="CJ302" s="12" t="n"/>
      <c r="CK302" s="12" t="n"/>
      <c r="CL302" s="12" t="n"/>
      <c r="CM302" s="12" t="n"/>
      <c r="CN302" s="12" t="n"/>
      <c r="CO302" s="12" t="n"/>
      <c r="CP302" s="12" t="n"/>
      <c r="CQ302" s="12" t="n"/>
      <c r="CR302" s="12" t="n"/>
      <c r="CS302" s="12" t="n"/>
      <c r="CT302" s="12" t="n"/>
      <c r="CU302" s="12" t="n"/>
      <c r="CV302" s="12" t="n"/>
      <c r="CW302" s="12" t="n"/>
      <c r="CX302" s="12" t="n"/>
      <c r="CY302" s="12" t="n"/>
    </row>
    <row r="303">
      <c r="C303" s="4" t="inlineStr">
        <is>
          <t>Check</t>
        </is>
      </c>
      <c r="E303" s="72" t="n"/>
      <c r="F303" s="72" t="n"/>
      <c r="G303" s="72" t="n"/>
      <c r="I303" s="72" t="str">
        <f>""</f>
        <v/>
      </c>
      <c r="J303" s="72">
        <f>J132-I132-J302</f>
        <v>0</v>
      </c>
      <c r="K303" s="72">
        <f>K132-J132-K302</f>
        <v>0</v>
      </c>
      <c r="L303" s="72">
        <f>L132-K132-L302</f>
        <v>0</v>
      </c>
      <c r="M303" s="4" t="str">
        <f>""</f>
        <v/>
      </c>
      <c r="N303" s="72">
        <f>N132-M132-N302</f>
        <v>0</v>
      </c>
      <c r="O303" s="72">
        <f>O132-N132-O302</f>
        <v>0</v>
      </c>
      <c r="P303" s="72">
        <f>P132-O132-P302</f>
        <v>0</v>
      </c>
      <c r="Q303" s="72">
        <f>Q132-P132-Q302</f>
        <v>0</v>
      </c>
      <c r="R303" s="4">
        <f>R132-M132-R302</f>
        <v>0</v>
      </c>
      <c r="S303" s="72">
        <f>S132-R132-S302</f>
        <v>0</v>
      </c>
      <c r="T303" s="72">
        <f>T132-S132-T302</f>
        <v>0</v>
      </c>
      <c r="U303" s="72">
        <f>U132-T132-U302</f>
        <v>0</v>
      </c>
      <c r="V303" s="72">
        <f>V132-U132-V302</f>
        <v>0</v>
      </c>
      <c r="W303" s="4">
        <f>W132-R132-W302</f>
        <v>0</v>
      </c>
      <c r="X303" s="72">
        <f>X132-W132-X302</f>
        <v>0</v>
      </c>
      <c r="Y303" s="72">
        <f>Y132-X132-Y302</f>
        <v>0</v>
      </c>
      <c r="Z303" s="72">
        <f>Z132-Y132-Z302</f>
        <v>0</v>
      </c>
      <c r="AA303" s="72">
        <f>AA132-Z132-AA302</f>
        <v>0</v>
      </c>
      <c r="AB303" s="4">
        <f>AB132-W132-AB302</f>
        <v>0</v>
      </c>
      <c r="AC303" s="72">
        <f>AC132-AB132-AC302</f>
        <v>0</v>
      </c>
      <c r="AD303" s="72">
        <f>AD132-AC132-AD302</f>
        <v>0</v>
      </c>
      <c r="AE303" s="72">
        <f>AE132-AD132-AE302</f>
        <v>0</v>
      </c>
      <c r="AF303" s="72">
        <f>AF132-AE132-AF302</f>
        <v>0</v>
      </c>
      <c r="AG303" s="4">
        <f>AG132-AB132-AG302</f>
        <v>0</v>
      </c>
      <c r="AH303" s="72">
        <f>AH132-AG132-AH302</f>
        <v>0</v>
      </c>
      <c r="AI303" s="72">
        <f>AI132-AH132-AI302</f>
        <v>0</v>
      </c>
      <c r="AJ303" s="72">
        <f>AJ132-AI132-AJ302</f>
        <v>0</v>
      </c>
      <c r="AK303" s="72">
        <f>AK132-AJ132-AK302</f>
        <v>0</v>
      </c>
      <c r="AL303" s="4">
        <f>AL132-AG132-AL302</f>
        <v>0</v>
      </c>
      <c r="AM303" s="72">
        <f>AM132-AL132-AM302</f>
        <v>0</v>
      </c>
      <c r="AN303" s="72">
        <f>AN132-AM132-AN302</f>
        <v>0</v>
      </c>
      <c r="AO303" s="72">
        <f>AO132-AN132-AO302</f>
        <v>0</v>
      </c>
      <c r="AP303" s="72">
        <f>AP132-AO132-AP302</f>
        <v>0</v>
      </c>
      <c r="AQ303" s="4">
        <f>AQ132-AL132-AQ302</f>
        <v>0</v>
      </c>
      <c r="AR303" s="72">
        <f>AR132-AQ132-AR302</f>
        <v>0</v>
      </c>
      <c r="AS303" s="72">
        <f>AS132-AR132-AS302</f>
        <v>0</v>
      </c>
      <c r="AT303" s="72">
        <f>AT132-AS132-AT302</f>
        <v>0</v>
      </c>
      <c r="AU303" s="72">
        <f>AU132-AT132-AU302</f>
        <v>0</v>
      </c>
      <c r="AV303" s="4">
        <f>AV132-AQ132-AV302</f>
        <v>0</v>
      </c>
      <c r="AW303" s="72">
        <f>AW132-AV132-AW302</f>
        <v>0</v>
      </c>
      <c r="AX303" s="72">
        <f>AX132-AW132-AX302</f>
        <v>0</v>
      </c>
      <c r="AY303" s="72">
        <f>AY132-AX132-AY302</f>
        <v>0</v>
      </c>
      <c r="AZ303" s="72">
        <f>AZ132-AY132-AZ302</f>
        <v>0</v>
      </c>
      <c r="BA303" s="4">
        <f>BA132-AV132-BA302</f>
        <v>0</v>
      </c>
      <c r="BB303" s="72">
        <f>BB132-BA132-BB302</f>
        <v>0</v>
      </c>
      <c r="BC303" s="72">
        <f>BC132-BB132-BC302</f>
        <v>0</v>
      </c>
      <c r="BD303" s="72">
        <f>BD132-BC132-BD302</f>
        <v>0</v>
      </c>
      <c r="BE303" s="72">
        <f>BE132-BD132-BE302</f>
        <v>0</v>
      </c>
      <c r="BF303" s="4">
        <f>BF132-BA132-BF302</f>
        <v>0</v>
      </c>
      <c r="BG303" s="72" t="n"/>
      <c r="BH303" s="72" t="n"/>
      <c r="BI303" s="72" t="n"/>
      <c r="BJ303" s="72" t="n"/>
      <c r="BL303" s="72" t="n"/>
      <c r="BM303" s="72" t="n"/>
      <c r="BN303" s="72" t="n"/>
      <c r="BO303" s="72" t="n"/>
      <c r="BQ303" s="72" t="n"/>
      <c r="BR303" s="72" t="n"/>
      <c r="BS303" s="72" t="n"/>
      <c r="BT303" s="72" t="n"/>
      <c r="BV303" s="72" t="n"/>
      <c r="BW303" s="72" t="n"/>
      <c r="BX303" s="72" t="n"/>
      <c r="BY303" s="72" t="n"/>
      <c r="CA303" s="72" t="n"/>
      <c r="CB303" s="72" t="n"/>
      <c r="CC303" s="72" t="n"/>
      <c r="CD303" s="72" t="n"/>
      <c r="CF303" s="72" t="n"/>
      <c r="CG303" s="72" t="n"/>
      <c r="CH303" s="72" t="n"/>
      <c r="CI303" s="72" t="n"/>
      <c r="CK303" s="72" t="n"/>
      <c r="CL303" s="72" t="n"/>
      <c r="CM303" s="72" t="n"/>
      <c r="CN303" s="72" t="n"/>
      <c r="CP303" s="72" t="n"/>
      <c r="CQ303" s="72" t="n"/>
      <c r="CR303" s="72" t="n"/>
      <c r="CS303" s="72" t="n"/>
      <c r="CU303" s="72" t="n"/>
      <c r="CV303" s="72" t="n"/>
      <c r="CW303" s="72" t="n"/>
      <c r="CX303" s="72" t="n"/>
    </row>
    <row r="304"/>
    <row r="305">
      <c r="C305" s="73" t="inlineStr">
        <is>
          <t>Ratio Analysis</t>
        </is>
      </c>
      <c r="D305" s="73" t="n"/>
      <c r="E305" s="73" t="n"/>
      <c r="F305" s="73" t="n"/>
      <c r="G305" s="73" t="n"/>
      <c r="H305" s="73" t="n"/>
      <c r="I305" s="73" t="n"/>
      <c r="J305" s="73" t="n"/>
      <c r="K305" s="73" t="n"/>
      <c r="L305" s="73" t="n"/>
      <c r="M305" s="73" t="n"/>
      <c r="N305" s="73" t="n"/>
      <c r="O305" s="73" t="n"/>
      <c r="P305" s="73" t="n"/>
      <c r="Q305" s="73" t="n"/>
      <c r="R305" s="73" t="n"/>
      <c r="S305" s="73" t="n"/>
      <c r="T305" s="73" t="n"/>
      <c r="U305" s="73" t="n"/>
      <c r="V305" s="73" t="n"/>
      <c r="W305" s="73" t="n"/>
      <c r="X305" s="73" t="n"/>
      <c r="Y305" s="73" t="n"/>
      <c r="Z305" s="73" t="n"/>
      <c r="AA305" s="73" t="n"/>
      <c r="AB305" s="73" t="n"/>
      <c r="AC305" s="73" t="n"/>
      <c r="AD305" s="73" t="n"/>
      <c r="AE305" s="73" t="n"/>
      <c r="AF305" s="73" t="n"/>
      <c r="AG305" s="73" t="n"/>
      <c r="AH305" s="73" t="n"/>
      <c r="AI305" s="73" t="n"/>
      <c r="AJ305" s="73" t="n"/>
      <c r="AK305" s="73" t="n"/>
      <c r="AL305" s="73" t="n"/>
      <c r="AM305" s="73" t="n"/>
      <c r="AN305" s="73" t="n"/>
      <c r="AO305" s="73" t="n"/>
      <c r="AP305" s="73" t="n"/>
      <c r="AQ305" s="73" t="n"/>
      <c r="AR305" s="73" t="n"/>
      <c r="AS305" s="73" t="n"/>
      <c r="AT305" s="73" t="n"/>
      <c r="AU305" s="73" t="n"/>
      <c r="AV305" s="73" t="n"/>
      <c r="AW305" s="73" t="n"/>
      <c r="AX305" s="73" t="n"/>
      <c r="AY305" s="73" t="n"/>
      <c r="AZ305" s="73" t="n"/>
      <c r="BA305" s="73" t="n"/>
      <c r="BB305" s="73" t="n"/>
      <c r="BC305" s="73" t="n"/>
      <c r="BD305" s="73" t="n"/>
      <c r="BE305" s="73" t="n"/>
      <c r="BF305" s="73" t="n"/>
      <c r="BG305" s="73" t="n"/>
      <c r="BH305" s="73" t="n"/>
      <c r="BI305" s="73" t="n"/>
      <c r="BJ305" s="73" t="n"/>
      <c r="BK305" s="73" t="n"/>
      <c r="BL305" s="73" t="n"/>
      <c r="BM305" s="73" t="n"/>
      <c r="BN305" s="73" t="n"/>
      <c r="BO305" s="73" t="n"/>
      <c r="BP305" s="73" t="n"/>
      <c r="BQ305" s="73" t="n"/>
      <c r="BR305" s="73" t="n"/>
      <c r="BS305" s="73" t="n"/>
      <c r="BT305" s="73" t="n"/>
      <c r="BU305" s="73" t="n"/>
      <c r="BV305" s="73" t="n"/>
      <c r="BW305" s="73" t="n"/>
      <c r="BX305" s="73" t="n"/>
      <c r="BY305" s="73" t="n"/>
      <c r="BZ305" s="73" t="n"/>
      <c r="CA305" s="73" t="n"/>
      <c r="CB305" s="73" t="n"/>
      <c r="CC305" s="73" t="n"/>
      <c r="CD305" s="73" t="n"/>
      <c r="CE305" s="73" t="n"/>
      <c r="CF305" s="73" t="n"/>
      <c r="CG305" s="73" t="n"/>
      <c r="CH305" s="73" t="n"/>
      <c r="CI305" s="73" t="n"/>
      <c r="CJ305" s="73" t="n"/>
      <c r="CK305" s="73" t="n"/>
      <c r="CL305" s="73" t="n"/>
      <c r="CM305" s="73" t="n"/>
      <c r="CN305" s="73" t="n"/>
      <c r="CO305" s="73" t="n"/>
      <c r="CP305" s="73" t="n"/>
      <c r="CQ305" s="73" t="n"/>
      <c r="CR305" s="73" t="n"/>
      <c r="CS305" s="73" t="n"/>
      <c r="CT305" s="73" t="n"/>
      <c r="CU305" s="73" t="n"/>
      <c r="CV305" s="73" t="n"/>
      <c r="CW305" s="73" t="n"/>
      <c r="CX305" s="73" t="n"/>
      <c r="CY305" s="73" t="n"/>
    </row>
    <row r="306"/>
    <row r="307" customFormat="1" s="74">
      <c r="C307" s="74" t="inlineStr">
        <is>
          <t>YEAR</t>
        </is>
      </c>
      <c r="D307">
        <f>IFERROR(D263,"")</f>
        <v>0</v>
      </c>
      <c r="E307" s="75">
        <f>IFERROR(E263,"")</f>
        <v>0</v>
      </c>
      <c r="F307" s="75">
        <f>IFERROR(F263,"")</f>
        <v>0</v>
      </c>
      <c r="G307" s="75">
        <f>IFERROR(G263,"")</f>
        <v>0</v>
      </c>
      <c r="H307" s="75">
        <f>IFERROR(H263,"")</f>
        <v>0</v>
      </c>
      <c r="I307" s="75" t="str">
        <f>IFERROR(I263,"")</f>
        <v>1Q21</v>
      </c>
      <c r="J307" s="75" t="str">
        <f>IFERROR(J263,"")</f>
        <v>2Q21</v>
      </c>
      <c r="K307" s="75" t="str">
        <f>IFERROR(K263,"")</f>
        <v>3Q21</v>
      </c>
      <c r="L307" s="75" t="str">
        <f>IFERROR(L263,"")</f>
        <v>4Q21</v>
      </c>
      <c r="M307" s="75">
        <f>IFERROR(M263,"")</f>
        <v>2021</v>
      </c>
      <c r="N307" s="75" t="str">
        <f>IFERROR(N263,"")</f>
        <v>1Q22</v>
      </c>
      <c r="O307" s="75" t="str">
        <f>IFERROR(O263,"")</f>
        <v>2Q22</v>
      </c>
      <c r="P307" s="75" t="str">
        <f>IFERROR(P263,"")</f>
        <v>3Q22</v>
      </c>
      <c r="Q307" s="75" t="str">
        <f>IFERROR(Q263,"")</f>
        <v>4Q22</v>
      </c>
      <c r="R307" s="75">
        <f>IFERROR(R263,"")</f>
        <v>2022</v>
      </c>
      <c r="S307" s="75" t="str">
        <f>IFERROR(S263,"")</f>
        <v>1Q23</v>
      </c>
      <c r="T307" s="75" t="str">
        <f>IFERROR(T263,"")</f>
        <v>2Q23</v>
      </c>
      <c r="U307" s="75" t="str">
        <f>IFERROR(U263,"")</f>
        <v>3Q23</v>
      </c>
      <c r="V307" s="75" t="str">
        <f>IFERROR(V263,"")</f>
        <v>4Q23</v>
      </c>
      <c r="W307" s="75">
        <f>IFERROR(W263,"")</f>
        <v>2023</v>
      </c>
      <c r="X307" s="75" t="str">
        <f>IFERROR(X263,"")</f>
        <v>1Q24</v>
      </c>
      <c r="Y307" s="75" t="str">
        <f>IFERROR(Y263,"")</f>
        <v>2Q24</v>
      </c>
      <c r="Z307" s="75" t="str">
        <f>IFERROR(Z263,"")</f>
        <v>3Q24</v>
      </c>
      <c r="AA307" s="75" t="str">
        <f>IFERROR(AA263,"")</f>
        <v>4Q24</v>
      </c>
      <c r="AB307" s="75">
        <f>IFERROR(AB263,"")</f>
        <v>2024</v>
      </c>
      <c r="AC307" s="75" t="str">
        <f>IFERROR(AC263,"")</f>
        <v>1Q25</v>
      </c>
      <c r="AD307" s="75" t="str">
        <f>IFERROR(AD263,"")</f>
        <v>2Q25</v>
      </c>
      <c r="AE307" s="75" t="str">
        <f>IFERROR(AE263,"")</f>
        <v>3Q25</v>
      </c>
      <c r="AF307" s="75" t="str">
        <f>IFERROR(AF263,"")</f>
        <v>4Q25</v>
      </c>
      <c r="AG307" s="75">
        <f>IFERROR(AG263,"")</f>
        <v>2025</v>
      </c>
      <c r="AH307" s="75" t="str">
        <f>IFERROR(AH263,"")</f>
        <v>1Q26</v>
      </c>
      <c r="AI307" s="75" t="str">
        <f>IFERROR(AI263,"")</f>
        <v>2Q26</v>
      </c>
      <c r="AJ307" s="75" t="str">
        <f>IFERROR(AJ263,"")</f>
        <v>3Q26</v>
      </c>
      <c r="AK307" s="75" t="str">
        <f>IFERROR(AK263,"")</f>
        <v>4Q26</v>
      </c>
      <c r="AL307" s="75">
        <f>IFERROR(AL263,"")</f>
        <v>2026</v>
      </c>
      <c r="AM307" s="75" t="str">
        <f>IFERROR(AM263,"")</f>
        <v>1Q27</v>
      </c>
      <c r="AN307" s="75" t="str">
        <f>IFERROR(AN263,"")</f>
        <v>2Q27</v>
      </c>
      <c r="AO307" s="75" t="str">
        <f>IFERROR(AO263,"")</f>
        <v>3Q27</v>
      </c>
      <c r="AP307" s="75" t="str">
        <f>IFERROR(AP263,"")</f>
        <v>4Q27</v>
      </c>
      <c r="AQ307" s="75">
        <f>IFERROR(AQ263,"")</f>
        <v>2027</v>
      </c>
      <c r="AR307" s="75" t="str">
        <f>IFERROR(AR263,"")</f>
        <v>1Q28</v>
      </c>
      <c r="AS307" s="75" t="str">
        <f>IFERROR(AS263,"")</f>
        <v>2Q28</v>
      </c>
      <c r="AT307" s="75" t="str">
        <f>IFERROR(AT263,"")</f>
        <v>3Q28</v>
      </c>
      <c r="AU307" s="75" t="str">
        <f>IFERROR(AU263,"")</f>
        <v>4Q28</v>
      </c>
      <c r="AV307" s="75">
        <f>IFERROR(AV263,"")</f>
        <v>2028</v>
      </c>
      <c r="AW307" s="75" t="str">
        <f>IFERROR(AW263,"")</f>
        <v>1Q29</v>
      </c>
      <c r="AX307" s="75" t="str">
        <f>IFERROR(AX263,"")</f>
        <v>2Q29</v>
      </c>
      <c r="AY307" s="75" t="str">
        <f>IFERROR(AY263,"")</f>
        <v>3Q29</v>
      </c>
      <c r="AZ307" s="75" t="str">
        <f>IFERROR(AZ263,"")</f>
        <v>4Q29</v>
      </c>
      <c r="BA307" s="75">
        <f>IFERROR(BA263,"")</f>
        <v>2029</v>
      </c>
      <c r="BB307" s="75" t="str">
        <f>IFERROR(BB263,"")</f>
        <v>1Q30</v>
      </c>
      <c r="BC307" s="75" t="str">
        <f>IFERROR(BC263,"")</f>
        <v>2Q30</v>
      </c>
      <c r="BD307" s="75" t="str">
        <f>IFERROR(BD263,"")</f>
        <v>3Q30</v>
      </c>
      <c r="BE307" s="75" t="str">
        <f>IFERROR(BE263,"")</f>
        <v>4Q30</v>
      </c>
      <c r="BF307" s="75">
        <f>IFERROR(BF263,"")</f>
        <v>2030</v>
      </c>
      <c r="BG307" s="75" t="n"/>
      <c r="BH307" s="75" t="n"/>
      <c r="BI307" s="75" t="n"/>
      <c r="BJ307" s="75" t="n"/>
      <c r="BK307" s="75" t="n"/>
      <c r="BL307" s="75" t="n"/>
      <c r="BM307" s="75" t="n"/>
      <c r="BN307" s="75" t="n"/>
      <c r="BO307" s="75" t="n"/>
      <c r="BP307" s="75" t="n"/>
      <c r="BQ307" s="75" t="n"/>
      <c r="BR307" s="75" t="n"/>
      <c r="BS307" s="75" t="n"/>
      <c r="BT307" s="75" t="n"/>
      <c r="BU307" s="75" t="n"/>
      <c r="BV307" s="75" t="n"/>
      <c r="BW307" s="75" t="n"/>
      <c r="BX307" s="75" t="n"/>
      <c r="BY307" s="75" t="n"/>
      <c r="BZ307" s="75" t="n"/>
      <c r="CA307" s="75" t="n"/>
      <c r="CB307" s="75" t="n"/>
      <c r="CC307" s="75" t="n"/>
      <c r="CD307" s="75" t="n"/>
      <c r="CE307" s="75" t="n"/>
      <c r="CF307" s="75" t="n"/>
      <c r="CG307" s="75" t="n"/>
      <c r="CH307" s="75" t="n"/>
      <c r="CI307" s="75" t="n"/>
      <c r="CJ307" s="75" t="n"/>
      <c r="CK307" s="75" t="n"/>
      <c r="CL307" s="75" t="n"/>
      <c r="CM307" s="75" t="n"/>
      <c r="CN307" s="75" t="n"/>
      <c r="CO307" s="75" t="n"/>
      <c r="CP307" s="75" t="n"/>
      <c r="CQ307" s="75" t="n"/>
      <c r="CR307" s="75" t="n"/>
      <c r="CS307" s="75" t="n"/>
      <c r="CT307" s="75" t="n"/>
      <c r="CU307" s="75" t="n"/>
      <c r="CV307" s="75" t="n"/>
      <c r="CW307" s="75" t="n"/>
      <c r="CX307" s="75" t="n"/>
      <c r="CY307" s="75" t="n"/>
    </row>
    <row r="308" customFormat="1" s="77">
      <c r="A308" s="76" t="n"/>
      <c r="B308" s="76" t="n"/>
      <c r="C308" s="74" t="inlineStr">
        <is>
          <t>GROWTH &amp; MARGINS</t>
        </is>
      </c>
    </row>
    <row r="309" customFormat="1" s="77">
      <c r="A309" s="76" t="n"/>
      <c r="B309" s="76" t="n"/>
      <c r="C309" s="77" t="inlineStr">
        <is>
          <t>NET REVENUE GROWTH (YoY)</t>
        </is>
      </c>
      <c r="E309" s="78" t="str">
        <f>IFERROR(E15/D15-1,"")</f>
        <v/>
      </c>
      <c r="F309" s="78" t="str">
        <f>IFERROR(F15/E15-1,"")</f>
        <v/>
      </c>
      <c r="G309" s="78" t="str">
        <f>IFERROR(G15/F15-1,"")</f>
        <v/>
      </c>
      <c r="H309" s="257" t="str">
        <f>""</f>
        <v/>
      </c>
      <c r="I309" s="257" t="str">
        <f>""</f>
        <v/>
      </c>
      <c r="J309" s="257" t="str">
        <f>""</f>
        <v/>
      </c>
      <c r="K309" s="257" t="str">
        <f>""</f>
        <v/>
      </c>
      <c r="L309" s="257" t="str">
        <f>""</f>
        <v/>
      </c>
      <c r="M309" s="257" t="str">
        <f>IFERROR(IF(AND(ISNUMBER(M15),ISNUMBER(H15),H15&lt;&gt;0),M15/H15-1,""),"")</f>
        <v/>
      </c>
      <c r="N309" s="257">
        <f>IFERROR(IF(AND(ISNUMBER(N15),ISNUMBER(I15),I15&lt;&gt;0),N15/I15-1,""),"")</f>
        <v>0.00575643101277201</v>
      </c>
      <c r="O309" s="257">
        <f>IFERROR(IF(AND(ISNUMBER(O15),ISNUMBER(J15),J15&lt;&gt;0),O15/J15-1,""),"")</f>
        <v>0.315916205152901</v>
      </c>
      <c r="P309" s="257">
        <f>IFERROR(IF(AND(ISNUMBER(P15),ISNUMBER(K15),K15&lt;&gt;0),P15/K15-1,""),"")</f>
        <v>0.373354516568316</v>
      </c>
      <c r="Q309" s="257">
        <f>IFERROR(IF(AND(ISNUMBER(Q15),ISNUMBER(L15),L15&lt;&gt;0),Q15/L15-1,""),"")</f>
        <v>0.325560375994215</v>
      </c>
      <c r="R309" s="257">
        <f>IFERROR(IF(AND(ISNUMBER(R15),ISNUMBER(M15),M15&lt;&gt;0),R15/M15-1,""),"")</f>
        <v>0.243765903307888</v>
      </c>
      <c r="S309" s="257">
        <f>IFERROR(IF(AND(ISNUMBER(S15),ISNUMBER(N15),N15&lt;&gt;0),S15/N15-1,""),"")</f>
        <v>0.35306742979789</v>
      </c>
      <c r="T309" s="257">
        <f>IFERROR(IF(AND(ISNUMBER(T15),ISNUMBER(O15),O15&lt;&gt;0),T15/O15-1,""),"")</f>
        <v>-0.00347666971637695</v>
      </c>
      <c r="U309" s="257">
        <f>IFERROR(IF(AND(ISNUMBER(U15),ISNUMBER(P15),P15&lt;&gt;0),U15/P15-1,""),"")</f>
        <v>0.00991571641051059</v>
      </c>
      <c r="V309" s="257">
        <f>IFERROR(IF(AND(ISNUMBER(V15),ISNUMBER(Q15),Q15&lt;&gt;0),V15/Q15-1,""),"")</f>
        <v>-0.209600436383472</v>
      </c>
      <c r="W309" s="257">
        <f>IFERROR(IF(AND(ISNUMBER(W15),ISNUMBER(R15),R15&lt;&gt;0),W15/R15-1,""),"")</f>
        <v>0.0195581014729951</v>
      </c>
      <c r="X309" s="257">
        <f>IFERROR(IF(AND(ISNUMBER(X15),ISNUMBER(S15),S15&lt;&gt;0),X15/S15-1,""),"")</f>
        <v>-0.185591539986781</v>
      </c>
      <c r="Y309" s="257">
        <f>IFERROR(IF(AND(ISNUMBER(Y15),ISNUMBER(T15),T15&lt;&gt;0),Y15/T15-1,""),"")</f>
        <v>0.00532500918105039</v>
      </c>
      <c r="Z309" s="257">
        <f>IFERROR(IF(AND(ISNUMBER(Z15),ISNUMBER(U15),U15&lt;&gt;0),Z15/U15-1,""),"")</f>
        <v>0.0718376697758141</v>
      </c>
      <c r="AA309" s="257">
        <f>IFERROR(IF(AND(ISNUMBER(AA15),ISNUMBER(V15),V15&lt;&gt;0),AA15/V15-1,""),"")</f>
        <v>-0.0714285714285714</v>
      </c>
      <c r="AB309" s="257">
        <f>IFERROR(IF(AND(ISNUMBER(AB15),ISNUMBER(W15),W15&lt;&gt;0),AB15/W15-1,""),"")</f>
        <v>-0.0541777028653985</v>
      </c>
      <c r="AC309" s="257">
        <f>IFERROR(IF(AND(ISNUMBER(AC15),ISNUMBER(X15),X15&lt;&gt;0),AC15/X15-1,""),"")</f>
        <v>0.101769193312774</v>
      </c>
      <c r="AD309" s="257">
        <f>IFERROR(IF(AND(ISNUMBER(AD15),ISNUMBER(Y15),Y15&lt;&gt;0),AD15/Y15-1,""),"")</f>
        <v>0.114337899543379</v>
      </c>
      <c r="AE309" s="257">
        <f>IFERROR(IF(AND(ISNUMBER(AE15),ISNUMBER(Z15),Z15&lt;&gt;0),AE15/Z15-1,""),"")</f>
        <v>0.00305343511450373</v>
      </c>
      <c r="AF309" s="257">
        <f>IFERROR(IF(AND(ISNUMBER(AF15),ISNUMBER(AA15),AA15&lt;&gt;0),AF15/AA15-1,""),"")</f>
        <v>0.128576737272389</v>
      </c>
      <c r="AG309" s="257">
        <f>IFERROR(IF(AND(ISNUMBER(AG15),ISNUMBER(AB15),AB15&lt;&gt;0),AG15/AB15-1,""),"")</f>
        <v>0.0833757637474542</v>
      </c>
      <c r="AH309" s="257">
        <f>IFERROR(IF(AND(ISNUMBER(AH15),ISNUMBER(AC15),AC15&lt;&gt;0),AH15/AC15-1,""),"")</f>
        <v>0.638479670005893</v>
      </c>
      <c r="AI309" s="257">
        <f>IFERROR(IF(AND(ISNUMBER(AI15),ISNUMBER(AD15),AD15&lt;&gt;0),AI15/AD15-1,""),"")</f>
        <v>0.229962301262088</v>
      </c>
      <c r="AJ309" s="257">
        <f>IFERROR(IF(AND(ISNUMBER(AJ15),ISNUMBER(AE15),AE15&lt;&gt;0),AJ15/AE15-1,""),"")</f>
        <v>0.202696539418505</v>
      </c>
      <c r="AK309" s="257">
        <f>IFERROR(IF(AND(ISNUMBER(AK15),ISNUMBER(AF15),AF15&lt;&gt;0),AK15/AF15-1,""),"")</f>
        <v>0.202696539418505</v>
      </c>
      <c r="AL309" s="257">
        <f>IFERROR(IF(AND(ISNUMBER(AL15),ISNUMBER(AG15),AG15&lt;&gt;0),AL15/AG15-1,""),"")</f>
        <v>0.32506540729282</v>
      </c>
      <c r="AM309" s="257">
        <f>IFERROR(IF(AND(ISNUMBER(AM15),ISNUMBER(AH15),AH15&lt;&gt;0),AM15/AH15-1,""),"")</f>
        <v>0.202696539418505</v>
      </c>
      <c r="AN309" s="257">
        <f>IFERROR(IF(AND(ISNUMBER(AN15),ISNUMBER(AI15),AI15&lt;&gt;0),AN15/AI15-1,""),"")</f>
        <v>0.202696539418505</v>
      </c>
      <c r="AO309" s="257">
        <f>IFERROR(IF(AND(ISNUMBER(AO15),ISNUMBER(AJ15),AJ15&lt;&gt;0),AO15/AJ15-1,""),"")</f>
        <v>0.202696539418505</v>
      </c>
      <c r="AP309" s="257">
        <f>IFERROR(IF(AND(ISNUMBER(AP15),ISNUMBER(AK15),AK15&lt;&gt;0),AP15/AK15-1,""),"")</f>
        <v>0.202696539418505</v>
      </c>
      <c r="AQ309" s="257">
        <f>IFERROR(IF(AND(ISNUMBER(AQ15),ISNUMBER(AL15),AL15&lt;&gt;0),AQ15/AL15-1,""),"")</f>
        <v>0.202696539418505</v>
      </c>
      <c r="AR309" s="257">
        <f>IFERROR(IF(AND(ISNUMBER(AR15),ISNUMBER(AM15),AM15&lt;&gt;0),AR15/AM15-1,""),"")</f>
        <v>0.197696539418505</v>
      </c>
      <c r="AS309" s="257">
        <f>IFERROR(IF(AND(ISNUMBER(AS15),ISNUMBER(AN15),AN15&lt;&gt;0),AS15/AN15-1,""),"")</f>
        <v>0.197696539418505</v>
      </c>
      <c r="AT309" s="257">
        <f>IFERROR(IF(AND(ISNUMBER(AT15),ISNUMBER(AO15),AO15&lt;&gt;0),AT15/AO15-1,""),"")</f>
        <v>0.197696539418505</v>
      </c>
      <c r="AU309" s="257">
        <f>IFERROR(IF(AND(ISNUMBER(AU15),ISNUMBER(AP15),AP15&lt;&gt;0),AU15/AP15-1,""),"")</f>
        <v>0.197696539418505</v>
      </c>
      <c r="AV309" s="257">
        <f>IFERROR(IF(AND(ISNUMBER(AV15),ISNUMBER(AQ15),AQ15&lt;&gt;0),AV15/AQ15-1,""),"")</f>
        <v>0.197696539418504</v>
      </c>
      <c r="AW309" s="257">
        <f>IFERROR(IF(AND(ISNUMBER(AW15),ISNUMBER(AR15),AR15&lt;&gt;0),AW15/AR15-1,""),"")</f>
        <v>0.192696539418505</v>
      </c>
      <c r="AX309" s="257">
        <f>IFERROR(IF(AND(ISNUMBER(AX15),ISNUMBER(AS15),AS15&lt;&gt;0),AX15/AS15-1,""),"")</f>
        <v>0.192696539418505</v>
      </c>
      <c r="AY309" s="257">
        <f>IFERROR(IF(AND(ISNUMBER(AY15),ISNUMBER(AT15),AT15&lt;&gt;0),AY15/AT15-1,""),"")</f>
        <v>0.192696539418505</v>
      </c>
      <c r="AZ309" s="257">
        <f>IFERROR(IF(AND(ISNUMBER(AZ15),ISNUMBER(AU15),AU15&lt;&gt;0),AZ15/AU15-1,""),"")</f>
        <v>0.192696539418505</v>
      </c>
      <c r="BA309" s="257">
        <f>IFERROR(IF(AND(ISNUMBER(BA15),ISNUMBER(AV15),AV15&lt;&gt;0),BA15/AV15-1,""),"")</f>
        <v>0.192696539418505</v>
      </c>
      <c r="BB309" s="257">
        <f>IFERROR(IF(AND(ISNUMBER(BB15),ISNUMBER(AW15),AW15&lt;&gt;0),BB15/AW15-1,""),"")</f>
        <v>0.187696539418504</v>
      </c>
      <c r="BC309" s="257">
        <f>IFERROR(IF(AND(ISNUMBER(BC15),ISNUMBER(AX15),AX15&lt;&gt;0),BC15/AX15-1,""),"")</f>
        <v>0.187696539418504</v>
      </c>
      <c r="BD309" s="257">
        <f>IFERROR(IF(AND(ISNUMBER(BD15),ISNUMBER(AY15),AY15&lt;&gt;0),BD15/AY15-1,""),"")</f>
        <v>0.187696539418504</v>
      </c>
      <c r="BE309" s="257">
        <f>IFERROR(IF(AND(ISNUMBER(BE15),ISNUMBER(AZ15),AZ15&lt;&gt;0),BE15/AZ15-1,""),"")</f>
        <v>0.187696539418504</v>
      </c>
      <c r="BF309" s="257">
        <f>IFERROR(IF(AND(ISNUMBER(BF15),ISNUMBER(BA15),BA15&lt;&gt;0),BF15/BA15-1,""),"")</f>
        <v>0.187696539418504</v>
      </c>
      <c r="BG309" s="79" t="n"/>
      <c r="BH309" s="79" t="n"/>
      <c r="BI309" s="79" t="n"/>
      <c r="BJ309" s="79" t="n"/>
      <c r="BK309" s="78" t="n"/>
      <c r="BL309" s="79" t="n"/>
      <c r="BM309" s="79" t="n"/>
      <c r="BN309" s="79" t="n"/>
      <c r="BO309" s="79" t="n"/>
      <c r="BP309" s="78" t="n"/>
      <c r="BQ309" s="79" t="n"/>
      <c r="BR309" s="79" t="n"/>
      <c r="BS309" s="79" t="n"/>
      <c r="BT309" s="79" t="n"/>
      <c r="BU309" s="78" t="n"/>
      <c r="BV309" s="79" t="n"/>
      <c r="BW309" s="79" t="n"/>
      <c r="BX309" s="79" t="n"/>
      <c r="BY309" s="79" t="n"/>
      <c r="BZ309" s="78" t="n"/>
      <c r="CA309" s="79" t="n"/>
      <c r="CB309" s="79" t="n"/>
      <c r="CC309" s="79" t="n"/>
      <c r="CD309" s="79" t="n"/>
      <c r="CE309" s="78" t="n"/>
      <c r="CF309" s="79" t="n"/>
      <c r="CG309" s="79" t="n"/>
      <c r="CH309" s="79" t="n"/>
      <c r="CI309" s="79" t="n"/>
      <c r="CJ309" s="78" t="n"/>
      <c r="CK309" s="79" t="n"/>
      <c r="CL309" s="79" t="n"/>
      <c r="CM309" s="79" t="n"/>
      <c r="CN309" s="79" t="n"/>
      <c r="CO309" s="78" t="n"/>
      <c r="CP309" s="79" t="n"/>
      <c r="CQ309" s="79" t="n"/>
      <c r="CR309" s="79" t="n"/>
      <c r="CS309" s="79" t="n"/>
      <c r="CT309" s="78" t="n"/>
      <c r="CU309" s="79" t="n"/>
      <c r="CV309" s="79" t="n"/>
      <c r="CW309" s="79" t="n"/>
      <c r="CX309" s="79" t="n"/>
      <c r="CY309" s="78" t="n"/>
    </row>
    <row r="310" customFormat="1" s="77">
      <c r="A310" s="76" t="n"/>
      <c r="B310" s="76" t="n"/>
      <c r="C310" s="77" t="inlineStr">
        <is>
          <t>GROSS MARGIN</t>
        </is>
      </c>
      <c r="D310" s="79" t="str">
        <f>IFERROR(SUM(D15,D42)/D15,"")</f>
        <v/>
      </c>
      <c r="E310" s="79" t="str">
        <f>IFERROR(SUM(E15,E42)/E15,"")</f>
        <v/>
      </c>
      <c r="F310" s="79" t="str">
        <f>IFERROR(SUM(F15,F42)/F15,"")</f>
        <v/>
      </c>
      <c r="G310" s="79" t="str">
        <f>IFERROR(SUM(G15,G42)/G15,"")</f>
        <v/>
      </c>
      <c r="H310" s="258" t="str">
        <f>IFERROR(IF(N(H15)&lt;&gt;0,(H15+H42)/H15,""),"")</f>
        <v/>
      </c>
      <c r="I310" s="258">
        <f>IFERROR(IF(N(I15)&lt;&gt;0,(I15+I42)/I15,""),"")</f>
        <v>1</v>
      </c>
      <c r="J310" s="258">
        <f>IFERROR(IF(N(J15)&lt;&gt;0,(J15+J42)/J15,""),"")</f>
        <v>1</v>
      </c>
      <c r="K310" s="258">
        <f>IFERROR(IF(N(K15)&lt;&gt;0,(K15+K42)/K15,""),"")</f>
        <v>1</v>
      </c>
      <c r="L310" s="258">
        <f>IFERROR(IF(N(L15)&lt;&gt;0,(L15+L42)/L15,""),"")</f>
        <v>1</v>
      </c>
      <c r="M310" s="258">
        <f>IFERROR(IF(N(M15)&lt;&gt;0,(M15+M42)/M15,""),"")</f>
        <v>1</v>
      </c>
      <c r="N310" s="258">
        <f>IFERROR(IF(N(N15)&lt;&gt;0,(N15+N42)/N15,""),"")</f>
        <v>1</v>
      </c>
      <c r="O310" s="258">
        <f>IFERROR(IF(N(O15)&lt;&gt;0,(O15+O42)/O15,""),"")</f>
        <v>1</v>
      </c>
      <c r="P310" s="258">
        <f>IFERROR(IF(N(P15)&lt;&gt;0,(P15+P42)/P15,""),"")</f>
        <v>1</v>
      </c>
      <c r="Q310" s="258">
        <f>IFERROR(IF(N(Q15)&lt;&gt;0,(Q15+Q42)/Q15,""),"")</f>
        <v>1</v>
      </c>
      <c r="R310" s="258">
        <f>IFERROR(IF(N(R15)&lt;&gt;0,(R15+R42)/R15,""),"")</f>
        <v>1</v>
      </c>
      <c r="S310" s="258">
        <f>IFERROR(IF(N(S15)&lt;&gt;0,(S15+S42)/S15,""),"")</f>
        <v>1</v>
      </c>
      <c r="T310" s="258">
        <f>IFERROR(IF(N(T15)&lt;&gt;0,(T15+T42)/T15,""),"")</f>
        <v>1</v>
      </c>
      <c r="U310" s="258">
        <f>IFERROR(IF(N(U15)&lt;&gt;0,(U15+U42)/U15,""),"")</f>
        <v>1</v>
      </c>
      <c r="V310" s="258">
        <f>IFERROR(IF(N(V15)&lt;&gt;0,(V15+V42)/V15,""),"")</f>
        <v>1</v>
      </c>
      <c r="W310" s="258">
        <f>IFERROR(IF(N(W15)&lt;&gt;0,(W15+W42)/W15,""),"")</f>
        <v>1</v>
      </c>
      <c r="X310" s="258">
        <f>IFERROR(IF(N(X15)&lt;&gt;0,(X15+X42)/X15,""),"")</f>
        <v>1</v>
      </c>
      <c r="Y310" s="258">
        <f>IFERROR(IF(N(Y15)&lt;&gt;0,(Y15+Y42)/Y15,""),"")</f>
        <v>1</v>
      </c>
      <c r="Z310" s="258">
        <f>IFERROR(IF(N(Z15)&lt;&gt;0,(Z15+Z42)/Z15,""),"")</f>
        <v>1</v>
      </c>
      <c r="AA310" s="258">
        <f>IFERROR(IF(N(AA15)&lt;&gt;0,(AA15+AA42)/AA15,""),"")</f>
        <v>1</v>
      </c>
      <c r="AB310" s="258">
        <f>IFERROR(IF(N(AB15)&lt;&gt;0,(AB15+AB42)/AB15,""),"")</f>
        <v>1</v>
      </c>
      <c r="AC310" s="258">
        <f>IFERROR(IF(N(AC15)&lt;&gt;0,(AC15+AC42)/AC15,""),"")</f>
        <v>1</v>
      </c>
      <c r="AD310" s="258">
        <f>IFERROR(IF(N(AD15)&lt;&gt;0,(AD15+AD42)/AD15,""),"")</f>
        <v>1</v>
      </c>
      <c r="AE310" s="258">
        <f>IFERROR(IF(N(AE15)&lt;&gt;0,(AE15+AE42)/AE15,""),"")</f>
        <v>1</v>
      </c>
      <c r="AF310" s="258">
        <f>IFERROR(IF(N(AF15)&lt;&gt;0,(AF15+AF42)/AF15,""),"")</f>
        <v>1</v>
      </c>
      <c r="AG310" s="258">
        <f>IFERROR(IF(N(AG15)&lt;&gt;0,(AG15+AG42)/AG15,""),"")</f>
        <v>1</v>
      </c>
      <c r="AH310" s="258">
        <f>IFERROR(IF(N(AH15)&lt;&gt;0,(AH15+AH42)/AH15,""),"")</f>
        <v>1</v>
      </c>
      <c r="AI310" s="258">
        <f>IFERROR(IF(N(AI15)&lt;&gt;0,(AI15+AI42)/AI15,""),"")</f>
        <v>1</v>
      </c>
      <c r="AJ310" s="258">
        <f>IFERROR(IF(N(AJ15)&lt;&gt;0,(AJ15+AJ42)/AJ15,""),"")</f>
        <v>1</v>
      </c>
      <c r="AK310" s="258">
        <f>IFERROR(IF(N(AK15)&lt;&gt;0,(AK15+AK42)/AK15,""),"")</f>
        <v>1</v>
      </c>
      <c r="AL310" s="258">
        <f>IFERROR(IF(N(AL15)&lt;&gt;0,(AL15+AL42)/AL15,""),"")</f>
        <v>1</v>
      </c>
      <c r="AM310" s="258">
        <f>IFERROR(IF(N(AM15)&lt;&gt;0,(AM15+AM42)/AM15,""),"")</f>
        <v>1</v>
      </c>
      <c r="AN310" s="258">
        <f>IFERROR(IF(N(AN15)&lt;&gt;0,(AN15+AN42)/AN15,""),"")</f>
        <v>1</v>
      </c>
      <c r="AO310" s="258">
        <f>IFERROR(IF(N(AO15)&lt;&gt;0,(AO15+AO42)/AO15,""),"")</f>
        <v>1</v>
      </c>
      <c r="AP310" s="258">
        <f>IFERROR(IF(N(AP15)&lt;&gt;0,(AP15+AP42)/AP15,""),"")</f>
        <v>1</v>
      </c>
      <c r="AQ310" s="258">
        <f>IFERROR(IF(N(AQ15)&lt;&gt;0,(AQ15+AQ42)/AQ15,""),"")</f>
        <v>1</v>
      </c>
      <c r="AR310" s="258">
        <f>IFERROR(IF(N(AR15)&lt;&gt;0,(AR15+AR42)/AR15,""),"")</f>
        <v>1</v>
      </c>
      <c r="AS310" s="258">
        <f>IFERROR(IF(N(AS15)&lt;&gt;0,(AS15+AS42)/AS15,""),"")</f>
        <v>1</v>
      </c>
      <c r="AT310" s="258">
        <f>IFERROR(IF(N(AT15)&lt;&gt;0,(AT15+AT42)/AT15,""),"")</f>
        <v>1</v>
      </c>
      <c r="AU310" s="258">
        <f>IFERROR(IF(N(AU15)&lt;&gt;0,(AU15+AU42)/AU15,""),"")</f>
        <v>1</v>
      </c>
      <c r="AV310" s="258">
        <f>IFERROR(IF(N(AV15)&lt;&gt;0,(AV15+AV42)/AV15,""),"")</f>
        <v>1</v>
      </c>
      <c r="AW310" s="258">
        <f>IFERROR(IF(N(AW15)&lt;&gt;0,(AW15+AW42)/AW15,""),"")</f>
        <v>1</v>
      </c>
      <c r="AX310" s="258">
        <f>IFERROR(IF(N(AX15)&lt;&gt;0,(AX15+AX42)/AX15,""),"")</f>
        <v>1</v>
      </c>
      <c r="AY310" s="258">
        <f>IFERROR(IF(N(AY15)&lt;&gt;0,(AY15+AY42)/AY15,""),"")</f>
        <v>1</v>
      </c>
      <c r="AZ310" s="258">
        <f>IFERROR(IF(N(AZ15)&lt;&gt;0,(AZ15+AZ42)/AZ15,""),"")</f>
        <v>1</v>
      </c>
      <c r="BA310" s="258">
        <f>IFERROR(IF(N(BA15)&lt;&gt;0,(BA15+BA42)/BA15,""),"")</f>
        <v>1</v>
      </c>
      <c r="BB310" s="258">
        <f>IFERROR(IF(N(BB15)&lt;&gt;0,(BB15+BB42)/BB15,""),"")</f>
        <v>1</v>
      </c>
      <c r="BC310" s="258">
        <f>IFERROR(IF(N(BC15)&lt;&gt;0,(BC15+BC42)/BC15,""),"")</f>
        <v>1</v>
      </c>
      <c r="BD310" s="258">
        <f>IFERROR(IF(N(BD15)&lt;&gt;0,(BD15+BD42)/BD15,""),"")</f>
        <v>1</v>
      </c>
      <c r="BE310" s="258">
        <f>IFERROR(IF(N(BE15)&lt;&gt;0,(BE15+BE42)/BE15,""),"")</f>
        <v>1</v>
      </c>
      <c r="BF310" s="258">
        <f>IFERROR(IF(N(BF15)&lt;&gt;0,(BF15+BF42)/BF15,""),"")</f>
        <v>1</v>
      </c>
      <c r="BG310" s="80" t="n"/>
      <c r="BH310" s="80" t="n"/>
      <c r="BI310" s="80" t="n"/>
      <c r="BJ310" s="80" t="n"/>
      <c r="BL310" s="80" t="n"/>
      <c r="BM310" s="80" t="n"/>
      <c r="BN310" s="80" t="n"/>
      <c r="BO310" s="80" t="n"/>
      <c r="BQ310" s="80" t="n"/>
      <c r="BR310" s="80" t="n"/>
      <c r="BS310" s="80" t="n"/>
      <c r="BT310" s="80" t="n"/>
      <c r="BV310" s="80" t="n"/>
      <c r="BW310" s="80" t="n"/>
      <c r="BX310" s="80" t="n"/>
      <c r="BY310" s="80" t="n"/>
      <c r="CA310" s="80" t="n"/>
      <c r="CB310" s="80" t="n"/>
      <c r="CC310" s="80" t="n"/>
      <c r="CD310" s="80" t="n"/>
      <c r="CF310" s="80" t="n"/>
      <c r="CG310" s="80" t="n"/>
      <c r="CH310" s="80" t="n"/>
      <c r="CI310" s="80" t="n"/>
      <c r="CK310" s="80" t="n"/>
      <c r="CL310" s="80" t="n"/>
      <c r="CM310" s="80" t="n"/>
      <c r="CN310" s="80" t="n"/>
      <c r="CP310" s="80" t="n"/>
      <c r="CQ310" s="80" t="n"/>
      <c r="CR310" s="80" t="n"/>
      <c r="CS310" s="80" t="n"/>
      <c r="CU310" s="80" t="n"/>
      <c r="CV310" s="80" t="n"/>
      <c r="CW310" s="80" t="n"/>
      <c r="CX310" s="80" t="n"/>
    </row>
    <row r="311" customFormat="1" s="77">
      <c r="A311" s="76" t="n"/>
      <c r="B311" s="76" t="n"/>
      <c r="C311" s="77" t="inlineStr">
        <is>
          <t>EBIT MARGIN</t>
        </is>
      </c>
      <c r="D311" s="78" t="str">
        <f>IFERROR((D61/D15),"")</f>
        <v/>
      </c>
      <c r="E311" s="78" t="str">
        <f>IFERROR((E61/E15),"")</f>
        <v/>
      </c>
      <c r="F311" s="78" t="str">
        <f>IFERROR((F61/F15),"")</f>
        <v/>
      </c>
      <c r="G311" s="78" t="str">
        <f>IFERROR((G61/G15),"")</f>
        <v/>
      </c>
      <c r="H311" s="258" t="str">
        <f>IFERROR(IF(N(H15)&lt;&gt;0,H61/H15,""),"")</f>
        <v/>
      </c>
      <c r="I311" s="257">
        <f>IFERROR(IF(N(I15)&lt;&gt;0,I61/I15,""),"")</f>
        <v>-0.187443784853391</v>
      </c>
      <c r="J311" s="257">
        <f>IFERROR(IF(N(J15)&lt;&gt;0,J61/J15,""),"")</f>
        <v>-0.0741632554779677</v>
      </c>
      <c r="K311" s="257">
        <f>IFERROR(IF(N(K15)&lt;&gt;0,K61/K15,""),"")</f>
        <v>0.228325011348162</v>
      </c>
      <c r="L311" s="257">
        <f>IFERROR(IF(N(L15)&lt;&gt;0,L61/L15,""),"")</f>
        <v>-0.000361532899493854</v>
      </c>
      <c r="M311" s="258">
        <f>IFERROR(IF(N(M15)&lt;&gt;0,M61/M15,""),"")</f>
        <v>-0.0176081424936387</v>
      </c>
      <c r="N311" s="257">
        <f>IFERROR(IF(N(N15)&lt;&gt;0,N61/N15,""),"")</f>
        <v>0.0778036129493829</v>
      </c>
      <c r="O311" s="257">
        <f>IFERROR(IF(N(O15)&lt;&gt;0,O61/O15,""),"")</f>
        <v>0.0497712717291857</v>
      </c>
      <c r="P311" s="257">
        <f>IFERROR(IF(N(P15)&lt;&gt;0,P61/P15,""),"")</f>
        <v>-0.00677573954718228</v>
      </c>
      <c r="Q311" s="257">
        <f>IFERROR(IF(N(Q15)&lt;&gt;0,Q61/Q15,""),"")</f>
        <v>-0.0234556116187099</v>
      </c>
      <c r="R311" s="258">
        <f>IFERROR(IF(N(R15)&lt;&gt;0,R61/R15,""),"")</f>
        <v>0.0202127659574468</v>
      </c>
      <c r="S311" s="257">
        <f>IFERROR(IF(N(S15)&lt;&gt;0,S61/S15,""),"")</f>
        <v>0.00409781890284204</v>
      </c>
      <c r="T311" s="257">
        <f>IFERROR(IF(N(T15)&lt;&gt;0,T61/T15,""),"")</f>
        <v>0.122842453176643</v>
      </c>
      <c r="U311" s="257">
        <f>IFERROR(IF(N(U15)&lt;&gt;0,U61/U15,""),"")</f>
        <v>0.159875634102438</v>
      </c>
      <c r="V311" s="257">
        <f>IFERROR(IF(N(V15)&lt;&gt;0,V61/V15,""),"")</f>
        <v>-0.011559696342305</v>
      </c>
      <c r="W311" s="258">
        <f>IFERROR(IF(N(W15)&lt;&gt;0,W61/W15,""),"")</f>
        <v>0.0646119271209567</v>
      </c>
      <c r="X311" s="257">
        <f>IFERROR(IF(N(X15)&lt;&gt;0,X61/X15,""),"")</f>
        <v>0.131959097549099</v>
      </c>
      <c r="Y311" s="257">
        <f>IFERROR(IF(N(Y15)&lt;&gt;0,Y61/Y15,""),"")</f>
        <v>0.200913242009132</v>
      </c>
      <c r="Z311" s="257">
        <f>IFERROR(IF(N(Z15)&lt;&gt;0,Z61/Z15,""),"")</f>
        <v>0.223969465648855</v>
      </c>
      <c r="AA311" s="257">
        <f>IFERROR(IF(N(AA15)&lt;&gt;0,AA61/AA15,""),"")</f>
        <v>0.180602006688963</v>
      </c>
      <c r="AB311" s="258">
        <f>IFERROR(IF(N(AB15)&lt;&gt;0,AB61/AB15,""),"")</f>
        <v>0.184657162253904</v>
      </c>
      <c r="AC311" s="257">
        <f>IFERROR(IF(N(AC15)&lt;&gt;0,AC61/AC15,""),"")</f>
        <v>0.0664407778432528</v>
      </c>
      <c r="AD311" s="257">
        <f>IFERROR(IF(N(AD15)&lt;&gt;0,AD61/AD15,""),"")</f>
        <v>0.155876085887559</v>
      </c>
      <c r="AE311" s="257">
        <f>IFERROR(IF(N(AE15)&lt;&gt;0,AE61/AE15,""),"")</f>
        <v>0.165296803652968</v>
      </c>
      <c r="AF311" s="257">
        <f>IFERROR(IF(N(AF15)&lt;&gt;0,AF61/AF15,""),"")</f>
        <v>0.0984524201514653</v>
      </c>
      <c r="AG311" s="258">
        <f>IFERROR(IF(N(AG15)&lt;&gt;0,AG61/AG15,""),"")</f>
        <v>0.120863196647476</v>
      </c>
      <c r="AH311" s="257">
        <f>IFERROR(IF(N(AH15)&lt;&gt;0,AH61/AH15,""),"")</f>
        <v>0.209674518971408</v>
      </c>
      <c r="AI311" s="257">
        <f>IFERROR(IF(N(AI15)&lt;&gt;0,AI61/AI15,""),"")</f>
        <v>0.0772921108742004</v>
      </c>
      <c r="AJ311" s="257">
        <f>IFERROR(IF(N(AJ15)&lt;&gt;0,AJ61/AJ15,""),"")</f>
        <v>0.128838786230142</v>
      </c>
      <c r="AK311" s="257">
        <f>IFERROR(IF(N(AK15)&lt;&gt;0,AK61/AK15,""),"")</f>
        <v>0.128838786230142</v>
      </c>
      <c r="AL311" s="258">
        <f>IFERROR(IF(N(AL15)&lt;&gt;0,AL61/AL15,""),"")</f>
        <v>0.143979340031554</v>
      </c>
      <c r="AM311" s="257">
        <f>IFERROR(IF(N(AM15)&lt;&gt;0,AM61/AM15,""),"")</f>
        <v>0.128838786230142</v>
      </c>
      <c r="AN311" s="257">
        <f>IFERROR(IF(N(AN15)&lt;&gt;0,AN61/AN15,""),"")</f>
        <v>0.128838786230142</v>
      </c>
      <c r="AO311" s="257">
        <f>IFERROR(IF(N(AO15)&lt;&gt;0,AO61/AO15,""),"")</f>
        <v>0.128838786230142</v>
      </c>
      <c r="AP311" s="257">
        <f>IFERROR(IF(N(AP15)&lt;&gt;0,AP61/AP15,""),"")</f>
        <v>0.128838786230142</v>
      </c>
      <c r="AQ311" s="258">
        <f>IFERROR(IF(N(AQ15)&lt;&gt;0,AQ61/AQ15,""),"")</f>
        <v>0.128838786230142</v>
      </c>
      <c r="AR311" s="257">
        <f>IFERROR(IF(N(AR15)&lt;&gt;0,AR61/AR15,""),"")</f>
        <v>0.128838786230142</v>
      </c>
      <c r="AS311" s="257">
        <f>IFERROR(IF(N(AS15)&lt;&gt;0,AS61/AS15,""),"")</f>
        <v>0.128838786230142</v>
      </c>
      <c r="AT311" s="257">
        <f>IFERROR(IF(N(AT15)&lt;&gt;0,AT61/AT15,""),"")</f>
        <v>0.128838786230142</v>
      </c>
      <c r="AU311" s="257">
        <f>IFERROR(IF(N(AU15)&lt;&gt;0,AU61/AU15,""),"")</f>
        <v>0.128838786230142</v>
      </c>
      <c r="AV311" s="258">
        <f>IFERROR(IF(N(AV15)&lt;&gt;0,AV61/AV15,""),"")</f>
        <v>0.128838786230142</v>
      </c>
      <c r="AW311" s="257">
        <f>IFERROR(IF(N(AW15)&lt;&gt;0,AW61/AW15,""),"")</f>
        <v>0.128838786230142</v>
      </c>
      <c r="AX311" s="257">
        <f>IFERROR(IF(N(AX15)&lt;&gt;0,AX61/AX15,""),"")</f>
        <v>0.128838786230142</v>
      </c>
      <c r="AY311" s="257">
        <f>IFERROR(IF(N(AY15)&lt;&gt;0,AY61/AY15,""),"")</f>
        <v>0.128838786230142</v>
      </c>
      <c r="AZ311" s="257">
        <f>IFERROR(IF(N(AZ15)&lt;&gt;0,AZ61/AZ15,""),"")</f>
        <v>0.128838786230142</v>
      </c>
      <c r="BA311" s="258">
        <f>IFERROR(IF(N(BA15)&lt;&gt;0,BA61/BA15,""),"")</f>
        <v>0.128838786230142</v>
      </c>
      <c r="BB311" s="257">
        <f>IFERROR(IF(N(BB15)&lt;&gt;0,BB61/BB15,""),"")</f>
        <v>0.128838786230142</v>
      </c>
      <c r="BC311" s="257">
        <f>IFERROR(IF(N(BC15)&lt;&gt;0,BC61/BC15,""),"")</f>
        <v>0.128838786230142</v>
      </c>
      <c r="BD311" s="257">
        <f>IFERROR(IF(N(BD15)&lt;&gt;0,BD61/BD15,""),"")</f>
        <v>0.128838786230142</v>
      </c>
      <c r="BE311" s="257">
        <f>IFERROR(IF(N(BE15)&lt;&gt;0,BE61/BE15,""),"")</f>
        <v>0.128838786230142</v>
      </c>
      <c r="BF311" s="258">
        <f>IFERROR(IF(N(BF15)&lt;&gt;0,BF61/BF15,""),"")</f>
        <v>0.128838786230142</v>
      </c>
      <c r="BG311" s="81" t="n"/>
      <c r="BH311" s="81" t="n"/>
      <c r="BI311" s="81" t="n"/>
      <c r="BJ311" s="81" t="n"/>
      <c r="BL311" s="81" t="n"/>
      <c r="BM311" s="81" t="n"/>
      <c r="BN311" s="81" t="n"/>
      <c r="BO311" s="81" t="n"/>
      <c r="BQ311" s="81" t="n"/>
      <c r="BR311" s="81" t="n"/>
      <c r="BS311" s="81" t="n"/>
      <c r="BT311" s="81" t="n"/>
      <c r="BV311" s="81" t="n"/>
      <c r="BW311" s="81" t="n"/>
      <c r="BX311" s="81" t="n"/>
      <c r="BY311" s="81" t="n"/>
      <c r="CA311" s="81" t="n"/>
      <c r="CB311" s="81" t="n"/>
      <c r="CC311" s="81" t="n"/>
      <c r="CD311" s="81" t="n"/>
      <c r="CF311" s="81" t="n"/>
      <c r="CG311" s="81" t="n"/>
      <c r="CH311" s="81" t="n"/>
      <c r="CI311" s="81" t="n"/>
      <c r="CK311" s="81" t="n"/>
      <c r="CL311" s="81" t="n"/>
      <c r="CM311" s="81" t="n"/>
      <c r="CN311" s="81" t="n"/>
      <c r="CP311" s="81" t="n"/>
      <c r="CQ311" s="81" t="n"/>
      <c r="CR311" s="81" t="n"/>
      <c r="CS311" s="81" t="n"/>
      <c r="CU311" s="81" t="n"/>
      <c r="CV311" s="81" t="n"/>
      <c r="CW311" s="81" t="n"/>
      <c r="CX311" s="81" t="n"/>
    </row>
    <row r="312" customFormat="1" s="77">
      <c r="A312" s="76" t="n"/>
      <c r="B312" s="76" t="n"/>
      <c r="C312" s="77" t="inlineStr">
        <is>
          <t>EBITDA MARGIN</t>
        </is>
      </c>
      <c r="D312" s="78" t="str">
        <f>IFERROR(D57/D15,"")</f>
        <v/>
      </c>
      <c r="E312" s="78" t="str">
        <f>IFERROR(E57/E15,"")</f>
        <v/>
      </c>
      <c r="F312" s="78" t="str">
        <f>IFERROR(F57/F15,"")</f>
        <v/>
      </c>
      <c r="G312" s="78" t="str">
        <f>IFERROR(G57/G15,"")</f>
        <v/>
      </c>
      <c r="H312" s="258" t="str">
        <f>IFERROR(IF(N(H15)&lt;&gt;0,H57/H15,""),"")</f>
        <v/>
      </c>
      <c r="I312" s="257">
        <f>IFERROR(IF(N(I15)&lt;&gt;0,I57/I15,""),"")</f>
        <v>0.0546860946213348</v>
      </c>
      <c r="J312" s="257">
        <f>IFERROR(IF(N(J15)&lt;&gt;0,J57/J15,""),"")</f>
        <v>0.248495063809294</v>
      </c>
      <c r="K312" s="257">
        <f>IFERROR(IF(N(K15)&lt;&gt;0,K57/K15,""),"")</f>
        <v>0.515433499773037</v>
      </c>
      <c r="L312" s="257">
        <f>IFERROR(IF(N(L15)&lt;&gt;0,L57/L15,""),"")</f>
        <v>0.106109906001446</v>
      </c>
      <c r="M312" s="258">
        <f>IFERROR(IF(N(M15)&lt;&gt;0,M57/M15,""),"")</f>
        <v>0.213435114503817</v>
      </c>
      <c r="N312" s="257">
        <f>IFERROR(IF(N(N15)&lt;&gt;0,N57/N15,""),"")</f>
        <v>0.185476658916115</v>
      </c>
      <c r="O312" s="257">
        <f>IFERROR(IF(N(O15)&lt;&gt;0,O57/O15,""),"")</f>
        <v>0.160475754803294</v>
      </c>
      <c r="P312" s="257">
        <f>IFERROR(IF(N(P15)&lt;&gt;0,P57/P15,""),"")</f>
        <v>0.0928772103784498</v>
      </c>
      <c r="Q312" s="257">
        <f>IFERROR(IF(N(Q15)&lt;&gt;0,Q57/Q15,""),"")</f>
        <v>0.0606845765716623</v>
      </c>
      <c r="R312" s="258">
        <f>IFERROR(IF(N(R15)&lt;&gt;0,R57/R15,""),"")</f>
        <v>0.119517184942717</v>
      </c>
      <c r="S312" s="257">
        <f>IFERROR(IF(N(S15)&lt;&gt;0,S57/S15,""),"")</f>
        <v>0.0840713813615334</v>
      </c>
      <c r="T312" s="257">
        <f>IFERROR(IF(N(T15)&lt;&gt;0,T57/T15,""),"")</f>
        <v>0.235585751009916</v>
      </c>
      <c r="U312" s="257">
        <f>IFERROR(IF(N(U15)&lt;&gt;0,U57/U15,""),"")</f>
        <v>0.261495663557519</v>
      </c>
      <c r="V312" s="257">
        <f>IFERROR(IF(N(V15)&lt;&gt;0,V57/V15,""),"")</f>
        <v>0.104727398205659</v>
      </c>
      <c r="W312" s="258">
        <f>IFERROR(IF(N(W15)&lt;&gt;0,W57/W15,""),"")</f>
        <v>0.165502849345854</v>
      </c>
      <c r="X312" s="257">
        <f>IFERROR(IF(N(X15)&lt;&gt;0,X57/X15,""),"")</f>
        <v>0.244603148839474</v>
      </c>
      <c r="Y312" s="257">
        <f>IFERROR(IF(N(Y15)&lt;&gt;0,Y57/Y15,""),"")</f>
        <v>0.327671232876712</v>
      </c>
      <c r="Z312" s="257">
        <f>IFERROR(IF(N(Z15)&lt;&gt;0,Z57/Z15,""),"")</f>
        <v>0.324885496183206</v>
      </c>
      <c r="AA312" s="257">
        <f>IFERROR(IF(N(AA15)&lt;&gt;0,AA57/AA15,""),"")</f>
        <v>0.301560758082497</v>
      </c>
      <c r="AB312" s="258">
        <f>IFERROR(IF(N(AB15)&lt;&gt;0,AB57/AB15,""),"")</f>
        <v>0.299219280380177</v>
      </c>
      <c r="AC312" s="257">
        <f>IFERROR(IF(N(AC15)&lt;&gt;0,AC57/AC15,""),"")</f>
        <v>0.160724808485563</v>
      </c>
      <c r="AD312" s="257">
        <f>IFERROR(IF(N(AD15)&lt;&gt;0,AD57/AD15,""),"")</f>
        <v>0.264055072938863</v>
      </c>
      <c r="AE312" s="257">
        <f>IFERROR(IF(N(AE15)&lt;&gt;0,AE57/AE15,""),"")</f>
        <v>0.263470319634703</v>
      </c>
      <c r="AF312" s="257">
        <f>IFERROR(IF(N(AF15)&lt;&gt;0,AF57/AF15,""),"")</f>
        <v>0.206453737240698</v>
      </c>
      <c r="AG312" s="258">
        <f>IFERROR(IF(N(AG15)&lt;&gt;0,AG57/AG15,""),"")</f>
        <v>0.222731367250225</v>
      </c>
      <c r="AH312" s="257">
        <f>IFERROR(IF(N(AH15)&lt;&gt;0,AH57/AH15,""),"")</f>
        <v>0.317748606365762</v>
      </c>
      <c r="AI312" s="257">
        <f>IFERROR(IF(N(AI15)&lt;&gt;0,AI57/AI15,""),"")</f>
        <v>0.232675906183369</v>
      </c>
      <c r="AJ312" s="257">
        <f>IFERROR(IF(N(AJ15)&lt;&gt;0,AJ57/AJ15,""),"")</f>
        <v>0.240854741808159</v>
      </c>
      <c r="AK312" s="257">
        <f>IFERROR(IF(N(AK15)&lt;&gt;0,AK57/AK15,""),"")</f>
        <v>0.240854741808159</v>
      </c>
      <c r="AL312" s="258">
        <f>IFERROR(IF(N(AL15)&lt;&gt;0,AL57/AL15,""),"")</f>
        <v>0.264318284553741</v>
      </c>
      <c r="AM312" s="257">
        <f>IFERROR(IF(N(AM15)&lt;&gt;0,AM57/AM15,""),"")</f>
        <v>0.240854741808159</v>
      </c>
      <c r="AN312" s="257">
        <f>IFERROR(IF(N(AN15)&lt;&gt;0,AN57/AN15,""),"")</f>
        <v>0.240854741808159</v>
      </c>
      <c r="AO312" s="257">
        <f>IFERROR(IF(N(AO15)&lt;&gt;0,AO57/AO15,""),"")</f>
        <v>0.240854741808159</v>
      </c>
      <c r="AP312" s="257">
        <f>IFERROR(IF(N(AP15)&lt;&gt;0,AP57/AP15,""),"")</f>
        <v>0.24085474180816</v>
      </c>
      <c r="AQ312" s="258">
        <f>IFERROR(IF(N(AQ15)&lt;&gt;0,AQ57/AQ15,""),"")</f>
        <v>0.240854741808159</v>
      </c>
      <c r="AR312" s="257">
        <f>IFERROR(IF(N(AR15)&lt;&gt;0,AR57/AR15,""),"")</f>
        <v>0.240854741808159</v>
      </c>
      <c r="AS312" s="257">
        <f>IFERROR(IF(N(AS15)&lt;&gt;0,AS57/AS15,""),"")</f>
        <v>0.240854741808159</v>
      </c>
      <c r="AT312" s="257">
        <f>IFERROR(IF(N(AT15)&lt;&gt;0,AT57/AT15,""),"")</f>
        <v>0.240854741808159</v>
      </c>
      <c r="AU312" s="257">
        <f>IFERROR(IF(N(AU15)&lt;&gt;0,AU57/AU15,""),"")</f>
        <v>0.240854741808159</v>
      </c>
      <c r="AV312" s="258">
        <f>IFERROR(IF(N(AV15)&lt;&gt;0,AV57/AV15,""),"")</f>
        <v>0.240854741808159</v>
      </c>
      <c r="AW312" s="257">
        <f>IFERROR(IF(N(AW15)&lt;&gt;0,AW57/AW15,""),"")</f>
        <v>0.24085474180816</v>
      </c>
      <c r="AX312" s="257">
        <f>IFERROR(IF(N(AX15)&lt;&gt;0,AX57/AX15,""),"")</f>
        <v>0.240854741808159</v>
      </c>
      <c r="AY312" s="257">
        <f>IFERROR(IF(N(AY15)&lt;&gt;0,AY57/AY15,""),"")</f>
        <v>0.240854741808159</v>
      </c>
      <c r="AZ312" s="257">
        <f>IFERROR(IF(N(AZ15)&lt;&gt;0,AZ57/AZ15,""),"")</f>
        <v>0.24085474180816</v>
      </c>
      <c r="BA312" s="258">
        <f>IFERROR(IF(N(BA15)&lt;&gt;0,BA57/BA15,""),"")</f>
        <v>0.240854741808159</v>
      </c>
      <c r="BB312" s="257">
        <f>IFERROR(IF(N(BB15)&lt;&gt;0,BB57/BB15,""),"")</f>
        <v>0.240854741808159</v>
      </c>
      <c r="BC312" s="257">
        <f>IFERROR(IF(N(BC15)&lt;&gt;0,BC57/BC15,""),"")</f>
        <v>0.24085474180816</v>
      </c>
      <c r="BD312" s="257">
        <f>IFERROR(IF(N(BD15)&lt;&gt;0,BD57/BD15,""),"")</f>
        <v>0.240854741808159</v>
      </c>
      <c r="BE312" s="257">
        <f>IFERROR(IF(N(BE15)&lt;&gt;0,BE57/BE15,""),"")</f>
        <v>0.24085474180816</v>
      </c>
      <c r="BF312" s="258">
        <f>IFERROR(IF(N(BF15)&lt;&gt;0,BF57/BF15,""),"")</f>
        <v>0.24085474180816</v>
      </c>
      <c r="BG312" s="81" t="n"/>
      <c r="BH312" s="81" t="n"/>
      <c r="BI312" s="81" t="n"/>
      <c r="BJ312" s="81" t="n"/>
      <c r="BL312" s="81" t="n"/>
      <c r="BM312" s="81" t="n"/>
      <c r="BN312" s="81" t="n"/>
      <c r="BO312" s="81" t="n"/>
      <c r="BQ312" s="81" t="n"/>
      <c r="BR312" s="81" t="n"/>
      <c r="BS312" s="81" t="n"/>
      <c r="BT312" s="81" t="n"/>
      <c r="BV312" s="81" t="n"/>
      <c r="BW312" s="81" t="n"/>
      <c r="BX312" s="81" t="n"/>
      <c r="BY312" s="81" t="n"/>
      <c r="CA312" s="81" t="n"/>
      <c r="CB312" s="81" t="n"/>
      <c r="CC312" s="81" t="n"/>
      <c r="CD312" s="81" t="n"/>
      <c r="CF312" s="81" t="n"/>
      <c r="CG312" s="81" t="n"/>
      <c r="CH312" s="81" t="n"/>
      <c r="CI312" s="81" t="n"/>
      <c r="CK312" s="81" t="n"/>
      <c r="CL312" s="81" t="n"/>
      <c r="CM312" s="81" t="n"/>
      <c r="CN312" s="81" t="n"/>
      <c r="CP312" s="81" t="n"/>
      <c r="CQ312" s="81" t="n"/>
      <c r="CR312" s="81" t="n"/>
      <c r="CS312" s="81" t="n"/>
      <c r="CU312" s="81" t="n"/>
      <c r="CV312" s="81" t="n"/>
      <c r="CW312" s="81" t="n"/>
      <c r="CX312" s="81" t="n"/>
    </row>
    <row r="313" customFormat="1" s="77">
      <c r="A313" s="76" t="n"/>
      <c r="B313" s="76" t="n"/>
      <c r="C313" s="77" t="inlineStr">
        <is>
          <t>ETR</t>
        </is>
      </c>
      <c r="D313" s="78" t="str">
        <f>IFERROR(-D119/D118,"")</f>
        <v/>
      </c>
      <c r="E313" s="78" t="str">
        <f>IFERROR(-E119/E118,"")</f>
        <v/>
      </c>
      <c r="F313" s="78" t="str">
        <f>IFERROR(-F119/F118,"")</f>
        <v/>
      </c>
      <c r="G313" s="78" t="str">
        <f>IFERROR(-G119/G118,"")</f>
        <v/>
      </c>
      <c r="H313" s="258" t="str">
        <f>IFERROR(IF(N(H118)&lt;&gt;0,-H119/H118,""),"")</f>
        <v/>
      </c>
      <c r="I313" s="257">
        <f>IFERROR(IF(N(I118)&lt;&gt;0,-I119/I118,""),"")</f>
        <v>0.189017951425554</v>
      </c>
      <c r="J313" s="257">
        <f>IFERROR(IF(N(J118)&lt;&gt;0,-J119/J118,""),"")</f>
        <v>0.887096774193548</v>
      </c>
      <c r="K313" s="257">
        <f>IFERROR(IF(N(K118)&lt;&gt;0,-K119/K118,""),"")</f>
        <v>0.217444717444717</v>
      </c>
      <c r="L313" s="257">
        <f>IFERROR(IF(N(L118)&lt;&gt;0,-L119/L118,""),"")</f>
        <v>0.73125</v>
      </c>
      <c r="M313" s="258">
        <f>IFERROR(IF(N(M118)&lt;&gt;0,-M119/M118,""),"")</f>
        <v>1.49006622516556</v>
      </c>
      <c r="N313" s="257">
        <f>IFERROR(IF(N(N118)&lt;&gt;0,-N119/N118,""),"")</f>
        <v>-0.868852459016393</v>
      </c>
      <c r="O313" s="257">
        <f>IFERROR(IF(N(O118)&lt;&gt;0,-O119/O118,""),"")</f>
        <v>0.748858447488584</v>
      </c>
      <c r="P313" s="257">
        <f>IFERROR(IF(N(P118)&lt;&gt;0,-P119/P118,""),"")</f>
        <v>0.394230769230769</v>
      </c>
      <c r="Q313" s="257">
        <f>IFERROR(IF(N(Q118)&lt;&gt;0,-Q119/Q118,""),"")</f>
        <v>0.789115646258503</v>
      </c>
      <c r="R313" s="258">
        <f>IFERROR(IF(N(R118)&lt;&gt;0,-R119/R118,""),"")</f>
        <v>0.715867158671587</v>
      </c>
      <c r="S313" s="257">
        <f>IFERROR(IF(N(S118)&lt;&gt;0,-S119/S118,""),"")</f>
        <v>0.550420168067227</v>
      </c>
      <c r="T313" s="257">
        <f>IFERROR(IF(N(T118)&lt;&gt;0,-T119/T118,""),"")</f>
        <v>0.292058070025619</v>
      </c>
      <c r="U313" s="257">
        <f>IFERROR(IF(N(U118)&lt;&gt;0,-U119/U118,""),"")</f>
        <v>0.229050279329609</v>
      </c>
      <c r="V313" s="257">
        <f>IFERROR(IF(N(V118)&lt;&gt;0,-V119/V118,""),"")</f>
        <v>1.27272727272727</v>
      </c>
      <c r="W313" s="258">
        <f>IFERROR(IF(N(W118)&lt;&gt;0,-W119/W118,""),"")</f>
        <v>0.351450756027789</v>
      </c>
      <c r="X313" s="257">
        <f>IFERROR(IF(N(X118)&lt;&gt;0,-X119/X118,""),"")</f>
        <v>0.157442748091603</v>
      </c>
      <c r="Y313" s="257">
        <f>IFERROR(IF(N(Y118)&lt;&gt;0,-Y119/Y118,""),"")</f>
        <v>0.159751037344398</v>
      </c>
      <c r="Z313" s="257">
        <f>IFERROR(IF(N(Z118)&lt;&gt;0,-Z119/Z118,""),"")</f>
        <v>0.272948328267477</v>
      </c>
      <c r="AA313" s="257">
        <f>IFERROR(IF(N(AA118)&lt;&gt;0,-AA119/AA118,""),"")</f>
        <v>0.0069848661233993</v>
      </c>
      <c r="AB313" s="258">
        <f>IFERROR(IF(N(AB118)&lt;&gt;0,-AB119/AB118,""),"")</f>
        <v>0.171390611160319</v>
      </c>
      <c r="AC313" s="257">
        <f>IFERROR(IF(N(AC118)&lt;&gt;0,-AC119/AC118,""),"")</f>
        <v>0.145695364238411</v>
      </c>
      <c r="AD313" s="257">
        <f>IFERROR(IF(N(AD118)&lt;&gt;0,-AD119/AD118,""),"")</f>
        <v>0.345640219952867</v>
      </c>
      <c r="AE313" s="257">
        <f>IFERROR(IF(N(AE118)&lt;&gt;0,-AE119/AE118,""),"")</f>
        <v>0.33405017921147</v>
      </c>
      <c r="AF313" s="257">
        <f>IFERROR(IF(N(AF118)&lt;&gt;0,-AF119/AF118,""),"")</f>
        <v>0.374277456647399</v>
      </c>
      <c r="AG313" s="258">
        <f>IFERROR(IF(N(AG118)&lt;&gt;0,-AG119/AG118,""),"")</f>
        <v>0.338080318997437</v>
      </c>
      <c r="AH313" s="257">
        <f>IFERROR(IF(N(AH118)&lt;&gt;0,-AH119/AH118,""),"")</f>
        <v>0.249411764705882</v>
      </c>
      <c r="AI313" s="257">
        <f>IFERROR(IF(N(AI118)&lt;&gt;0,-AI119/AI118,""),"")</f>
        <v>0.442222222222222</v>
      </c>
      <c r="AJ313" s="257">
        <f>IFERROR(IF(N(AJ118)&lt;&gt;0,-AJ119/AJ118,""),"")</f>
        <v>0.315216201163042</v>
      </c>
      <c r="AK313" s="257">
        <f>IFERROR(IF(N(AK118)&lt;&gt;0,-AK119/AK118,""),"")</f>
        <v>0.315216201163042</v>
      </c>
      <c r="AL313" s="258">
        <f>IFERROR(IF(N(AL118)&lt;&gt;0,-AL119/AL118,""),"")</f>
        <v>0.310599793456878</v>
      </c>
      <c r="AM313" s="257">
        <f>IFERROR(IF(N(AM118)&lt;&gt;0,-AM119/AM118,""),"")</f>
        <v>0.315216201163042</v>
      </c>
      <c r="AN313" s="257">
        <f>IFERROR(IF(N(AN118)&lt;&gt;0,-AN119/AN118,""),"")</f>
        <v>0.315216201163042</v>
      </c>
      <c r="AO313" s="257">
        <f>IFERROR(IF(N(AO118)&lt;&gt;0,-AO119/AO118,""),"")</f>
        <v>0.315216201163042</v>
      </c>
      <c r="AP313" s="257">
        <f>IFERROR(IF(N(AP118)&lt;&gt;0,-AP119/AP118,""),"")</f>
        <v>0.315216201163042</v>
      </c>
      <c r="AQ313" s="258">
        <f>IFERROR(IF(N(AQ118)&lt;&gt;0,-AQ119/AQ118,""),"")</f>
        <v>0.315216201163042</v>
      </c>
      <c r="AR313" s="257">
        <f>IFERROR(IF(N(AR118)&lt;&gt;0,-AR119/AR118,""),"")</f>
        <v>0.315216201163042</v>
      </c>
      <c r="AS313" s="257">
        <f>IFERROR(IF(N(AS118)&lt;&gt;0,-AS119/AS118,""),"")</f>
        <v>0.315216201163042</v>
      </c>
      <c r="AT313" s="257">
        <f>IFERROR(IF(N(AT118)&lt;&gt;0,-AT119/AT118,""),"")</f>
        <v>0.315216201163042</v>
      </c>
      <c r="AU313" s="257">
        <f>IFERROR(IF(N(AU118)&lt;&gt;0,-AU119/AU118,""),"")</f>
        <v>0.315216201163042</v>
      </c>
      <c r="AV313" s="258">
        <f>IFERROR(IF(N(AV118)&lt;&gt;0,-AV119/AV118,""),"")</f>
        <v>0.315216201163042</v>
      </c>
      <c r="AW313" s="257">
        <f>IFERROR(IF(N(AW118)&lt;&gt;0,-AW119/AW118,""),"")</f>
        <v>0.315216201163042</v>
      </c>
      <c r="AX313" s="257">
        <f>IFERROR(IF(N(AX118)&lt;&gt;0,-AX119/AX118,""),"")</f>
        <v>0.315216201163042</v>
      </c>
      <c r="AY313" s="257">
        <f>IFERROR(IF(N(AY118)&lt;&gt;0,-AY119/AY118,""),"")</f>
        <v>0.315216201163042</v>
      </c>
      <c r="AZ313" s="257">
        <f>IFERROR(IF(N(AZ118)&lt;&gt;0,-AZ119/AZ118,""),"")</f>
        <v>0.315216201163042</v>
      </c>
      <c r="BA313" s="258">
        <f>IFERROR(IF(N(BA118)&lt;&gt;0,-BA119/BA118,""),"")</f>
        <v>0.315216201163042</v>
      </c>
      <c r="BB313" s="257">
        <f>IFERROR(IF(N(BB118)&lt;&gt;0,-BB119/BB118,""),"")</f>
        <v>0.315216201163042</v>
      </c>
      <c r="BC313" s="257">
        <f>IFERROR(IF(N(BC118)&lt;&gt;0,-BC119/BC118,""),"")</f>
        <v>0.315216201163042</v>
      </c>
      <c r="BD313" s="257">
        <f>IFERROR(IF(N(BD118)&lt;&gt;0,-BD119/BD118,""),"")</f>
        <v>0.315216201163042</v>
      </c>
      <c r="BE313" s="257">
        <f>IFERROR(IF(N(BE118)&lt;&gt;0,-BE119/BE118,""),"")</f>
        <v>0.315216201163042</v>
      </c>
      <c r="BF313" s="258">
        <f>IFERROR(IF(N(BF118)&lt;&gt;0,-BF119/BF118,""),"")</f>
        <v>0.315216201163042</v>
      </c>
      <c r="BG313" s="81" t="n"/>
      <c r="BH313" s="81" t="n"/>
      <c r="BI313" s="81" t="n"/>
      <c r="BJ313" s="81" t="n"/>
      <c r="BL313" s="81" t="n"/>
      <c r="BM313" s="81" t="n"/>
      <c r="BN313" s="81" t="n"/>
      <c r="BO313" s="81" t="n"/>
      <c r="BQ313" s="81" t="n"/>
      <c r="BR313" s="81" t="n"/>
      <c r="BS313" s="81" t="n"/>
      <c r="BT313" s="81" t="n"/>
      <c r="BV313" s="81" t="n"/>
      <c r="BW313" s="81" t="n"/>
      <c r="BX313" s="81" t="n"/>
      <c r="BY313" s="81" t="n"/>
      <c r="CA313" s="81" t="n"/>
      <c r="CB313" s="81" t="n"/>
      <c r="CC313" s="81" t="n"/>
      <c r="CD313" s="81" t="n"/>
      <c r="CF313" s="81" t="n"/>
      <c r="CG313" s="81" t="n"/>
      <c r="CH313" s="81" t="n"/>
      <c r="CI313" s="81" t="n"/>
      <c r="CK313" s="81" t="n"/>
      <c r="CL313" s="81" t="n"/>
      <c r="CM313" s="81" t="n"/>
      <c r="CN313" s="81" t="n"/>
      <c r="CP313" s="81" t="n"/>
      <c r="CQ313" s="81" t="n"/>
      <c r="CR313" s="81" t="n"/>
      <c r="CS313" s="81" t="n"/>
      <c r="CU313" s="81" t="n"/>
      <c r="CV313" s="81" t="n"/>
      <c r="CW313" s="81" t="n"/>
      <c r="CX313" s="81" t="n"/>
    </row>
    <row r="314" customFormat="1" s="77">
      <c r="A314" s="76" t="n"/>
      <c r="B314" s="76" t="n"/>
    </row>
    <row r="315" customFormat="1" s="77">
      <c r="A315" s="76" t="n"/>
      <c r="B315" s="76" t="n"/>
      <c r="C315" s="74" t="inlineStr">
        <is>
          <t>CAPITAL STRUCTURE</t>
        </is>
      </c>
    </row>
    <row r="316" customFormat="1" s="77">
      <c r="A316" s="76" t="n"/>
      <c r="B316" s="76" t="n"/>
      <c r="C316" s="77" t="inlineStr">
        <is>
          <t>TOTAL DEBT / EQUITY (BOOK VALUE)</t>
        </is>
      </c>
      <c r="H316" s="262" t="str">
        <f>IFERROR(IF(N(H259)&lt;&gt;0,(N(H200)+N(H201)+N(H202)+N(H205)+N(H223)+N(H226))/H259,""),"")</f>
        <v/>
      </c>
      <c r="I316" s="262" t="str">
        <f>IFERROR(IF(N(I259)&lt;&gt;0,(N(I200)+N(I201)+N(I202)+N(I205)+N(I223)+N(I226))/I259,""),"")</f>
        <v/>
      </c>
      <c r="J316" s="262" t="str">
        <f>IFERROR(IF(N(J259)&lt;&gt;0,(N(J200)+N(J201)+N(J202)+N(J205)+N(J223)+N(J226))/J259,""),"")</f>
        <v/>
      </c>
      <c r="K316" s="262" t="str">
        <f>IFERROR(IF(N(K259)&lt;&gt;0,(N(K200)+N(K201)+N(K202)+N(K205)+N(K223)+N(K226))/K259,""),"")</f>
        <v/>
      </c>
      <c r="L316" s="262">
        <f>IFERROR(IF(N(L259)&lt;&gt;0,(N(L200)+N(L201)+N(L202)+N(L205)+N(L223)+N(L226))/L259,""),"")</f>
        <v>0.678233166867574</v>
      </c>
      <c r="M316" s="262">
        <f>IFERROR(IF(N(M259)&lt;&gt;0,(N(M200)+N(M201)+N(M202)+N(M205)+N(M223)+N(M226))/M259,""),"")</f>
        <v>0.678233166867574</v>
      </c>
      <c r="N316" s="262">
        <f>IFERROR(IF(N(N259)&lt;&gt;0,(N(N200)+N(N201)+N(N202)+N(N205)+N(N223)+N(N226))/N259,""),"")</f>
        <v>0.505780095610604</v>
      </c>
      <c r="O316" s="262">
        <f>IFERROR(IF(N(O259)&lt;&gt;0,(N(O200)+N(O201)+N(O202)+N(O205)+N(O223)+N(O226))/O259,""),"")</f>
        <v>0.42944946878567</v>
      </c>
      <c r="P316" s="262">
        <f>IFERROR(IF(N(P259)&lt;&gt;0,(N(P200)+N(P201)+N(P202)+N(P205)+N(P223)+N(P226))/P259,""),"")</f>
        <v>0.479362521264213</v>
      </c>
      <c r="Q316" s="262">
        <f>IFERROR(IF(N(Q259)&lt;&gt;0,(N(Q200)+N(Q201)+N(Q202)+N(Q205)+N(Q223)+N(Q226))/Q259,""),"")</f>
        <v>0.507210692930004</v>
      </c>
      <c r="R316" s="262">
        <f>IFERROR(IF(N(R259)&lt;&gt;0,(N(R200)+N(R201)+N(R202)+N(R205)+N(R223)+N(R226))/R259,""),"")</f>
        <v>0.507210692930004</v>
      </c>
      <c r="S316" s="262">
        <f>IFERROR(IF(N(S259)&lt;&gt;0,(N(S200)+N(S201)+N(S202)+N(S205)+N(S223)+N(S226))/S259,""),"")</f>
        <v>0.59796139274761</v>
      </c>
      <c r="T316" s="262">
        <f>IFERROR(IF(N(T259)&lt;&gt;0,(N(T200)+N(T201)+N(T202)+N(T205)+N(T223)+N(T226))/T259,""),"")</f>
        <v>0.620134343782294</v>
      </c>
      <c r="U316" s="262">
        <f>IFERROR(IF(N(U259)&lt;&gt;0,(N(U200)+N(U201)+N(U202)+N(U205)+N(U223)+N(U226))/U259,""),"")</f>
        <v>0.679583333333333</v>
      </c>
      <c r="V316" s="262">
        <f>IFERROR(IF(N(V259)&lt;&gt;0,(N(V200)+N(V201)+N(V202)+N(V205)+N(V223)+N(V226))/V259,""),"")</f>
        <v>0.820574162679426</v>
      </c>
      <c r="W316" s="262">
        <f>IFERROR(IF(N(W259)&lt;&gt;0,(N(W200)+N(W201)+N(W202)+N(W205)+N(W223)+N(W226))/W259,""),"")</f>
        <v>0.820574162679426</v>
      </c>
      <c r="X316" s="262">
        <f>IFERROR(IF(N(X259)&lt;&gt;0,(N(X200)+N(X201)+N(X202)+N(X205)+N(X223)+N(X226))/X259,""),"")</f>
        <v>0.863581314878893</v>
      </c>
      <c r="Y316" s="262">
        <f>IFERROR(IF(N(Y259)&lt;&gt;0,(N(Y200)+N(Y201)+N(Y202)+N(Y205)+N(Y223)+N(Y226))/Y259,""),"")</f>
        <v>0.774467362702657</v>
      </c>
      <c r="Z316" s="262">
        <f>IFERROR(IF(N(Z259)&lt;&gt;0,(N(Z200)+N(Z201)+N(Z202)+N(Z205)+N(Z223)+N(Z226))/Z259,""),"")</f>
        <v>0.650027045823352</v>
      </c>
      <c r="AA316" s="262">
        <f>IFERROR(IF(N(AA259)&lt;&gt;0,(N(AA200)+N(AA201)+N(AA202)+N(AA205)+N(AA223)+N(AA226))/AA259,""),"")</f>
        <v>0.62131619765123</v>
      </c>
      <c r="AB316" s="262">
        <f>IFERROR(IF(N(AB259)&lt;&gt;0,(N(AB200)+N(AB201)+N(AB202)+N(AB205)+N(AB223)+N(AB226))/AB259,""),"")</f>
        <v>0.62131619765123</v>
      </c>
      <c r="AC316" s="262">
        <f>IFERROR(IF(N(AC259)&lt;&gt;0,(N(AC200)+N(AC201)+N(AC202)+N(AC205)+N(AC223)+N(AC226))/AC259,""),"")</f>
        <v>0.626818659067047</v>
      </c>
      <c r="AD316" s="262">
        <f>IFERROR(IF(N(AD259)&lt;&gt;0,(N(AD200)+N(AD201)+N(AD202)+N(AD205)+N(AD223)+N(AD226))/AD259,""),"")</f>
        <v>0.602115482141563</v>
      </c>
      <c r="AE316" s="262">
        <f>IFERROR(IF(N(AE259)&lt;&gt;0,(N(AE200)+N(AE201)+N(AE202)+N(AE205)+N(AE223)+N(AE226))/AE259,""),"")</f>
        <v>0.615096651238769</v>
      </c>
      <c r="AF316" s="262">
        <f>IFERROR(IF(N(AF259)&lt;&gt;0,(N(AF200)+N(AF201)+N(AF202)+N(AF205)+N(AF223)+N(AF226))/AF259,""),"")</f>
        <v>0.605399582575911</v>
      </c>
      <c r="AG316" s="262">
        <f>IFERROR(IF(N(AG259)&lt;&gt;0,(N(AG200)+N(AG201)+N(AG202)+N(AG205)+N(AG223)+N(AG226))/AG259,""),"")</f>
        <v>0.605399582575911</v>
      </c>
      <c r="AH316" s="262">
        <f>IFERROR(IF(N(AH259)&lt;&gt;0,(N(AH200)+N(AH201)+N(AH202)+N(AH205)+N(AH223)+N(AH226))/AH259,""),"")</f>
        <v>0.66428149024246</v>
      </c>
      <c r="AI316" s="262">
        <f>IFERROR(IF(N(AI259)&lt;&gt;0,(N(AI200)+N(AI201)+N(AI202)+N(AI205)+N(AI223)+N(AI226))/AI259,""),"")</f>
        <v>0.764185384567787</v>
      </c>
      <c r="AJ316" s="262">
        <f>IFERROR(IF(N(AJ259)&lt;&gt;0,(N(AJ200)+N(AJ201)+N(AJ202)+N(AJ205)+N(AJ223)+N(AJ226))/AJ259,""),"")</f>
        <v>0.743676676131294</v>
      </c>
      <c r="AK316" s="262">
        <f>IFERROR(IF(N(AK259)&lt;&gt;0,(N(AK200)+N(AK201)+N(AK202)+N(AK205)+N(AK223)+N(AK226))/AK259,""),"")</f>
        <v>0.725671835994173</v>
      </c>
      <c r="AL316" s="262">
        <f>IFERROR(IF(N(AL259)&lt;&gt;0,(N(AL200)+N(AL201)+N(AL202)+N(AL205)+N(AL223)+N(AL226))/AL259,""),"")</f>
        <v>0.725671835994173</v>
      </c>
      <c r="AM316" s="262">
        <f>IFERROR(IF(N(AM259)&lt;&gt;0,(N(AM200)+N(AM201)+N(AM202)+N(AM205)+N(AM223)+N(AM226))/AM259,""),"")</f>
        <v>0.694867271815075</v>
      </c>
      <c r="AN316" s="262">
        <f>IFERROR(IF(N(AN259)&lt;&gt;0,(N(AN200)+N(AN201)+N(AN202)+N(AN205)+N(AN223)+N(AN226))/AN259,""),"")</f>
        <v>0.675519860814712</v>
      </c>
      <c r="AO316" s="262">
        <f>IFERROR(IF(N(AO259)&lt;&gt;0,(N(AO200)+N(AO201)+N(AO202)+N(AO205)+N(AO223)+N(AO226))/AO259,""),"")</f>
        <v>0.656278413940867</v>
      </c>
      <c r="AP316" s="262">
        <f>IFERROR(IF(N(AP259)&lt;&gt;0,(N(AP200)+N(AP201)+N(AP202)+N(AP205)+N(AP223)+N(AP226))/AP259,""),"")</f>
        <v>0.639439711372629</v>
      </c>
      <c r="AQ316" s="262">
        <f>IFERROR(IF(N(AQ259)&lt;&gt;0,(N(AQ200)+N(AQ201)+N(AQ202)+N(AQ205)+N(AQ223)+N(AQ226))/AQ259,""),"")</f>
        <v>0.639439711372629</v>
      </c>
      <c r="AR316" s="262">
        <f>IFERROR(IF(N(AR259)&lt;&gt;0,(N(AR200)+N(AR201)+N(AR202)+N(AR205)+N(AR223)+N(AR226))/AR259,""),"")</f>
        <v>0.610859799343656</v>
      </c>
      <c r="AS316" s="262">
        <f>IFERROR(IF(N(AS259)&lt;&gt;0,(N(AS200)+N(AS201)+N(AS202)+N(AS205)+N(AS223)+N(AS226))/AS259,""),"")</f>
        <v>0.592978056672622</v>
      </c>
      <c r="AT316" s="262">
        <f>IFERROR(IF(N(AT259)&lt;&gt;0,(N(AT200)+N(AT201)+N(AT202)+N(AT205)+N(AT223)+N(AT226))/AT259,""),"")</f>
        <v>0.575246340709894</v>
      </c>
      <c r="AU316" s="262">
        <f>IFERROR(IF(N(AU259)&lt;&gt;0,(N(AU200)+N(AU201)+N(AU202)+N(AU205)+N(AU223)+N(AU226))/AU259,""),"")</f>
        <v>0.559771286502073</v>
      </c>
      <c r="AV316" s="262">
        <f>IFERROR(IF(N(AV259)&lt;&gt;0,(N(AV200)+N(AV201)+N(AV202)+N(AV205)+N(AV223)+N(AV226))/AV259,""),"")</f>
        <v>0.559771286502073</v>
      </c>
      <c r="AW316" s="262">
        <f>IFERROR(IF(N(AW259)&lt;&gt;0,(N(AW200)+N(AW201)+N(AW202)+N(AW205)+N(AW223)+N(AW226))/AW259,""),"")</f>
        <v>0.533700282977727</v>
      </c>
      <c r="AX316" s="262">
        <f>IFERROR(IF(N(AX259)&lt;&gt;0,(N(AX200)+N(AX201)+N(AX202)+N(AX205)+N(AX223)+N(AX226))/AX259,""),"")</f>
        <v>0.517440400590753</v>
      </c>
      <c r="AY316" s="262">
        <f>IFERROR(IF(N(AY259)&lt;&gt;0,(N(AY200)+N(AY201)+N(AY202)+N(AY205)+N(AY223)+N(AY226))/AY259,""),"")</f>
        <v>0.501356362135426</v>
      </c>
      <c r="AZ316" s="262">
        <f>IFERROR(IF(N(AZ259)&lt;&gt;0,(N(AZ200)+N(AZ201)+N(AZ202)+N(AZ205)+N(AZ223)+N(AZ226))/AZ259,""),"")</f>
        <v>0.487351260024225</v>
      </c>
      <c r="BA316" s="262">
        <f>IFERROR(IF(N(BA259)&lt;&gt;0,(N(BA200)+N(BA201)+N(BA202)+N(BA205)+N(BA223)+N(BA226))/BA259,""),"")</f>
        <v>0.487351260024225</v>
      </c>
      <c r="BB316" s="262">
        <f>IFERROR(IF(N(BB259)&lt;&gt;0,(N(BB200)+N(BB201)+N(BB202)+N(BB205)+N(BB223)+N(BB226))/BB259,""),"")</f>
        <v>0.463917702410341</v>
      </c>
      <c r="BC316" s="262">
        <f>IFERROR(IF(N(BC259)&lt;&gt;0,(N(BC200)+N(BC201)+N(BC202)+N(BC205)+N(BC223)+N(BC226))/BC259,""),"")</f>
        <v>0.449340257848199</v>
      </c>
      <c r="BD316" s="262">
        <f>IFERROR(IF(N(BD259)&lt;&gt;0,(N(BD200)+N(BD201)+N(BD202)+N(BD205)+N(BD223)+N(BD226))/BD259,""),"")</f>
        <v>0.43494872281989</v>
      </c>
      <c r="BE316" s="262">
        <f>IFERROR(IF(N(BE259)&lt;&gt;0,(N(BE200)+N(BE201)+N(BE202)+N(BE205)+N(BE223)+N(BE226))/BE259,""),"")</f>
        <v>0.422440188215258</v>
      </c>
      <c r="BF316" s="262">
        <f>IFERROR(IF(N(BF259)&lt;&gt;0,(N(BF200)+N(BF201)+N(BF202)+N(BF205)+N(BF223)+N(BF226))/BF259,""),"")</f>
        <v>0.422440188215258</v>
      </c>
    </row>
    <row r="317" customFormat="1" s="77">
      <c r="A317" s="76" t="n"/>
      <c r="B317" s="76" t="n"/>
      <c r="C317" s="77" t="inlineStr">
        <is>
          <t>NET DEBT / (NET DEBT + EQUITY) (BOOK VALUE)</t>
        </is>
      </c>
      <c r="H317" s="258" t="str">
        <f>IFERROR(IF(((N(H200)+N(H201)+N(H202)+N(H205)+N(H223)+N(H226))-N(H132)+N(H259))&lt;&gt;0,((N(H200)+N(H201)+N(H202)+N(H205)+N(H223)+N(H226))-N(H132))/((N(H200)+N(H201)+N(H202)+N(H205)+N(H223)+N(H226))-N(H132)+H259),""),"")</f>
        <v/>
      </c>
      <c r="I317" s="258" t="str">
        <f>IFERROR(IF(((N(I200)+N(I201)+N(I202)+N(I205)+N(I223)+N(I226))-N(I132)+N(I259))&lt;&gt;0,((N(I200)+N(I201)+N(I202)+N(I205)+N(I223)+N(I226))-N(I132))/((N(I200)+N(I201)+N(I202)+N(I205)+N(I223)+N(I226))-N(I132)+I259),""),"")</f>
        <v/>
      </c>
      <c r="J317" s="258" t="str">
        <f>IFERROR(IF(((N(J200)+N(J201)+N(J202)+N(J205)+N(J223)+N(J226))-N(J132)+N(J259))&lt;&gt;0,((N(J200)+N(J201)+N(J202)+N(J205)+N(J223)+N(J226))-N(J132))/((N(J200)+N(J201)+N(J202)+N(J205)+N(J223)+N(J226))-N(J132)+J259),""),"")</f>
        <v/>
      </c>
      <c r="K317" s="258" t="str">
        <f>IFERROR(IF(((N(K200)+N(K201)+N(K202)+N(K205)+N(K223)+N(K226))-N(K132)+N(K259))&lt;&gt;0,((N(K200)+N(K201)+N(K202)+N(K205)+N(K223)+N(K226))-N(K132))/((N(K200)+N(K201)+N(K202)+N(K205)+N(K223)+N(K226))-N(K132)+K259),""),"")</f>
        <v/>
      </c>
      <c r="L317" s="258">
        <f>IFERROR(IF(((N(L200)+N(L201)+N(L202)+N(L205)+N(L223)+N(L226))-N(L132)+N(L259))&lt;&gt;0,((N(L200)+N(L201)+N(L202)+N(L205)+N(L223)+N(L226))-N(L132))/((N(L200)+N(L201)+N(L202)+N(L205)+N(L223)+N(L226))-N(L132)+L259),""),"")</f>
        <v>0.369181467600891</v>
      </c>
      <c r="M317" s="258">
        <f>IFERROR(IF(((N(M200)+N(M201)+N(M202)+N(M205)+N(M223)+N(M226))-N(M132)+N(M259))&lt;&gt;0,((N(M200)+N(M201)+N(M202)+N(M205)+N(M223)+N(M226))-N(M132))/((N(M200)+N(M201)+N(M202)+N(M205)+N(M223)+N(M226))-N(M132)+M259),""),"")</f>
        <v>0.369181467600891</v>
      </c>
      <c r="N317" s="258">
        <f>IFERROR(IF(((N(N200)+N(N201)+N(N202)+N(N205)+N(N223)+N(N226))-N(N132)+N(N259))&lt;&gt;0,((N(N200)+N(N201)+N(N202)+N(N205)+N(N223)+N(N226))-N(N132))/((N(N200)+N(N201)+N(N202)+N(N205)+N(N223)+N(N226))-N(N132)+N259),""),"")</f>
        <v>0.179562147899879</v>
      </c>
      <c r="O317" s="258">
        <f>IFERROR(IF(((N(O200)+N(O201)+N(O202)+N(O205)+N(O223)+N(O226))-N(O132)+N(O259))&lt;&gt;0,((N(O200)+N(O201)+N(O202)+N(O205)+N(O223)+N(O226))-N(O132))/((N(O200)+N(O201)+N(O202)+N(O205)+N(O223)+N(O226))-N(O132)+O259),""),"")</f>
        <v>0.217143249931262</v>
      </c>
      <c r="P317" s="258">
        <f>IFERROR(IF(((N(P200)+N(P201)+N(P202)+N(P205)+N(P223)+N(P226))-N(P132)+N(P259))&lt;&gt;0,((N(P200)+N(P201)+N(P202)+N(P205)+N(P223)+N(P226))-N(P132))/((N(P200)+N(P201)+N(P202)+N(P205)+N(P223)+N(P226))-N(P132)+P259),""),"")</f>
        <v>0.203806672369547</v>
      </c>
      <c r="Q317" s="258">
        <f>IFERROR(IF(((N(Q200)+N(Q201)+N(Q202)+N(Q205)+N(Q223)+N(Q226))-N(Q132)+N(Q259))&lt;&gt;0,((N(Q200)+N(Q201)+N(Q202)+N(Q205)+N(Q223)+N(Q226))-N(Q132))/((N(Q200)+N(Q201)+N(Q202)+N(Q205)+N(Q223)+N(Q226))-N(Q132)+Q259),""),"")</f>
        <v>0.297591105620754</v>
      </c>
      <c r="R317" s="258">
        <f>IFERROR(IF(((N(R200)+N(R201)+N(R202)+N(R205)+N(R223)+N(R226))-N(R132)+N(R259))&lt;&gt;0,((N(R200)+N(R201)+N(R202)+N(R205)+N(R223)+N(R226))-N(R132))/((N(R200)+N(R201)+N(R202)+N(R205)+N(R223)+N(R226))-N(R132)+R259),""),"")</f>
        <v>0.297591105620754</v>
      </c>
      <c r="S317" s="258">
        <f>IFERROR(IF(((N(S200)+N(S201)+N(S202)+N(S205)+N(S223)+N(S226))-N(S132)+N(S259))&lt;&gt;0,((N(S200)+N(S201)+N(S202)+N(S205)+N(S223)+N(S226))-N(S132))/((N(S200)+N(S201)+N(S202)+N(S205)+N(S223)+N(S226))-N(S132)+S259),""),"")</f>
        <v>0.353284330883211</v>
      </c>
      <c r="T317" s="258">
        <f>IFERROR(IF(((N(T200)+N(T201)+N(T202)+N(T205)+N(T223)+N(T226))-N(T132)+N(T259))&lt;&gt;0,((N(T200)+N(T201)+N(T202)+N(T205)+N(T223)+N(T226))-N(T132))/((N(T200)+N(T201)+N(T202)+N(T205)+N(T223)+N(T226))-N(T132)+T259),""),"")</f>
        <v>0.362643394258741</v>
      </c>
      <c r="U317" s="258">
        <f>IFERROR(IF(((N(U200)+N(U201)+N(U202)+N(U205)+N(U223)+N(U226))-N(U132)+N(U259))&lt;&gt;0,((N(U200)+N(U201)+N(U202)+N(U205)+N(U223)+N(U226))-N(U132))/((N(U200)+N(U201)+N(U202)+N(U205)+N(U223)+N(U226))-N(U132)+U259),""),"")</f>
        <v>0.263306525876358</v>
      </c>
      <c r="V317" s="258">
        <f>IFERROR(IF(((N(V200)+N(V201)+N(V202)+N(V205)+N(V223)+N(V226))-N(V132)+N(V259))&lt;&gt;0,((N(V200)+N(V201)+N(V202)+N(V205)+N(V223)+N(V226))-N(V132))/((N(V200)+N(V201)+N(V202)+N(V205)+N(V223)+N(V226))-N(V132)+V259),""),"")</f>
        <v>0.427832699619772</v>
      </c>
      <c r="W317" s="258">
        <f>IFERROR(IF(((N(W200)+N(W201)+N(W202)+N(W205)+N(W223)+N(W226))-N(W132)+N(W259))&lt;&gt;0,((N(W200)+N(W201)+N(W202)+N(W205)+N(W223)+N(W226))-N(W132))/((N(W200)+N(W201)+N(W202)+N(W205)+N(W223)+N(W226))-N(W132)+W259),""),"")</f>
        <v>0.427832699619772</v>
      </c>
      <c r="X317" s="258">
        <f>IFERROR(IF(((N(X200)+N(X201)+N(X202)+N(X205)+N(X223)+N(X226))-N(X132)+N(X259))&lt;&gt;0,((N(X200)+N(X201)+N(X202)+N(X205)+N(X223)+N(X226))-N(X132))/((N(X200)+N(X201)+N(X202)+N(X205)+N(X223)+N(X226))-N(X132)+X259),""),"")</f>
        <v>0.431549960660897</v>
      </c>
      <c r="Y317" s="258">
        <f>IFERROR(IF(((N(Y200)+N(Y201)+N(Y202)+N(Y205)+N(Y223)+N(Y226))-N(Y132)+N(Y259))&lt;&gt;0,((N(Y200)+N(Y201)+N(Y202)+N(Y205)+N(Y223)+N(Y226))-N(Y132))/((N(Y200)+N(Y201)+N(Y202)+N(Y205)+N(Y223)+N(Y226))-N(Y132)+Y259),""),"")</f>
        <v>0.417099599228143</v>
      </c>
      <c r="Z317" s="258">
        <f>IFERROR(IF(((N(Z200)+N(Z201)+N(Z202)+N(Z205)+N(Z223)+N(Z226))-N(Z132)+N(Z259))&lt;&gt;0,((N(Z200)+N(Z201)+N(Z202)+N(Z205)+N(Z223)+N(Z226))-N(Z132))/((N(Z200)+N(Z201)+N(Z202)+N(Z205)+N(Z223)+N(Z226))-N(Z132)+Z259),""),"")</f>
        <v>0.267960176490553</v>
      </c>
      <c r="AA317" s="258">
        <f>IFERROR(IF(((N(AA200)+N(AA201)+N(AA202)+N(AA205)+N(AA223)+N(AA226))-N(AA132)+N(AA259))&lt;&gt;0,((N(AA200)+N(AA201)+N(AA202)+N(AA205)+N(AA223)+N(AA226))-N(AA132))/((N(AA200)+N(AA201)+N(AA202)+N(AA205)+N(AA223)+N(AA226))-N(AA132)+AA259),""),"")</f>
        <v>0.143101265822785</v>
      </c>
      <c r="AB317" s="258">
        <f>IFERROR(IF(((N(AB200)+N(AB201)+N(AB202)+N(AB205)+N(AB223)+N(AB226))-N(AB132)+N(AB259))&lt;&gt;0,((N(AB200)+N(AB201)+N(AB202)+N(AB205)+N(AB223)+N(AB226))-N(AB132))/((N(AB200)+N(AB201)+N(AB202)+N(AB205)+N(AB223)+N(AB226))-N(AB132)+AB259),""),"")</f>
        <v>0.143101265822785</v>
      </c>
      <c r="AC317" s="258">
        <f>IFERROR(IF(((N(AC200)+N(AC201)+N(AC202)+N(AC205)+N(AC223)+N(AC226))-N(AC132)+N(AC259))&lt;&gt;0,((N(AC200)+N(AC201)+N(AC202)+N(AC205)+N(AC223)+N(AC226))-N(AC132))/((N(AC200)+N(AC201)+N(AC202)+N(AC205)+N(AC223)+N(AC226))-N(AC132)+AC259),""),"")</f>
        <v>0.255250223413762</v>
      </c>
      <c r="AD317" s="258">
        <f>IFERROR(IF(((N(AD200)+N(AD201)+N(AD202)+N(AD205)+N(AD223)+N(AD226))-N(AD132)+N(AD259))&lt;&gt;0,((N(AD200)+N(AD201)+N(AD202)+N(AD205)+N(AD223)+N(AD226))-N(AD132))/((N(AD200)+N(AD201)+N(AD202)+N(AD205)+N(AD223)+N(AD226))-N(AD132)+AD259),""),"")</f>
        <v>0.236475273813475</v>
      </c>
      <c r="AE317" s="258">
        <f>IFERROR(IF(((N(AE200)+N(AE201)+N(AE202)+N(AE205)+N(AE223)+N(AE226))-N(AE132)+N(AE259))&lt;&gt;0,((N(AE200)+N(AE201)+N(AE202)+N(AE205)+N(AE223)+N(AE226))-N(AE132))/((N(AE200)+N(AE201)+N(AE202)+N(AE205)+N(AE223)+N(AE226))-N(AE132)+AE259),""),"")</f>
        <v>0.0629504432680656</v>
      </c>
      <c r="AF317" s="258">
        <f>IFERROR(IF(((N(AF200)+N(AF201)+N(AF202)+N(AF205)+N(AF223)+N(AF226))-N(AF132)+N(AF259))&lt;&gt;0,((N(AF200)+N(AF201)+N(AF202)+N(AF205)+N(AF223)+N(AF226))-N(AF132))/((N(AF200)+N(AF201)+N(AF202)+N(AF205)+N(AF223)+N(AF226))-N(AF132)+AF259),""),"")</f>
        <v>0.0974112785610112</v>
      </c>
      <c r="AG317" s="258">
        <f>IFERROR(IF(((N(AG200)+N(AG201)+N(AG202)+N(AG205)+N(AG223)+N(AG226))-N(AG132)+N(AG259))&lt;&gt;0,((N(AG200)+N(AG201)+N(AG202)+N(AG205)+N(AG223)+N(AG226))-N(AG132))/((N(AG200)+N(AG201)+N(AG202)+N(AG205)+N(AG223)+N(AG226))-N(AG132)+AG259),""),"")</f>
        <v>0.0974112785610112</v>
      </c>
      <c r="AH317" s="258">
        <f>IFERROR(IF(((N(AH200)+N(AH201)+N(AH202)+N(AH205)+N(AH223)+N(AH226))-N(AH132)+N(AH259))&lt;&gt;0,((N(AH200)+N(AH201)+N(AH202)+N(AH205)+N(AH223)+N(AH226))-N(AH132))/((N(AH200)+N(AH201)+N(AH202)+N(AH205)+N(AH223)+N(AH226))-N(AH132)+AH259),""),"")</f>
        <v>0.377335910890178</v>
      </c>
      <c r="AI317" s="258">
        <f>IFERROR(IF(((N(AI200)+N(AI201)+N(AI202)+N(AI205)+N(AI223)+N(AI226))-N(AI132)+N(AI259))&lt;&gt;0,((N(AI200)+N(AI201)+N(AI202)+N(AI205)+N(AI223)+N(AI226))-N(AI132))/((N(AI200)+N(AI201)+N(AI202)+N(AI205)+N(AI223)+N(AI226))-N(AI132)+AI259),""),"")</f>
        <v>0.414965247610773</v>
      </c>
      <c r="AJ317" s="258">
        <f>IFERROR(IF(((N(AJ200)+N(AJ201)+N(AJ202)+N(AJ205)+N(AJ223)+N(AJ226))-N(AJ132)+N(AJ259))&lt;&gt;0,((N(AJ200)+N(AJ201)+N(AJ202)+N(AJ205)+N(AJ223)+N(AJ226))-N(AJ132))/((N(AJ200)+N(AJ201)+N(AJ202)+N(AJ205)+N(AJ223)+N(AJ226))-N(AJ132)+AJ259),""),"")</f>
        <v>0.440363991072338</v>
      </c>
      <c r="AK317" s="258">
        <f>IFERROR(IF(((N(AK200)+N(AK201)+N(AK202)+N(AK205)+N(AK223)+N(AK226))-N(AK132)+N(AK259))&lt;&gt;0,((N(AK200)+N(AK201)+N(AK202)+N(AK205)+N(AK223)+N(AK226))-N(AK132))/((N(AK200)+N(AK201)+N(AK202)+N(AK205)+N(AK223)+N(AK226))-N(AK132)+AK259),""),"")</f>
        <v>0.454078589855532</v>
      </c>
      <c r="AL317" s="258">
        <f>IFERROR(IF(((N(AL200)+N(AL201)+N(AL202)+N(AL205)+N(AL223)+N(AL226))-N(AL132)+N(AL259))&lt;&gt;0,((N(AL200)+N(AL201)+N(AL202)+N(AL205)+N(AL223)+N(AL226))-N(AL132))/((N(AL200)+N(AL201)+N(AL202)+N(AL205)+N(AL223)+N(AL226))-N(AL132)+AL259),""),"")</f>
        <v>0.454078589855532</v>
      </c>
      <c r="AM317" s="258">
        <f>IFERROR(IF(((N(AM200)+N(AM201)+N(AM202)+N(AM205)+N(AM223)+N(AM226))-N(AM132)+N(AM259))&lt;&gt;0,((N(AM200)+N(AM201)+N(AM202)+N(AM205)+N(AM223)+N(AM226))-N(AM132))/((N(AM200)+N(AM201)+N(AM202)+N(AM205)+N(AM223)+N(AM226))-N(AM132)+AM259),""),"")</f>
        <v>0.504432420245318</v>
      </c>
      <c r="AN317" s="258">
        <f>IFERROR(IF(((N(AN200)+N(AN201)+N(AN202)+N(AN205)+N(AN223)+N(AN226))-N(AN132)+N(AN259))&lt;&gt;0,((N(AN200)+N(AN201)+N(AN202)+N(AN205)+N(AN223)+N(AN226))-N(AN132))/((N(AN200)+N(AN201)+N(AN202)+N(AN205)+N(AN223)+N(AN226))-N(AN132)+AN259),""),"")</f>
        <v>0.502183937115471</v>
      </c>
      <c r="AO317" s="258">
        <f>IFERROR(IF(((N(AO200)+N(AO201)+N(AO202)+N(AO205)+N(AO223)+N(AO226))-N(AO132)+N(AO259))&lt;&gt;0,((N(AO200)+N(AO201)+N(AO202)+N(AO205)+N(AO223)+N(AO226))-N(AO132))/((N(AO200)+N(AO201)+N(AO202)+N(AO205)+N(AO223)+N(AO226))-N(AO132)+AO259),""),"")</f>
        <v>0.517200554746223</v>
      </c>
      <c r="AP317" s="258">
        <f>IFERROR(IF(((N(AP200)+N(AP201)+N(AP202)+N(AP205)+N(AP223)+N(AP226))-N(AP132)+N(AP259))&lt;&gt;0,((N(AP200)+N(AP201)+N(AP202)+N(AP205)+N(AP223)+N(AP226))-N(AP132))/((N(AP200)+N(AP201)+N(AP202)+N(AP205)+N(AP223)+N(AP226))-N(AP132)+AP259),""),"")</f>
        <v>0.526409789114016</v>
      </c>
      <c r="AQ317" s="258">
        <f>IFERROR(IF(((N(AQ200)+N(AQ201)+N(AQ202)+N(AQ205)+N(AQ223)+N(AQ226))-N(AQ132)+N(AQ259))&lt;&gt;0,((N(AQ200)+N(AQ201)+N(AQ202)+N(AQ205)+N(AQ223)+N(AQ226))-N(AQ132))/((N(AQ200)+N(AQ201)+N(AQ202)+N(AQ205)+N(AQ223)+N(AQ226))-N(AQ132)+AQ259),""),"")</f>
        <v>0.526409789114016</v>
      </c>
      <c r="AR317" s="258">
        <f>IFERROR(IF(((N(AR200)+N(AR201)+N(AR202)+N(AR205)+N(AR223)+N(AR226))-N(AR132)+N(AR259))&lt;&gt;0,((N(AR200)+N(AR201)+N(AR202)+N(AR205)+N(AR223)+N(AR226))-N(AR132))/((N(AR200)+N(AR201)+N(AR202)+N(AR205)+N(AR223)+N(AR226))-N(AR132)+AR259),""),"")</f>
        <v>0.563738973198205</v>
      </c>
      <c r="AS317" s="258">
        <f>IFERROR(IF(((N(AS200)+N(AS201)+N(AS202)+N(AS205)+N(AS223)+N(AS226))-N(AS132)+N(AS259))&lt;&gt;0,((N(AS200)+N(AS201)+N(AS202)+N(AS205)+N(AS223)+N(AS226))-N(AS132))/((N(AS200)+N(AS201)+N(AS202)+N(AS205)+N(AS223)+N(AS226))-N(AS132)+AS259),""),"")</f>
        <v>0.56079549619124</v>
      </c>
      <c r="AT317" s="258">
        <f>IFERROR(IF(((N(AT200)+N(AT201)+N(AT202)+N(AT205)+N(AT223)+N(AT226))-N(AT132)+N(AT259))&lt;&gt;0,((N(AT200)+N(AT201)+N(AT202)+N(AT205)+N(AT223)+N(AT226))-N(AT132))/((N(AT200)+N(AT201)+N(AT202)+N(AT205)+N(AT223)+N(AT226))-N(AT132)+AT259),""),"")</f>
        <v>0.571627953241422</v>
      </c>
      <c r="AU317" s="258">
        <f>IFERROR(IF(((N(AU200)+N(AU201)+N(AU202)+N(AU205)+N(AU223)+N(AU226))-N(AU132)+N(AU259))&lt;&gt;0,((N(AU200)+N(AU201)+N(AU202)+N(AU205)+N(AU223)+N(AU226))-N(AU132))/((N(AU200)+N(AU201)+N(AU202)+N(AU205)+N(AU223)+N(AU226))-N(AU132)+AU259),""),"")</f>
        <v>0.577982303016462</v>
      </c>
      <c r="AV317" s="258">
        <f>IFERROR(IF(((N(AV200)+N(AV201)+N(AV202)+N(AV205)+N(AV223)+N(AV226))-N(AV132)+N(AV259))&lt;&gt;0,((N(AV200)+N(AV201)+N(AV202)+N(AV205)+N(AV223)+N(AV226))-N(AV132))/((N(AV200)+N(AV201)+N(AV202)+N(AV205)+N(AV223)+N(AV226))-N(AV132)+AV259),""),"")</f>
        <v>0.577982303016462</v>
      </c>
      <c r="AW317" s="258">
        <f>IFERROR(IF(((N(AW200)+N(AW201)+N(AW202)+N(AW205)+N(AW223)+N(AW226))-N(AW132)+N(AW259))&lt;&gt;0,((N(AW200)+N(AW201)+N(AW202)+N(AW205)+N(AW223)+N(AW226))-N(AW132))/((N(AW200)+N(AW201)+N(AW202)+N(AW205)+N(AW223)+N(AW226))-N(AW132)+AW259),""),"")</f>
        <v>0.607495872441855</v>
      </c>
      <c r="AX317" s="258">
        <f>IFERROR(IF(((N(AX200)+N(AX201)+N(AX202)+N(AX205)+N(AX223)+N(AX226))-N(AX132)+N(AX259))&lt;&gt;0,((N(AX200)+N(AX201)+N(AX202)+N(AX205)+N(AX223)+N(AX226))-N(AX132))/((N(AX200)+N(AX201)+N(AX202)+N(AX205)+N(AX223)+N(AX226))-N(AX132)+AX259),""),"")</f>
        <v>0.603430856826769</v>
      </c>
      <c r="AY317" s="258">
        <f>IFERROR(IF(((N(AY200)+N(AY201)+N(AY202)+N(AY205)+N(AY223)+N(AY226))-N(AY132)+N(AY259))&lt;&gt;0,((N(AY200)+N(AY201)+N(AY202)+N(AY205)+N(AY223)+N(AY226))-N(AY132))/((N(AY200)+N(AY201)+N(AY202)+N(AY205)+N(AY223)+N(AY226))-N(AY132)+AY259),""),"")</f>
        <v>0.611479864848992</v>
      </c>
      <c r="AZ317" s="258">
        <f>IFERROR(IF(((N(AZ200)+N(AZ201)+N(AZ202)+N(AZ205)+N(AZ223)+N(AZ226))-N(AZ132)+N(AZ259))&lt;&gt;0,((N(AZ200)+N(AZ201)+N(AZ202)+N(AZ205)+N(AZ223)+N(AZ226))-N(AZ132))/((N(AZ200)+N(AZ201)+N(AZ202)+N(AZ205)+N(AZ223)+N(AZ226))-N(AZ132)+AZ259),""),"")</f>
        <v>0.615928116358891</v>
      </c>
      <c r="BA317" s="258">
        <f>IFERROR(IF(((N(BA200)+N(BA201)+N(BA202)+N(BA205)+N(BA223)+N(BA226))-N(BA132)+N(BA259))&lt;&gt;0,((N(BA200)+N(BA201)+N(BA202)+N(BA205)+N(BA223)+N(BA226))-N(BA132))/((N(BA200)+N(BA201)+N(BA202)+N(BA205)+N(BA223)+N(BA226))-N(BA132)+BA259),""),"")</f>
        <v>0.615928116358891</v>
      </c>
      <c r="BB317" s="258">
        <f>IFERROR(IF(((N(BB200)+N(BB201)+N(BB202)+N(BB205)+N(BB223)+N(BB226))-N(BB132)+N(BB259))&lt;&gt;0,((N(BB200)+N(BB201)+N(BB202)+N(BB205)+N(BB223)+N(BB226))-N(BB132))/((N(BB200)+N(BB201)+N(BB202)+N(BB205)+N(BB223)+N(BB226))-N(BB132)+BB259),""),"")</f>
        <v>0.639750770197174</v>
      </c>
      <c r="BC317" s="258">
        <f>IFERROR(IF(((N(BC200)+N(BC201)+N(BC202)+N(BC205)+N(BC223)+N(BC226))-N(BC132)+N(BC259))&lt;&gt;0,((N(BC200)+N(BC201)+N(BC202)+N(BC205)+N(BC223)+N(BC226))-N(BC132))/((N(BC200)+N(BC201)+N(BC202)+N(BC205)+N(BC223)+N(BC226))-N(BC132)+BC259),""),"")</f>
        <v>0.635269847783507</v>
      </c>
      <c r="BD317" s="258">
        <f>IFERROR(IF(((N(BD200)+N(BD201)+N(BD202)+N(BD205)+N(BD223)+N(BD226))-N(BD132)+N(BD259))&lt;&gt;0,((N(BD200)+N(BD201)+N(BD202)+N(BD205)+N(BD223)+N(BD226))-N(BD132))/((N(BD200)+N(BD201)+N(BD202)+N(BD205)+N(BD223)+N(BD226))-N(BD132)+BD259),""),"")</f>
        <v>0.64138820266717</v>
      </c>
      <c r="BE317" s="258">
        <f>IFERROR(IF(((N(BE200)+N(BE201)+N(BE202)+N(BE205)+N(BE223)+N(BE226))-N(BE132)+N(BE259))&lt;&gt;0,((N(BE200)+N(BE201)+N(BE202)+N(BE205)+N(BE223)+N(BE226))-N(BE132))/((N(BE200)+N(BE201)+N(BE202)+N(BE205)+N(BE223)+N(BE226))-N(BE132)+BE259),""),"")</f>
        <v>0.644513577245744</v>
      </c>
      <c r="BF317" s="258">
        <f>IFERROR(IF(((N(BF200)+N(BF201)+N(BF202)+N(BF205)+N(BF223)+N(BF226))-N(BF132)+N(BF259))&lt;&gt;0,((N(BF200)+N(BF201)+N(BF202)+N(BF205)+N(BF223)+N(BF226))-N(BF132))/((N(BF200)+N(BF201)+N(BF202)+N(BF205)+N(BF223)+N(BF226))-N(BF132)+BF259),""),"")</f>
        <v>0.644513577245744</v>
      </c>
    </row>
    <row r="318" customFormat="1" s="77">
      <c r="A318" s="76" t="n"/>
      <c r="B318" s="76" t="n"/>
    </row>
    <row r="319" customFormat="1" s="77">
      <c r="A319" s="76" t="n"/>
      <c r="B319" s="76" t="n"/>
      <c r="C319" s="74" t="inlineStr">
        <is>
          <t>FINANCIAL RISK RATIOS</t>
        </is>
      </c>
    </row>
    <row r="320" customFormat="1" s="77">
      <c r="A320" s="76" t="n"/>
      <c r="B320" s="76" t="n"/>
      <c r="C320" s="77" t="inlineStr">
        <is>
          <t>EBITDA / TOTAL INTEREST (LTM)</t>
        </is>
      </c>
      <c r="D320" s="82" t="str">
        <f>IFERROR(D57/-D62,"")</f>
        <v/>
      </c>
      <c r="E320" s="82" t="str">
        <f>IFERROR(E57/-E62,"")</f>
        <v/>
      </c>
      <c r="F320" s="82" t="str">
        <f>IFERROR(F57/-F62,"")</f>
        <v/>
      </c>
      <c r="G320" s="82" t="str">
        <f>IFERROR(G57/-G62,"")</f>
        <v/>
      </c>
      <c r="H320" s="262" t="str">
        <f>IFERROR(IF(AND(COUNT(H57)=1,(H62)&lt;&gt;0),(H57)/-(H62),""),"")</f>
        <v/>
      </c>
      <c r="I320" s="262" t="str">
        <f>""</f>
        <v/>
      </c>
      <c r="J320" s="262" t="str">
        <f>""</f>
        <v/>
      </c>
      <c r="K320" s="262" t="str">
        <f>""</f>
        <v/>
      </c>
      <c r="L320" s="262">
        <f>IFERROR(IF(AND(COUNT(I57,J57,K57,L57)=4,(I62+J62+K62+L62)&lt;&gt;0),(I57+J57+K57+L57)/-(I62+J62+K62+L62),""),"")</f>
        <v>14.9252669039146</v>
      </c>
      <c r="M320" s="262">
        <f>IFERROR(IF(AND(COUNT(I57,J57,K57,L57)=4,(I62+J62+K62+L62)&lt;&gt;0),(I57+J57+K57+L57)/-(I62+J62+K62+L62),""),"")</f>
        <v>14.9252669039146</v>
      </c>
      <c r="N320" s="262">
        <f>IFERROR(IF(AND(COUNT(J57,K57,L57,N57)=4,(J62+K62+L62+N62)&lt;&gt;0),(J57+K57+L57+N57)/-(J62+K62+L62+N62),""),"")</f>
        <v>18.384328358209</v>
      </c>
      <c r="O320" s="262">
        <f>IFERROR(IF(AND(COUNT(K57,L57,N57,O57)=4,(K62+L62+N62+O62)&lt;&gt;0),(K57+L57+N57+O57)/-(K62+L62+N62+O62),""),"")</f>
        <v>18.9365079365079</v>
      </c>
      <c r="P320" s="262">
        <f>IFERROR(IF(AND(COUNT(L57,N57,O57,P57)=4,(L62+N62+O62+P62)&lt;&gt;0),(L57+N57+O57+P57)/-(L62+N62+O62+P62),""),"")</f>
        <v>12.0590551181102</v>
      </c>
      <c r="Q320" s="262">
        <f>IFERROR(IF(AND(COUNT(N57,O57,P57,Q57)=4,(N62+O62+P62+Q62)&lt;&gt;0),(N57+O57+P57+Q57)/-(N62+O62+P62+Q62),""),"")</f>
        <v>11.684</v>
      </c>
      <c r="R320" s="262">
        <f>IFERROR(IF(AND(COUNT(N57,O57,P57,Q57)=4,(N62+O62+P62+Q62)&lt;&gt;0),(N57+O57+P57+Q57)/-(N62+O62+P62+Q62),""),"")</f>
        <v>11.684</v>
      </c>
      <c r="S320" s="262">
        <f>IFERROR(IF(AND(COUNT(O57,P57,Q57,S57)=4,(O62+P62+Q62+S62)&lt;&gt;0),(O57+P57+Q57+S57)/-(O62+P62+Q62+S62),""),"")</f>
        <v>8.34437086092715</v>
      </c>
      <c r="T320" s="262">
        <f>IFERROR(IF(AND(COUNT(P57,Q57,S57,T57)=4,(P62+Q62+S62+T62)&lt;&gt;0),(P57+Q57+S57+T57)/-(P62+Q62+S62+T62),""),"")</f>
        <v>8.38395415472779</v>
      </c>
      <c r="U320" s="262">
        <f>IFERROR(IF(AND(COUNT(Q57,S57,T57,U57)=4,(Q62+S62+T62+U62)&lt;&gt;0),(Q57+S57+T57+U57)/-(Q62+S62+T62+U62),""),"")</f>
        <v>11.1292134831461</v>
      </c>
      <c r="V320" s="262">
        <f>IFERROR(IF(AND(COUNT(S57,T57,U57,V57)=4,(S62+T62+U62+V62)&lt;&gt;0),(S57+T57+U57+V57)/-(S62+T62+U62+V62),""),"")</f>
        <v>9.56844547563805</v>
      </c>
      <c r="W320" s="262">
        <f>IFERROR(IF(AND(COUNT(S57,T57,U57,V57)=4,(S62+T62+U62+V62)&lt;&gt;0),(S57+T57+U57+V57)/-(S62+T62+U62+V62),""),"")</f>
        <v>9.56844547563805</v>
      </c>
      <c r="X320" s="262">
        <f>IFERROR(IF(AND(COUNT(T57,U57,V57,X57)=4,(T62+U62+V62+X62)&lt;&gt;0),(T57+U57+V57+X57)/-(T62+U62+V62+X62),""),"")</f>
        <v>11.0753880266075</v>
      </c>
      <c r="Y320" s="262">
        <f>IFERROR(IF(AND(COUNT(U57,V57,X57,Y57)=4,(U62+V62+X62+Y62)&lt;&gt;0),(U57+V57+X57+Y57)/-(U62+V62+X62+Y62),""),"")</f>
        <v>11.2367346938776</v>
      </c>
      <c r="Z320" s="262">
        <f>IFERROR(IF(AND(COUNT(V57,X57,Y57,Z57)=4,(V62+X62+Y62+Z62)&lt;&gt;0),(V57+X57+Y57+Z57)/-(V62+X62+Y62+Z62),""),"")</f>
        <v>10.8756756756757</v>
      </c>
      <c r="AA320" s="262">
        <f>IFERROR(IF(AND(COUNT(X57,Y57,Z57,AA57)=4,(X62+Y62+Z62+AA62)&lt;&gt;0),(X57+Y57+Z57+AA57)/-(X62+Y62+Z62+AA62),""),"")</f>
        <v>13.9367588932806</v>
      </c>
      <c r="AB320" s="262">
        <f>IFERROR(IF(AND(COUNT(X57,Y57,Z57,AA57)=4,(X62+Y62+Z62+AA62)&lt;&gt;0),(X57+Y57+Z57+AA57)/-(X62+Y62+Z62+AA62),""),"")</f>
        <v>13.9367588932806</v>
      </c>
      <c r="AC320" s="262">
        <f>IFERROR(IF(AND(COUNT(Y57,Z57,AA57,AC57)=4,(Y62+Z62+AA62+AC62)&lt;&gt;0),(Y57+Z57+AA57+AC57)/-(Y62+Z62+AA62+AC62),""),"")</f>
        <v>12.64</v>
      </c>
      <c r="AD320" s="262">
        <f>IFERROR(IF(AND(COUNT(Z57,AA57,AC57,AD57)=4,(Z62+AA62+AC62+AD62)&lt;&gt;0),(Z57+AA57+AC57+AD57)/-(Z62+AA62+AC62+AD62),""),"")</f>
        <v>12.8802395209581</v>
      </c>
      <c r="AE320" s="262">
        <f>IFERROR(IF(AND(COUNT(AA57,AC57,AD57,AE57)=4,(AA62+AC62+AD62+AE62)&lt;&gt;0),(AA57+AC57+AD57+AE57)/-(AA62+AC62+AD62+AE62),""),"")</f>
        <v>12.4098360655738</v>
      </c>
      <c r="AF320" s="262">
        <f>IFERROR(IF(AND(COUNT(AB57,AD57,AE57,AF57)=4,(AB62+AD62+AE62+AF62)&lt;&gt;0),(AB57+AD57+AE57+AF57)/-(AB62+AD62+AE62+AF62),""),"")</f>
        <v>13.3731343283582</v>
      </c>
      <c r="AG320" s="262">
        <f>IFERROR(IF(AND(COUNT(AC57,AD57,AE57,AF57)=4,(AC62+AD62+AE62+AF62)&lt;&gt;0),(AC57+AD57+AE57+AF57)/-(AC62+AD62+AE62+AF62),""),"")</f>
        <v>11.1291585127202</v>
      </c>
      <c r="AH320" s="262">
        <f>IFERROR(IF(AND(COUNT(AD57,AF57,AG57,AH57)=4,(AD62+AF62+AG62+AH62)&lt;&gt;0),(AD57+AF57+AG57+AH57)/-(AD62+AF62+AG62+AH62),""),"")</f>
        <v>12.1467336683417</v>
      </c>
      <c r="AI320" s="262">
        <f>IFERROR(IF(AND(COUNT(AE57,AG57,AH57,AI57)=4,(AE62+AG62+AH62+AI62)&lt;&gt;0),(AE57+AG57+AH57+AI57)/-(AE62+AG62+AH62+AI62),""),"")</f>
        <v>10.7519051651143</v>
      </c>
      <c r="AJ320" s="262" t="str">
        <f>IFERROR(IF(AND(COUNT(AF57,AH57,AI57,AJ57)=4,(AF62+AH62+AI62+AJ62)&lt;&gt;0),(AF57+AH57+AI57+AJ57)/-(AF62+AH62+AI62+AJ62),""),"")</f>
        <v/>
      </c>
      <c r="AK320" s="262" t="str">
        <f>IFERROR(IF(AND(COUNT(AH57,AI57,AJ57,AK57)=4,(AH62+AI62+AJ62+AK62)&lt;&gt;0),(AH57+AI57+AJ57+AK57)/-(AH62+AI62+AJ62+AK62),""),"")</f>
        <v/>
      </c>
      <c r="AL320" s="262" t="str">
        <f>IFERROR(IF(AND(COUNT(AH57,AI57,AJ57,AK57)=4,(AH62+AI62+AJ62+AK62)&lt;&gt;0),(AH57+AI57+AJ57+AK57)/-(AH62+AI62+AJ62+AK62),""),"")</f>
        <v/>
      </c>
      <c r="AM320" s="262" t="str">
        <f>IFERROR(IF(AND(COUNT(AI57,AJ57,AK57,AM57)=4,(AI62+AJ62+AK62+AM62)&lt;&gt;0),(AI57+AJ57+AK57+AM57)/-(AI62+AJ62+AK62+AM62),""),"")</f>
        <v/>
      </c>
      <c r="AN320" s="262" t="str">
        <f>IFERROR(IF(AND(COUNT(AJ57,AK57,AM57,AN57)=4,(AJ62+AK62+AM62+AN62)&lt;&gt;0),(AJ57+AK57+AM57+AN57)/-(AJ62+AK62+AM62+AN62),""),"")</f>
        <v/>
      </c>
      <c r="AO320" s="262" t="str">
        <f>IFERROR(IF(AND(COUNT(AK57,AM57,AN57,AO57)=4,(AK62+AM62+AN62+AO62)&lt;&gt;0),(AK57+AM57+AN57+AO57)/-(AK62+AM62+AN62+AO62),""),"")</f>
        <v/>
      </c>
      <c r="AP320" s="262" t="str">
        <f>IFERROR(IF(AND(COUNT(AM57,AN57,AO57,AP57)=4,(AM62+AN62+AO62+AP62)&lt;&gt;0),(AM57+AN57+AO57+AP57)/-(AM62+AN62+AO62+AP62),""),"")</f>
        <v/>
      </c>
      <c r="AQ320" s="262" t="str">
        <f>IFERROR(IF(AND(COUNT(AM57,AN57,AO57,AP57)=4,(AM62+AN62+AO62+AP62)&lt;&gt;0),(AM57+AN57+AO57+AP57)/-(AM62+AN62+AO62+AP62),""),"")</f>
        <v/>
      </c>
      <c r="AR320" s="262" t="str">
        <f>IFERROR(IF(AND(COUNT(AN57,AO57,AP57,AR57)=4,(AN62+AO62+AP62+AR62)&lt;&gt;0),(AN57+AO57+AP57+AR57)/-(AN62+AO62+AP62+AR62),""),"")</f>
        <v/>
      </c>
      <c r="AS320" s="262" t="str">
        <f>IFERROR(IF(AND(COUNT(AO57,AP57,AR57,AS57)=4,(AO62+AP62+AR62+AS62)&lt;&gt;0),(AO57+AP57+AR57+AS57)/-(AO62+AP62+AR62+AS62),""),"")</f>
        <v/>
      </c>
      <c r="AT320" s="262" t="str">
        <f>IFERROR(IF(AND(COUNT(AP57,AR57,AS57,AT57)=4,(AP62+AR62+AS62+AT62)&lt;&gt;0),(AP57+AR57+AS57+AT57)/-(AP62+AR62+AS62+AT62),""),"")</f>
        <v/>
      </c>
      <c r="AU320" s="262" t="str">
        <f>IFERROR(IF(AND(COUNT(AR57,AS57,AT57,AU57)=4,(AR62+AS62+AT62+AU62)&lt;&gt;0),(AR57+AS57+AT57+AU57)/-(AR62+AS62+AT62+AU62),""),"")</f>
        <v/>
      </c>
      <c r="AV320" s="262" t="str">
        <f>IFERROR(IF(AND(COUNT(AR57,AS57,AT57,AU57)=4,(AR62+AS62+AT62+AU62)&lt;&gt;0),(AR57+AS57+AT57+AU57)/-(AR62+AS62+AT62+AU62),""),"")</f>
        <v/>
      </c>
      <c r="AW320" s="262" t="str">
        <f>IFERROR(IF(AND(COUNT(AS57,AT57,AU57,AW57)=4,(AS62+AT62+AU62+AW62)&lt;&gt;0),(AS57+AT57+AU57+AW57)/-(AS62+AT62+AU62+AW62),""),"")</f>
        <v/>
      </c>
      <c r="AX320" s="262" t="str">
        <f>IFERROR(IF(AND(COUNT(AT57,AU57,AW57,AX57)=4,(AT62+AU62+AW62+AX62)&lt;&gt;0),(AT57+AU57+AW57+AX57)/-(AT62+AU62+AW62+AX62),""),"")</f>
        <v/>
      </c>
      <c r="AY320" s="262" t="str">
        <f>IFERROR(IF(AND(COUNT(AU57,AW57,AX57,AY57)=4,(AU62+AW62+AX62+AY62)&lt;&gt;0),(AU57+AW57+AX57+AY57)/-(AU62+AW62+AX62+AY62),""),"")</f>
        <v/>
      </c>
      <c r="AZ320" s="262" t="str">
        <f>IFERROR(IF(AND(COUNT(AW57,AX57,AY57,AZ57)=4,(AW62+AX62+AY62+AZ62)&lt;&gt;0),(AW57+AX57+AY57+AZ57)/-(AW62+AX62+AY62+AZ62),""),"")</f>
        <v/>
      </c>
      <c r="BA320" s="262" t="str">
        <f>IFERROR(IF(AND(COUNT(AW57,AX57,AY57,AZ57)=4,(AW62+AX62+AY62+AZ62)&lt;&gt;0),(AW57+AX57+AY57+AZ57)/-(AW62+AX62+AY62+AZ62),""),"")</f>
        <v/>
      </c>
      <c r="BB320" s="262" t="str">
        <f>IFERROR(IF(AND(COUNT(AX57,AY57,AZ57,BB57)=4,(AX62+AY62+AZ62+BB62)&lt;&gt;0),(AX57+AY57+AZ57+BB57)/-(AX62+AY62+AZ62+BB62),""),"")</f>
        <v/>
      </c>
      <c r="BC320" s="262" t="str">
        <f>IFERROR(IF(AND(COUNT(AY57,AZ57,BB57,BC57)=4,(AY62+AZ62+BB62+BC62)&lt;&gt;0),(AY57+AZ57+BB57+BC57)/-(AY62+AZ62+BB62+BC62),""),"")</f>
        <v/>
      </c>
      <c r="BD320" s="262" t="str">
        <f>IFERROR(IF(AND(COUNT(AZ57,BB57,BC57,BD57)=4,(AZ62+BB62+BC62+BD62)&lt;&gt;0),(AZ57+BB57+BC57+BD57)/-(AZ62+BB62+BC62+BD62),""),"")</f>
        <v/>
      </c>
      <c r="BE320" s="262" t="str">
        <f>IFERROR(IF(AND(COUNT(BB57,BC57,BD57,BE57)=4,(BB62+BC62+BD62+BE62)&lt;&gt;0),(BB57+BC57+BD57+BE57)/-(BB62+BC62+BD62+BE62),""),"")</f>
        <v/>
      </c>
      <c r="BF320" s="262" t="str">
        <f>IFERROR(IF(AND(COUNT(BB57,BC57,BD57,BE57)=4,(BB62+BC62+BD62+BE62)&lt;&gt;0),(BB57+BC57+BD57+BE57)/-(BB62+BC62+BD62+BE62),""),"")</f>
        <v/>
      </c>
      <c r="BG320" s="82" t="n"/>
      <c r="BH320" s="82" t="n"/>
      <c r="BI320" s="82" t="n"/>
      <c r="BJ320" s="82" t="n"/>
      <c r="BL320" s="82" t="n"/>
      <c r="BM320" s="82" t="n"/>
      <c r="BN320" s="82" t="n"/>
      <c r="BO320" s="82" t="n"/>
      <c r="BQ320" s="82" t="n"/>
      <c r="BR320" s="82" t="n"/>
      <c r="BS320" s="82" t="n"/>
      <c r="BT320" s="82" t="n"/>
      <c r="BV320" s="82" t="n"/>
      <c r="BW320" s="82" t="n"/>
      <c r="BX320" s="82" t="n"/>
      <c r="BY320" s="82" t="n"/>
      <c r="CA320" s="82" t="n"/>
      <c r="CB320" s="82" t="n"/>
      <c r="CC320" s="82" t="n"/>
      <c r="CD320" s="82" t="n"/>
      <c r="CF320" s="82" t="n"/>
      <c r="CG320" s="82" t="n"/>
      <c r="CH320" s="82" t="n"/>
      <c r="CI320" s="82" t="n"/>
      <c r="CK320" s="82" t="n"/>
      <c r="CL320" s="82" t="n"/>
      <c r="CM320" s="82" t="n"/>
      <c r="CN320" s="82" t="n"/>
      <c r="CP320" s="82" t="n"/>
      <c r="CQ320" s="82" t="n"/>
      <c r="CR320" s="82" t="n"/>
      <c r="CS320" s="82" t="n"/>
      <c r="CU320" s="82" t="n"/>
      <c r="CV320" s="82" t="n"/>
      <c r="CW320" s="82" t="n"/>
      <c r="CX320" s="82" t="n"/>
    </row>
    <row r="321" customFormat="1" s="77">
      <c r="A321" s="76" t="n"/>
      <c r="B321" s="76" t="n"/>
      <c r="C321" s="77" t="inlineStr">
        <is>
          <t>(EBITDA - CAPEX) / TOTAL INTEREST (LTM)</t>
        </is>
      </c>
      <c r="D321" s="82" t="str">
        <f>IFERROR((D57-D156)/-D62,"")</f>
        <v/>
      </c>
      <c r="E321" s="82" t="str">
        <f>IFERROR((E57-E156)/-E62,"")</f>
        <v/>
      </c>
      <c r="F321" s="82" t="str">
        <f>IFERROR((F57-F156)/-F62,"")</f>
        <v/>
      </c>
      <c r="G321" s="82" t="str">
        <f>IFERROR((G57-G156)/-G62,"")</f>
        <v/>
      </c>
      <c r="H321" s="262" t="str">
        <f>IFERROR(IF(AND(COUNT(H57)=1,(H62)&lt;&gt;0),((H57)-(H156))/-(H62),""),"")</f>
        <v/>
      </c>
      <c r="I321" s="262" t="str">
        <f>""</f>
        <v/>
      </c>
      <c r="J321" s="262" t="str">
        <f>""</f>
        <v/>
      </c>
      <c r="K321" s="262" t="str">
        <f>""</f>
        <v/>
      </c>
      <c r="L321" s="262">
        <f>IFERROR(IF(AND(COUNT(I57,J57,K57,L57)=4,(I62+J62+K62+L62)&lt;&gt;0),((I57+J57+K57+L57)-(I156+J156+K156+L156))/-(I62+J62+K62+L62),""),"")</f>
        <v>-66.2348754448399</v>
      </c>
      <c r="M321" s="262">
        <f>IFERROR(IF(AND(COUNT(I57,J57,K57,L57)=4,(I62+J62+K62+L62)&lt;&gt;0),((I57+J57+K57+L57)-(I156+J156+K156+L156))/-(I62+J62+K62+L62),""),"")</f>
        <v>-66.2348754448399</v>
      </c>
      <c r="N321" s="262">
        <f>IFERROR(IF(AND(COUNT(J57,K57,L57,N57)=4,(J62+K62+L62+N62)&lt;&gt;0),((J57+K57+L57+N57)-(J156+K156+L156+N156))/-(J62+K62+L62+N62),""),"")</f>
        <v>-69.7985074626866</v>
      </c>
      <c r="O321" s="262">
        <f>IFERROR(IF(AND(COUNT(K57,L57,N57,O57)=4,(K62+L62+N62+O62)&lt;&gt;0),((K57+L57+N57+O57)-(K156+L156+N156+O156))/-(K62+L62+N62+O62),""),"")</f>
        <v>-71.5396825396825</v>
      </c>
      <c r="P321" s="262">
        <f>IFERROR(IF(AND(COUNT(L57,N57,O57,P57)=4,(L62+N62+O62+P62)&lt;&gt;0),((L57+N57+O57+P57)-(L156+N156+O156+P156))/-(L62+N62+O62+P62),""),"")</f>
        <v>-74.9645669291339</v>
      </c>
      <c r="Q321" s="262">
        <f>IFERROR(IF(AND(COUNT(N57,O57,P57,Q57)=4,(N62+O62+P62+Q62)&lt;&gt;0),((N57+O57+P57+Q57)-(N156+O156+P156+Q156))/-(N62+O62+P62+Q62),""),"")</f>
        <v>1.136</v>
      </c>
      <c r="R321" s="262">
        <f>IFERROR(IF(AND(COUNT(N57,O57,P57,Q57)=4,(N62+O62+P62+Q62)&lt;&gt;0),((N57+O57+P57+Q57)-(N156+O156+P156+Q156))/-(N62+O62+P62+Q62),""),"")</f>
        <v>1.136</v>
      </c>
      <c r="S321" s="262">
        <f>IFERROR(IF(AND(COUNT(O57,P57,Q57,S57)=4,(O62+P62+Q62+S62)&lt;&gt;0),((O57+P57+Q57+S57)-(O156+P156+Q156+S156))/-(O62+P62+Q62+S62),""),"")</f>
        <v>-0.486754966887417</v>
      </c>
      <c r="T321" s="262">
        <f>IFERROR(IF(AND(COUNT(P57,Q57,S57,T57)=4,(P62+Q62+S62+T62)&lt;&gt;0),((P57+Q57+S57+T57)-(P156+Q156+S156+T156))/-(P62+Q62+S62+T62),""),"")</f>
        <v>-0.0372492836676218</v>
      </c>
      <c r="U321" s="262">
        <f>IFERROR(IF(AND(COUNT(Q57,S57,T57,U57)=4,(Q62+S62+T62+U62)&lt;&gt;0),((Q57+S57+T57+U57)-(Q156+S156+T156+U156))/-(Q62+S62+T62+U62),""),"")</f>
        <v>1.01404494382022</v>
      </c>
      <c r="V321" s="262">
        <f>IFERROR(IF(AND(COUNT(S57,T57,U57,V57)=4,(S62+T62+U62+V62)&lt;&gt;0),((S57+T57+U57+V57)-(S156+T156+U156+V156))/-(S62+T62+U62+V62),""),"")</f>
        <v>-1.58700696055684</v>
      </c>
      <c r="W321" s="262">
        <f>IFERROR(IF(AND(COUNT(S57,T57,U57,V57)=4,(S62+T62+U62+V62)&lt;&gt;0),((S57+T57+U57+V57)-(S156+T156+U156+V156))/-(S62+T62+U62+V62),""),"")</f>
        <v>-1.58700696055684</v>
      </c>
      <c r="X321" s="262">
        <f>IFERROR(IF(AND(COUNT(T57,U57,V57,X57)=4,(T62+U62+V62+X62)&lt;&gt;0),((T57+U57+V57+X57)-(T156+U156+V156+X156))/-(T62+U62+V62+X62),""),"")</f>
        <v>0.0443458980044346</v>
      </c>
      <c r="Y321" s="262">
        <f>IFERROR(IF(AND(COUNT(U57,V57,X57,Y57)=4,(U62+V62+X62+Y62)&lt;&gt;0),((U57+V57+X57+Y57)-(U156+V156+X156+Y156))/-(U62+V62+X62+Y62),""),"")</f>
        <v>2.22244897959184</v>
      </c>
      <c r="Z321" s="262">
        <f>IFERROR(IF(AND(COUNT(V57,X57,Y57,Z57)=4,(V62+X62+Y62+Z62)&lt;&gt;0),((V57+X57+Y57+Z57)-(V156+X156+Y156+Z156))/-(V62+X62+Y62+Z62),""),"")</f>
        <v>5.89189189189189</v>
      </c>
      <c r="AA321" s="262">
        <f>IFERROR(IF(AND(COUNT(X57,Y57,Z57,AA57)=4,(X62+Y62+Z62+AA62)&lt;&gt;0),((X57+Y57+Z57+AA57)-(X156+Y156+Z156+AA156))/-(X62+Y62+Z62+AA62),""),"")</f>
        <v>10.3418972332016</v>
      </c>
      <c r="AB321" s="262">
        <f>IFERROR(IF(AND(COUNT(X57,Y57,Z57,AA57)=4,(X62+Y62+Z62+AA62)&lt;&gt;0),((X57+Y57+Z57+AA57)-(X156+Y156+Z156+AA156))/-(X62+Y62+Z62+AA62),""),"")</f>
        <v>10.3418972332016</v>
      </c>
      <c r="AC321" s="262">
        <f>IFERROR(IF(AND(COUNT(Y57,Z57,AA57,AC57)=4,(Y62+Z62+AA62+AC62)&lt;&gt;0),((Y57+Z57+AA57+AC57)-(Y156+Z156+AA156+AC156))/-(Y62+Z62+AA62+AC62),""),"")</f>
        <v>9.27619047619048</v>
      </c>
      <c r="AD321" s="262">
        <f>IFERROR(IF(AND(COUNT(Z57,AA57,AC57,AD57)=4,(Z62+AA62+AC62+AD62)&lt;&gt;0),((Z57+AA57+AC57+AD57)-(Z156+AA156+AC156+AD156))/-(Z62+AA62+AC62+AD62),""),"")</f>
        <v>7.97205588822355</v>
      </c>
      <c r="AE321" s="262">
        <f>IFERROR(IF(AND(COUNT(AA57,AC57,AD57,AE57)=4,(AA62+AC62+AD62+AE62)&lt;&gt;0),((AA57+AC57+AD57+AE57)-(AA156+AC156+AD156+AE156))/-(AA62+AC62+AD62+AE62),""),"")</f>
        <v>4.84016393442623</v>
      </c>
      <c r="AF321" s="262">
        <f>IFERROR(IF(AND(COUNT(AB57,AD57,AE57,AF57)=4,(AB62+AD62+AE62+AF62)&lt;&gt;0),((AB57+AD57+AE57+AF57)-(AB156+AD156+AE156+AF156))/-(AB62+AD62+AE62+AF62),""),"")</f>
        <v>10.0792192881745</v>
      </c>
      <c r="AG321" s="262">
        <f>IFERROR(IF(AND(COUNT(AC57,AD57,AE57,AF57)=4,(AC62+AD62+AE62+AF62)&lt;&gt;0),((AC57+AD57+AE57+AF57)-(AC156+AD156+AE156+AF156))/-(AC62+AD62+AE62+AF62),""),"")</f>
        <v>3.61448140900196</v>
      </c>
      <c r="AH321" s="262">
        <f>IFERROR(IF(AND(COUNT(AD57,AF57,AG57,AH57)=4,(AD62+AF62+AG62+AH62)&lt;&gt;0),((AD57+AF57+AG57+AH57)-(AD156+AF156+AG156+AH156))/-(AD62+AF62+AG62+AH62),""),"")</f>
        <v>-13.3718592964824</v>
      </c>
      <c r="AI321" s="262">
        <f>IFERROR(IF(AND(COUNT(AE57,AG57,AH57,AI57)=4,(AE62+AG62+AH62+AI62)&lt;&gt;0),((AE57+AG57+AH57+AI57)-(AE156+AG156+AH156+AI156))/-(AE62+AG62+AH62+AI62),""),"")</f>
        <v>-11.0745131244708</v>
      </c>
      <c r="AJ321" s="262" t="str">
        <f>IFERROR(IF(AND(COUNT(AF57,AH57,AI57,AJ57)=4,(AF62+AH62+AI62+AJ62)&lt;&gt;0),((AF57+AH57+AI57+AJ57)-(AF156+AH156+AI156+AJ156))/-(AF62+AH62+AI62+AJ62),""),"")</f>
        <v/>
      </c>
      <c r="AK321" s="262" t="str">
        <f>IFERROR(IF(AND(COUNT(AH57,AI57,AJ57,AK57)=4,(AH62+AI62+AJ62+AK62)&lt;&gt;0),((AH57+AI57+AJ57+AK57)-(AH156+AI156+AJ156+AK156))/-(AH62+AI62+AJ62+AK62),""),"")</f>
        <v/>
      </c>
      <c r="AL321" s="262" t="str">
        <f>IFERROR(IF(AND(COUNT(AH57,AI57,AJ57,AK57)=4,(AH62+AI62+AJ62+AK62)&lt;&gt;0),((AH57+AI57+AJ57+AK57)-(AH156+AI156+AJ156+AK156))/-(AH62+AI62+AJ62+AK62),""),"")</f>
        <v/>
      </c>
      <c r="AM321" s="262" t="str">
        <f>IFERROR(IF(AND(COUNT(AI57,AJ57,AK57,AM57)=4,(AI62+AJ62+AK62+AM62)&lt;&gt;0),((AI57+AJ57+AK57+AM57)-(AI156+AJ156+AK156+AM156))/-(AI62+AJ62+AK62+AM62),""),"")</f>
        <v/>
      </c>
      <c r="AN321" s="262" t="str">
        <f>IFERROR(IF(AND(COUNT(AJ57,AK57,AM57,AN57)=4,(AJ62+AK62+AM62+AN62)&lt;&gt;0),((AJ57+AK57+AM57+AN57)-(AJ156+AK156+AM156+AN156))/-(AJ62+AK62+AM62+AN62),""),"")</f>
        <v/>
      </c>
      <c r="AO321" s="262" t="str">
        <f>IFERROR(IF(AND(COUNT(AK57,AM57,AN57,AO57)=4,(AK62+AM62+AN62+AO62)&lt;&gt;0),((AK57+AM57+AN57+AO57)-(AK156+AM156+AN156+AO156))/-(AK62+AM62+AN62+AO62),""),"")</f>
        <v/>
      </c>
      <c r="AP321" s="262" t="str">
        <f>IFERROR(IF(AND(COUNT(AM57,AN57,AO57,AP57)=4,(AM62+AN62+AO62+AP62)&lt;&gt;0),((AM57+AN57+AO57+AP57)-(AM156+AN156+AO156+AP156))/-(AM62+AN62+AO62+AP62),""),"")</f>
        <v/>
      </c>
      <c r="AQ321" s="262" t="str">
        <f>IFERROR(IF(AND(COUNT(AM57,AN57,AO57,AP57)=4,(AM62+AN62+AO62+AP62)&lt;&gt;0),((AM57+AN57+AO57+AP57)-(AM156+AN156+AO156+AP156))/-(AM62+AN62+AO62+AP62),""),"")</f>
        <v/>
      </c>
      <c r="AR321" s="262" t="str">
        <f>IFERROR(IF(AND(COUNT(AN57,AO57,AP57,AR57)=4,(AN62+AO62+AP62+AR62)&lt;&gt;0),((AN57+AO57+AP57+AR57)-(AN156+AO156+AP156+AR156))/-(AN62+AO62+AP62+AR62),""),"")</f>
        <v/>
      </c>
      <c r="AS321" s="262" t="str">
        <f>IFERROR(IF(AND(COUNT(AO57,AP57,AR57,AS57)=4,(AO62+AP62+AR62+AS62)&lt;&gt;0),((AO57+AP57+AR57+AS57)-(AO156+AP156+AR156+AS156))/-(AO62+AP62+AR62+AS62),""),"")</f>
        <v/>
      </c>
      <c r="AT321" s="262" t="str">
        <f>IFERROR(IF(AND(COUNT(AP57,AR57,AS57,AT57)=4,(AP62+AR62+AS62+AT62)&lt;&gt;0),((AP57+AR57+AS57+AT57)-(AP156+AR156+AS156+AT156))/-(AP62+AR62+AS62+AT62),""),"")</f>
        <v/>
      </c>
      <c r="AU321" s="262" t="str">
        <f>IFERROR(IF(AND(COUNT(AR57,AS57,AT57,AU57)=4,(AR62+AS62+AT62+AU62)&lt;&gt;0),((AR57+AS57+AT57+AU57)-(AR156+AS156+AT156+AU156))/-(AR62+AS62+AT62+AU62),""),"")</f>
        <v/>
      </c>
      <c r="AV321" s="262" t="str">
        <f>IFERROR(IF(AND(COUNT(AR57,AS57,AT57,AU57)=4,(AR62+AS62+AT62+AU62)&lt;&gt;0),((AR57+AS57+AT57+AU57)-(AR156+AS156+AT156+AU156))/-(AR62+AS62+AT62+AU62),""),"")</f>
        <v/>
      </c>
      <c r="AW321" s="262" t="str">
        <f>IFERROR(IF(AND(COUNT(AS57,AT57,AU57,AW57)=4,(AS62+AT62+AU62+AW62)&lt;&gt;0),((AS57+AT57+AU57+AW57)-(AS156+AT156+AU156+AW156))/-(AS62+AT62+AU62+AW62),""),"")</f>
        <v/>
      </c>
      <c r="AX321" s="262" t="str">
        <f>IFERROR(IF(AND(COUNT(AT57,AU57,AW57,AX57)=4,(AT62+AU62+AW62+AX62)&lt;&gt;0),((AT57+AU57+AW57+AX57)-(AT156+AU156+AW156+AX156))/-(AT62+AU62+AW62+AX62),""),"")</f>
        <v/>
      </c>
      <c r="AY321" s="262" t="str">
        <f>IFERROR(IF(AND(COUNT(AU57,AW57,AX57,AY57)=4,(AU62+AW62+AX62+AY62)&lt;&gt;0),((AU57+AW57+AX57+AY57)-(AU156+AW156+AX156+AY156))/-(AU62+AW62+AX62+AY62),""),"")</f>
        <v/>
      </c>
      <c r="AZ321" s="262" t="str">
        <f>IFERROR(IF(AND(COUNT(AW57,AX57,AY57,AZ57)=4,(AW62+AX62+AY62+AZ62)&lt;&gt;0),((AW57+AX57+AY57+AZ57)-(AW156+AX156+AY156+AZ156))/-(AW62+AX62+AY62+AZ62),""),"")</f>
        <v/>
      </c>
      <c r="BA321" s="262" t="str">
        <f>IFERROR(IF(AND(COUNT(AW57,AX57,AY57,AZ57)=4,(AW62+AX62+AY62+AZ62)&lt;&gt;0),((AW57+AX57+AY57+AZ57)-(AW156+AX156+AY156+AZ156))/-(AW62+AX62+AY62+AZ62),""),"")</f>
        <v/>
      </c>
      <c r="BB321" s="262" t="str">
        <f>IFERROR(IF(AND(COUNT(AX57,AY57,AZ57,BB57)=4,(AX62+AY62+AZ62+BB62)&lt;&gt;0),((AX57+AY57+AZ57+BB57)-(AX156+AY156+AZ156+BB156))/-(AX62+AY62+AZ62+BB62),""),"")</f>
        <v/>
      </c>
      <c r="BC321" s="262" t="str">
        <f>IFERROR(IF(AND(COUNT(AY57,AZ57,BB57,BC57)=4,(AY62+AZ62+BB62+BC62)&lt;&gt;0),((AY57+AZ57+BB57+BC57)-(AY156+AZ156+BB156+BC156))/-(AY62+AZ62+BB62+BC62),""),"")</f>
        <v/>
      </c>
      <c r="BD321" s="262" t="str">
        <f>IFERROR(IF(AND(COUNT(AZ57,BB57,BC57,BD57)=4,(AZ62+BB62+BC62+BD62)&lt;&gt;0),((AZ57+BB57+BC57+BD57)-(AZ156+BB156+BC156+BD156))/-(AZ62+BB62+BC62+BD62),""),"")</f>
        <v/>
      </c>
      <c r="BE321" s="262" t="str">
        <f>IFERROR(IF(AND(COUNT(BB57,BC57,BD57,BE57)=4,(BB62+BC62+BD62+BE62)&lt;&gt;0),((BB57+BC57+BD57+BE57)-(BB156+BC156+BD156+BE156))/-(BB62+BC62+BD62+BE62),""),"")</f>
        <v/>
      </c>
      <c r="BF321" s="262" t="str">
        <f>IFERROR(IF(AND(COUNT(BB57,BC57,BD57,BE57)=4,(BB62+BC62+BD62+BE62)&lt;&gt;0),((BB57+BC57+BD57+BE57)-(BB156+BC156+BD156+BE156))/-(BB62+BC62+BD62+BE62),""),"")</f>
        <v/>
      </c>
      <c r="BG321" s="82" t="n"/>
      <c r="BH321" s="82" t="n"/>
      <c r="BI321" s="82" t="n"/>
      <c r="BJ321" s="82" t="n"/>
      <c r="BL321" s="82" t="n"/>
      <c r="BM321" s="82" t="n"/>
      <c r="BN321" s="82" t="n"/>
      <c r="BO321" s="82" t="n"/>
      <c r="BQ321" s="82" t="n"/>
      <c r="BR321" s="82" t="n"/>
      <c r="BS321" s="82" t="n"/>
      <c r="BT321" s="82" t="n"/>
      <c r="BV321" s="82" t="n"/>
      <c r="BW321" s="82" t="n"/>
      <c r="BX321" s="82" t="n"/>
      <c r="BY321" s="82" t="n"/>
      <c r="CA321" s="82" t="n"/>
      <c r="CB321" s="82" t="n"/>
      <c r="CC321" s="82" t="n"/>
      <c r="CD321" s="82" t="n"/>
      <c r="CF321" s="82" t="n"/>
      <c r="CG321" s="82" t="n"/>
      <c r="CH321" s="82" t="n"/>
      <c r="CI321" s="82" t="n"/>
      <c r="CK321" s="82" t="n"/>
      <c r="CL321" s="82" t="n"/>
      <c r="CM321" s="82" t="n"/>
      <c r="CN321" s="82" t="n"/>
      <c r="CP321" s="82" t="n"/>
      <c r="CQ321" s="82" t="n"/>
      <c r="CR321" s="82" t="n"/>
      <c r="CS321" s="82" t="n"/>
      <c r="CU321" s="82" t="n"/>
      <c r="CV321" s="82" t="n"/>
      <c r="CW321" s="82" t="n"/>
      <c r="CX321" s="82" t="n"/>
    </row>
    <row r="322" customFormat="1" s="77">
      <c r="A322" s="76" t="n"/>
      <c r="B322" s="76" t="n"/>
      <c r="C322" s="77" t="inlineStr">
        <is>
          <t>TOTAL DEBT / EBITDA (LTM)</t>
        </is>
      </c>
      <c r="D322" s="82" t="str">
        <f>IFERROR(SUM(D200,D201,D202,D205,D223,D226)/D57,"")</f>
        <v/>
      </c>
      <c r="E322" s="82" t="str">
        <f>IFERROR(SUM(E200,E201,E202,E205,E223,E226)/E57,"")</f>
        <v/>
      </c>
      <c r="F322" s="82" t="str">
        <f>IFERROR(SUM(F200,F201,F202,F205,F223,F226)/F57,"")</f>
        <v/>
      </c>
      <c r="G322" s="82" t="str">
        <f>IFERROR(SUM(G200,G201,G202,G205,G223,G226)/G57,"")</f>
        <v/>
      </c>
      <c r="H322" s="262" t="str">
        <f>IFERROR(IF(AND(COUNT(H57)=1,(H57)&lt;&gt;0),(N(H200)+N(H201)+N(H202)+N(H205)+N(H223)+N(H226))/(H57),""),"")</f>
        <v/>
      </c>
      <c r="I322" s="262" t="str">
        <f>""</f>
        <v/>
      </c>
      <c r="J322" s="262" t="str">
        <f>""</f>
        <v/>
      </c>
      <c r="K322" s="262" t="str">
        <f>""</f>
        <v/>
      </c>
      <c r="L322" s="262">
        <f>IFERROR(IF(AND(COUNT(I57,J57,K57,L57)=4,(I57+J57+K57+L57)&lt;&gt;0),(N(L200)+N(L201)+N(L202)+N(L205)+N(L223)+N(L226))/(I57+J57+K57+L57),""),"")</f>
        <v>1.87815927515498</v>
      </c>
      <c r="M322" s="262">
        <f>IFERROR(IF(AND(COUNT(I57,J57,K57,L57)=4,(I57+J57+K57+L57)&lt;&gt;0),(N(M200)+N(M201)+N(M202)+N(M205)+N(M223)+N(M226))/(I57+J57+K57+L57),""),"")</f>
        <v>1.87815927515498</v>
      </c>
      <c r="N322" s="262">
        <f>IFERROR(IF(AND(COUNT(J57,K57,L57,N57)=4,(J57+K57+L57+N57)&lt;&gt;0),(N(N200)+N(N201)+N(N202)+N(N205)+N(N223)+N(N226))/(J57+K57+L57+N57),""),"")</f>
        <v>1.18104323117516</v>
      </c>
      <c r="O322" s="262">
        <f>IFERROR(IF(AND(COUNT(K57,L57,N57,O57)=4,(K57+L57+N57+O57)&lt;&gt;0),(N(O200)+N(O201)+N(O202)+N(O205)+N(O223)+N(O226))/(K57+L57+N57+O57),""),"")</f>
        <v>1.02493713327745</v>
      </c>
      <c r="P322" s="262">
        <f>IFERROR(IF(AND(COUNT(L57,N57,O57,P57)=4,(L57+N57+O57+P57)&lt;&gt;0),(N(P200)+N(P201)+N(P202)+N(P205)+N(P223)+N(P226))/(L57+N57+O57+P57),""),"")</f>
        <v>1.74795951681358</v>
      </c>
      <c r="Q322" s="262">
        <f>IFERROR(IF(AND(COUNT(N57,O57,P57,Q57)=4,(N57+O57+P57+Q57)&lt;&gt;0),(N(Q200)+N(Q201)+N(Q202)+N(Q205)+N(Q223)+N(Q226))/(N57+O57+P57+Q57),""),"")</f>
        <v>1.97466621020199</v>
      </c>
      <c r="R322" s="262">
        <f>IFERROR(IF(AND(COUNT(N57,O57,P57,Q57)=4,(N57+O57+P57+Q57)&lt;&gt;0),(N(R200)+N(R201)+N(R202)+N(R205)+N(R223)+N(R226))/(N57+O57+P57+Q57),""),"")</f>
        <v>1.97466621020199</v>
      </c>
      <c r="S322" s="262">
        <f>IFERROR(IF(AND(COUNT(O57,P57,Q57,S57)=4,(O57+P57+Q57+S57)&lt;&gt;0),(N(S200)+N(S201)+N(S202)+N(S205)+N(S223)+N(S226))/(O57+P57+Q57+S57),""),"")</f>
        <v>2.63055555555556</v>
      </c>
      <c r="T322" s="262">
        <f>IFERROR(IF(AND(COUNT(P57,Q57,S57,T57)=4,(P57+Q57+S57+T57)&lt;&gt;0),(N(T200)+N(T201)+N(T202)+N(T205)+N(T223)+N(T226))/(P57+Q57+S57+T57),""),"")</f>
        <v>2.46103896103896</v>
      </c>
      <c r="U322" s="262">
        <f>IFERROR(IF(AND(COUNT(Q57,S57,T57,U57)=4,(Q57+S57+T57+U57)&lt;&gt;0),(N(U200)+N(U201)+N(U202)+N(U205)+N(U223)+N(U226))/(Q57+S57+T57+U57),""),"")</f>
        <v>2.0583038869258</v>
      </c>
      <c r="V322" s="262">
        <f>IFERROR(IF(AND(COUNT(S57,T57,U57,V57)=4,(S57+T57+U57+V57)&lt;&gt;0),(N(V200)+N(V201)+N(V202)+N(V205)+N(V223)+N(V226))/(S57+T57+U57+V57),""),"")</f>
        <v>2.24563530552861</v>
      </c>
      <c r="W322" s="262">
        <f>IFERROR(IF(AND(COUNT(S57,T57,U57,V57)=4,(S57+T57+U57+V57)&lt;&gt;0),(N(W200)+N(W201)+N(W202)+N(W205)+N(W223)+N(W226))/(S57+T57+U57+V57),""),"")</f>
        <v>2.24563530552861</v>
      </c>
      <c r="X322" s="262">
        <f>IFERROR(IF(AND(COUNT(T57,U57,V57,X57)=4,(T57+U57+V57+X57)&lt;&gt;0),(N(X200)+N(X201)+N(X202)+N(X205)+N(X223)+N(X226))/(T57+U57+V57+X57),""),"")</f>
        <v>1.9985985985986</v>
      </c>
      <c r="Y322" s="262">
        <f>IFERROR(IF(AND(COUNT(U57,V57,X57,Y57)=4,(U57+V57+X57+Y57)&lt;&gt;0),(N(Y200)+N(Y201)+N(Y202)+N(Y205)+N(Y223)+N(Y226))/(U57+V57+X57+Y57),""),"")</f>
        <v>1.65710134398838</v>
      </c>
      <c r="Z322" s="262">
        <f>IFERROR(IF(AND(COUNT(V57,X57,Y57,Z57)=4,(V57+X57+Y57+Z57)&lt;&gt;0),(N(Z200)+N(Z201)+N(Z202)+N(Z205)+N(Z223)+N(Z226))/(V57+X57+Y57+Z57),""),"")</f>
        <v>1.39363817097416</v>
      </c>
      <c r="AA322" s="262">
        <f>IFERROR(IF(AND(COUNT(X57,Y57,Z57,AA57)=4,(X57+Y57+Z57+AA57)&lt;&gt;0),(N(AA200)+N(AA201)+N(AA202)+N(AA205)+N(AA223)+N(AA226))/(X57+Y57+Z57+AA57),""),"")</f>
        <v>1.19285309132161</v>
      </c>
      <c r="AB322" s="262">
        <f>IFERROR(IF(AND(COUNT(X57,Y57,Z57,AA57)=4,(X57+Y57+Z57+AA57)&lt;&gt;0),(N(AB200)+N(AB201)+N(AB202)+N(AB205)+N(AB223)+N(AB226))/(X57+Y57+Z57+AA57),""),"")</f>
        <v>1.19285309132161</v>
      </c>
      <c r="AC322" s="262">
        <f>IFERROR(IF(AND(COUNT(Y57,Z57,AA57,AC57)=4,(Y57+Z57+AA57+AC57)&lt;&gt;0),(N(AC200)+N(AC201)+N(AC202)+N(AC205)+N(AC223)+N(AC226))/(Y57+Z57+AA57+AC57),""),"")</f>
        <v>1.25949367088608</v>
      </c>
      <c r="AD322" s="262">
        <f>IFERROR(IF(AND(COUNT(Z57,AA57,AC57,AD57)=4,(Z57+AA57+AC57+AD57)&lt;&gt;0),(N(AD200)+N(AD201)+N(AD202)+N(AD205)+N(AD223)+N(AD226))/(Z57+AA57+AC57+AD57),""),"")</f>
        <v>1.28792809545948</v>
      </c>
      <c r="AE322" s="262">
        <f>IFERROR(IF(AND(COUNT(AA57,AC57,AD57,AE57)=4,(AA57+AC57+AD57+AE57)&lt;&gt;0),(N(AE200)+N(AE201)+N(AE202)+N(AE205)+N(AE223)+N(AE226))/(AA57+AC57+AD57+AE57),""),"")</f>
        <v>1.49223910171731</v>
      </c>
      <c r="AF322" s="262">
        <f>IFERROR(IF(AND(COUNT(AB57,AD57,AE57,AF57)=4,(AB57+AD57+AE57+AF57)&lt;&gt;0),(N(AF200)+N(AF201)+N(AF202)+N(AF205)+N(AF223)+N(AF226))/(AB57+AD57+AE57+AF57),""),"")</f>
        <v>0.771978021978022</v>
      </c>
      <c r="AG322" s="262">
        <f>IFERROR(IF(AND(COUNT(AC57,AD57,AE57,AF57)=4,(AC57+AD57+AE57+AF57)&lt;&gt;0),(N(AG200)+N(AG201)+N(AG202)+N(AG205)+N(AG223)+N(AG226))/(AC57+AD57+AE57+AF57),""),"")</f>
        <v>1.58114999120802</v>
      </c>
      <c r="AH322" s="262">
        <f>IFERROR(IF(AND(COUNT(AD57,AF57,AG57,AH57)=4,(AD57+AF57+AG57+AH57)&lt;&gt;0),(N(AH200)+N(AH201)+N(AH202)+N(AH205)+N(AH223)+N(AH226))/(AD57+AF57+AG57+AH57),""),"")</f>
        <v>1.85884494456396</v>
      </c>
      <c r="AI322" s="262">
        <f>IFERROR(IF(AND(COUNT(AE57,AG57,AH57,AI57)=4,(AE57+AG57+AH57+AI57)&lt;&gt;0),(N(AI200)+N(AI201)+N(AI202)+N(AI205)+N(AI223)+N(AI226))/(AE57+AG57+AH57+AI57),""),"")</f>
        <v>1.94518821861711</v>
      </c>
      <c r="AJ322" s="262">
        <f>IFERROR(IF(AND(COUNT(AF57,AH57,AI57,AJ57)=4,(AF57+AH57+AI57+AJ57)&lt;&gt;0),(N(AJ200)+N(AJ201)+N(AJ202)+N(AJ205)+N(AJ223)+N(AJ226))/(AF57+AH57+AI57+AJ57),""),"")</f>
        <v>2.92752335273671</v>
      </c>
      <c r="AK322" s="262">
        <f>IFERROR(IF(AND(COUNT(AH57,AI57,AJ57,AK57)=4,(AH57+AI57+AJ57+AK57)&lt;&gt;0),(N(AK200)+N(AK201)+N(AK202)+N(AK205)+N(AK223)+N(AK226))/(AH57+AI57+AJ57+AK57),""),"")</f>
        <v>2.762043949227</v>
      </c>
      <c r="AL322" s="262">
        <f>IFERROR(IF(AND(COUNT(AH57,AI57,AJ57,AK57)=4,(AH57+AI57+AJ57+AK57)&lt;&gt;0),(N(AL200)+N(AL201)+N(AL202)+N(AL205)+N(AL223)+N(AL226))/(AH57+AI57+AJ57+AK57),""),"")</f>
        <v>2.762043949227</v>
      </c>
      <c r="AM322" s="262">
        <f>IFERROR(IF(AND(COUNT(AI57,AJ57,AK57,AM57)=4,(AI57+AJ57+AK57+AM57)&lt;&gt;0),(N(AM200)+N(AM201)+N(AM202)+N(AM205)+N(AM223)+N(AM226))/(AI57+AJ57+AK57+AM57),""),"")</f>
        <v>2.86196965125403</v>
      </c>
      <c r="AN322" s="262">
        <f>IFERROR(IF(AND(COUNT(AJ57,AK57,AM57,AN57)=4,(AJ57+AK57+AM57+AN57)&lt;&gt;0),(N(AN200)+N(AN201)+N(AN202)+N(AN205)+N(AN223)+N(AN226))/(AJ57+AK57+AM57+AN57),""),"")</f>
        <v>2.72682840785396</v>
      </c>
      <c r="AO322" s="262">
        <f>IFERROR(IF(AND(COUNT(AK57,AM57,AN57,AO57)=4,(AK57+AM57+AN57+AO57)&lt;&gt;0),(N(AO200)+N(AO201)+N(AO202)+N(AO205)+N(AO223)+N(AO226))/(AK57+AM57+AN57+AO57),""),"")</f>
        <v>2.61544280746357</v>
      </c>
      <c r="AP322" s="262">
        <f>IFERROR(IF(AND(COUNT(AM57,AN57,AO57,AP57)=4,(AM57+AN57+AO57+AP57)&lt;&gt;0),(N(AP200)+N(AP201)+N(AP202)+N(AP205)+N(AP223)+N(AP226))/(AM57+AN57+AO57+AP57),""),"")</f>
        <v>2.52026686459064</v>
      </c>
      <c r="AQ322" s="262">
        <f>IFERROR(IF(AND(COUNT(AM57,AN57,AO57,AP57)=4,(AM57+AN57+AO57+AP57)&lt;&gt;0),(N(AQ200)+N(AQ201)+N(AQ202)+N(AQ205)+N(AQ223)+N(AQ226))/(AM57+AN57+AO57+AP57),""),"")</f>
        <v>2.52026686459064</v>
      </c>
      <c r="AR322" s="262">
        <f>IFERROR(IF(AND(COUNT(AN57,AO57,AP57,AR57)=4,(AN57+AO57+AP57+AR57)&lt;&gt;0),(N(AR200)+N(AR201)+N(AR202)+N(AR205)+N(AR223)+N(AR226))/(AN57+AO57+AP57+AR57),""),"")</f>
        <v>2.36647122432339</v>
      </c>
      <c r="AS322" s="262">
        <f>IFERROR(IF(AND(COUNT(AO57,AP57,AR57,AS57)=4,(AO57+AP57+AR57+AS57)&lt;&gt;0),(N(AS200)+N(AS201)+N(AS202)+N(AS205)+N(AS223)+N(AS226))/(AO57+AP57+AR57+AS57),""),"")</f>
        <v>2.27289059507434</v>
      </c>
      <c r="AT322" s="262">
        <f>IFERROR(IF(AND(COUNT(AP57,AR57,AS57,AT57)=4,(AP57+AR57+AS57+AT57)&lt;&gt;0),(N(AT200)+N(AT201)+N(AT202)+N(AT205)+N(AT223)+N(AT226))/(AP57+AR57+AS57+AT57),""),"")</f>
        <v>2.18203030545699</v>
      </c>
      <c r="AU322" s="262">
        <f>IFERROR(IF(AND(COUNT(AR57,AS57,AT57,AU57)=4,(AR57+AS57+AT57+AU57)&lt;&gt;0),(N(AU200)+N(AU201)+N(AU202)+N(AU205)+N(AU223)+N(AU226))/(AR57+AS57+AT57+AU57),""),"")</f>
        <v>2.10426162357809</v>
      </c>
      <c r="AV322" s="262">
        <f>IFERROR(IF(AND(COUNT(AR57,AS57,AT57,AU57)=4,(AR57+AS57+AT57+AU57)&lt;&gt;0),(N(AV200)+N(AV201)+N(AV202)+N(AV205)+N(AV223)+N(AV226))/(AR57+AS57+AT57+AU57),""),"")</f>
        <v>2.10426162357809</v>
      </c>
      <c r="AW322" s="262">
        <f>IFERROR(IF(AND(COUNT(AS57,AT57,AU57,AW57)=4,(AS57+AT57+AU57+AW57)&lt;&gt;0),(N(AW200)+N(AW201)+N(AW202)+N(AW205)+N(AW223)+N(AW226))/(AS57+AT57+AU57+AW57),""),"")</f>
        <v>1.97890627463047</v>
      </c>
      <c r="AX322" s="262">
        <f>IFERROR(IF(AND(COUNT(AT57,AU57,AW57,AX57)=4,(AT57+AU57+AW57+AX57)&lt;&gt;0),(N(AX200)+N(AX201)+N(AX202)+N(AX205)+N(AX223)+N(AX226))/(AT57+AU57+AW57+AX57),""),"")</f>
        <v>1.90244099758533</v>
      </c>
      <c r="AY322" s="262">
        <f>IFERROR(IF(AND(COUNT(AU57,AW57,AX57,AY57)=4,(AU57+AW57+AX57+AY57)&lt;&gt;0),(N(AY200)+N(AY201)+N(AY202)+N(AY205)+N(AY223)+N(AY226))/(AU57+AW57+AX57+AY57),""),"")</f>
        <v>1.82806064289342</v>
      </c>
      <c r="AZ322" s="262">
        <f>IFERROR(IF(AND(COUNT(AW57,AX57,AY57,AZ57)=4,(AW57+AX57+AY57+AZ57)&lt;&gt;0),(N(AZ200)+N(AZ201)+N(AZ202)+N(AZ205)+N(AZ223)+N(AZ226))/(AW57+AX57+AY57+AZ57),""),"")</f>
        <v>1.76428920017159</v>
      </c>
      <c r="BA322" s="262">
        <f>IFERROR(IF(AND(COUNT(AW57,AX57,AY57,AZ57)=4,(AW57+AX57+AY57+AZ57)&lt;&gt;0),(N(BA200)+N(BA201)+N(BA202)+N(BA205)+N(BA223)+N(BA226))/(AW57+AX57+AY57+AZ57),""),"")</f>
        <v>1.76428920017159</v>
      </c>
      <c r="BB322" s="262">
        <f>IFERROR(IF(AND(COUNT(AX57,AY57,AZ57,BB57)=4,(AX57+AY57+AZ57+BB57)&lt;&gt;0),(N(BB200)+N(BB201)+N(BB202)+N(BB205)+N(BB223)+N(BB226))/(AX57+AY57+AZ57+BB57),""),"")</f>
        <v>1.66175539115659</v>
      </c>
      <c r="BC322" s="262">
        <f>IFERROR(IF(AND(COUNT(AY57,AZ57,BB57,BC57)=4,(AY57+AZ57+BB57+BC57)&lt;&gt;0),(N(BC200)+N(BC201)+N(BC202)+N(BC205)+N(BC223)+N(BC226))/(AY57+AZ57+BB57+BC57),""),"")</f>
        <v>1.59905494419328</v>
      </c>
      <c r="BD322" s="262">
        <f>IFERROR(IF(AND(COUNT(AZ57,BB57,BC57,BD57)=4,(AZ57+BB57+BC57+BD57)&lt;&gt;0),(N(BD200)+N(BD201)+N(BD202)+N(BD205)+N(BD223)+N(BD226))/(AZ57+BB57+BC57+BD57),""),"")</f>
        <v>1.53795026922449</v>
      </c>
      <c r="BE322" s="262">
        <f>IFERROR(IF(AND(COUNT(BB57,BC57,BD57,BE57)=4,(BB57+BC57+BD57+BE57)&lt;&gt;0),(N(BE200)+N(BE201)+N(BE202)+N(BE205)+N(BE223)+N(BE226))/(BB57+BC57+BD57+BE57),""),"")</f>
        <v>1.48547136546797</v>
      </c>
      <c r="BF322" s="262">
        <f>IFERROR(IF(AND(COUNT(BB57,BC57,BD57,BE57)=4,(BB57+BC57+BD57+BE57)&lt;&gt;0),(N(BF200)+N(BF201)+N(BF202)+N(BF205)+N(BF223)+N(BF226))/(BB57+BC57+BD57+BE57),""),"")</f>
        <v>1.48547136546797</v>
      </c>
      <c r="BG322" s="82" t="n"/>
      <c r="BH322" s="82" t="n"/>
      <c r="BI322" s="82" t="n"/>
      <c r="BJ322" s="82" t="n"/>
      <c r="BL322" s="82" t="n"/>
      <c r="BM322" s="82" t="n"/>
      <c r="BN322" s="82" t="n"/>
      <c r="BO322" s="82" t="n"/>
      <c r="BQ322" s="82" t="n"/>
      <c r="BR322" s="82" t="n"/>
      <c r="BS322" s="82" t="n"/>
      <c r="BT322" s="82" t="n"/>
      <c r="BV322" s="82" t="n"/>
      <c r="BW322" s="82" t="n"/>
      <c r="BX322" s="82" t="n"/>
      <c r="BY322" s="82" t="n"/>
      <c r="CA322" s="82" t="n"/>
      <c r="CB322" s="82" t="n"/>
      <c r="CC322" s="82" t="n"/>
      <c r="CD322" s="82" t="n"/>
      <c r="CF322" s="82" t="n"/>
      <c r="CG322" s="82" t="n"/>
      <c r="CH322" s="82" t="n"/>
      <c r="CI322" s="82" t="n"/>
      <c r="CK322" s="82" t="n"/>
      <c r="CL322" s="82" t="n"/>
      <c r="CM322" s="82" t="n"/>
      <c r="CN322" s="82" t="n"/>
      <c r="CP322" s="82" t="n"/>
      <c r="CQ322" s="82" t="n"/>
      <c r="CR322" s="82" t="n"/>
      <c r="CS322" s="82" t="n"/>
      <c r="CU322" s="82" t="n"/>
      <c r="CV322" s="82" t="n"/>
      <c r="CW322" s="82" t="n"/>
      <c r="CX322" s="82" t="n"/>
    </row>
    <row r="323" customFormat="1" s="77">
      <c r="A323" s="76" t="n"/>
      <c r="B323" s="76" t="n"/>
      <c r="C323" s="77" t="inlineStr">
        <is>
          <t>TOTAL DEBT / TOTAL CAPITALIZATION</t>
        </is>
      </c>
      <c r="D323" s="80" t="str">
        <f>IFERROR(SUM(D200+D201+D202+D205+D223+D226)/(SUM(D200+D201+D202+D205+D223+D226)+D259),"")</f>
        <v/>
      </c>
      <c r="E323" s="80" t="str">
        <f>IFERROR(SUM(E200+E201+E202+E205+E223+E226)/(SUM(E200+E201+E202+E205+E223+E226)+E259),"")</f>
        <v/>
      </c>
      <c r="F323" s="80" t="str">
        <f>IFERROR(SUM(F200+F201+F202+F205+F223+F226)/(SUM(F200+F201+F202+F205+F223+F226)+F259),"")</f>
        <v/>
      </c>
      <c r="G323" s="80" t="str">
        <f>IFERROR(SUM(G200+G201+G202+G205+G223+G226)/(SUM(G200+G201+G202+G205+G223+G226)+G259),"")</f>
        <v/>
      </c>
      <c r="H323" s="258" t="str">
        <f>IFERROR(IF(((N(H200)+N(H201)+N(H202)+N(H205)+N(H223)+N(H226))+N(H259))&lt;&gt;0,(N(H200)+N(H201)+N(H202)+N(H205)+N(H223)+N(H226))/((N(H200)+N(H201)+N(H202)+N(H205)+N(H223)+N(H226))+H259),""),"")</f>
        <v/>
      </c>
      <c r="I323" s="258" t="str">
        <f>IFERROR(IF(((N(I200)+N(I201)+N(I202)+N(I205)+N(I223)+N(I226))+N(I259))&lt;&gt;0,(N(I200)+N(I201)+N(I202)+N(I205)+N(I223)+N(I226))/((N(I200)+N(I201)+N(I202)+N(I205)+N(I223)+N(I226))+I259),""),"")</f>
        <v/>
      </c>
      <c r="J323" s="258" t="str">
        <f>IFERROR(IF(((N(J200)+N(J201)+N(J202)+N(J205)+N(J223)+N(J226))+N(J259))&lt;&gt;0,(N(J200)+N(J201)+N(J202)+N(J205)+N(J223)+N(J226))/((N(J200)+N(J201)+N(J202)+N(J205)+N(J223)+N(J226))+J259),""),"")</f>
        <v/>
      </c>
      <c r="K323" s="258" t="str">
        <f>IFERROR(IF(((N(K200)+N(K201)+N(K202)+N(K205)+N(K223)+N(K226))+N(K259))&lt;&gt;0,(N(K200)+N(K201)+N(K202)+N(K205)+N(K223)+N(K226))/((N(K200)+N(K201)+N(K202)+N(K205)+N(K223)+N(K226))+K259),""),"")</f>
        <v/>
      </c>
      <c r="L323" s="258">
        <f>IFERROR(IF(((N(L200)+N(L201)+N(L202)+N(L205)+N(L223)+N(L226))+N(L259))&lt;&gt;0,(N(L200)+N(L201)+N(L202)+N(L205)+N(L223)+N(L226))/((N(L200)+N(L201)+N(L202)+N(L205)+N(L223)+N(L226))+L259),""),"")</f>
        <v>0.404135241906521</v>
      </c>
      <c r="M323" s="258">
        <f>IFERROR(IF(((N(M200)+N(M201)+N(M202)+N(M205)+N(M223)+N(M226))+N(M259))&lt;&gt;0,(N(M200)+N(M201)+N(M202)+N(M205)+N(M223)+N(M226))/((N(M200)+N(M201)+N(M202)+N(M205)+N(M223)+N(M226))+M259),""),"")</f>
        <v>0.404135241906521</v>
      </c>
      <c r="N323" s="258">
        <f>IFERROR(IF(((N(N200)+N(N201)+N(N202)+N(N205)+N(N223)+N(N226))+N(N259))&lt;&gt;0,(N(N200)+N(N201)+N(N202)+N(N205)+N(N223)+N(N226))/((N(N200)+N(N201)+N(N202)+N(N205)+N(N223)+N(N226))+N259),""),"")</f>
        <v>0.33589240360194</v>
      </c>
      <c r="O323" s="258">
        <f>IFERROR(IF(((N(O200)+N(O201)+N(O202)+N(O205)+N(O223)+N(O226))+N(O259))&lt;&gt;0,(N(O200)+N(O201)+N(O202)+N(O205)+N(O223)+N(O226))/((N(O200)+N(O201)+N(O202)+N(O205)+N(O223)+N(O226))+O259),""),"")</f>
        <v>0.300429975429975</v>
      </c>
      <c r="P323" s="258">
        <f>IFERROR(IF(((N(P200)+N(P201)+N(P202)+N(P205)+N(P223)+N(P226))+N(P259))&lt;&gt;0,(N(P200)+N(P201)+N(P202)+N(P205)+N(P223)+N(P226))/((N(P200)+N(P201)+N(P202)+N(P205)+N(P223)+N(P226))+P259),""),"")</f>
        <v>0.324033165889972</v>
      </c>
      <c r="Q323" s="258">
        <f>IFERROR(IF(((N(Q200)+N(Q201)+N(Q202)+N(Q205)+N(Q223)+N(Q226))+N(Q259))&lt;&gt;0,(N(Q200)+N(Q201)+N(Q202)+N(Q205)+N(Q223)+N(Q226))/((N(Q200)+N(Q201)+N(Q202)+N(Q205)+N(Q223)+N(Q226))+Q259),""),"")</f>
        <v>0.336522753792299</v>
      </c>
      <c r="R323" s="258">
        <f>IFERROR(IF(((N(R200)+N(R201)+N(R202)+N(R205)+N(R223)+N(R226))+N(R259))&lt;&gt;0,(N(R200)+N(R201)+N(R202)+N(R205)+N(R223)+N(R226))/((N(R200)+N(R201)+N(R202)+N(R205)+N(R223)+N(R226))+R259),""),"")</f>
        <v>0.336522753792299</v>
      </c>
      <c r="S323" s="258">
        <f>IFERROR(IF(((N(S200)+N(S201)+N(S202)+N(S205)+N(S223)+N(S226))+N(S259))&lt;&gt;0,(N(S200)+N(S201)+N(S202)+N(S205)+N(S223)+N(S226))/((N(S200)+N(S201)+N(S202)+N(S205)+N(S223)+N(S226))+S259),""),"")</f>
        <v>0.374202653118826</v>
      </c>
      <c r="T323" s="258">
        <f>IFERROR(IF(((N(T200)+N(T201)+N(T202)+N(T205)+N(T223)+N(T226))+N(T259))&lt;&gt;0,(N(T200)+N(T201)+N(T202)+N(T205)+N(T223)+N(T226))/((N(T200)+N(T201)+N(T202)+N(T205)+N(T223)+N(T226))+T259),""),"")</f>
        <v>0.382767235422314</v>
      </c>
      <c r="U323" s="258">
        <f>IFERROR(IF(((N(U200)+N(U201)+N(U202)+N(U205)+N(U223)+N(U226))+N(U259))&lt;&gt;0,(N(U200)+N(U201)+N(U202)+N(U205)+N(U223)+N(U226))/((N(U200)+N(U201)+N(U202)+N(U205)+N(U223)+N(U226))+U259),""),"")</f>
        <v>0.404614239642769</v>
      </c>
      <c r="V323" s="258">
        <f>IFERROR(IF(((N(V200)+N(V201)+N(V202)+N(V205)+N(V223)+N(V226))+N(V259))&lt;&gt;0,(N(V200)+N(V201)+N(V202)+N(V205)+N(V223)+N(V226))/((N(V200)+N(V201)+N(V202)+N(V205)+N(V223)+N(V226))+V259),""),"")</f>
        <v>0.450722733245729</v>
      </c>
      <c r="W323" s="258">
        <f>IFERROR(IF(((N(W200)+N(W201)+N(W202)+N(W205)+N(W223)+N(W226))+N(W259))&lt;&gt;0,(N(W200)+N(W201)+N(W202)+N(W205)+N(W223)+N(W226))/((N(W200)+N(W201)+N(W202)+N(W205)+N(W223)+N(W226))+W259),""),"")</f>
        <v>0.450722733245729</v>
      </c>
      <c r="X323" s="258">
        <f>IFERROR(IF(((N(X200)+N(X201)+N(X202)+N(X205)+N(X223)+N(X226))+N(X259))&lt;&gt;0,(N(X200)+N(X201)+N(X202)+N(X205)+N(X223)+N(X226))/((N(X200)+N(X201)+N(X202)+N(X205)+N(X223)+N(X226))+X259),""),"")</f>
        <v>0.463398783827693</v>
      </c>
      <c r="Y323" s="258">
        <f>IFERROR(IF(((N(Y200)+N(Y201)+N(Y202)+N(Y205)+N(Y223)+N(Y226))+N(Y259))&lt;&gt;0,(N(Y200)+N(Y201)+N(Y202)+N(Y205)+N(Y223)+N(Y226))/((N(Y200)+N(Y201)+N(Y202)+N(Y205)+N(Y223)+N(Y226))+Y259),""),"")</f>
        <v>0.436450609901937</v>
      </c>
      <c r="Z323" s="258">
        <f>IFERROR(IF(((N(Z200)+N(Z201)+N(Z202)+N(Z205)+N(Z223)+N(Z226))+N(Z259))&lt;&gt;0,(N(Z200)+N(Z201)+N(Z202)+N(Z205)+N(Z223)+N(Z226))/((N(Z200)+N(Z201)+N(Z202)+N(Z205)+N(Z223)+N(Z226))+Z259),""),"")</f>
        <v>0.393949327963284</v>
      </c>
      <c r="AA323" s="258">
        <f>IFERROR(IF(((N(AA200)+N(AA201)+N(AA202)+N(AA205)+N(AA223)+N(AA226))+N(AA259))&lt;&gt;0,(N(AA200)+N(AA201)+N(AA202)+N(AA205)+N(AA223)+N(AA226))/((N(AA200)+N(AA201)+N(AA202)+N(AA205)+N(AA223)+N(AA226))+AA259),""),"")</f>
        <v>0.383217165504988</v>
      </c>
      <c r="AB323" s="258">
        <f>IFERROR(IF(((N(AB200)+N(AB201)+N(AB202)+N(AB205)+N(AB223)+N(AB226))+N(AB259))&lt;&gt;0,(N(AB200)+N(AB201)+N(AB202)+N(AB205)+N(AB223)+N(AB226))/((N(AB200)+N(AB201)+N(AB202)+N(AB205)+N(AB223)+N(AB226))+AB259),""),"")</f>
        <v>0.383217165504988</v>
      </c>
      <c r="AC323" s="258">
        <f>IFERROR(IF(((N(AC200)+N(AC201)+N(AC202)+N(AC205)+N(AC223)+N(AC226))+N(AC259))&lt;&gt;0,(N(AC200)+N(AC201)+N(AC202)+N(AC205)+N(AC223)+N(AC226))/((N(AC200)+N(AC201)+N(AC202)+N(AC205)+N(AC223)+N(AC226))+AC259),""),"")</f>
        <v>0.385303337635995</v>
      </c>
      <c r="AD323" s="258">
        <f>IFERROR(IF(((N(AD200)+N(AD201)+N(AD202)+N(AD205)+N(AD223)+N(AD226))+N(AD259))&lt;&gt;0,(N(AD200)+N(AD201)+N(AD202)+N(AD205)+N(AD223)+N(AD226))/((N(AD200)+N(AD201)+N(AD202)+N(AD205)+N(AD223)+N(AD226))+AD259),""),"")</f>
        <v>0.375825269060324</v>
      </c>
      <c r="AE323" s="258">
        <f>IFERROR(IF(((N(AE200)+N(AE201)+N(AE202)+N(AE205)+N(AE223)+N(AE226))+N(AE259))&lt;&gt;0,(N(AE200)+N(AE201)+N(AE202)+N(AE205)+N(AE223)+N(AE226))/((N(AE200)+N(AE201)+N(AE202)+N(AE205)+N(AE223)+N(AE226))+AE259),""),"")</f>
        <v>0.38084200766994</v>
      </c>
      <c r="AF323" s="258">
        <f>IFERROR(IF(((N(AF200)+N(AF201)+N(AF202)+N(AF205)+N(AF223)+N(AF226))+N(AF259))&lt;&gt;0,(N(AF200)+N(AF201)+N(AF202)+N(AF205)+N(AF223)+N(AF226))/((N(AF200)+N(AF201)+N(AF202)+N(AF205)+N(AF223)+N(AF226))+AF259),""),"")</f>
        <v>0.377102117844412</v>
      </c>
      <c r="AG323" s="258">
        <f>IFERROR(IF(((N(AG200)+N(AG201)+N(AG202)+N(AG205)+N(AG223)+N(AG226))+N(AG259))&lt;&gt;0,(N(AG200)+N(AG201)+N(AG202)+N(AG205)+N(AG223)+N(AG226))/((N(AG200)+N(AG201)+N(AG202)+N(AG205)+N(AG223)+N(AG226))+AG259),""),"")</f>
        <v>0.377102117844412</v>
      </c>
      <c r="AH323" s="258">
        <f>IFERROR(IF(((N(AH200)+N(AH201)+N(AH202)+N(AH205)+N(AH223)+N(AH226))+N(AH259))&lt;&gt;0,(N(AH200)+N(AH201)+N(AH202)+N(AH205)+N(AH223)+N(AH226))/((N(AH200)+N(AH201)+N(AH202)+N(AH205)+N(AH223)+N(AH226))+AH259),""),"")</f>
        <v>0.399140105887787</v>
      </c>
      <c r="AI323" s="258">
        <f>IFERROR(IF(((N(AI200)+N(AI201)+N(AI202)+N(AI205)+N(AI223)+N(AI226))+N(AI259))&lt;&gt;0,(N(AI200)+N(AI201)+N(AI202)+N(AI205)+N(AI223)+N(AI226))/((N(AI200)+N(AI201)+N(AI202)+N(AI205)+N(AI223)+N(AI226))+AI259),""),"")</f>
        <v>0.433166146399635</v>
      </c>
      <c r="AJ323" s="258">
        <f>IFERROR(IF(((N(AJ200)+N(AJ201)+N(AJ202)+N(AJ205)+N(AJ223)+N(AJ226))+N(AJ259))&lt;&gt;0,(N(AJ200)+N(AJ201)+N(AJ202)+N(AJ205)+N(AJ223)+N(AJ226))/((N(AJ200)+N(AJ201)+N(AJ202)+N(AJ205)+N(AJ223)+N(AJ226))+AJ259),""),"")</f>
        <v>0.426499182050937</v>
      </c>
      <c r="AK323" s="258">
        <f>IFERROR(IF(((N(AK200)+N(AK201)+N(AK202)+N(AK205)+N(AK223)+N(AK226))+N(AK259))&lt;&gt;0,(N(AK200)+N(AK201)+N(AK202)+N(AK205)+N(AK223)+N(AK226))/((N(AK200)+N(AK201)+N(AK202)+N(AK205)+N(AK223)+N(AK226))+AK259),""),"")</f>
        <v>0.420515546964413</v>
      </c>
      <c r="AL323" s="258">
        <f>IFERROR(IF(((N(AL200)+N(AL201)+N(AL202)+N(AL205)+N(AL223)+N(AL226))+N(AL259))&lt;&gt;0,(N(AL200)+N(AL201)+N(AL202)+N(AL205)+N(AL223)+N(AL226))/((N(AL200)+N(AL201)+N(AL202)+N(AL205)+N(AL223)+N(AL226))+AL259),""),"")</f>
        <v>0.420515546964413</v>
      </c>
      <c r="AM323" s="258">
        <f>IFERROR(IF(((N(AM200)+N(AM201)+N(AM202)+N(AM205)+N(AM223)+N(AM226))+N(AM259))&lt;&gt;0,(N(AM200)+N(AM201)+N(AM202)+N(AM205)+N(AM223)+N(AM226))/((N(AM200)+N(AM201)+N(AM202)+N(AM205)+N(AM223)+N(AM226))+AM259),""),"")</f>
        <v>0.409983296845967</v>
      </c>
      <c r="AN323" s="258">
        <f>IFERROR(IF(((N(AN200)+N(AN201)+N(AN202)+N(AN205)+N(AN223)+N(AN226))+N(AN259))&lt;&gt;0,(N(AN200)+N(AN201)+N(AN202)+N(AN205)+N(AN223)+N(AN226))/((N(AN200)+N(AN201)+N(AN202)+N(AN205)+N(AN223)+N(AN226))+AN259),""),"")</f>
        <v>0.403170309474126</v>
      </c>
      <c r="AO323" s="258">
        <f>IFERROR(IF(((N(AO200)+N(AO201)+N(AO202)+N(AO205)+N(AO223)+N(AO226))+N(AO259))&lt;&gt;0,(N(AO200)+N(AO201)+N(AO202)+N(AO205)+N(AO223)+N(AO226))/((N(AO200)+N(AO201)+N(AO202)+N(AO205)+N(AO223)+N(AO226))+AO259),""),"")</f>
        <v>0.396236773006871</v>
      </c>
      <c r="AP323" s="258">
        <f>IFERROR(IF(((N(AP200)+N(AP201)+N(AP202)+N(AP205)+N(AP223)+N(AP226))+N(AP259))&lt;&gt;0,(N(AP200)+N(AP201)+N(AP202)+N(AP205)+N(AP223)+N(AP226))/((N(AP200)+N(AP201)+N(AP202)+N(AP205)+N(AP223)+N(AP226))+AP259),""),"")</f>
        <v>0.390035514533959</v>
      </c>
      <c r="AQ323" s="258">
        <f>IFERROR(IF(((N(AQ200)+N(AQ201)+N(AQ202)+N(AQ205)+N(AQ223)+N(AQ226))+N(AQ259))&lt;&gt;0,(N(AQ200)+N(AQ201)+N(AQ202)+N(AQ205)+N(AQ223)+N(AQ226))/((N(AQ200)+N(AQ201)+N(AQ202)+N(AQ205)+N(AQ223)+N(AQ226))+AQ259),""),"")</f>
        <v>0.390035514533959</v>
      </c>
      <c r="AR323" s="258">
        <f>IFERROR(IF(((N(AR200)+N(AR201)+N(AR202)+N(AR205)+N(AR223)+N(AR226))+N(AR259))&lt;&gt;0,(N(AR200)+N(AR201)+N(AR202)+N(AR205)+N(AR223)+N(AR226))/((N(AR200)+N(AR201)+N(AR202)+N(AR205)+N(AR223)+N(AR226))+AR259),""),"")</f>
        <v>0.379213510444888</v>
      </c>
      <c r="AS323" s="258">
        <f>IFERROR(IF(((N(AS200)+N(AS201)+N(AS202)+N(AS205)+N(AS223)+N(AS226))+N(AS259))&lt;&gt;0,(N(AS200)+N(AS201)+N(AS202)+N(AS205)+N(AS223)+N(AS226))/((N(AS200)+N(AS201)+N(AS202)+N(AS205)+N(AS223)+N(AS226))+AS259),""),"")</f>
        <v>0.372244962313682</v>
      </c>
      <c r="AT323" s="258">
        <f>IFERROR(IF(((N(AT200)+N(AT201)+N(AT202)+N(AT205)+N(AT223)+N(AT226))+N(AT259))&lt;&gt;0,(N(AT200)+N(AT201)+N(AT202)+N(AT205)+N(AT223)+N(AT226))/((N(AT200)+N(AT201)+N(AT202)+N(AT205)+N(AT223)+N(AT226))+AT259),""),"")</f>
        <v>0.365178655454394</v>
      </c>
      <c r="AU323" s="258">
        <f>IFERROR(IF(((N(AU200)+N(AU201)+N(AU202)+N(AU205)+N(AU223)+N(AU226))+N(AU259))&lt;&gt;0,(N(AU200)+N(AU201)+N(AU202)+N(AU205)+N(AU223)+N(AU226))/((N(AU200)+N(AU201)+N(AU202)+N(AU205)+N(AU223)+N(AU226))+AU259),""),"")</f>
        <v>0.358880363644474</v>
      </c>
      <c r="AV323" s="258">
        <f>IFERROR(IF(((N(AV200)+N(AV201)+N(AV202)+N(AV205)+N(AV223)+N(AV226))+N(AV259))&lt;&gt;0,(N(AV200)+N(AV201)+N(AV202)+N(AV205)+N(AV223)+N(AV226))/((N(AV200)+N(AV201)+N(AV202)+N(AV205)+N(AV223)+N(AV226))+AV259),""),"")</f>
        <v>0.358880363644474</v>
      </c>
      <c r="AW323" s="258">
        <f>IFERROR(IF(((N(AW200)+N(AW201)+N(AW202)+N(AW205)+N(AW223)+N(AW226))+N(AW259))&lt;&gt;0,(N(AW200)+N(AW201)+N(AW202)+N(AW205)+N(AW223)+N(AW226))/((N(AW200)+N(AW201)+N(AW202)+N(AW205)+N(AW223)+N(AW226))+AW259),""),"")</f>
        <v>0.347982124604901</v>
      </c>
      <c r="AX323" s="258">
        <f>IFERROR(IF(((N(AX200)+N(AX201)+N(AX202)+N(AX205)+N(AX223)+N(AX226))+N(AX259))&lt;&gt;0,(N(AX200)+N(AX201)+N(AX202)+N(AX205)+N(AX223)+N(AX226))/((N(AX200)+N(AX201)+N(AX202)+N(AX205)+N(AX223)+N(AX226))+AX259),""),"")</f>
        <v>0.340995534578695</v>
      </c>
      <c r="AY323" s="258">
        <f>IFERROR(IF(((N(AY200)+N(AY201)+N(AY202)+N(AY205)+N(AY223)+N(AY226))+N(AY259))&lt;&gt;0,(N(AY200)+N(AY201)+N(AY202)+N(AY205)+N(AY223)+N(AY226))/((N(AY200)+N(AY201)+N(AY202)+N(AY205)+N(AY223)+N(AY226))+AY259),""),"")</f>
        <v>0.333935616339835</v>
      </c>
      <c r="AZ323" s="258">
        <f>IFERROR(IF(((N(AZ200)+N(AZ201)+N(AZ202)+N(AZ205)+N(AZ223)+N(AZ226))+N(AZ259))&lt;&gt;0,(N(AZ200)+N(AZ201)+N(AZ202)+N(AZ205)+N(AZ223)+N(AZ226))/((N(AZ200)+N(AZ201)+N(AZ202)+N(AZ205)+N(AZ223)+N(AZ226))+AZ259),""),"")</f>
        <v>0.327663863354167</v>
      </c>
      <c r="BA323" s="258">
        <f>IFERROR(IF(((N(BA200)+N(BA201)+N(BA202)+N(BA205)+N(BA223)+N(BA226))+N(BA259))&lt;&gt;0,(N(BA200)+N(BA201)+N(BA202)+N(BA205)+N(BA223)+N(BA226))/((N(BA200)+N(BA201)+N(BA202)+N(BA205)+N(BA223)+N(BA226))+BA259),""),"")</f>
        <v>0.327663863354167</v>
      </c>
      <c r="BB323" s="258">
        <f>IFERROR(IF(((N(BB200)+N(BB201)+N(BB202)+N(BB205)+N(BB223)+N(BB226))+N(BB259))&lt;&gt;0,(N(BB200)+N(BB201)+N(BB202)+N(BB205)+N(BB223)+N(BB226))/((N(BB200)+N(BB201)+N(BB202)+N(BB205)+N(BB223)+N(BB226))+BB259),""),"")</f>
        <v>0.31690149087377</v>
      </c>
      <c r="BC323" s="258">
        <f>IFERROR(IF(((N(BC200)+N(BC201)+N(BC202)+N(BC205)+N(BC223)+N(BC226))+N(BC259))&lt;&gt;0,(N(BC200)+N(BC201)+N(BC202)+N(BC205)+N(BC223)+N(BC226))/((N(BC200)+N(BC201)+N(BC202)+N(BC205)+N(BC223)+N(BC226))+BC259),""),"")</f>
        <v>0.310030895378097</v>
      </c>
      <c r="BD323" s="258">
        <f>IFERROR(IF(((N(BD200)+N(BD201)+N(BD202)+N(BD205)+N(BD223)+N(BD226))+N(BD259))&lt;&gt;0,(N(BD200)+N(BD201)+N(BD202)+N(BD205)+N(BD223)+N(BD226))/((N(BD200)+N(BD201)+N(BD202)+N(BD205)+N(BD223)+N(BD226))+BD259),""),"")</f>
        <v>0.303110986408734</v>
      </c>
      <c r="BE323" s="258">
        <f>IFERROR(IF(((N(BE200)+N(BE201)+N(BE202)+N(BE205)+N(BE223)+N(BE226))+N(BE259))&lt;&gt;0,(N(BE200)+N(BE201)+N(BE202)+N(BE205)+N(BE223)+N(BE226))/((N(BE200)+N(BE201)+N(BE202)+N(BE205)+N(BE223)+N(BE226))+BE259),""),"")</f>
        <v>0.296982742554044</v>
      </c>
      <c r="BF323" s="258">
        <f>IFERROR(IF(((N(BF200)+N(BF201)+N(BF202)+N(BF205)+N(BF223)+N(BF226))+N(BF259))&lt;&gt;0,(N(BF200)+N(BF201)+N(BF202)+N(BF205)+N(BF223)+N(BF226))/((N(BF200)+N(BF201)+N(BF202)+N(BF205)+N(BF223)+N(BF226))+BF259),""),"")</f>
        <v>0.296982742554044</v>
      </c>
      <c r="BG323" s="80" t="n"/>
      <c r="BH323" s="80" t="n"/>
      <c r="BI323" s="80" t="n"/>
      <c r="BJ323" s="80" t="n"/>
      <c r="BL323" s="80" t="n"/>
      <c r="BM323" s="80" t="n"/>
      <c r="BN323" s="80" t="n"/>
      <c r="BO323" s="80" t="n"/>
      <c r="BQ323" s="80" t="n"/>
      <c r="BR323" s="80" t="n"/>
      <c r="BS323" s="80" t="n"/>
      <c r="BT323" s="80" t="n"/>
      <c r="BV323" s="80" t="n"/>
      <c r="BW323" s="80" t="n"/>
      <c r="BX323" s="80" t="n"/>
      <c r="BY323" s="80" t="n"/>
      <c r="CA323" s="80" t="n"/>
      <c r="CB323" s="80" t="n"/>
      <c r="CC323" s="80" t="n"/>
      <c r="CD323" s="80" t="n"/>
      <c r="CF323" s="80" t="n"/>
      <c r="CG323" s="80" t="n"/>
      <c r="CH323" s="80" t="n"/>
      <c r="CI323" s="80" t="n"/>
      <c r="CK323" s="80" t="n"/>
      <c r="CL323" s="80" t="n"/>
      <c r="CM323" s="80" t="n"/>
      <c r="CN323" s="80" t="n"/>
      <c r="CP323" s="80" t="n"/>
      <c r="CQ323" s="80" t="n"/>
      <c r="CR323" s="80" t="n"/>
      <c r="CS323" s="80" t="n"/>
      <c r="CU323" s="80" t="n"/>
      <c r="CV323" s="80" t="n"/>
      <c r="CW323" s="80" t="n"/>
      <c r="CX323" s="80" t="n"/>
    </row>
    <row r="324" customFormat="1" s="77">
      <c r="A324" s="76" t="n"/>
      <c r="B324" s="76" t="n"/>
      <c r="C324" s="77" t="inlineStr">
        <is>
          <t>NET DEBT / EBITDA (LTM)</t>
        </is>
      </c>
      <c r="D324" s="82" t="str">
        <f>IFERROR(SUM((D200+D201+D202+D205+D223)-D132)/(D57*4),"")</f>
        <v/>
      </c>
      <c r="E324" s="82" t="str">
        <f>IFERROR(SUM((E200+E201+E202+E205+E223)-E132)/(E57*4),"")</f>
        <v/>
      </c>
      <c r="F324" s="82" t="str">
        <f>IFERROR(SUM((F200+F201+F202+F205+F223)-F132)/(F57*4),"")</f>
        <v/>
      </c>
      <c r="G324" s="82" t="str">
        <f>IFERROR(SUM((G200+G201+G202+G205+G223)-G132)/(G57*4),"")</f>
        <v/>
      </c>
      <c r="H324" s="262" t="str">
        <f>IFERROR(IF(AND(COUNT(H57)=1,(H57)&lt;&gt;0),((N(H200)+N(H201)+N(H202)+N(H205)+N(H223)+N(H226))-N(H132))/(H57),""),"")</f>
        <v/>
      </c>
      <c r="I324" s="262" t="str">
        <f>""</f>
        <v/>
      </c>
      <c r="J324" s="262" t="str">
        <f>""</f>
        <v/>
      </c>
      <c r="K324" s="262" t="str">
        <f>""</f>
        <v/>
      </c>
      <c r="L324" s="262">
        <f>IFERROR(IF(AND(COUNT(I57,J57,K57,L57)=4,(I57+J57+K57+L57)&lt;&gt;0),((N(L200)+N(L201)+N(L202)+N(L205)+N(L223)+N(L226))-N(L132))/(I57+J57+K57+L57),""),"")</f>
        <v>1.62064854554125</v>
      </c>
      <c r="M324" s="262">
        <f>IFERROR(IF(AND(COUNT(I57,J57,K57,L57)=4,(I57+J57+K57+L57)&lt;&gt;0),((N(M200)+N(M201)+N(M202)+N(M205)+N(M223)+N(M226))-N(M132))/(I57+J57+K57+L57),""),"")</f>
        <v>1.62064854554125</v>
      </c>
      <c r="N324" s="262">
        <f>IFERROR(IF(AND(COUNT(J57,K57,L57,N57)=4,(J57+K57+L57+N57)&lt;&gt;0),((N(N200)+N(N201)+N(N202)+N(N205)+N(N223)+N(N226))-N(N132))/(J57+K57+L57+N57),""),"")</f>
        <v>0.511061497868886</v>
      </c>
      <c r="O324" s="262">
        <f>IFERROR(IF(AND(COUNT(K57,L57,N57,O57)=4,(K57+L57+N57+O57)&lt;&gt;0),((N(O200)+N(O201)+N(O202)+N(O205)+N(O223)+N(O226))-N(O132))/(K57+L57+N57+O57),""),"")</f>
        <v>0.661986588432523</v>
      </c>
      <c r="P324" s="262">
        <f>IFERROR(IF(AND(COUNT(L57,N57,O57,P57)=4,(L57+N57+O57+P57)&lt;&gt;0),((N(P200)+N(P201)+N(P202)+N(P205)+N(P223)+N(P226))-N(P132))/(L57+N57+O57+P57),""),"")</f>
        <v>0.933398628795299</v>
      </c>
      <c r="Q324" s="262">
        <f>IFERROR(IF(AND(COUNT(N57,O57,P57,Q57)=4,(N57+O57+P57+Q57)&lt;&gt;0),((N(Q200)+N(Q201)+N(Q202)+N(Q205)+N(Q223)+N(Q226))-N(Q132))/(N57+O57+P57+Q57),""),"")</f>
        <v>1.64943512495721</v>
      </c>
      <c r="R324" s="262">
        <f>IFERROR(IF(AND(COUNT(N57,O57,P57,Q57)=4,(N57+O57+P57+Q57)&lt;&gt;0),((N(R200)+N(R201)+N(R202)+N(R205)+N(R223)+N(R226))-N(R132))/(N57+O57+P57+Q57),""),"")</f>
        <v>1.64943512495721</v>
      </c>
      <c r="S324" s="262">
        <f>IFERROR(IF(AND(COUNT(O57,P57,Q57,S57)=4,(O57+P57+Q57+S57)&lt;&gt;0),((N(S200)+N(S201)+N(S202)+N(S205)+N(S223)+N(S226))-N(S132))/(O57+P57+Q57+S57),""),"")</f>
        <v>2.4031746031746</v>
      </c>
      <c r="T324" s="262">
        <f>IFERROR(IF(AND(COUNT(P57,Q57,S57,T57)=4,(P57+Q57+S57+T57)&lt;&gt;0),((N(T200)+N(T201)+N(T202)+N(T205)+N(T223)+N(T226))-N(T132))/(P57+Q57+S57+T57),""),"")</f>
        <v>2.25803144224197</v>
      </c>
      <c r="U324" s="262">
        <f>IFERROR(IF(AND(COUNT(Q57,S57,T57,U57)=4,(Q57+S57+T57+U57)&lt;&gt;0),((N(U200)+N(U201)+N(U202)+N(U205)+N(U223)+N(U226))-N(U132))/(Q57+S57+T57+U57),""),"")</f>
        <v>1.08253407370015</v>
      </c>
      <c r="V324" s="262">
        <f>IFERROR(IF(AND(COUNT(S57,T57,U57,V57)=4,(S57+T57+U57+V57)&lt;&gt;0),((N(V200)+N(V201)+N(V202)+N(V205)+N(V223)+N(V226))-N(V132))/(S57+T57+U57+V57),""),"")</f>
        <v>2.04631425800194</v>
      </c>
      <c r="W324" s="262">
        <f>IFERROR(IF(AND(COUNT(S57,T57,U57,V57)=4,(S57+T57+U57+V57)&lt;&gt;0),((N(W200)+N(W201)+N(W202)+N(W205)+N(W223)+N(W226))-N(W132))/(S57+T57+U57+V57),""),"")</f>
        <v>2.04631425800194</v>
      </c>
      <c r="X324" s="262">
        <f>IFERROR(IF(AND(COUNT(T57,U57,V57,X57)=4,(T57+U57+V57+X57)&lt;&gt;0),((N(X200)+N(X201)+N(X202)+N(X205)+N(X223)+N(X226))-N(X132))/(T57+U57+V57+X57),""),"")</f>
        <v>1.75695695695696</v>
      </c>
      <c r="Y324" s="262">
        <f>IFERROR(IF(AND(COUNT(U57,V57,X57,Y57)=4,(U57+V57+X57+Y57)&lt;&gt;0),((N(Y200)+N(Y201)+N(Y202)+N(Y205)+N(Y223)+N(Y226))-N(Y132))/(U57+V57+X57+Y57),""),"")</f>
        <v>1.53105702869597</v>
      </c>
      <c r="Z324" s="262">
        <f>IFERROR(IF(AND(COUNT(V57,X57,Y57,Z57)=4,(V57+X57+Y57+Z57)&lt;&gt;0),((N(Z200)+N(Z201)+N(Z202)+N(Z205)+N(Z223)+N(Z226))-N(Z132))/(V57+X57+Y57+Z57),""),"")</f>
        <v>0.784791252485089</v>
      </c>
      <c r="AA324" s="262">
        <f>IFERROR(IF(AND(COUNT(X57,Y57,Z57,AA57)=4,(X57+Y57+Z57+AA57)&lt;&gt;0),((N(AA200)+N(AA201)+N(AA202)+N(AA205)+N(AA223)+N(AA226))-N(AA132))/(X57+Y57+Z57+AA57),""),"")</f>
        <v>0.320618264322178</v>
      </c>
      <c r="AB324" s="262">
        <f>IFERROR(IF(AND(COUNT(X57,Y57,Z57,AA57)=4,(X57+Y57+Z57+AA57)&lt;&gt;0),((N(AB200)+N(AB201)+N(AB202)+N(AB205)+N(AB223)+N(AB226))-N(AB132))/(X57+Y57+Z57+AA57),""),"")</f>
        <v>0.320618264322178</v>
      </c>
      <c r="AC324" s="262">
        <f>IFERROR(IF(AND(COUNT(Y57,Z57,AA57,AC57)=4,(Y57+Z57+AA57+AC57)&lt;&gt;0),((N(AC200)+N(AC201)+N(AC202)+N(AC205)+N(AC223)+N(AC226))-N(AC132))/(Y57+Z57+AA57+AC57),""),"")</f>
        <v>0.688667872212176</v>
      </c>
      <c r="AD324" s="262">
        <f>IFERROR(IF(AND(COUNT(Z57,AA57,AC57,AD57)=4,(Z57+AA57+AC57+AD57)&lt;&gt;0),((N(AD200)+N(AD201)+N(AD202)+N(AD205)+N(AD223)+N(AD226))-N(AD132))/(Z57+AA57+AC57+AD57),""),"")</f>
        <v>0.662482566248257</v>
      </c>
      <c r="AE324" s="262">
        <f>IFERROR(IF(AND(COUNT(AA57,AC57,AD57,AE57)=4,(AA57+AC57+AD57+AE57)&lt;&gt;0),((N(AE200)+N(AE201)+N(AE202)+N(AE205)+N(AE223)+N(AE226))-N(AE132))/(AA57+AC57+AD57+AE57),""),"")</f>
        <v>0.162978863936592</v>
      </c>
      <c r="AF324" s="262">
        <f>IFERROR(IF(AND(COUNT(AB57,AD57,AE57,AF57)=4,(AB57+AD57+AE57+AF57)&lt;&gt;0),((N(AF200)+N(AF201)+N(AF202)+N(AF205)+N(AF223)+N(AF226))-N(AF132))/(AB57+AD57+AE57+AF57),""),"")</f>
        <v>0.137620192307692</v>
      </c>
      <c r="AG324" s="262">
        <f>IFERROR(IF(AND(COUNT(AC57,AD57,AE57,AF57)=4,(AC57+AD57+AE57+AF57)&lt;&gt;0),((N(AG200)+N(AG201)+N(AG202)+N(AG205)+N(AG223)+N(AG226))-N(AG132))/(AC57+AD57+AE57+AF57),""),"")</f>
        <v>0.281870933708458</v>
      </c>
      <c r="AH324" s="262">
        <f>IFERROR(IF(AND(COUNT(AD57,AF57,AG57,AH57)=4,(AD57+AF57+AG57+AH57)&lt;&gt;0),((N(AH200)+N(AH201)+N(AH202)+N(AH205)+N(AH223)+N(AH226))-N(AH132))/(AD57+AF57+AG57+AH57),""),"")</f>
        <v>1.6957636935297</v>
      </c>
      <c r="AI324" s="262">
        <f>IFERROR(IF(AND(COUNT(AE57,AG57,AH57,AI57)=4,(AE57+AG57+AH57+AI57)&lt;&gt;0),((N(AI200)+N(AI201)+N(AI202)+N(AI205)+N(AI223)+N(AI226))-N(AI132))/(AE57+AG57+AH57+AI57),""),"")</f>
        <v>1.80548117813829</v>
      </c>
      <c r="AJ324" s="262">
        <f>IFERROR(IF(AND(COUNT(AF57,AH57,AI57,AJ57)=4,(AF57+AH57+AI57+AJ57)&lt;&gt;0),((N(AJ200)+N(AJ201)+N(AJ202)+N(AJ205)+N(AJ223)+N(AJ226))-N(AJ132))/(AF57+AH57+AI57+AJ57),""),"")</f>
        <v>3.09757874465909</v>
      </c>
      <c r="AK324" s="262">
        <f>IFERROR(IF(AND(COUNT(AH57,AI57,AJ57,AK57)=4,(AH57+AI57+AJ57+AK57)&lt;&gt;0),((N(AK200)+N(AK201)+N(AK202)+N(AK205)+N(AK223)+N(AK226))-N(AK132))/(AH57+AI57+AJ57+AK57),""),"")</f>
        <v>3.1658564217907</v>
      </c>
      <c r="AL324" s="262">
        <f>IFERROR(IF(AND(COUNT(AH57,AI57,AJ57,AK57)=4,(AH57+AI57+AJ57+AK57)&lt;&gt;0),((N(AL200)+N(AL201)+N(AL202)+N(AL205)+N(AL223)+N(AL226))-N(AL132))/(AH57+AI57+AJ57+AK57),""),"")</f>
        <v>3.1658564217907</v>
      </c>
      <c r="AM324" s="262">
        <f>IFERROR(IF(AND(COUNT(AI57,AJ57,AK57,AM57)=4,(AI57+AJ57+AK57+AM57)&lt;&gt;0),((N(AM200)+N(AM201)+N(AM202)+N(AM205)+N(AM223)+N(AM226))-N(AM132))/(AI57+AJ57+AK57+AM57),""),"")</f>
        <v>4.19240539824515</v>
      </c>
      <c r="AN324" s="262">
        <f>IFERROR(IF(AND(COUNT(AJ57,AK57,AM57,AN57)=4,(AJ57+AK57+AM57+AN57)&lt;&gt;0),((N(AN200)+N(AN201)+N(AN202)+N(AN205)+N(AN223)+N(AN226))-N(AN132))/(AJ57+AK57+AM57+AN57),""),"")</f>
        <v>4.07205466128162</v>
      </c>
      <c r="AO324" s="262">
        <f>IFERROR(IF(AND(COUNT(AK57,AM57,AN57,AO57)=4,(AK57+AM57+AN57+AO57)&lt;&gt;0),((N(AO200)+N(AO201)+N(AO202)+N(AO205)+N(AO223)+N(AO226))-N(AO132))/(AK57+AM57+AN57+AO57),""),"")</f>
        <v>4.26922778673425</v>
      </c>
      <c r="AP324" s="262">
        <f>IFERROR(IF(AND(COUNT(AM57,AN57,AO57,AP57)=4,(AM57+AN57+AO57+AP57)&lt;&gt;0),((N(AP200)+N(AP201)+N(AP202)+N(AP205)+N(AP223)+N(AP226))-N(AP132))/(AM57+AN57+AO57+AP57),""),"")</f>
        <v>4.38094867765964</v>
      </c>
      <c r="AQ324" s="262">
        <f>IFERROR(IF(AND(COUNT(AM57,AN57,AO57,AP57)=4,(AM57+AN57+AO57+AP57)&lt;&gt;0),((N(AQ200)+N(AQ201)+N(AQ202)+N(AQ205)+N(AQ223)+N(AQ226))-N(AQ132))/(AM57+AN57+AO57+AP57),""),"")</f>
        <v>4.38094867765964</v>
      </c>
      <c r="AR324" s="262">
        <f>IFERROR(IF(AND(COUNT(AN57,AO57,AP57,AR57)=4,(AN57+AO57+AP57+AR57)&lt;&gt;0),((N(AR200)+N(AR201)+N(AR202)+N(AR205)+N(AR223)+N(AR226))-N(AR132))/(AN57+AO57+AP57+AR57),""),"")</f>
        <v>5.00600553743651</v>
      </c>
      <c r="AS324" s="262">
        <f>IFERROR(IF(AND(COUNT(AO57,AP57,AR57,AS57)=4,(AO57+AP57+AR57+AS57)&lt;&gt;0),((N(AS200)+N(AS201)+N(AS202)+N(AS205)+N(AS223)+N(AS226))-N(AS132))/(AO57+AP57+AR57+AS57),""),"")</f>
        <v>4.89415411851407</v>
      </c>
      <c r="AT324" s="262">
        <f>IFERROR(IF(AND(COUNT(AP57,AR57,AS57,AT57)=4,(AP57+AR57+AS57+AT57)&lt;&gt;0),((N(AT200)+N(AT201)+N(AT202)+N(AT205)+N(AT223)+N(AT226))-N(AT132))/(AP57+AR57+AS57+AT57),""),"")</f>
        <v>5.06173317679277</v>
      </c>
      <c r="AU324" s="262">
        <f>IFERROR(IF(AND(COUNT(AR57,AS57,AT57,AU57)=4,(AR57+AS57+AT57+AU57)&lt;&gt;0),((N(AU200)+N(AU201)+N(AU202)+N(AU205)+N(AU223)+N(AU226))-N(AU132))/(AR57+AS57+AT57+AU57),""),"")</f>
        <v>5.14840846009467</v>
      </c>
      <c r="AV324" s="262">
        <f>IFERROR(IF(AND(COUNT(AR57,AS57,AT57,AU57)=4,(AR57+AS57+AT57+AU57)&lt;&gt;0),((N(AV200)+N(AV201)+N(AV202)+N(AV205)+N(AV223)+N(AV226))-N(AV132))/(AR57+AS57+AT57+AU57),""),"")</f>
        <v>5.14840846009467</v>
      </c>
      <c r="AW324" s="262">
        <f>IFERROR(IF(AND(COUNT(AS57,AT57,AU57,AW57)=4,(AS57+AT57+AU57+AW57)&lt;&gt;0),((N(AW200)+N(AW201)+N(AW202)+N(AW205)+N(AW223)+N(AW226))-N(AW132))/(AS57+AT57+AU57+AW57),""),"")</f>
        <v>5.73887672444935</v>
      </c>
      <c r="AX324" s="262">
        <f>IFERROR(IF(AND(COUNT(AT57,AU57,AW57,AX57)=4,(AT57+AU57+AW57+AX57)&lt;&gt;0),((N(AX200)+N(AX201)+N(AX202)+N(AX205)+N(AX223)+N(AX226))-N(AX132))/(AT57+AU57+AW57+AX57),""),"")</f>
        <v>5.59447654422642</v>
      </c>
      <c r="AY324" s="262">
        <f>IFERROR(IF(AND(COUNT(AU57,AW57,AX57,AY57)=4,(AU57+AW57+AX57+AY57)&lt;&gt;0),((N(AY200)+N(AY201)+N(AY202)+N(AY205)+N(AY223)+N(AY226))-N(AY132))/(AU57+AW57+AX57+AY57),""),"")</f>
        <v>5.7386891130433</v>
      </c>
      <c r="AZ324" s="262">
        <f>IFERROR(IF(AND(COUNT(AW57,AX57,AY57,AZ57)=4,(AW57+AX57+AY57+AZ57)&lt;&gt;0),((N(AZ200)+N(AZ201)+N(AZ202)+N(AZ205)+N(AZ223)+N(AZ226))-N(AZ132))/(AW57+AX57+AY57+AZ57),""),"")</f>
        <v>5.8055744207765</v>
      </c>
      <c r="BA324" s="262">
        <f>IFERROR(IF(AND(COUNT(AW57,AX57,AY57,AZ57)=4,(AW57+AX57+AY57+AZ57)&lt;&gt;0),((N(BA200)+N(BA201)+N(BA202)+N(BA205)+N(BA223)+N(BA226))-N(BA132))/(AW57+AX57+AY57+AZ57),""),"")</f>
        <v>5.8055744207765</v>
      </c>
      <c r="BB324" s="262">
        <f>IFERROR(IF(AND(COUNT(AX57,AY57,AZ57,BB57)=4,(AX57+AY57+AZ57+BB57)&lt;&gt;0),((N(BB200)+N(BB201)+N(BB202)+N(BB205)+N(BB223)+N(BB226))-N(BB132))/(AX57+AY57+AZ57+BB57),""),"")</f>
        <v>6.36112468001008</v>
      </c>
      <c r="BC324" s="262">
        <f>IFERROR(IF(AND(COUNT(AY57,AZ57,BB57,BC57)=4,(AY57+AZ57+BB57+BC57)&lt;&gt;0),((N(BC200)+N(BC201)+N(BC202)+N(BC205)+N(BC223)+N(BC226))-N(BC132))/(AY57+AZ57+BB57+BC57),""),"")</f>
        <v>6.19832909618593</v>
      </c>
      <c r="BD324" s="262">
        <f>IFERROR(IF(AND(COUNT(AZ57,BB57,BC57,BD57)=4,(AZ57+BB57+BC57+BD57)&lt;&gt;0),((N(BD200)+N(BD201)+N(BD202)+N(BD205)+N(BD223)+N(BD226))-N(BD132))/(AZ57+BB57+BC57+BD57),""),"")</f>
        <v>6.32412765110896</v>
      </c>
      <c r="BE324" s="262">
        <f>IFERROR(IF(AND(COUNT(BB57,BC57,BD57,BE57)=4,(BB57+BC57+BD57+BE57)&lt;&gt;0),((N(BE200)+N(BE201)+N(BE202)+N(BE205)+N(BE223)+N(BE226))-N(BE132))/(BB57+BC57+BD57+BE57),""),"")</f>
        <v>6.37540985661131</v>
      </c>
      <c r="BF324" s="262">
        <f>IFERROR(IF(AND(COUNT(BB57,BC57,BD57,BE57)=4,(BB57+BC57+BD57+BE57)&lt;&gt;0),((N(BF200)+N(BF201)+N(BF202)+N(BF205)+N(BF223)+N(BF226))-N(BF132))/(BB57+BC57+BD57+BE57),""),"")</f>
        <v>6.37540985661131</v>
      </c>
      <c r="BG324" s="82" t="n"/>
      <c r="BH324" s="82" t="n"/>
      <c r="BI324" s="82" t="n"/>
      <c r="BJ324" s="82" t="n"/>
      <c r="BL324" s="82" t="n"/>
      <c r="BM324" s="82" t="n"/>
      <c r="BN324" s="82" t="n"/>
      <c r="BO324" s="82" t="n"/>
      <c r="BQ324" s="82" t="n"/>
      <c r="BR324" s="82" t="n"/>
      <c r="BS324" s="82" t="n"/>
      <c r="BT324" s="82" t="n"/>
      <c r="BV324" s="82" t="n"/>
      <c r="BW324" s="82" t="n"/>
      <c r="BX324" s="82" t="n"/>
      <c r="BY324" s="82" t="n"/>
      <c r="CA324" s="82" t="n"/>
      <c r="CB324" s="82" t="n"/>
      <c r="CC324" s="82" t="n"/>
      <c r="CD324" s="82" t="n"/>
      <c r="CF324" s="82" t="n"/>
      <c r="CG324" s="82" t="n"/>
      <c r="CH324" s="82" t="n"/>
      <c r="CI324" s="82" t="n"/>
      <c r="CK324" s="82" t="n"/>
      <c r="CL324" s="82" t="n"/>
      <c r="CM324" s="82" t="n"/>
      <c r="CN324" s="82" t="n"/>
      <c r="CP324" s="82" t="n"/>
      <c r="CQ324" s="82" t="n"/>
      <c r="CR324" s="82" t="n"/>
      <c r="CS324" s="82" t="n"/>
      <c r="CU324" s="82" t="n"/>
      <c r="CV324" s="82" t="n"/>
      <c r="CW324" s="82" t="n"/>
      <c r="CX324" s="82" t="n"/>
    </row>
    <row r="325" customFormat="1" s="77">
      <c r="A325" s="76" t="n"/>
      <c r="B325" s="76" t="n"/>
      <c r="C325" s="83" t="inlineStr">
        <is>
          <t>NET DEBT (EX IFRS 16.) / EBITDA (LTM)</t>
        </is>
      </c>
      <c r="D325" s="82" t="str">
        <f>IFERROR(SUM((D200+D201+D205)-D132)/(D57*4),"")</f>
        <v/>
      </c>
      <c r="E325" s="82" t="str">
        <f>IFERROR(SUM((E200+E201+E205)-E132)/(E57*4),"")</f>
        <v/>
      </c>
      <c r="F325" s="82" t="str">
        <f>IFERROR(SUM((F200+F201+F205)-F132)/(F57*4),"")</f>
        <v/>
      </c>
      <c r="G325" s="82" t="str">
        <f>IFERROR(SUM((G200+G201+G205)-G132)/(G57*4),"")</f>
        <v/>
      </c>
      <c r="H325" s="262" t="str">
        <f>IFERROR(IF(AND(COUNT(H57)=1,(H57)&lt;&gt;0),((N(H200)+N(H201)+N(H205)+N(H226))-N(H132))/(H57),""),"")</f>
        <v/>
      </c>
      <c r="I325" s="262" t="str">
        <f>""</f>
        <v/>
      </c>
      <c r="J325" s="262" t="str">
        <f>""</f>
        <v/>
      </c>
      <c r="K325" s="262" t="str">
        <f>""</f>
        <v/>
      </c>
      <c r="L325" s="262">
        <f>IFERROR(IF(AND(COUNT(I57,J57,K57,L57)=4,(I57+J57+K57+L57)&lt;&gt;0),((N(L200)+N(L201)+N(L205)+N(L226))-N(L132))/(I57+J57+K57+L57),""),"")</f>
        <v>1.62064854554125</v>
      </c>
      <c r="M325" s="262">
        <f>IFERROR(IF(AND(COUNT(I57,J57,K57,L57)=4,(I57+J57+K57+L57)&lt;&gt;0),((N(M200)+N(M201)+N(M205)+N(M226))-N(M132))/(I57+J57+K57+L57),""),"")</f>
        <v>1.62064854554125</v>
      </c>
      <c r="N325" s="262">
        <f>IFERROR(IF(AND(COUNT(J57,K57,L57,N57)=4,(J57+K57+L57+N57)&lt;&gt;0),((N(N200)+N(N201)+N(N205)+N(N226))-N(N132))/(J57+K57+L57+N57),""),"")</f>
        <v>0.511061497868886</v>
      </c>
      <c r="O325" s="262">
        <f>IFERROR(IF(AND(COUNT(K57,L57,N57,O57)=4,(K57+L57+N57+O57)&lt;&gt;0),((N(O200)+N(O201)+N(O205)+N(O226))-N(O132))/(K57+L57+N57+O57),""),"")</f>
        <v>0.661986588432523</v>
      </c>
      <c r="P325" s="262">
        <f>IFERROR(IF(AND(COUNT(L57,N57,O57,P57)=4,(L57+N57+O57+P57)&lt;&gt;0),((N(P200)+N(P201)+N(P205)+N(P226))-N(P132))/(L57+N57+O57+P57),""),"")</f>
        <v>0.933398628795299</v>
      </c>
      <c r="Q325" s="262">
        <f>IFERROR(IF(AND(COUNT(N57,O57,P57,Q57)=4,(N57+O57+P57+Q57)&lt;&gt;0),((N(Q200)+N(Q201)+N(Q205)+N(Q226))-N(Q132))/(N57+O57+P57+Q57),""),"")</f>
        <v>1.64943512495721</v>
      </c>
      <c r="R325" s="262">
        <f>IFERROR(IF(AND(COUNT(N57,O57,P57,Q57)=4,(N57+O57+P57+Q57)&lt;&gt;0),((N(R200)+N(R201)+N(R205)+N(R226))-N(R132))/(N57+O57+P57+Q57),""),"")</f>
        <v>1.64943512495721</v>
      </c>
      <c r="S325" s="262">
        <f>IFERROR(IF(AND(COUNT(O57,P57,Q57,S57)=4,(O57+P57+Q57+S57)&lt;&gt;0),((N(S200)+N(S201)+N(S205)+N(S226))-N(S132))/(O57+P57+Q57+S57),""),"")</f>
        <v>2.4031746031746</v>
      </c>
      <c r="T325" s="262">
        <f>IFERROR(IF(AND(COUNT(P57,Q57,S57,T57)=4,(P57+Q57+S57+T57)&lt;&gt;0),((N(T200)+N(T201)+N(T205)+N(T226))-N(T132))/(P57+Q57+S57+T57),""),"")</f>
        <v>2.25803144224197</v>
      </c>
      <c r="U325" s="262">
        <f>IFERROR(IF(AND(COUNT(Q57,S57,T57,U57)=4,(Q57+S57+T57+U57)&lt;&gt;0),((N(U200)+N(U201)+N(U205)+N(U226))-N(U132))/(Q57+S57+T57+U57),""),"")</f>
        <v>1.08253407370015</v>
      </c>
      <c r="V325" s="262">
        <f>IFERROR(IF(AND(COUNT(S57,T57,U57,V57)=4,(S57+T57+U57+V57)&lt;&gt;0),((N(V200)+N(V201)+N(V205)+N(V226))-N(V132))/(S57+T57+U57+V57),""),"")</f>
        <v>2.04631425800194</v>
      </c>
      <c r="W325" s="262">
        <f>IFERROR(IF(AND(COUNT(S57,T57,U57,V57)=4,(S57+T57+U57+V57)&lt;&gt;0),((N(W200)+N(W201)+N(W205)+N(W226))-N(W132))/(S57+T57+U57+V57),""),"")</f>
        <v>2.04631425800194</v>
      </c>
      <c r="X325" s="262">
        <f>IFERROR(IF(AND(COUNT(T57,U57,V57,X57)=4,(T57+U57+V57+X57)&lt;&gt;0),((N(X200)+N(X201)+N(X205)+N(X226))-N(X132))/(T57+U57+V57+X57),""),"")</f>
        <v>1.75695695695696</v>
      </c>
      <c r="Y325" s="262">
        <f>IFERROR(IF(AND(COUNT(U57,V57,X57,Y57)=4,(U57+V57+X57+Y57)&lt;&gt;0),((N(Y200)+N(Y201)+N(Y205)+N(Y226))-N(Y132))/(U57+V57+X57+Y57),""),"")</f>
        <v>1.53105702869597</v>
      </c>
      <c r="Z325" s="262">
        <f>IFERROR(IF(AND(COUNT(V57,X57,Y57,Z57)=4,(V57+X57+Y57+Z57)&lt;&gt;0),((N(Z200)+N(Z201)+N(Z205)+N(Z226))-N(Z132))/(V57+X57+Y57+Z57),""),"")</f>
        <v>0.784791252485089</v>
      </c>
      <c r="AA325" s="262">
        <f>IFERROR(IF(AND(COUNT(X57,Y57,Z57,AA57)=4,(X57+Y57+Z57+AA57)&lt;&gt;0),((N(AA200)+N(AA201)+N(AA205)+N(AA226))-N(AA132))/(X57+Y57+Z57+AA57),""),"")</f>
        <v>0.320618264322178</v>
      </c>
      <c r="AB325" s="262">
        <f>IFERROR(IF(AND(COUNT(X57,Y57,Z57,AA57)=4,(X57+Y57+Z57+AA57)&lt;&gt;0),((N(AB200)+N(AB201)+N(AB205)+N(AB226))-N(AB132))/(X57+Y57+Z57+AA57),""),"")</f>
        <v>0.320618264322178</v>
      </c>
      <c r="AC325" s="262">
        <f>IFERROR(IF(AND(COUNT(Y57,Z57,AA57,AC57)=4,(Y57+Z57+AA57+AC57)&lt;&gt;0),((N(AC200)+N(AC201)+N(AC205)+N(AC226))-N(AC132))/(Y57+Z57+AA57+AC57),""),"")</f>
        <v>0.688667872212176</v>
      </c>
      <c r="AD325" s="262">
        <f>IFERROR(IF(AND(COUNT(Z57,AA57,AC57,AD57)=4,(Z57+AA57+AC57+AD57)&lt;&gt;0),((N(AD200)+N(AD201)+N(AD205)+N(AD226))-N(AD132))/(Z57+AA57+AC57+AD57),""),"")</f>
        <v>0.662482566248257</v>
      </c>
      <c r="AE325" s="262">
        <f>IFERROR(IF(AND(COUNT(AA57,AC57,AD57,AE57)=4,(AA57+AC57+AD57+AE57)&lt;&gt;0),((N(AE200)+N(AE201)+N(AE205)+N(AE226))-N(AE132))/(AA57+AC57+AD57+AE57),""),"")</f>
        <v>0.162978863936592</v>
      </c>
      <c r="AF325" s="262">
        <f>IFERROR(IF(AND(COUNT(AB57,AD57,AE57,AF57)=4,(AB57+AD57+AE57+AF57)&lt;&gt;0),((N(AF200)+N(AF201)+N(AF205)+N(AF226))-N(AF132))/(AB57+AD57+AE57+AF57),""),"")</f>
        <v>0.137620192307692</v>
      </c>
      <c r="AG325" s="262">
        <f>IFERROR(IF(AND(COUNT(AC57,AD57,AE57,AF57)=4,(AC57+AD57+AE57+AF57)&lt;&gt;0),((N(AG200)+N(AG201)+N(AG205)+N(AG226))-N(AG132))/(AC57+AD57+AE57+AF57),""),"")</f>
        <v>0.281870933708458</v>
      </c>
      <c r="AH325" s="262">
        <f>IFERROR(IF(AND(COUNT(AD57,AF57,AG57,AH57)=4,(AD57+AF57+AG57+AH57)&lt;&gt;0),((N(AH200)+N(AH201)+N(AH205)+N(AH226))-N(AH132))/(AD57+AF57+AG57+AH57),""),"")</f>
        <v>1.6957636935297</v>
      </c>
      <c r="AI325" s="262">
        <f>IFERROR(IF(AND(COUNT(AE57,AG57,AH57,AI57)=4,(AE57+AG57+AH57+AI57)&lt;&gt;0),((N(AI200)+N(AI201)+N(AI205)+N(AI226))-N(AI132))/(AE57+AG57+AH57+AI57),""),"")</f>
        <v>1.80548117813829</v>
      </c>
      <c r="AJ325" s="262">
        <f>IFERROR(IF(AND(COUNT(AF57,AH57,AI57,AJ57)=4,(AF57+AH57+AI57+AJ57)&lt;&gt;0),((N(AJ200)+N(AJ201)+N(AJ205)+N(AJ226))-N(AJ132))/(AF57+AH57+AI57+AJ57),""),"")</f>
        <v>3.09757874465909</v>
      </c>
      <c r="AK325" s="262">
        <f>IFERROR(IF(AND(COUNT(AH57,AI57,AJ57,AK57)=4,(AH57+AI57+AJ57+AK57)&lt;&gt;0),((N(AK200)+N(AK201)+N(AK205)+N(AK226))-N(AK132))/(AH57+AI57+AJ57+AK57),""),"")</f>
        <v>3.1658564217907</v>
      </c>
      <c r="AL325" s="262">
        <f>IFERROR(IF(AND(COUNT(AH57,AI57,AJ57,AK57)=4,(AH57+AI57+AJ57+AK57)&lt;&gt;0),((N(AL200)+N(AL201)+N(AL205)+N(AL226))-N(AL132))/(AH57+AI57+AJ57+AK57),""),"")</f>
        <v>3.1658564217907</v>
      </c>
      <c r="AM325" s="262">
        <f>IFERROR(IF(AND(COUNT(AI57,AJ57,AK57,AM57)=4,(AI57+AJ57+AK57+AM57)&lt;&gt;0),((N(AM200)+N(AM201)+N(AM205)+N(AM226))-N(AM132))/(AI57+AJ57+AK57+AM57),""),"")</f>
        <v>4.19240539824515</v>
      </c>
      <c r="AN325" s="262">
        <f>IFERROR(IF(AND(COUNT(AJ57,AK57,AM57,AN57)=4,(AJ57+AK57+AM57+AN57)&lt;&gt;0),((N(AN200)+N(AN201)+N(AN205)+N(AN226))-N(AN132))/(AJ57+AK57+AM57+AN57),""),"")</f>
        <v>4.07205466128162</v>
      </c>
      <c r="AO325" s="262">
        <f>IFERROR(IF(AND(COUNT(AK57,AM57,AN57,AO57)=4,(AK57+AM57+AN57+AO57)&lt;&gt;0),((N(AO200)+N(AO201)+N(AO205)+N(AO226))-N(AO132))/(AK57+AM57+AN57+AO57),""),"")</f>
        <v>4.26922778673425</v>
      </c>
      <c r="AP325" s="262">
        <f>IFERROR(IF(AND(COUNT(AM57,AN57,AO57,AP57)=4,(AM57+AN57+AO57+AP57)&lt;&gt;0),((N(AP200)+N(AP201)+N(AP205)+N(AP226))-N(AP132))/(AM57+AN57+AO57+AP57),""),"")</f>
        <v>4.38094867765964</v>
      </c>
      <c r="AQ325" s="262">
        <f>IFERROR(IF(AND(COUNT(AM57,AN57,AO57,AP57)=4,(AM57+AN57+AO57+AP57)&lt;&gt;0),((N(AQ200)+N(AQ201)+N(AQ205)+N(AQ226))-N(AQ132))/(AM57+AN57+AO57+AP57),""),"")</f>
        <v>4.38094867765964</v>
      </c>
      <c r="AR325" s="262">
        <f>IFERROR(IF(AND(COUNT(AN57,AO57,AP57,AR57)=4,(AN57+AO57+AP57+AR57)&lt;&gt;0),((N(AR200)+N(AR201)+N(AR205)+N(AR226))-N(AR132))/(AN57+AO57+AP57+AR57),""),"")</f>
        <v>5.00600553743651</v>
      </c>
      <c r="AS325" s="262">
        <f>IFERROR(IF(AND(COUNT(AO57,AP57,AR57,AS57)=4,(AO57+AP57+AR57+AS57)&lt;&gt;0),((N(AS200)+N(AS201)+N(AS205)+N(AS226))-N(AS132))/(AO57+AP57+AR57+AS57),""),"")</f>
        <v>4.89415411851407</v>
      </c>
      <c r="AT325" s="262">
        <f>IFERROR(IF(AND(COUNT(AP57,AR57,AS57,AT57)=4,(AP57+AR57+AS57+AT57)&lt;&gt;0),((N(AT200)+N(AT201)+N(AT205)+N(AT226))-N(AT132))/(AP57+AR57+AS57+AT57),""),"")</f>
        <v>5.06173317679277</v>
      </c>
      <c r="AU325" s="262">
        <f>IFERROR(IF(AND(COUNT(AR57,AS57,AT57,AU57)=4,(AR57+AS57+AT57+AU57)&lt;&gt;0),((N(AU200)+N(AU201)+N(AU205)+N(AU226))-N(AU132))/(AR57+AS57+AT57+AU57),""),"")</f>
        <v>5.14840846009467</v>
      </c>
      <c r="AV325" s="262">
        <f>IFERROR(IF(AND(COUNT(AR57,AS57,AT57,AU57)=4,(AR57+AS57+AT57+AU57)&lt;&gt;0),((N(AV200)+N(AV201)+N(AV205)+N(AV226))-N(AV132))/(AR57+AS57+AT57+AU57),""),"")</f>
        <v>5.14840846009467</v>
      </c>
      <c r="AW325" s="262">
        <f>IFERROR(IF(AND(COUNT(AS57,AT57,AU57,AW57)=4,(AS57+AT57+AU57+AW57)&lt;&gt;0),((N(AW200)+N(AW201)+N(AW205)+N(AW226))-N(AW132))/(AS57+AT57+AU57+AW57),""),"")</f>
        <v>5.73887672444935</v>
      </c>
      <c r="AX325" s="262">
        <f>IFERROR(IF(AND(COUNT(AT57,AU57,AW57,AX57)=4,(AT57+AU57+AW57+AX57)&lt;&gt;0),((N(AX200)+N(AX201)+N(AX205)+N(AX226))-N(AX132))/(AT57+AU57+AW57+AX57),""),"")</f>
        <v>5.59447654422642</v>
      </c>
      <c r="AY325" s="262">
        <f>IFERROR(IF(AND(COUNT(AU57,AW57,AX57,AY57)=4,(AU57+AW57+AX57+AY57)&lt;&gt;0),((N(AY200)+N(AY201)+N(AY205)+N(AY226))-N(AY132))/(AU57+AW57+AX57+AY57),""),"")</f>
        <v>5.7386891130433</v>
      </c>
      <c r="AZ325" s="262">
        <f>IFERROR(IF(AND(COUNT(AW57,AX57,AY57,AZ57)=4,(AW57+AX57+AY57+AZ57)&lt;&gt;0),((N(AZ200)+N(AZ201)+N(AZ205)+N(AZ226))-N(AZ132))/(AW57+AX57+AY57+AZ57),""),"")</f>
        <v>5.8055744207765</v>
      </c>
      <c r="BA325" s="262">
        <f>IFERROR(IF(AND(COUNT(AW57,AX57,AY57,AZ57)=4,(AW57+AX57+AY57+AZ57)&lt;&gt;0),((N(BA200)+N(BA201)+N(BA205)+N(BA226))-N(BA132))/(AW57+AX57+AY57+AZ57),""),"")</f>
        <v>5.8055744207765</v>
      </c>
      <c r="BB325" s="262">
        <f>IFERROR(IF(AND(COUNT(AX57,AY57,AZ57,BB57)=4,(AX57+AY57+AZ57+BB57)&lt;&gt;0),((N(BB200)+N(BB201)+N(BB205)+N(BB226))-N(BB132))/(AX57+AY57+AZ57+BB57),""),"")</f>
        <v>6.36112468001008</v>
      </c>
      <c r="BC325" s="262">
        <f>IFERROR(IF(AND(COUNT(AY57,AZ57,BB57,BC57)=4,(AY57+AZ57+BB57+BC57)&lt;&gt;0),((N(BC200)+N(BC201)+N(BC205)+N(BC226))-N(BC132))/(AY57+AZ57+BB57+BC57),""),"")</f>
        <v>6.19832909618593</v>
      </c>
      <c r="BD325" s="262">
        <f>IFERROR(IF(AND(COUNT(AZ57,BB57,BC57,BD57)=4,(AZ57+BB57+BC57+BD57)&lt;&gt;0),((N(BD200)+N(BD201)+N(BD205)+N(BD226))-N(BD132))/(AZ57+BB57+BC57+BD57),""),"")</f>
        <v>6.32412765110896</v>
      </c>
      <c r="BE325" s="262">
        <f>IFERROR(IF(AND(COUNT(BB57,BC57,BD57,BE57)=4,(BB57+BC57+BD57+BE57)&lt;&gt;0),((N(BE200)+N(BE201)+N(BE205)+N(BE226))-N(BE132))/(BB57+BC57+BD57+BE57),""),"")</f>
        <v>6.37540985661131</v>
      </c>
      <c r="BF325" s="262">
        <f>IFERROR(IF(AND(COUNT(BB57,BC57,BD57,BE57)=4,(BB57+BC57+BD57+BE57)&lt;&gt;0),((N(BF200)+N(BF201)+N(BF205)+N(BF226))-N(BF132))/(BB57+BC57+BD57+BE57),""),"")</f>
        <v>6.37540985661131</v>
      </c>
      <c r="BG325" s="82" t="n"/>
      <c r="BH325" s="82" t="n"/>
      <c r="BI325" s="82" t="n"/>
      <c r="BJ325" s="82" t="n"/>
      <c r="BL325" s="82" t="n"/>
      <c r="BM325" s="82" t="n"/>
      <c r="BN325" s="82" t="n"/>
      <c r="BO325" s="82" t="n"/>
      <c r="BQ325" s="82" t="n"/>
      <c r="BR325" s="82" t="n"/>
      <c r="BS325" s="82" t="n"/>
      <c r="BT325" s="82" t="n"/>
      <c r="BV325" s="82" t="n"/>
      <c r="BW325" s="82" t="n"/>
      <c r="BX325" s="82" t="n"/>
      <c r="BY325" s="82" t="n"/>
      <c r="CA325" s="82" t="n"/>
      <c r="CB325" s="82" t="n"/>
      <c r="CC325" s="82" t="n"/>
      <c r="CD325" s="82" t="n"/>
      <c r="CF325" s="82" t="n"/>
      <c r="CG325" s="82" t="n"/>
      <c r="CH325" s="82" t="n"/>
      <c r="CI325" s="82" t="n"/>
      <c r="CK325" s="82" t="n"/>
      <c r="CL325" s="82" t="n"/>
      <c r="CM325" s="82" t="n"/>
      <c r="CN325" s="82" t="n"/>
      <c r="CP325" s="82" t="n"/>
      <c r="CQ325" s="82" t="n"/>
      <c r="CR325" s="82" t="n"/>
      <c r="CS325" s="82" t="n"/>
      <c r="CU325" s="82" t="n"/>
      <c r="CV325" s="82" t="n"/>
      <c r="CW325" s="82" t="n"/>
      <c r="CX325" s="82" t="n"/>
    </row>
    <row r="326" customFormat="1" s="77">
      <c r="A326" s="76" t="n"/>
      <c r="B326" s="76" t="n"/>
      <c r="C326" s="77" t="inlineStr">
        <is>
          <t>INTEREST COVERAGE (EBIT / INTEREST, LTM)</t>
        </is>
      </c>
      <c r="D326" s="82" t="str">
        <f>IFERROR(D61/-D62,"")</f>
        <v/>
      </c>
      <c r="E326" s="82" t="str">
        <f>IFERROR(E61/-E62,"")</f>
        <v/>
      </c>
      <c r="F326" s="82" t="str">
        <f>IFERROR(F61/-F62,"")</f>
        <v/>
      </c>
      <c r="G326" s="82" t="str">
        <f>IFERROR(G61/-G62,"")</f>
        <v/>
      </c>
      <c r="H326" s="262" t="str">
        <f>IFERROR(IF(AND(COUNT(H61)=1,(H62)&lt;&gt;0),(H61)/-(H62),""),"")</f>
        <v/>
      </c>
      <c r="I326" s="262" t="str">
        <f>""</f>
        <v/>
      </c>
      <c r="J326" s="262" t="str">
        <f>""</f>
        <v/>
      </c>
      <c r="K326" s="262" t="str">
        <f>""</f>
        <v/>
      </c>
      <c r="L326" s="262">
        <f>IFERROR(IF(AND(COUNT(I61,J61,K61,L61)=4,(I62+J62+K62+L62)&lt;&gt;0),(I61+J61+K61+L61)/-(I62+J62+K62+L62),""),"")</f>
        <v>-1.23131672597865</v>
      </c>
      <c r="M326" s="262">
        <f>IFERROR(IF(AND(COUNT(I61,J61,K61,L61)=4,(I62+J62+K62+L62)&lt;&gt;0),(I61+J61+K61+L61)/-(I62+J62+K62+L62),""),"")</f>
        <v>-1.23131672597865</v>
      </c>
      <c r="N326" s="262">
        <f>IFERROR(IF(AND(COUNT(J61,K61,L61,N61)=4,(J62+K62+L62+N62)&lt;&gt;0),(J61+K61+L61+N61)/-(J62+K62+L62+N62),""),"")</f>
        <v>4.22014925373134</v>
      </c>
      <c r="O326" s="262">
        <f>IFERROR(IF(AND(COUNT(K61,L61,N61,O61)=4,(K62+L62+N62+O62)&lt;&gt;0),(K61+L61+N61+O61)/-(K62+L62+N62+O62),""),"")</f>
        <v>6.78968253968254</v>
      </c>
      <c r="P326" s="262">
        <f>IFERROR(IF(AND(COUNT(L61,N61,O61,P61)=4,(L62+N62+O62+P62)&lt;&gt;0),(L61+N61+O61+P61)/-(L62+N62+O62+P62),""),"")</f>
        <v>2.61417322834646</v>
      </c>
      <c r="Q326" s="262">
        <f>IFERROR(IF(AND(COUNT(N61,O61,P61,Q61)=4,(N62+O62+P62+Q62)&lt;&gt;0),(N61+O61+P61+Q61)/-(N62+O62+P62+Q62),""),"")</f>
        <v>1.976</v>
      </c>
      <c r="R326" s="262">
        <f>IFERROR(IF(AND(COUNT(N61,O61,P61,Q61)=4,(N62+O62+P62+Q62)&lt;&gt;0),(N61+O61+P61+Q61)/-(N62+O62+P62+Q62),""),"")</f>
        <v>1.976</v>
      </c>
      <c r="S326" s="262">
        <f>IFERROR(IF(AND(COUNT(O61,P61,Q61,S61)=4,(O62+P62+Q62+S62)&lt;&gt;0),(O61+P61+Q61+S61)/-(O62+P62+Q62+S62),""),"")</f>
        <v>0.298013245033113</v>
      </c>
      <c r="T326" s="262">
        <f>IFERROR(IF(AND(COUNT(P61,Q61,S61,T61)=4,(P62+Q62+S62+T62)&lt;&gt;0),(P61+Q61+S61+T61)/-(P62+Q62+S62+T62),""),"")</f>
        <v>1.39541547277937</v>
      </c>
      <c r="U326" s="262">
        <f>IFERROR(IF(AND(COUNT(Q61,S61,T61,U61)=4,(Q62+S62+T62+U62)&lt;&gt;0),(Q61+S61+T61+U61)/-(Q62+S62+T62+U62),""),"")</f>
        <v>4.22752808988764</v>
      </c>
      <c r="V326" s="262">
        <f>IFERROR(IF(AND(COUNT(S61,T61,U61,V61)=4,(S62+T62+U62+V62)&lt;&gt;0),(S61+T61+U61+V61)/-(S62+T62+U62+V62),""),"")</f>
        <v>3.73549883990719</v>
      </c>
      <c r="W326" s="262">
        <f>IFERROR(IF(AND(COUNT(S61,T61,U61,V61)=4,(S62+T62+U62+V62)&lt;&gt;0),(S61+T61+U61+V61)/-(S62+T62+U62+V62),""),"")</f>
        <v>3.73549883990719</v>
      </c>
      <c r="X326" s="262">
        <f>IFERROR(IF(AND(COUNT(T61,U61,V61,X61)=4,(T62+U62+V62+X62)&lt;&gt;0),(T61+U61+V61+X61)/-(T62+U62+V62+X62),""),"")</f>
        <v>5.30376940133038</v>
      </c>
      <c r="Y326" s="262">
        <f>IFERROR(IF(AND(COUNT(U61,V61,X61,Y61)=4,(U62+V62+X62+Y62)&lt;&gt;0),(U61+V61+X61+Y61)/-(U62+V62+X62+Y62),""),"")</f>
        <v>5.76122448979592</v>
      </c>
      <c r="Z326" s="262">
        <f>IFERROR(IF(AND(COUNT(V61,X61,Y61,Z61)=4,(V62+X62+Y62+Z62)&lt;&gt;0),(V61+X61+Y61+Z61)/-(V62+X62+Y62+Z62),""),"")</f>
        <v>5.96936936936937</v>
      </c>
      <c r="AA326" s="262">
        <f>IFERROR(IF(AND(COUNT(X61,Y61,Z61,AA61)=4,(X62+Y62+Z62+AA62)&lt;&gt;0),(X61+Y61+Z61+AA61)/-(X62+Y62+Z62+AA62),""),"")</f>
        <v>8.60079051383399</v>
      </c>
      <c r="AB326" s="262">
        <f>IFERROR(IF(AND(COUNT(X61,Y61,Z61,AA61)=4,(X62+Y62+Z62+AA62)&lt;&gt;0),(X61+Y61+Z61+AA61)/-(X62+Y62+Z62+AA62),""),"")</f>
        <v>8.60079051383399</v>
      </c>
      <c r="AC326" s="262">
        <f>IFERROR(IF(AND(COUNT(Y61,Z61,AA61,AC61)=4,(Y62+Z62+AA62+AC62)&lt;&gt;0),(Y61+Z61+AA61+AC61)/-(Y62+Z62+AA62+AC62),""),"")</f>
        <v>7.6</v>
      </c>
      <c r="AD326" s="262">
        <f>IFERROR(IF(AND(COUNT(Z61,AA61,AC61,AD61)=4,(Z62+AA62+AC62+AD62)&lt;&gt;0),(Z61+AA61+AC61+AD61)/-(Z62+AA62+AC62+AD62),""),"")</f>
        <v>7.66666666666667</v>
      </c>
      <c r="AE326" s="262">
        <f>IFERROR(IF(AND(COUNT(AA61,AC61,AD61,AE61)=4,(AA62+AC62+AD62+AE62)&lt;&gt;0),(AA61+AC61+AD61+AE61)/-(AA62+AC62+AD62+AE62),""),"")</f>
        <v>7.09016393442623</v>
      </c>
      <c r="AF326" s="262">
        <f>IFERROR(IF(AND(COUNT(AB61,AD61,AE61,AF61)=4,(AB62+AD62+AE62+AF62)&lt;&gt;0),(AB61+AD61+AE61+AF61)/-(AB62+AD62+AE62+AF62),""),"")</f>
        <v>8.02181400688864</v>
      </c>
      <c r="AG326" s="262">
        <f>IFERROR(IF(AND(COUNT(AC61,AD61,AE61,AF61)=4,(AC62+AD62+AE62+AF62)&lt;&gt;0),(AC61+AD61+AE61+AF61)/-(AC62+AD62+AE62+AF62),""),"")</f>
        <v>6.03913894324853</v>
      </c>
      <c r="AH326" s="262">
        <f>IFERROR(IF(AND(COUNT(AD61,AF61,AG61,AH61)=4,(AD62+AF62+AG62+AH62)&lt;&gt;0),(AD61+AF61+AG61+AH61)/-(AD62+AF62+AG62+AH62),""),"")</f>
        <v>7.00201005025126</v>
      </c>
      <c r="AI326" s="262">
        <f>IFERROR(IF(AND(COUNT(AE61,AG61,AH61,AI61)=4,(AE62+AG62+AH62+AI62)&lt;&gt;0),(AE61+AG61+AH61+AI61)/-(AE62+AG62+AH62+AI62),""),"")</f>
        <v>5.99830651989839</v>
      </c>
      <c r="AJ326" s="262" t="str">
        <f>IFERROR(IF(AND(COUNT(AF61,AH61,AI61,AJ61)=4,(AF62+AH62+AI62+AJ62)&lt;&gt;0),(AF61+AH61+AI61+AJ61)/-(AF62+AH62+AI62+AJ62),""),"")</f>
        <v/>
      </c>
      <c r="AK326" s="262" t="str">
        <f>IFERROR(IF(AND(COUNT(AH61,AI61,AJ61,AK61)=4,(AH62+AI62+AJ62+AK62)&lt;&gt;0),(AH61+AI61+AJ61+AK61)/-(AH62+AI62+AJ62+AK62),""),"")</f>
        <v/>
      </c>
      <c r="AL326" s="262" t="str">
        <f>IFERROR(IF(AND(COUNT(AH61,AI61,AJ61,AK61)=4,(AH62+AI62+AJ62+AK62)&lt;&gt;0),(AH61+AI61+AJ61+AK61)/-(AH62+AI62+AJ62+AK62),""),"")</f>
        <v/>
      </c>
      <c r="AM326" s="262" t="str">
        <f>IFERROR(IF(AND(COUNT(AI61,AJ61,AK61,AM61)=4,(AI62+AJ62+AK62+AM62)&lt;&gt;0),(AI61+AJ61+AK61+AM61)/-(AI62+AJ62+AK62+AM62),""),"")</f>
        <v/>
      </c>
      <c r="AN326" s="262" t="str">
        <f>IFERROR(IF(AND(COUNT(AJ61,AK61,AM61,AN61)=4,(AJ62+AK62+AM62+AN62)&lt;&gt;0),(AJ61+AK61+AM61+AN61)/-(AJ62+AK62+AM62+AN62),""),"")</f>
        <v/>
      </c>
      <c r="AO326" s="262" t="str">
        <f>IFERROR(IF(AND(COUNT(AK61,AM61,AN61,AO61)=4,(AK62+AM62+AN62+AO62)&lt;&gt;0),(AK61+AM61+AN61+AO61)/-(AK62+AM62+AN62+AO62),""),"")</f>
        <v/>
      </c>
      <c r="AP326" s="262" t="str">
        <f>IFERROR(IF(AND(COUNT(AM61,AN61,AO61,AP61)=4,(AM62+AN62+AO62+AP62)&lt;&gt;0),(AM61+AN61+AO61+AP61)/-(AM62+AN62+AO62+AP62),""),"")</f>
        <v/>
      </c>
      <c r="AQ326" s="262" t="str">
        <f>IFERROR(IF(AND(COUNT(AM61,AN61,AO61,AP61)=4,(AM62+AN62+AO62+AP62)&lt;&gt;0),(AM61+AN61+AO61+AP61)/-(AM62+AN62+AO62+AP62),""),"")</f>
        <v/>
      </c>
      <c r="AR326" s="262" t="str">
        <f>IFERROR(IF(AND(COUNT(AN61,AO61,AP61,AR61)=4,(AN62+AO62+AP62+AR62)&lt;&gt;0),(AN61+AO61+AP61+AR61)/-(AN62+AO62+AP62+AR62),""),"")</f>
        <v/>
      </c>
      <c r="AS326" s="262" t="str">
        <f>IFERROR(IF(AND(COUNT(AO61,AP61,AR61,AS61)=4,(AO62+AP62+AR62+AS62)&lt;&gt;0),(AO61+AP61+AR61+AS61)/-(AO62+AP62+AR62+AS62),""),"")</f>
        <v/>
      </c>
      <c r="AT326" s="262" t="str">
        <f>IFERROR(IF(AND(COUNT(AP61,AR61,AS61,AT61)=4,(AP62+AR62+AS62+AT62)&lt;&gt;0),(AP61+AR61+AS61+AT61)/-(AP62+AR62+AS62+AT62),""),"")</f>
        <v/>
      </c>
      <c r="AU326" s="262" t="str">
        <f>IFERROR(IF(AND(COUNT(AR61,AS61,AT61,AU61)=4,(AR62+AS62+AT62+AU62)&lt;&gt;0),(AR61+AS61+AT61+AU61)/-(AR62+AS62+AT62+AU62),""),"")</f>
        <v/>
      </c>
      <c r="AV326" s="262" t="str">
        <f>IFERROR(IF(AND(COUNT(AR61,AS61,AT61,AU61)=4,(AR62+AS62+AT62+AU62)&lt;&gt;0),(AR61+AS61+AT61+AU61)/-(AR62+AS62+AT62+AU62),""),"")</f>
        <v/>
      </c>
      <c r="AW326" s="262" t="str">
        <f>IFERROR(IF(AND(COUNT(AS61,AT61,AU61,AW61)=4,(AS62+AT62+AU62+AW62)&lt;&gt;0),(AS61+AT61+AU61+AW61)/-(AS62+AT62+AU62+AW62),""),"")</f>
        <v/>
      </c>
      <c r="AX326" s="262" t="str">
        <f>IFERROR(IF(AND(COUNT(AT61,AU61,AW61,AX61)=4,(AT62+AU62+AW62+AX62)&lt;&gt;0),(AT61+AU61+AW61+AX61)/-(AT62+AU62+AW62+AX62),""),"")</f>
        <v/>
      </c>
      <c r="AY326" s="262" t="str">
        <f>IFERROR(IF(AND(COUNT(AU61,AW61,AX61,AY61)=4,(AU62+AW62+AX62+AY62)&lt;&gt;0),(AU61+AW61+AX61+AY61)/-(AU62+AW62+AX62+AY62),""),"")</f>
        <v/>
      </c>
      <c r="AZ326" s="262" t="str">
        <f>IFERROR(IF(AND(COUNT(AW61,AX61,AY61,AZ61)=4,(AW62+AX62+AY62+AZ62)&lt;&gt;0),(AW61+AX61+AY61+AZ61)/-(AW62+AX62+AY62+AZ62),""),"")</f>
        <v/>
      </c>
      <c r="BA326" s="262" t="str">
        <f>IFERROR(IF(AND(COUNT(AW61,AX61,AY61,AZ61)=4,(AW62+AX62+AY62+AZ62)&lt;&gt;0),(AW61+AX61+AY61+AZ61)/-(AW62+AX62+AY62+AZ62),""),"")</f>
        <v/>
      </c>
      <c r="BB326" s="262" t="str">
        <f>IFERROR(IF(AND(COUNT(AX61,AY61,AZ61,BB61)=4,(AX62+AY62+AZ62+BB62)&lt;&gt;0),(AX61+AY61+AZ61+BB61)/-(AX62+AY62+AZ62+BB62),""),"")</f>
        <v/>
      </c>
      <c r="BC326" s="262" t="str">
        <f>IFERROR(IF(AND(COUNT(AY61,AZ61,BB61,BC61)=4,(AY62+AZ62+BB62+BC62)&lt;&gt;0),(AY61+AZ61+BB61+BC61)/-(AY62+AZ62+BB62+BC62),""),"")</f>
        <v/>
      </c>
      <c r="BD326" s="262" t="str">
        <f>IFERROR(IF(AND(COUNT(AZ61,BB61,BC61,BD61)=4,(AZ62+BB62+BC62+BD62)&lt;&gt;0),(AZ61+BB61+BC61+BD61)/-(AZ62+BB62+BC62+BD62),""),"")</f>
        <v/>
      </c>
      <c r="BE326" s="262" t="str">
        <f>IFERROR(IF(AND(COUNT(BB61,BC61,BD61,BE61)=4,(BB62+BC62+BD62+BE62)&lt;&gt;0),(BB61+BC61+BD61+BE61)/-(BB62+BC62+BD62+BE62),""),"")</f>
        <v/>
      </c>
      <c r="BF326" s="262" t="str">
        <f>IFERROR(IF(AND(COUNT(BB61,BC61,BD61,BE61)=4,(BB62+BC62+BD62+BE62)&lt;&gt;0),(BB61+BC61+BD61+BE61)/-(BB62+BC62+BD62+BE62),""),"")</f>
        <v/>
      </c>
      <c r="BG326" s="82" t="n"/>
      <c r="BH326" s="82" t="n"/>
      <c r="BI326" s="82" t="n"/>
      <c r="BJ326" s="82" t="n"/>
      <c r="BL326" s="82" t="n"/>
      <c r="BM326" s="82" t="n"/>
      <c r="BN326" s="82" t="n"/>
      <c r="BO326" s="82" t="n"/>
      <c r="BQ326" s="82" t="n"/>
      <c r="BR326" s="82" t="n"/>
      <c r="BS326" s="82" t="n"/>
      <c r="BT326" s="82" t="n"/>
      <c r="BV326" s="82" t="n"/>
      <c r="BW326" s="82" t="n"/>
      <c r="BX326" s="82" t="n"/>
      <c r="BY326" s="82" t="n"/>
      <c r="CA326" s="82" t="n"/>
      <c r="CB326" s="82" t="n"/>
      <c r="CC326" s="82" t="n"/>
      <c r="CD326" s="82" t="n"/>
      <c r="CF326" s="82" t="n"/>
      <c r="CG326" s="82" t="n"/>
      <c r="CH326" s="82" t="n"/>
      <c r="CI326" s="82" t="n"/>
      <c r="CK326" s="82" t="n"/>
      <c r="CL326" s="82" t="n"/>
      <c r="CM326" s="82" t="n"/>
      <c r="CN326" s="82" t="n"/>
      <c r="CP326" s="82" t="n"/>
      <c r="CQ326" s="82" t="n"/>
      <c r="CR326" s="82" t="n"/>
      <c r="CS326" s="82" t="n"/>
      <c r="CU326" s="82" t="n"/>
      <c r="CV326" s="82" t="n"/>
      <c r="CW326" s="82" t="n"/>
      <c r="CX326" s="82" t="n"/>
    </row>
    <row r="327" customFormat="1" s="77">
      <c r="A327" s="76" t="n"/>
      <c r="B327" s="76" t="n"/>
    </row>
    <row r="328" customFormat="1" s="77">
      <c r="A328" s="76" t="n"/>
      <c r="B328" s="76" t="n"/>
      <c r="C328" s="74" t="inlineStr">
        <is>
          <t>INTERNAL LIQUIDITY</t>
        </is>
      </c>
    </row>
    <row r="329" customFormat="1" s="77">
      <c r="A329" s="76" t="n"/>
      <c r="B329" s="76" t="n"/>
      <c r="C329" s="77" t="inlineStr">
        <is>
          <t>CURRENT RATIO</t>
        </is>
      </c>
      <c r="D329" s="82" t="str">
        <f>IFERROR(SUM(D132,D133,D137,D141,D142,D143)/SUM(D186,D190,D192,D193),"")</f>
        <v/>
      </c>
      <c r="E329" s="82" t="str">
        <f>IFERROR(SUM(E132,E133,E137,E141,E142,E143)/SUM(E186,E190,E192,E193),"")</f>
        <v/>
      </c>
      <c r="F329" s="82" t="str">
        <f>IFERROR(SUM(F132,F133,F137,F141,F142,F143)/SUM(F186,F190,F192,F193),"")</f>
        <v/>
      </c>
      <c r="G329" s="82" t="str">
        <f>IFERROR(SUM(G132,G133,G137,G141,G142,G143)/SUM(G186,G190,G192,G193),"")</f>
        <v/>
      </c>
      <c r="H329" s="262" t="str">
        <f>IFERROR(IF((N(H186)+N(H190)+N(H192)+N(H193)+N(H200)+N(H201)+N(H202))&lt;&gt;0,(N(H132)+(N(H133)+N(H137)+N(H141)+N(H142)+N(H143)))/(N(H186)+N(H190)+N(H192)+N(H193)+N(H200)+N(H201)+N(H202)),""),"")</f>
        <v/>
      </c>
      <c r="I329" s="262" t="str">
        <f>IFERROR(IF((N(I186)+N(I190)+N(I192)+N(I193)+N(I200)+N(I201)+N(I202))&lt;&gt;0,(N(I132)+(N(I133)+N(I137)+N(I141)+N(I142)+N(I143)))/(N(I186)+N(I190)+N(I192)+N(I193)+N(I200)+N(I201)+N(I202)),""),"")</f>
        <v/>
      </c>
      <c r="J329" s="262" t="str">
        <f>IFERROR(IF((N(J186)+N(J190)+N(J192)+N(J193)+N(J200)+N(J201)+N(J202))&lt;&gt;0,(N(J132)+(N(J133)+N(J137)+N(J141)+N(J142)+N(J143)))/(N(J186)+N(J190)+N(J192)+N(J193)+N(J200)+N(J201)+N(J202)),""),"")</f>
        <v/>
      </c>
      <c r="K329" s="262" t="str">
        <f>IFERROR(IF((N(K186)+N(K190)+N(K192)+N(K193)+N(K200)+N(K201)+N(K202))&lt;&gt;0,(N(K132)+(N(K133)+N(K137)+N(K141)+N(K142)+N(K143)))/(N(K186)+N(K190)+N(K192)+N(K193)+N(K200)+N(K201)+N(K202)),""),"")</f>
        <v/>
      </c>
      <c r="L329" s="262">
        <f>IFERROR(IF((N(L186)+N(L190)+N(L192)+N(L193)+N(L200)+N(L201)+N(L202))&lt;&gt;0,(N(L132)+(N(L133)+N(L137)+N(L141)+N(L142)+N(L143)))/(N(L186)+N(L190)+N(L192)+N(L193)+N(L200)+N(L201)+N(L202)),""),"")</f>
        <v>1.00212606303152</v>
      </c>
      <c r="M329" s="262">
        <f>IFERROR(IF((N(M186)+N(M190)+N(M192)+N(M193)+N(M200)+N(M201)+N(M202))&lt;&gt;0,(N(M132)+(N(M133)+N(M137)+N(M141)+N(M142)+N(M143)))/(N(M186)+N(M190)+N(M192)+N(M193)+N(M200)+N(M201)+N(M202)),""),"")</f>
        <v>1.00212606303152</v>
      </c>
      <c r="N329" s="262">
        <f>IFERROR(IF((N(N186)+N(N190)+N(N192)+N(N193)+N(N200)+N(N201)+N(N202))&lt;&gt;0,(N(N132)+(N(N133)+N(N137)+N(N141)+N(N142)+N(N143)))/(N(N186)+N(N190)+N(N192)+N(N193)+N(N200)+N(N201)+N(N202)),""),"")</f>
        <v>1.36820018650917</v>
      </c>
      <c r="O329" s="262">
        <f>IFERROR(IF((N(O186)+N(O190)+N(O192)+N(O193)+N(O200)+N(O201)+N(O202))&lt;&gt;0,(N(O132)+(N(O133)+N(O137)+N(O141)+N(O142)+N(O143)))/(N(O186)+N(O190)+N(O192)+N(O193)+N(O200)+N(O201)+N(O202)),""),"")</f>
        <v>1.38210275603947</v>
      </c>
      <c r="P329" s="262">
        <f>IFERROR(IF((N(P186)+N(P190)+N(P192)+N(P193)+N(P200)+N(P201)+N(P202))&lt;&gt;0,(N(P132)+(N(P133)+N(P137)+N(P141)+N(P142)+N(P143)))/(N(P186)+N(P190)+N(P192)+N(P193)+N(P200)+N(P201)+N(P202)),""),"")</f>
        <v>1.25218714340053</v>
      </c>
      <c r="Q329" s="262">
        <f>IFERROR(IF((N(Q186)+N(Q190)+N(Q192)+N(Q193)+N(Q200)+N(Q201)+N(Q202))&lt;&gt;0,(N(Q132)+(N(Q133)+N(Q137)+N(Q141)+N(Q142)+N(Q143)))/(N(Q186)+N(Q190)+N(Q192)+N(Q193)+N(Q200)+N(Q201)+N(Q202)),""),"")</f>
        <v>1.19964281158311</v>
      </c>
      <c r="R329" s="262">
        <f>IFERROR(IF((N(R186)+N(R190)+N(R192)+N(R193)+N(R200)+N(R201)+N(R202))&lt;&gt;0,(N(R132)+(N(R133)+N(R137)+N(R141)+N(R142)+N(R143)))/(N(R186)+N(R190)+N(R192)+N(R193)+N(R200)+N(R201)+N(R202)),""),"")</f>
        <v>1.19964281158311</v>
      </c>
      <c r="S329" s="262">
        <f>IFERROR(IF((N(S186)+N(S190)+N(S192)+N(S193)+N(S200)+N(S201)+N(S202))&lt;&gt;0,(N(S132)+(N(S133)+N(S137)+N(S141)+N(S142)+N(S143)))/(N(S186)+N(S190)+N(S192)+N(S193)+N(S200)+N(S201)+N(S202)),""),"")</f>
        <v>1.37094333277283</v>
      </c>
      <c r="T329" s="262">
        <f>IFERROR(IF((N(T186)+N(T190)+N(T192)+N(T193)+N(T200)+N(T201)+N(T202))&lt;&gt;0,(N(T132)+(N(T133)+N(T137)+N(T141)+N(T142)+N(T143)))/(N(T186)+N(T190)+N(T192)+N(T193)+N(T200)+N(T201)+N(T202)),""),"")</f>
        <v>1.45799043062201</v>
      </c>
      <c r="U329" s="262">
        <f>IFERROR(IF((N(U186)+N(U190)+N(U192)+N(U193)+N(U200)+N(U201)+N(U202))&lt;&gt;0,(N(U132)+(N(U133)+N(U137)+N(U141)+N(U142)+N(U143)))/(N(U186)+N(U190)+N(U192)+N(U193)+N(U200)+N(U201)+N(U202)),""),"")</f>
        <v>1.88960668820065</v>
      </c>
      <c r="V329" s="262">
        <f>IFERROR(IF((N(V186)+N(V190)+N(V192)+N(V193)+N(V200)+N(V201)+N(V202))&lt;&gt;0,(N(V132)+(N(V133)+N(V137)+N(V141)+N(V142)+N(V143)))/(N(V186)+N(V190)+N(V192)+N(V193)+N(V200)+N(V201)+N(V202)),""),"")</f>
        <v>1.3215698686501</v>
      </c>
      <c r="W329" s="262">
        <f>IFERROR(IF((N(W186)+N(W190)+N(W192)+N(W193)+N(W200)+N(W201)+N(W202))&lt;&gt;0,(N(W132)+(N(W133)+N(W137)+N(W141)+N(W142)+N(W143)))/(N(W186)+N(W190)+N(W192)+N(W193)+N(W200)+N(W201)+N(W202)),""),"")</f>
        <v>1.3215698686501</v>
      </c>
      <c r="X329" s="262">
        <f>IFERROR(IF((N(X186)+N(X190)+N(X192)+N(X193)+N(X200)+N(X201)+N(X202))&lt;&gt;0,(N(X132)+(N(X133)+N(X137)+N(X141)+N(X142)+N(X143)))/(N(X186)+N(X190)+N(X192)+N(X193)+N(X200)+N(X201)+N(X202)),""),"")</f>
        <v>1.43498817966903</v>
      </c>
      <c r="Y329" s="262">
        <f>IFERROR(IF((N(Y186)+N(Y190)+N(Y192)+N(Y193)+N(Y200)+N(Y201)+N(Y202))&lt;&gt;0,(N(Y132)+(N(Y133)+N(Y137)+N(Y141)+N(Y142)+N(Y143)))/(N(Y186)+N(Y190)+N(Y192)+N(Y193)+N(Y200)+N(Y201)+N(Y202)),""),"")</f>
        <v>1.35786933287364</v>
      </c>
      <c r="Z329" s="262">
        <f>IFERROR(IF((N(Z186)+N(Z190)+N(Z192)+N(Z193)+N(Z200)+N(Z201)+N(Z202))&lt;&gt;0,(N(Z132)+(N(Z133)+N(Z137)+N(Z141)+N(Z142)+N(Z143)))/(N(Z186)+N(Z190)+N(Z192)+N(Z193)+N(Z200)+N(Z201)+N(Z202)),""),"")</f>
        <v>1.7067131327953</v>
      </c>
      <c r="AA329" s="262">
        <f>IFERROR(IF((N(AA186)+N(AA190)+N(AA192)+N(AA193)+N(AA200)+N(AA201)+N(AA202))&lt;&gt;0,(N(AA132)+(N(AA133)+N(AA137)+N(AA141)+N(AA142)+N(AA143)))/(N(AA186)+N(AA190)+N(AA192)+N(AA193)+N(AA200)+N(AA201)+N(AA202)),""),"")</f>
        <v>1.57405784399649</v>
      </c>
      <c r="AB329" s="262">
        <f>IFERROR(IF((N(AB186)+N(AB190)+N(AB192)+N(AB193)+N(AB200)+N(AB201)+N(AB202))&lt;&gt;0,(N(AB132)+(N(AB133)+N(AB137)+N(AB141)+N(AB142)+N(AB143)))/(N(AB186)+N(AB190)+N(AB192)+N(AB193)+N(AB200)+N(AB201)+N(AB202)),""),"")</f>
        <v>1.57405784399649</v>
      </c>
      <c r="AC329" s="262">
        <f>IFERROR(IF((N(AC186)+N(AC190)+N(AC192)+N(AC193)+N(AC200)+N(AC201)+N(AC202))&lt;&gt;0,(N(AC132)+(N(AC133)+N(AC137)+N(AC141)+N(AC142)+N(AC143)))/(N(AC186)+N(AC190)+N(AC192)+N(AC193)+N(AC200)+N(AC201)+N(AC202)),""),"")</f>
        <v>1.47150496562261</v>
      </c>
      <c r="AD329" s="262">
        <f>IFERROR(IF((N(AD186)+N(AD190)+N(AD192)+N(AD193)+N(AD200)+N(AD201)+N(AD202))&lt;&gt;0,(N(AD132)+(N(AD133)+N(AD137)+N(AD141)+N(AD142)+N(AD143)))/(N(AD186)+N(AD190)+N(AD192)+N(AD193)+N(AD200)+N(AD201)+N(AD202)),""),"")</f>
        <v>1.4758631713555</v>
      </c>
      <c r="AE329" s="262">
        <f>IFERROR(IF((N(AE186)+N(AE190)+N(AE192)+N(AE193)+N(AE200)+N(AE201)+N(AE202))&lt;&gt;0,(N(AE132)+(N(AE133)+N(AE137)+N(AE141)+N(AE142)+N(AE143)))/(N(AE186)+N(AE190)+N(AE192)+N(AE193)+N(AE200)+N(AE201)+N(AE202)),""),"")</f>
        <v>1.5625754527163</v>
      </c>
      <c r="AF329" s="262">
        <f>IFERROR(IF((N(AF186)+N(AF190)+N(AF192)+N(AF193)+N(AF200)+N(AF201)+N(AF202))&lt;&gt;0,(N(AF132)+(N(AF133)+N(AF137)+N(AF141)+N(AF142)+N(AF143)))/(N(AF186)+N(AF190)+N(AF192)+N(AF193)+N(AF200)+N(AF201)+N(AF202)),""),"")</f>
        <v>1.52555387713998</v>
      </c>
      <c r="AG329" s="262">
        <f>IFERROR(IF((N(AG186)+N(AG190)+N(AG192)+N(AG193)+N(AG200)+N(AG201)+N(AG202))&lt;&gt;0,(N(AG132)+(N(AG133)+N(AG137)+N(AG141)+N(AG142)+N(AG143)))/(N(AG186)+N(AG190)+N(AG192)+N(AG193)+N(AG200)+N(AG201)+N(AG202)),""),"")</f>
        <v>1.52555387713998</v>
      </c>
      <c r="AH329" s="262">
        <f>IFERROR(IF((N(AH186)+N(AH190)+N(AH192)+N(AH193)+N(AH200)+N(AH201)+N(AH202))&lt;&gt;0,(N(AH132)+(N(AH133)+N(AH137)+N(AH141)+N(AH142)+N(AH143)))/(N(AH186)+N(AH190)+N(AH192)+N(AH193)+N(AH200)+N(AH201)+N(AH202)),""),"")</f>
        <v>1.3627695800227</v>
      </c>
      <c r="AI329" s="262">
        <f>IFERROR(IF((N(AI186)+N(AI190)+N(AI192)+N(AI193)+N(AI200)+N(AI201)+N(AI202))&lt;&gt;0,(N(AI132)+(N(AI133)+N(AI137)+N(AI141)+N(AI142)+N(AI143)))/(N(AI186)+N(AI190)+N(AI192)+N(AI193)+N(AI200)+N(AI201)+N(AI202)),""),"")</f>
        <v>1.45526396562308</v>
      </c>
      <c r="AJ329" s="262">
        <f>IFERROR(IF((N(AJ186)+N(AJ190)+N(AJ192)+N(AJ193)+N(AJ200)+N(AJ201)+N(AJ202))&lt;&gt;0,(N(AJ132)+(N(AJ133)+N(AJ137)+N(AJ141)+N(AJ142)+N(AJ143)))/(N(AJ186)+N(AJ190)+N(AJ192)+N(AJ193)+N(AJ200)+N(AJ201)+N(AJ202)),""),"")</f>
        <v>1.37707328598625</v>
      </c>
      <c r="AK329" s="262">
        <f>IFERROR(IF((N(AK186)+N(AK190)+N(AK192)+N(AK193)+N(AK200)+N(AK201)+N(AK202))&lt;&gt;0,(N(AK132)+(N(AK133)+N(AK137)+N(AK141)+N(AK142)+N(AK143)))/(N(AK186)+N(AK190)+N(AK192)+N(AK193)+N(AK200)+N(AK201)+N(AK202)),""),"")</f>
        <v>1.0878783724627</v>
      </c>
      <c r="AL329" s="262">
        <f>IFERROR(IF((N(AL186)+N(AL190)+N(AL192)+N(AL193)+N(AL200)+N(AL201)+N(AL202))&lt;&gt;0,(N(AL132)+(N(AL133)+N(AL137)+N(AL141)+N(AL142)+N(AL143)))/(N(AL186)+N(AL190)+N(AL192)+N(AL193)+N(AL200)+N(AL201)+N(AL202)),""),"")</f>
        <v>1.0878783724627</v>
      </c>
      <c r="AM329" s="262">
        <f>IFERROR(IF((N(AM186)+N(AM190)+N(AM192)+N(AM193)+N(AM200)+N(AM201)+N(AM202))&lt;&gt;0,(N(AM132)+(N(AM133)+N(AM137)+N(AM141)+N(AM142)+N(AM143)))/(N(AM186)+N(AM190)+N(AM192)+N(AM193)+N(AM200)+N(AM201)+N(AM202)),""),"")</f>
        <v>0.558338394160273</v>
      </c>
      <c r="AN329" s="262">
        <f>IFERROR(IF((N(AN186)+N(AN190)+N(AN192)+N(AN193)+N(AN200)+N(AN201)+N(AN202))&lt;&gt;0,(N(AN132)+(N(AN133)+N(AN137)+N(AN141)+N(AN142)+N(AN143)))/(N(AN186)+N(AN190)+N(AN192)+N(AN193)+N(AN200)+N(AN201)+N(AN202)),""),"")</f>
        <v>0.201058408799599</v>
      </c>
      <c r="AO329" s="262">
        <f>IFERROR(IF((N(AO186)+N(AO190)+N(AO192)+N(AO193)+N(AO200)+N(AO201)+N(AO202))&lt;&gt;0,(N(AO132)+(N(AO133)+N(AO137)+N(AO141)+N(AO142)+N(AO143)))/(N(AO186)+N(AO190)+N(AO192)+N(AO193)+N(AO200)+N(AO201)+N(AO202)),""),"")</f>
        <v>-0.175157618801525</v>
      </c>
      <c r="AP329" s="262">
        <f>IFERROR(IF((N(AP186)+N(AP190)+N(AP192)+N(AP193)+N(AP200)+N(AP201)+N(AP202))&lt;&gt;0,(N(AP132)+(N(AP133)+N(AP137)+N(AP141)+N(AP142)+N(AP143)))/(N(AP186)+N(AP190)+N(AP192)+N(AP193)+N(AP200)+N(AP201)+N(AP202)),""),"")</f>
        <v>-0.522971340513733</v>
      </c>
      <c r="AQ329" s="262">
        <f>IFERROR(IF((N(AQ186)+N(AQ190)+N(AQ192)+N(AQ193)+N(AQ200)+N(AQ201)+N(AQ202))&lt;&gt;0,(N(AQ132)+(N(AQ133)+N(AQ137)+N(AQ141)+N(AQ142)+N(AQ143)))/(N(AQ186)+N(AQ190)+N(AQ192)+N(AQ193)+N(AQ200)+N(AQ201)+N(AQ202)),""),"")</f>
        <v>-0.522971340513733</v>
      </c>
      <c r="AR329" s="262">
        <f>IFERROR(IF((N(AR186)+N(AR190)+N(AR192)+N(AR193)+N(AR200)+N(AR201)+N(AR202))&lt;&gt;0,(N(AR132)+(N(AR133)+N(AR137)+N(AR141)+N(AR142)+N(AR143)))/(N(AR186)+N(AR190)+N(AR192)+N(AR193)+N(AR200)+N(AR201)+N(AR202)),""),"")</f>
        <v>-1.1571995400103</v>
      </c>
      <c r="AS329" s="262">
        <f>IFERROR(IF((N(AS186)+N(AS190)+N(AS192)+N(AS193)+N(AS200)+N(AS201)+N(AS202))&lt;&gt;0,(N(AS132)+(N(AS133)+N(AS137)+N(AS141)+N(AS142)+N(AS143)))/(N(AS186)+N(AS190)+N(AS192)+N(AS193)+N(AS200)+N(AS201)+N(AS202)),""),"")</f>
        <v>-1.58511254208028</v>
      </c>
      <c r="AT329" s="262">
        <f>IFERROR(IF((N(AT186)+N(AT190)+N(AT192)+N(AT193)+N(AT200)+N(AT201)+N(AT202))&lt;&gt;0,(N(AT132)+(N(AT133)+N(AT137)+N(AT141)+N(AT142)+N(AT143)))/(N(AT186)+N(AT190)+N(AT192)+N(AT193)+N(AT200)+N(AT201)+N(AT202)),""),"")</f>
        <v>-2.03570517641192</v>
      </c>
      <c r="AU329" s="262">
        <f>IFERROR(IF((N(AU186)+N(AU190)+N(AU192)+N(AU193)+N(AU200)+N(AU201)+N(AU202))&lt;&gt;0,(N(AU132)+(N(AU133)+N(AU137)+N(AU141)+N(AU142)+N(AU143)))/(N(AU186)+N(AU190)+N(AU192)+N(AU193)+N(AU200)+N(AU201)+N(AU202)),""),"")</f>
        <v>-2.4522804672689</v>
      </c>
      <c r="AV329" s="262">
        <f>IFERROR(IF((N(AV186)+N(AV190)+N(AV192)+N(AV193)+N(AV200)+N(AV201)+N(AV202))&lt;&gt;0,(N(AV132)+(N(AV133)+N(AV137)+N(AV141)+N(AV142)+N(AV143)))/(N(AV186)+N(AV190)+N(AV192)+N(AV193)+N(AV200)+N(AV201)+N(AV202)),""),"")</f>
        <v>-2.4522804672689</v>
      </c>
      <c r="AW329" s="262">
        <f>IFERROR(IF((N(AW186)+N(AW190)+N(AW192)+N(AW193)+N(AW200)+N(AW201)+N(AW202))&lt;&gt;0,(N(AW132)+(N(AW133)+N(AW137)+N(AW141)+N(AW142)+N(AW143)))/(N(AW186)+N(AW190)+N(AW192)+N(AW193)+N(AW200)+N(AW201)+N(AW202)),""),"")</f>
        <v>-3.20872224601009</v>
      </c>
      <c r="AX329" s="262">
        <f>IFERROR(IF((N(AX186)+N(AX190)+N(AX192)+N(AX193)+N(AX200)+N(AX201)+N(AX202))&lt;&gt;0,(N(AX132)+(N(AX133)+N(AX137)+N(AX141)+N(AX142)+N(AX143)))/(N(AX186)+N(AX190)+N(AX192)+N(AX193)+N(AX200)+N(AX201)+N(AX202)),""),"")</f>
        <v>-3.71909260275113</v>
      </c>
      <c r="AY329" s="262">
        <f>IFERROR(IF((N(AY186)+N(AY190)+N(AY192)+N(AY193)+N(AY200)+N(AY201)+N(AY202))&lt;&gt;0,(N(AY132)+(N(AY133)+N(AY137)+N(AY141)+N(AY142)+N(AY143)))/(N(AY186)+N(AY190)+N(AY192)+N(AY193)+N(AY200)+N(AY201)+N(AY202)),""),"")</f>
        <v>-4.25651287840595</v>
      </c>
      <c r="AZ329" s="262">
        <f>IFERROR(IF((N(AZ186)+N(AZ190)+N(AZ192)+N(AZ193)+N(AZ200)+N(AZ201)+N(AZ202))&lt;&gt;0,(N(AZ132)+(N(AZ133)+N(AZ137)+N(AZ141)+N(AZ142)+N(AZ143)))/(N(AZ186)+N(AZ190)+N(AZ192)+N(AZ193)+N(AZ200)+N(AZ201)+N(AZ202)),""),"")</f>
        <v>-4.75336078621833</v>
      </c>
      <c r="BA329" s="262">
        <f>IFERROR(IF((N(BA186)+N(BA190)+N(BA192)+N(BA193)+N(BA200)+N(BA201)+N(BA202))&lt;&gt;0,(N(BA132)+(N(BA133)+N(BA137)+N(BA141)+N(BA142)+N(BA143)))/(N(BA186)+N(BA190)+N(BA192)+N(BA193)+N(BA200)+N(BA201)+N(BA202)),""),"")</f>
        <v>-4.75336078621833</v>
      </c>
      <c r="BB329" s="262">
        <f>IFERROR(IF((N(BB186)+N(BB190)+N(BB192)+N(BB193)+N(BB200)+N(BB201)+N(BB202))&lt;&gt;0,(N(BB132)+(N(BB133)+N(BB137)+N(BB141)+N(BB142)+N(BB143)))/(N(BB186)+N(BB190)+N(BB192)+N(BB193)+N(BB200)+N(BB201)+N(BB202)),""),"")</f>
        <v>-5.65178406910081</v>
      </c>
      <c r="BC329" s="262">
        <f>IFERROR(IF((N(BC186)+N(BC190)+N(BC192)+N(BC193)+N(BC200)+N(BC201)+N(BC202))&lt;&gt;0,(N(BC132)+(N(BC133)+N(BC137)+N(BC141)+N(BC142)+N(BC143)))/(N(BC186)+N(BC190)+N(BC192)+N(BC193)+N(BC200)+N(BC201)+N(BC202)),""),"")</f>
        <v>-6.25794917562393</v>
      </c>
      <c r="BD329" s="262">
        <f>IFERROR(IF((N(BD186)+N(BD190)+N(BD192)+N(BD193)+N(BD200)+N(BD201)+N(BD202))&lt;&gt;0,(N(BD132)+(N(BD133)+N(BD137)+N(BD141)+N(BD142)+N(BD143)))/(N(BD186)+N(BD190)+N(BD192)+N(BD193)+N(BD200)+N(BD201)+N(BD202)),""),"")</f>
        <v>-6.8962413772325</v>
      </c>
      <c r="BE329" s="262">
        <f>IFERROR(IF((N(BE186)+N(BE190)+N(BE192)+N(BE193)+N(BE200)+N(BE201)+N(BE202))&lt;&gt;0,(N(BE132)+(N(BE133)+N(BE137)+N(BE141)+N(BE142)+N(BE143)))/(N(BE186)+N(BE190)+N(BE192)+N(BE193)+N(BE200)+N(BE201)+N(BE202)),""),"")</f>
        <v>-7.48634591795859</v>
      </c>
      <c r="BF329" s="262">
        <f>IFERROR(IF((N(BF186)+N(BF190)+N(BF192)+N(BF193)+N(BF200)+N(BF201)+N(BF202))&lt;&gt;0,(N(BF132)+(N(BF133)+N(BF137)+N(BF141)+N(BF142)+N(BF143)))/(N(BF186)+N(BF190)+N(BF192)+N(BF193)+N(BF200)+N(BF201)+N(BF202)),""),"")</f>
        <v>-7.48634591795859</v>
      </c>
      <c r="BG329" s="82" t="n"/>
      <c r="BH329" s="82" t="n"/>
      <c r="BI329" s="82" t="n"/>
      <c r="BJ329" s="82" t="n"/>
      <c r="BL329" s="82" t="n"/>
      <c r="BM329" s="82" t="n"/>
      <c r="BN329" s="82" t="n"/>
      <c r="BO329" s="82" t="n"/>
      <c r="BQ329" s="82" t="n"/>
      <c r="BR329" s="82" t="n"/>
      <c r="BS329" s="82" t="n"/>
      <c r="BT329" s="82" t="n"/>
      <c r="BV329" s="82" t="n"/>
      <c r="BW329" s="82" t="n"/>
      <c r="BX329" s="82" t="n"/>
      <c r="BY329" s="82" t="n"/>
      <c r="CA329" s="82" t="n"/>
      <c r="CB329" s="82" t="n"/>
      <c r="CC329" s="82" t="n"/>
      <c r="CD329" s="82" t="n"/>
      <c r="CF329" s="82" t="n"/>
      <c r="CG329" s="82" t="n"/>
      <c r="CH329" s="82" t="n"/>
      <c r="CI329" s="82" t="n"/>
      <c r="CK329" s="82" t="n"/>
      <c r="CL329" s="82" t="n"/>
      <c r="CM329" s="82" t="n"/>
      <c r="CN329" s="82" t="n"/>
      <c r="CP329" s="82" t="n"/>
      <c r="CQ329" s="82" t="n"/>
      <c r="CR329" s="82" t="n"/>
      <c r="CS329" s="82" t="n"/>
      <c r="CU329" s="82" t="n"/>
      <c r="CV329" s="82" t="n"/>
      <c r="CW329" s="82" t="n"/>
      <c r="CX329" s="82" t="n"/>
    </row>
    <row r="330" customFormat="1" s="77">
      <c r="A330" s="76" t="n"/>
      <c r="B330" s="76" t="n"/>
      <c r="C330" s="77" t="inlineStr">
        <is>
          <t>CASH RATIO</t>
        </is>
      </c>
      <c r="D330" s="82" t="str">
        <f>IFERROR(SUM(D132)/SUM(D186,D190,D192,D193),"")</f>
        <v/>
      </c>
      <c r="E330" s="82" t="str">
        <f>IFERROR(SUM(E132)/SUM(E186,E190,E192,E193),"")</f>
        <v/>
      </c>
      <c r="F330" s="82" t="str">
        <f>IFERROR(SUM(F132)/SUM(F186,F190,F192,F193),"")</f>
        <v/>
      </c>
      <c r="G330" s="82" t="str">
        <f>IFERROR(SUM(G132)/SUM(G186,G190,G192,G193),"")</f>
        <v/>
      </c>
      <c r="H330" s="262" t="str">
        <f>IFERROR(IF((N(H186)+N(H190)+N(H192)+N(H193)+N(H200)+N(H201)+N(H202))&lt;&gt;0,N(H132)/(N(H186)+N(H190)+N(H192)+N(H193)+N(H200)+N(H201)+N(H202)),""),"")</f>
        <v/>
      </c>
      <c r="I330" s="262" t="str">
        <f>IFERROR(IF((N(I186)+N(I190)+N(I192)+N(I193)+N(I200)+N(I201)+N(I202))&lt;&gt;0,N(I132)/(N(I186)+N(I190)+N(I192)+N(I193)+N(I200)+N(I201)+N(I202)),""),"")</f>
        <v/>
      </c>
      <c r="J330" s="262" t="str">
        <f>IFERROR(IF((N(J186)+N(J190)+N(J192)+N(J193)+N(J200)+N(J201)+N(J202))&lt;&gt;0,N(J132)/(N(J186)+N(J190)+N(J192)+N(J193)+N(J200)+N(J201)+N(J202)),""),"")</f>
        <v/>
      </c>
      <c r="K330" s="262" t="str">
        <f>IFERROR(IF((N(K186)+N(K190)+N(K192)+N(K193)+N(K200)+N(K201)+N(K202))&lt;&gt;0,N(K132)/(N(K186)+N(K190)+N(K192)+N(K193)+N(K200)+N(K201)+N(K202)),""),"")</f>
        <v/>
      </c>
      <c r="L330" s="262">
        <f>IFERROR(IF((N(L186)+N(L190)+N(L192)+N(L193)+N(L200)+N(L201)+N(L202))&lt;&gt;0,N(L132)/(N(L186)+N(L190)+N(L192)+N(L193)+N(L200)+N(L201)+N(L202)),""),"")</f>
        <v>0.135067533766883</v>
      </c>
      <c r="M330" s="262">
        <f>IFERROR(IF((N(M186)+N(M190)+N(M192)+N(M193)+N(M200)+N(M201)+N(M202))&lt;&gt;0,N(M132)/(N(M186)+N(M190)+N(M192)+N(M193)+N(M200)+N(M201)+N(M202)),""),"")</f>
        <v>0.135067533766883</v>
      </c>
      <c r="N330" s="262">
        <f>IFERROR(IF((N(N186)+N(N190)+N(N192)+N(N193)+N(N200)+N(N201)+N(N202))&lt;&gt;0,N(N132)/(N(N186)+N(N190)+N(N192)+N(N193)+N(N200)+N(N201)+N(N202)),""),"")</f>
        <v>0.513055641902394</v>
      </c>
      <c r="O330" s="262">
        <f>IFERROR(IF((N(O186)+N(O190)+N(O192)+N(O193)+N(O200)+N(O201)+N(O202))&lt;&gt;0,N(O132)/(N(O186)+N(O190)+N(O192)+N(O193)+N(O200)+N(O201)+N(O202)),""),"")</f>
        <v>0.294658046954747</v>
      </c>
      <c r="P330" s="262">
        <f>IFERROR(IF((N(P186)+N(P190)+N(P192)+N(P193)+N(P200)+N(P201)+N(P202))&lt;&gt;0,N(P132)/(N(P186)+N(P190)+N(P192)+N(P193)+N(P200)+N(P201)+N(P202)),""),"")</f>
        <v>0.316343349816153</v>
      </c>
      <c r="Q330" s="262">
        <f>IFERROR(IF((N(Q186)+N(Q190)+N(Q192)+N(Q193)+N(Q200)+N(Q201)+N(Q202))&lt;&gt;0,N(Q132)/(N(Q186)+N(Q190)+N(Q192)+N(Q193)+N(Q200)+N(Q201)+N(Q202)),""),"")</f>
        <v>0.121188927159076</v>
      </c>
      <c r="R330" s="262">
        <f>IFERROR(IF((N(R186)+N(R190)+N(R192)+N(R193)+N(R200)+N(R201)+N(R202))&lt;&gt;0,N(R132)/(N(R186)+N(R190)+N(R192)+N(R193)+N(R200)+N(R201)+N(R202)),""),"")</f>
        <v>0.121188927159076</v>
      </c>
      <c r="S330" s="262">
        <f>IFERROR(IF((N(S186)+N(S190)+N(S192)+N(S193)+N(S200)+N(S201)+N(S202))&lt;&gt;0,N(S132)/(N(S186)+N(S190)+N(S192)+N(S193)+N(S200)+N(S201)+N(S202)),""),"")</f>
        <v>0.0963511013956617</v>
      </c>
      <c r="T330" s="262">
        <f>IFERROR(IF((N(T186)+N(T190)+N(T192)+N(T193)+N(T200)+N(T201)+N(T202))&lt;&gt;0,N(T132)/(N(T186)+N(T190)+N(T192)+N(T193)+N(T200)+N(T201)+N(T202)),""),"")</f>
        <v>0.113684210526316</v>
      </c>
      <c r="U330" s="262">
        <f>IFERROR(IF((N(U186)+N(U190)+N(U192)+N(U193)+N(U200)+N(U201)+N(U202))&lt;&gt;0,N(U132)/(N(U186)+N(U190)+N(U192)+N(U193)+N(U200)+N(U201)+N(U202)),""),"")</f>
        <v>0.734562036861106</v>
      </c>
      <c r="V330" s="262">
        <f>IFERROR(IF((N(V186)+N(V190)+N(V192)+N(V193)+N(V200)+N(V201)+N(V202))&lt;&gt;0,N(V132)/(N(V186)+N(V190)+N(V192)+N(V193)+N(V200)+N(V201)+N(V202)),""),"")</f>
        <v>0.130083874030701</v>
      </c>
      <c r="W330" s="262">
        <f>IFERROR(IF((N(W186)+N(W190)+N(W192)+N(W193)+N(W200)+N(W201)+N(W202))&lt;&gt;0,N(W132)/(N(W186)+N(W190)+N(W192)+N(W193)+N(W200)+N(W201)+N(W202)),""),"")</f>
        <v>0.130083874030701</v>
      </c>
      <c r="X330" s="262">
        <f>IFERROR(IF((N(X186)+N(X190)+N(X192)+N(X193)+N(X200)+N(X201)+N(X202))&lt;&gt;0,N(X132)/(N(X186)+N(X190)+N(X192)+N(X193)+N(X200)+N(X201)+N(X202)),""),"")</f>
        <v>0.203816278284363</v>
      </c>
      <c r="Y330" s="262">
        <f>IFERROR(IF((N(Y186)+N(Y190)+N(Y192)+N(Y193)+N(Y200)+N(Y201)+N(Y202))&lt;&gt;0,N(Y132)/(N(Y186)+N(Y190)+N(Y192)+N(Y193)+N(Y200)+N(Y201)+N(Y202)),""),"")</f>
        <v>0.119634545767971</v>
      </c>
      <c r="Z330" s="262">
        <f>IFERROR(IF((N(Z186)+N(Z190)+N(Z192)+N(Z193)+N(Z200)+N(Z201)+N(Z202))&lt;&gt;0,N(Z132)/(N(Z186)+N(Z190)+N(Z192)+N(Z193)+N(Z200)+N(Z201)+N(Z202)),""),"")</f>
        <v>0.674064563462949</v>
      </c>
      <c r="AA330" s="262">
        <f>IFERROR(IF((N(AA186)+N(AA190)+N(AA192)+N(AA193)+N(AA200)+N(AA201)+N(AA202))&lt;&gt;0,N(AA132)/(N(AA186)+N(AA190)+N(AA192)+N(AA193)+N(AA200)+N(AA201)+N(AA202)),""),"")</f>
        <v>0.898480864738534</v>
      </c>
      <c r="AB330" s="262">
        <f>IFERROR(IF((N(AB186)+N(AB190)+N(AB192)+N(AB193)+N(AB200)+N(AB201)+N(AB202))&lt;&gt;0,N(AB132)/(N(AB186)+N(AB190)+N(AB192)+N(AB193)+N(AB200)+N(AB201)+N(AB202)),""),"")</f>
        <v>0.898480864738534</v>
      </c>
      <c r="AC330" s="262">
        <f>IFERROR(IF((N(AC186)+N(AC190)+N(AC192)+N(AC193)+N(AC200)+N(AC201)+N(AC202))&lt;&gt;0,N(AC132)/(N(AC186)+N(AC190)+N(AC192)+N(AC193)+N(AC200)+N(AC201)+N(AC202)),""),"")</f>
        <v>0.578762414056532</v>
      </c>
      <c r="AD330" s="262">
        <f>IFERROR(IF((N(AD186)+N(AD190)+N(AD192)+N(AD193)+N(AD200)+N(AD201)+N(AD202))&lt;&gt;0,N(AD132)/(N(AD186)+N(AD190)+N(AD192)+N(AD193)+N(AD200)+N(AD201)+N(AD202)),""),"")</f>
        <v>0.645140664961637</v>
      </c>
      <c r="AE330" s="262">
        <f>IFERROR(IF((N(AE186)+N(AE190)+N(AE192)+N(AE193)+N(AE200)+N(AE201)+N(AE202))&lt;&gt;0,N(AE132)/(N(AE186)+N(AE190)+N(AE192)+N(AE193)+N(AE200)+N(AE201)+N(AE202)),""),"")</f>
        <v>1.07981220657277</v>
      </c>
      <c r="AF330" s="262">
        <f>IFERROR(IF((N(AF186)+N(AF190)+N(AF192)+N(AF193)+N(AF200)+N(AF201)+N(AF202))&lt;&gt;0,N(AF132)/(N(AF186)+N(AF190)+N(AF192)+N(AF193)+N(AF200)+N(AF201)+N(AF202)),""),"")</f>
        <v>0.930135951661631</v>
      </c>
      <c r="AG330" s="262">
        <f>IFERROR(IF((N(AG186)+N(AG190)+N(AG192)+N(AG193)+N(AG200)+N(AG201)+N(AG202))&lt;&gt;0,N(AG132)/(N(AG186)+N(AG190)+N(AG192)+N(AG193)+N(AG200)+N(AG201)+N(AG202)),""),"")</f>
        <v>0.930135951661631</v>
      </c>
      <c r="AH330" s="262">
        <f>IFERROR(IF((N(AH186)+N(AH190)+N(AH192)+N(AH193)+N(AH200)+N(AH201)+N(AH202))&lt;&gt;0,N(AH132)/(N(AH186)+N(AH190)+N(AH192)+N(AH193)+N(AH200)+N(AH201)+N(AH202)),""),"")</f>
        <v>0.149148694665153</v>
      </c>
      <c r="AI330" s="262">
        <f>IFERROR(IF((N(AI186)+N(AI190)+N(AI192)+N(AI193)+N(AI200)+N(AI201)+N(AI202))&lt;&gt;0,N(AI132)/(N(AI186)+N(AI190)+N(AI192)+N(AI193)+N(AI200)+N(AI201)+N(AI202)),""),"")</f>
        <v>0.136126457949662</v>
      </c>
      <c r="AJ330" s="262">
        <f>IFERROR(IF((N(AJ186)+N(AJ190)+N(AJ192)+N(AJ193)+N(AJ200)+N(AJ201)+N(AJ202))&lt;&gt;0,N(AJ132)/(N(AJ186)+N(AJ190)+N(AJ192)+N(AJ193)+N(AJ200)+N(AJ201)+N(AJ202)),""),"")</f>
        <v>-0.166835528143851</v>
      </c>
      <c r="AK330" s="262">
        <f>IFERROR(IF((N(AK186)+N(AK190)+N(AK192)+N(AK193)+N(AK200)+N(AK201)+N(AK202))&lt;&gt;0,N(AK132)/(N(AK186)+N(AK190)+N(AK192)+N(AK193)+N(AK200)+N(AK201)+N(AK202)),""),"")</f>
        <v>-0.419901712816151</v>
      </c>
      <c r="AL330" s="262">
        <f>IFERROR(IF((N(AL186)+N(AL190)+N(AL192)+N(AL193)+N(AL200)+N(AL201)+N(AL202))&lt;&gt;0,N(AL132)/(N(AL186)+N(AL190)+N(AL192)+N(AL193)+N(AL200)+N(AL201)+N(AL202)),""),"")</f>
        <v>-0.419901712816151</v>
      </c>
      <c r="AM330" s="262">
        <f>IFERROR(IF((N(AM186)+N(AM190)+N(AM192)+N(AM193)+N(AM200)+N(AM201)+N(AM202))&lt;&gt;0,N(AM132)/(N(AM186)+N(AM190)+N(AM192)+N(AM193)+N(AM200)+N(AM201)+N(AM202)),""),"")</f>
        <v>-1.33514177033604</v>
      </c>
      <c r="AN330" s="262">
        <f>IFERROR(IF((N(AN186)+N(AN190)+N(AN192)+N(AN193)+N(AN200)+N(AN201)+N(AN202))&lt;&gt;0,N(AN132)/(N(AN186)+N(AN190)+N(AN192)+N(AN193)+N(AN200)+N(AN201)+N(AN202)),""),"")</f>
        <v>-1.41688964587648</v>
      </c>
      <c r="AO330" s="262">
        <f>IFERROR(IF((N(AO186)+N(AO190)+N(AO192)+N(AO193)+N(AO200)+N(AO201)+N(AO202))&lt;&gt;0,N(AO132)/(N(AO186)+N(AO190)+N(AO192)+N(AO193)+N(AO200)+N(AO201)+N(AO202)),""),"")</f>
        <v>-1.81606888415767</v>
      </c>
      <c r="AP330" s="262">
        <f>IFERROR(IF((N(AP186)+N(AP190)+N(AP192)+N(AP193)+N(AP200)+N(AP201)+N(AP202))&lt;&gt;0,N(AP132)/(N(AP186)+N(AP190)+N(AP192)+N(AP193)+N(AP200)+N(AP201)+N(AP202)),""),"")</f>
        <v>-2.12043070870689</v>
      </c>
      <c r="AQ330" s="262">
        <f>IFERROR(IF((N(AQ186)+N(AQ190)+N(AQ192)+N(AQ193)+N(AQ200)+N(AQ201)+N(AQ202))&lt;&gt;0,N(AQ132)/(N(AQ186)+N(AQ190)+N(AQ192)+N(AQ193)+N(AQ200)+N(AQ201)+N(AQ202)),""),"")</f>
        <v>-2.12043070870689</v>
      </c>
      <c r="AR330" s="262">
        <f>IFERROR(IF((N(AR186)+N(AR190)+N(AR192)+N(AR193)+N(AR200)+N(AR201)+N(AR202))&lt;&gt;0,N(AR132)/(N(AR186)+N(AR190)+N(AR192)+N(AR193)+N(AR200)+N(AR201)+N(AR202)),""),"")</f>
        <v>-3.2034989512725</v>
      </c>
      <c r="AS330" s="262">
        <f>IFERROR(IF((N(AS186)+N(AS190)+N(AS192)+N(AS193)+N(AS200)+N(AS201)+N(AS202))&lt;&gt;0,N(AS132)/(N(AS186)+N(AS190)+N(AS192)+N(AS193)+N(AS200)+N(AS201)+N(AS202)),""),"")</f>
        <v>-3.31230754973491</v>
      </c>
      <c r="AT330" s="262">
        <f>IFERROR(IF((N(AT186)+N(AT190)+N(AT192)+N(AT193)+N(AT200)+N(AT201)+N(AT202))&lt;&gt;0,N(AT132)/(N(AT186)+N(AT190)+N(AT192)+N(AT193)+N(AT200)+N(AT201)+N(AT202)),""),"")</f>
        <v>-3.79040314203201</v>
      </c>
      <c r="AU330" s="262">
        <f>IFERROR(IF((N(AU186)+N(AU190)+N(AU192)+N(AU193)+N(AU200)+N(AU201)+N(AU202))&lt;&gt;0,N(AU132)/(N(AU186)+N(AU190)+N(AU192)+N(AU193)+N(AU200)+N(AU201)+N(AU202)),""),"")</f>
        <v>-4.15493624602571</v>
      </c>
      <c r="AV330" s="262">
        <f>IFERROR(IF((N(AV186)+N(AV190)+N(AV192)+N(AV193)+N(AV200)+N(AV201)+N(AV202))&lt;&gt;0,N(AV132)/(N(AV186)+N(AV190)+N(AV192)+N(AV193)+N(AV200)+N(AV201)+N(AV202)),""),"")</f>
        <v>-4.15493624602571</v>
      </c>
      <c r="AW330" s="262">
        <f>IFERROR(IF((N(AW186)+N(AW190)+N(AW192)+N(AW193)+N(AW200)+N(AW201)+N(AW202))&lt;&gt;0,N(AW132)/(N(AW186)+N(AW190)+N(AW192)+N(AW193)+N(AW200)+N(AW201)+N(AW202)),""),"")</f>
        <v>-5.4570471755108</v>
      </c>
      <c r="AX330" s="262">
        <f>IFERROR(IF((N(AX186)+N(AX190)+N(AX192)+N(AX193)+N(AX200)+N(AX201)+N(AX202))&lt;&gt;0,N(AX132)/(N(AX186)+N(AX190)+N(AX192)+N(AX193)+N(AX200)+N(AX201)+N(AX202)),""),"")</f>
        <v>-5.57382307707796</v>
      </c>
      <c r="AY330" s="262">
        <f>IFERROR(IF((N(AY186)+N(AY190)+N(AY192)+N(AY193)+N(AY200)+N(AY201)+N(AY202))&lt;&gt;0,N(AY132)/(N(AY186)+N(AY190)+N(AY192)+N(AY193)+N(AY200)+N(AY201)+N(AY202)),""),"")</f>
        <v>-6.14404603552196</v>
      </c>
      <c r="AZ330" s="262">
        <f>IFERROR(IF((N(AZ186)+N(AZ190)+N(AZ192)+N(AZ193)+N(AZ200)+N(AZ201)+N(AZ202))&lt;&gt;0,N(AZ132)/(N(AZ186)+N(AZ190)+N(AZ192)+N(AZ193)+N(AZ200)+N(AZ201)+N(AZ202)),""),"")</f>
        <v>-6.57882340715874</v>
      </c>
      <c r="BA330" s="262">
        <f>IFERROR(IF((N(BA186)+N(BA190)+N(BA192)+N(BA193)+N(BA200)+N(BA201)+N(BA202))&lt;&gt;0,N(BA132)/(N(BA186)+N(BA190)+N(BA192)+N(BA193)+N(BA200)+N(BA201)+N(BA202)),""),"")</f>
        <v>-6.57882340715874</v>
      </c>
      <c r="BB330" s="262">
        <f>IFERROR(IF((N(BB186)+N(BB190)+N(BB192)+N(BB193)+N(BB200)+N(BB201)+N(BB202))&lt;&gt;0,N(BB132)/(N(BB186)+N(BB190)+N(BB192)+N(BB193)+N(BB200)+N(BB201)+N(BB202)),""),"")</f>
        <v>-8.12214951733945</v>
      </c>
      <c r="BC330" s="262">
        <f>IFERROR(IF((N(BC186)+N(BC190)+N(BC192)+N(BC193)+N(BC200)+N(BC201)+N(BC202))&lt;&gt;0,N(BC132)/(N(BC186)+N(BC190)+N(BC192)+N(BC193)+N(BC200)+N(BC201)+N(BC202)),""),"")</f>
        <v>-8.26084385151824</v>
      </c>
      <c r="BD330" s="262">
        <f>IFERROR(IF((N(BD186)+N(BD190)+N(BD192)+N(BD193)+N(BD200)+N(BD201)+N(BD202))&lt;&gt;0,N(BD132)/(N(BD186)+N(BD190)+N(BD192)+N(BD193)+N(BD200)+N(BD201)+N(BD202)),""),"")</f>
        <v>-8.93809568595916</v>
      </c>
      <c r="BE330" s="262">
        <f>IFERROR(IF((N(BE186)+N(BE190)+N(BE192)+N(BE193)+N(BE200)+N(BE201)+N(BE202))&lt;&gt;0,N(BE132)/(N(BE186)+N(BE190)+N(BE192)+N(BE193)+N(BE200)+N(BE201)+N(BE202)),""),"")</f>
        <v>-9.45447926566963</v>
      </c>
      <c r="BF330" s="262">
        <f>IFERROR(IF((N(BF186)+N(BF190)+N(BF192)+N(BF193)+N(BF200)+N(BF201)+N(BF202))&lt;&gt;0,N(BF132)/(N(BF186)+N(BF190)+N(BF192)+N(BF193)+N(BF200)+N(BF201)+N(BF202)),""),"")</f>
        <v>-9.45447926566963</v>
      </c>
      <c r="BG330" s="82" t="n"/>
      <c r="BH330" s="82" t="n"/>
      <c r="BI330" s="82" t="n"/>
      <c r="BJ330" s="82" t="n"/>
      <c r="BL330" s="82" t="n"/>
      <c r="BM330" s="82" t="n"/>
      <c r="BN330" s="82" t="n"/>
      <c r="BO330" s="82" t="n"/>
      <c r="BQ330" s="82" t="n"/>
      <c r="BR330" s="82" t="n"/>
      <c r="BS330" s="82" t="n"/>
      <c r="BT330" s="82" t="n"/>
      <c r="BV330" s="82" t="n"/>
      <c r="BW330" s="82" t="n"/>
      <c r="BX330" s="82" t="n"/>
      <c r="BY330" s="82" t="n"/>
      <c r="CA330" s="82" t="n"/>
      <c r="CB330" s="82" t="n"/>
      <c r="CC330" s="82" t="n"/>
      <c r="CD330" s="82" t="n"/>
      <c r="CF330" s="82" t="n"/>
      <c r="CG330" s="82" t="n"/>
      <c r="CH330" s="82" t="n"/>
      <c r="CI330" s="82" t="n"/>
      <c r="CK330" s="82" t="n"/>
      <c r="CL330" s="82" t="n"/>
      <c r="CM330" s="82" t="n"/>
      <c r="CN330" s="82" t="n"/>
      <c r="CP330" s="82" t="n"/>
      <c r="CQ330" s="82" t="n"/>
      <c r="CR330" s="82" t="n"/>
      <c r="CS330" s="82" t="n"/>
      <c r="CU330" s="82" t="n"/>
      <c r="CV330" s="82" t="n"/>
      <c r="CW330" s="82" t="n"/>
      <c r="CX330" s="82" t="n"/>
    </row>
    <row r="331" customFormat="1" s="77">
      <c r="A331" s="76" t="n"/>
      <c r="B331" s="76" t="n"/>
    </row>
    <row r="332" customFormat="1" s="77">
      <c r="A332" s="76" t="n"/>
      <c r="B332" s="76" t="n"/>
      <c r="C332" s="74" t="inlineStr">
        <is>
          <t>OPERATING EFFICIENCY</t>
        </is>
      </c>
    </row>
    <row r="333" customFormat="1" s="84">
      <c r="A333" s="81" t="n"/>
      <c r="B333" s="81" t="n"/>
      <c r="C333" s="84" t="inlineStr">
        <is>
          <t>RETURN ON CAPITAL (ROIC) - LTM</t>
        </is>
      </c>
      <c r="D333" t="str">
        <f>IFERROR(D335/D338,"")</f>
        <v/>
      </c>
      <c r="E333" t="str">
        <f>IFERROR(E335/E338,"")</f>
        <v/>
      </c>
      <c r="F333" t="str">
        <f>IFERROR(F335/F338,"")</f>
        <v/>
      </c>
      <c r="G333" t="str">
        <f>IFERROR(G335/G338,"")</f>
        <v/>
      </c>
      <c r="H333" s="257" t="str">
        <f>IFERROR(IF(AND(COUNT(H335)=1,N(H338)&lt;&gt;0),(H335)/H338,""),"")</f>
        <v/>
      </c>
      <c r="I333" s="257" t="str">
        <f>""</f>
        <v/>
      </c>
      <c r="J333" s="257" t="str">
        <f>""</f>
        <v/>
      </c>
      <c r="K333" s="257" t="str">
        <f>""</f>
        <v/>
      </c>
      <c r="L333" s="257">
        <f>IFERROR(IF(AND(COUNT(I335,J335,K335,L335)=4,N(L338)&lt;&gt;0),(I335+J335+K335+L335)/L338,""),"")</f>
        <v>-0.00505699711652518</v>
      </c>
      <c r="M333" s="257">
        <f>IFERROR(IF(AND(COUNT(I335,J335,K335,L335)=4,N(M338)&lt;&gt;0),(I335+J335+K335+L335)/M338,""),"")</f>
        <v>-0.00505699711652518</v>
      </c>
      <c r="N333" s="257">
        <f>IFERROR(IF(AND(COUNT(J335,K335,L335,N335)=4,N(N338)&lt;&gt;0),(J335+K335+L335+N335)/N338,""),"")</f>
        <v>0.0846422962777029</v>
      </c>
      <c r="O333" s="257">
        <f>IFERROR(IF(AND(COUNT(K335,L335,N335,O335)=4,N(O338)&lt;&gt;0),(K335+L335+N335+O335)/O338,""),"")</f>
        <v>0.088673605755686</v>
      </c>
      <c r="P333" s="257">
        <f>IFERROR(IF(AND(COUNT(L335,N335,O335,P335)=4,N(P338)&lt;&gt;0),(L335+N335+O335+P335)/P338,""),"")</f>
        <v>0.0340701784874228</v>
      </c>
      <c r="Q333" s="257">
        <f>IFERROR(IF(AND(COUNT(N335,O335,P335,Q335)=4,N(Q338)&lt;&gt;0),(N335+O335+P335+Q335)/Q338,""),"")</f>
        <v>0.0273132708448443</v>
      </c>
      <c r="R333" s="257">
        <f>IFERROR(IF(AND(COUNT(N335,O335,P335,Q335)=4,N(R338)&lt;&gt;0),(N335+O335+P335+Q335)/R338,""),"")</f>
        <v>0.0273132708448443</v>
      </c>
      <c r="S333" s="257">
        <f>IFERROR(IF(AND(COUNT(O335,P335,Q335,S335)=4,N(S338)&lt;&gt;0),(O335+P335+Q335+S335)/S338,""),"")</f>
        <v>0.00123316006113319</v>
      </c>
      <c r="T333" s="257">
        <f>IFERROR(IF(AND(COUNT(P335,Q335,S335,T335)=4,N(T338)&lt;&gt;0),(P335+Q335+S335+T335)/T338,""),"")</f>
        <v>0.0234064152059773</v>
      </c>
      <c r="U333" s="257">
        <f>IFERROR(IF(AND(COUNT(Q335,S335,T335,U335)=4,N(U338)&lt;&gt;0),(Q335+S335+T335+U335)/U338,""),"")</f>
        <v>0.073945355405133</v>
      </c>
      <c r="V333" s="257">
        <f>IFERROR(IF(AND(COUNT(S335,T335,U335,V335)=4,N(V338)&lt;&gt;0),(S335+T335+U335+V335)/V338,""),"")</f>
        <v>0.0629033208130671</v>
      </c>
      <c r="W333" s="257">
        <f>IFERROR(IF(AND(COUNT(S335,T335,U335,V335)=4,N(W338)&lt;&gt;0),(S335+T335+U335+V335)/W338,""),"")</f>
        <v>0.0629033208130671</v>
      </c>
      <c r="X333" s="257">
        <f>IFERROR(IF(AND(COUNT(T335,U335,V335,X335)=4,N(X338)&lt;&gt;0),(T335+U335+V335+X335)/X338,""),"")</f>
        <v>0.0940121004154878</v>
      </c>
      <c r="Y333" s="257">
        <f>IFERROR(IF(AND(COUNT(U335,V335,X335,Y335)=4,N(Y338)&lt;&gt;0),(U335+V335+X335+Y335)/Y338,""),"")</f>
        <v>0.116891335501344</v>
      </c>
      <c r="Z333" s="257">
        <f>IFERROR(IF(AND(COUNT(V335,X335,Y335,Z335)=4,N(Z338)&lt;&gt;0),(V335+X335+Y335+Z335)/Z338,""),"")</f>
        <v>0.151366540737318</v>
      </c>
      <c r="AA333" s="257">
        <f>IFERROR(IF(AND(COUNT(X335,Y335,Z335,AA335)=4,N(AA338)&lt;&gt;0),(X335+Y335+Z335+AA335)/AA338,""),"")</f>
        <v>0.230447368182428</v>
      </c>
      <c r="AB333" s="257">
        <f>IFERROR(IF(AND(COUNT(X335,Y335,Z335,AA335)=4,N(AB338)&lt;&gt;0),(X335+Y335+Z335+AA335)/AB338,""),"")</f>
        <v>0.230447368182428</v>
      </c>
      <c r="AC333" s="257">
        <f>IFERROR(IF(AND(COUNT(Y335,Z335,AA335,AC335)=4,N(AC338)&lt;&gt;0),(Y335+Z335+AA335+AC335)/AC338,""),"")</f>
        <v>0.186626494761467</v>
      </c>
      <c r="AD333" s="257">
        <f>IFERROR(IF(AND(COUNT(Z335,AA335,AC335,AD335)=4,N(AD338)&lt;&gt;0),(Z335+AA335+AC335+AD335)/AD338,""),"")</f>
        <v>0.168126067823485</v>
      </c>
      <c r="AE333" s="257">
        <f>IFERROR(IF(AND(COUNT(AA335,AC335,AD335,AE335)=4,N(AE338)&lt;&gt;0),(AA335+AC335+AD335+AE335)/AE338,""),"")</f>
        <v>0.171951001789508</v>
      </c>
      <c r="AF333" s="257">
        <f>IFERROR(IF(AND(COUNT(AB335,AD335,AE335,AF335)=4,N(AF338)&lt;&gt;0),(AB335+AD335+AE335+AF335)/AF338,""),"")</f>
        <v>0.323639268191317</v>
      </c>
      <c r="AG333" s="257">
        <f>IFERROR(IF(AND(COUNT(AC335,AD335,AE335,AF335)=4,N(AG338)&lt;&gt;0),(AC335+AD335+AE335+AF335)/AG338,""),"")</f>
        <v>0.127916330083526</v>
      </c>
      <c r="AH333" s="257">
        <f>IFERROR(IF(AND(COUNT(AD335,AF335,AG335,AH335)=4,N(AH338)&lt;&gt;0),(AD335+AF335+AG335+AH335)/AH338,""),"")</f>
        <v>0.0881806891655983</v>
      </c>
      <c r="AI333" s="257">
        <f>IFERROR(IF(AND(COUNT(AE335,AG335,AH335,AI335)=4,N(AI338)&lt;&gt;0),(AE335+AG335+AH335+AI335)/AI338,""),"")</f>
        <v>0.087601153286404</v>
      </c>
      <c r="AJ333" s="257">
        <f>IFERROR(IF(AND(COUNT(AF335,AH335,AI335,AJ335)=4,N(AJ338)&lt;&gt;0),(AF335+AH335+AI335+AJ335)/AJ338,""),"")</f>
        <v>0.0529958850105191</v>
      </c>
      <c r="AK333" s="257">
        <f>IFERROR(IF(AND(COUNT(AH335,AI335,AJ335,AK335)=4,N(AK338)&lt;&gt;0),(AH335+AI335+AJ335+AK335)/AK338,""),"")</f>
        <v>0.0547813168277507</v>
      </c>
      <c r="AL333" s="257">
        <f>IFERROR(IF(AND(COUNT(AH335,AI335,AJ335,AK335)=4,N(AL338)&lt;&gt;0),(AH335+AI335+AJ335+AK335)/AL338,""),"")</f>
        <v>0.0547813168277507</v>
      </c>
      <c r="AM333" s="257">
        <f>IFERROR(IF(AND(COUNT(AI335,AJ335,AK335,AM335)=4,N(AM338)&lt;&gt;0),(AI335+AJ335+AK335+AM335)/AM338,""),"")</f>
        <v>0.0396678792100542</v>
      </c>
      <c r="AN333" s="257">
        <f>IFERROR(IF(AND(COUNT(AJ335,AK335,AM335,AN335)=4,N(AN338)&lt;&gt;0),(AJ335+AK335+AM335+AN335)/AN338,""),"")</f>
        <v>0.0451745795197588</v>
      </c>
      <c r="AO333" s="257">
        <f>IFERROR(IF(AND(COUNT(AK335,AM335,AN335,AO335)=4,N(AO338)&lt;&gt;0),(AK335+AM335+AN335+AO335)/AO338,""),"")</f>
        <v>0.0443766542114872</v>
      </c>
      <c r="AP333" s="257">
        <f>IFERROR(IF(AND(COUNT(AM335,AN335,AO335,AP335)=4,N(AP338)&lt;&gt;0),(AM335+AN335+AO335+AP335)/AP338,""),"")</f>
        <v>0.0440149985721421</v>
      </c>
      <c r="AQ333" s="257">
        <f>IFERROR(IF(AND(COUNT(AM335,AN335,AO335,AP335)=4,N(AQ338)&lt;&gt;0),(AM335+AN335+AO335+AP335)/AQ338,""),"")</f>
        <v>0.0440149985721421</v>
      </c>
      <c r="AR333" s="257">
        <f>IFERROR(IF(AND(COUNT(AN335,AO335,AP335,AR335)=4,N(AR338)&lt;&gt;0),(AN335+AO335+AP335+AR335)/AR338,""),"")</f>
        <v>0.0412507296876265</v>
      </c>
      <c r="AS333" s="257">
        <f>IFERROR(IF(AND(COUNT(AO335,AP335,AR335,AS335)=4,N(AS338)&lt;&gt;0),(AO335+AP335+AR335+AS335)/AS338,""),"")</f>
        <v>0.0419731706073439</v>
      </c>
      <c r="AT333" s="257">
        <f>IFERROR(IF(AND(COUNT(AP335,AR335,AS335,AT335)=4,N(AT338)&lt;&gt;0),(AP335+AR335+AS335+AT335)/AT338,""),"")</f>
        <v>0.0413674843039436</v>
      </c>
      <c r="AU333" s="257">
        <f>IFERROR(IF(AND(COUNT(AR335,AS335,AT335,AU335)=4,N(AU338)&lt;&gt;0),(AR335+AS335+AT335+AU335)/AU338,""),"")</f>
        <v>0.0411231568912684</v>
      </c>
      <c r="AV333" s="257">
        <f>IFERROR(IF(AND(COUNT(AR335,AS335,AT335,AU335)=4,N(AV338)&lt;&gt;0),(AR335+AS335+AT335+AU335)/AV338,""),"")</f>
        <v>0.0411231568912684</v>
      </c>
      <c r="AW333" s="257">
        <f>IFERROR(IF(AND(COUNT(AS335,AT335,AU335,AW335)=4,N(AW338)&lt;&gt;0),(AS335+AT335+AU335+AW335)/AW338,""),"")</f>
        <v>0.0387758508693128</v>
      </c>
      <c r="AX333" s="257">
        <f>IFERROR(IF(AND(COUNT(AT335,AU335,AW335,AX335)=4,N(AX338)&lt;&gt;0),(AT335+AU335+AW335+AX335)/AX338,""),"")</f>
        <v>0.0395105393131597</v>
      </c>
      <c r="AY333" s="257">
        <f>IFERROR(IF(AND(COUNT(AU335,AW335,AX335,AY335)=4,N(AY338)&lt;&gt;0),(AU335+AW335+AX335+AY335)/AY338,""),"")</f>
        <v>0.0390314210882017</v>
      </c>
      <c r="AZ333" s="257">
        <f>IFERROR(IF(AND(COUNT(AW335,AX335,AY335,AZ335)=4,N(AZ338)&lt;&gt;0),(AW335+AX335+AY335+AZ335)/AZ338,""),"")</f>
        <v>0.0388624103988493</v>
      </c>
      <c r="BA333" s="257">
        <f>IFERROR(IF(AND(COUNT(AW335,AX335,AY335,AZ335)=4,N(BA338)&lt;&gt;0),(AW335+AX335+AY335+AZ335)/BA338,""),"")</f>
        <v>0.0388624103988493</v>
      </c>
      <c r="BB333" s="257">
        <f>IFERROR(IF(AND(COUNT(AX335,AY335,AZ335,BB335)=4,N(BB338)&lt;&gt;0),(AX335+AY335+AZ335+BB335)/BB338,""),"")</f>
        <v>0.0368401856615123</v>
      </c>
      <c r="BC333" s="257">
        <f>IFERROR(IF(AND(COUNT(AY335,AZ335,BB335,BC335)=4,N(BC338)&lt;&gt;0),(AY335+AZ335+BB335+BC335)/BC338,""),"")</f>
        <v>0.037542960137915</v>
      </c>
      <c r="BD333" s="257">
        <f>IFERROR(IF(AND(COUNT(AZ335,BB335,BC335,BD335)=4,N(BD338)&lt;&gt;0),(AZ335+BB335+BC335+BD335)/BD338,""),"")</f>
        <v>0.0371505494080483</v>
      </c>
      <c r="BE333" s="257">
        <f>IFERROR(IF(AND(COUNT(BB335,BC335,BD335,BE335)=4,N(BE338)&lt;&gt;0),(BB335+BC335+BD335+BE335)/BE338,""),"")</f>
        <v>0.0370312917639533</v>
      </c>
      <c r="BF333" s="257">
        <f>IFERROR(IF(AND(COUNT(BB335,BC335,BD335,BE335)=4,N(BF338)&lt;&gt;0),(BB335+BC335+BD335+BE335)/BF338,""),"")</f>
        <v>0.0370312917639533</v>
      </c>
      <c r="BG333" s="81" t="n"/>
      <c r="BH333" s="81" t="n"/>
      <c r="BI333" s="81" t="n"/>
      <c r="BJ333" s="81" t="n"/>
      <c r="BL333" s="81" t="n"/>
      <c r="BM333" s="81" t="n"/>
      <c r="BN333" s="81" t="n"/>
      <c r="BO333" s="81" t="n"/>
      <c r="BQ333" s="81" t="n"/>
      <c r="BR333" s="81" t="n"/>
      <c r="BS333" s="81" t="n"/>
      <c r="BT333" s="81" t="n"/>
      <c r="BV333" s="81" t="n"/>
      <c r="BW333" s="81" t="n"/>
      <c r="BX333" s="81" t="n"/>
      <c r="BY333" s="81" t="n"/>
      <c r="CA333" s="81" t="n"/>
      <c r="CB333" s="81" t="n"/>
      <c r="CC333" s="81" t="n"/>
      <c r="CD333" s="81" t="n"/>
      <c r="CF333" s="81" t="n"/>
      <c r="CG333" s="81" t="n"/>
      <c r="CH333" s="81" t="n"/>
      <c r="CI333" s="81" t="n"/>
      <c r="CK333" s="81" t="n"/>
      <c r="CL333" s="81" t="n"/>
      <c r="CM333" s="81" t="n"/>
      <c r="CN333" s="81" t="n"/>
      <c r="CP333" s="81" t="n"/>
      <c r="CQ333" s="81" t="n"/>
      <c r="CR333" s="81" t="n"/>
      <c r="CS333" s="81" t="n"/>
      <c r="CU333" s="81" t="n"/>
      <c r="CV333" s="81" t="n"/>
      <c r="CW333" s="81" t="n"/>
      <c r="CX333" s="81" t="n"/>
    </row>
    <row r="334" customFormat="1" s="84">
      <c r="A334" s="81" t="n"/>
      <c r="B334" s="81" t="n"/>
      <c r="C334" s="84" t="inlineStr">
        <is>
          <t>RETURN ON CAPITAL (ROIC) - EX GOODWILL - LTM</t>
        </is>
      </c>
      <c r="D334" t="str">
        <f>IFERROR(D335/D339,"")</f>
        <v/>
      </c>
      <c r="E334" t="str">
        <f>IFERROR(E335/E339,"")</f>
        <v/>
      </c>
      <c r="F334" t="str">
        <f>IFERROR(F335/F339,"")</f>
        <v/>
      </c>
      <c r="G334" t="str">
        <f>IFERROR(G335/G339,"")</f>
        <v/>
      </c>
      <c r="H334" s="257" t="str">
        <f>IFERROR(IF(AND(COUNT(H335)=1,N(H339)&lt;&gt;0),(H335)/H339,""),"")</f>
        <v/>
      </c>
      <c r="I334" s="257" t="str">
        <f>""</f>
        <v/>
      </c>
      <c r="J334" s="257" t="str">
        <f>""</f>
        <v/>
      </c>
      <c r="K334" s="257" t="str">
        <f>""</f>
        <v/>
      </c>
      <c r="L334" s="257">
        <f>IFERROR(IF(AND(COUNT(I335,J335,K335,L335)=4,N(L339)&lt;&gt;0),(I335+J335+K335+L335)/L339,""),"")</f>
        <v>-0.00505699711652518</v>
      </c>
      <c r="M334" s="257">
        <f>IFERROR(IF(AND(COUNT(I335,J335,K335,L335)=4,N(M339)&lt;&gt;0),(I335+J335+K335+L335)/M339,""),"")</f>
        <v>-0.00505699711652518</v>
      </c>
      <c r="N334" s="257">
        <f>IFERROR(IF(AND(COUNT(J335,K335,L335,N335)=4,N(N339)&lt;&gt;0),(J335+K335+L335+N335)/N339,""),"")</f>
        <v>0.0846422962777029</v>
      </c>
      <c r="O334" s="257">
        <f>IFERROR(IF(AND(COUNT(K335,L335,N335,O335)=4,N(O339)&lt;&gt;0),(K335+L335+N335+O335)/O339,""),"")</f>
        <v>0.088673605755686</v>
      </c>
      <c r="P334" s="257">
        <f>IFERROR(IF(AND(COUNT(L335,N335,O335,P335)=4,N(P339)&lt;&gt;0),(L335+N335+O335+P335)/P339,""),"")</f>
        <v>0.0340701784874228</v>
      </c>
      <c r="Q334" s="257">
        <f>IFERROR(IF(AND(COUNT(N335,O335,P335,Q335)=4,N(Q339)&lt;&gt;0),(N335+O335+P335+Q335)/Q339,""),"")</f>
        <v>0.0273132708448443</v>
      </c>
      <c r="R334" s="257">
        <f>IFERROR(IF(AND(COUNT(N335,O335,P335,Q335)=4,N(R339)&lt;&gt;0),(N335+O335+P335+Q335)/R339,""),"")</f>
        <v>0.0273132708448443</v>
      </c>
      <c r="S334" s="257">
        <f>IFERROR(IF(AND(COUNT(O335,P335,Q335,S335)=4,N(S339)&lt;&gt;0),(O335+P335+Q335+S335)/S339,""),"")</f>
        <v>0.00123316006113319</v>
      </c>
      <c r="T334" s="257">
        <f>IFERROR(IF(AND(COUNT(P335,Q335,S335,T335)=4,N(T339)&lt;&gt;0),(P335+Q335+S335+T335)/T339,""),"")</f>
        <v>0.0234064152059773</v>
      </c>
      <c r="U334" s="257">
        <f>IFERROR(IF(AND(COUNT(Q335,S335,T335,U335)=4,N(U339)&lt;&gt;0),(Q335+S335+T335+U335)/U339,""),"")</f>
        <v>0.073945355405133</v>
      </c>
      <c r="V334" s="257">
        <f>IFERROR(IF(AND(COUNT(S335,T335,U335,V335)=4,N(V339)&lt;&gt;0),(S335+T335+U335+V335)/V339,""),"")</f>
        <v>0.0642884975667227</v>
      </c>
      <c r="W334" s="257">
        <f>IFERROR(IF(AND(COUNT(S335,T335,U335,V335)=4,N(W339)&lt;&gt;0),(S335+T335+U335+V335)/W339,""),"")</f>
        <v>0.0642884975667227</v>
      </c>
      <c r="X334" s="257">
        <f>IFERROR(IF(AND(COUNT(T335,U335,V335,X335)=4,N(X339)&lt;&gt;0),(T335+U335+V335+X335)/X339,""),"")</f>
        <v>0.0960187873059796</v>
      </c>
      <c r="Y334" s="257">
        <f>IFERROR(IF(AND(COUNT(U335,V335,X335,Y335)=4,N(Y339)&lt;&gt;0),(U335+V335+X335+Y335)/Y339,""),"")</f>
        <v>0.119371976242618</v>
      </c>
      <c r="Z334" s="257">
        <f>IFERROR(IF(AND(COUNT(V335,X335,Y335,Z335)=4,N(Z339)&lt;&gt;0),(V335+X335+Y335+Z335)/Z339,""),"")</f>
        <v>0.155050278546431</v>
      </c>
      <c r="AA334" s="257">
        <f>IFERROR(IF(AND(COUNT(X335,Y335,Z335,AA335)=4,N(AA339)&lt;&gt;0),(X335+Y335+Z335+AA335)/AA339,""),"")</f>
        <v>0.236740469264132</v>
      </c>
      <c r="AB334" s="257">
        <f>IFERROR(IF(AND(COUNT(X335,Y335,Z335,AA335)=4,N(AB339)&lt;&gt;0),(X335+Y335+Z335+AA335)/AB339,""),"")</f>
        <v>0.236740469264132</v>
      </c>
      <c r="AC334" s="257">
        <f>IFERROR(IF(AND(COUNT(Y335,Z335,AA335,AC335)=4,N(AC339)&lt;&gt;0),(Y335+Z335+AA335+AC335)/AC339,""),"")</f>
        <v>0.191109629501791</v>
      </c>
      <c r="AD334" s="257">
        <f>IFERROR(IF(AND(COUNT(Z335,AA335,AC335,AD335)=4,N(AD339)&lt;&gt;0),(Z335+AA335+AC335+AD335)/AD339,""),"")</f>
        <v>0.172124988906613</v>
      </c>
      <c r="AE334" s="257">
        <f>IFERROR(IF(AND(COUNT(AA335,AC335,AD335,AE335)=4,N(AE339)&lt;&gt;0),(AA335+AC335+AD335+AE335)/AE339,""),"")</f>
        <v>0.176683908320185</v>
      </c>
      <c r="AF334" s="257">
        <f>IFERROR(IF(AND(COUNT(AB335,AD335,AE335,AF335)=4,N(AF339)&lt;&gt;0),(AB335+AD335+AE335+AF335)/AF339,""),"")</f>
        <v>0.332115726949134</v>
      </c>
      <c r="AG334" s="257">
        <f>IFERROR(IF(AND(COUNT(AC335,AD335,AE335,AF335)=4,N(AG339)&lt;&gt;0),(AC335+AD335+AE335+AF335)/AG339,""),"")</f>
        <v>0.131266595650692</v>
      </c>
      <c r="AH334" s="257">
        <f>IFERROR(IF(AND(COUNT(AD335,AF335,AG335,AH335)=4,N(AH339)&lt;&gt;0),(AD335+AF335+AG335+AH335)/AH339,""),"")</f>
        <v>0.111936387118572</v>
      </c>
      <c r="AI334" s="257">
        <f>IFERROR(IF(AND(COUNT(AE335,AG335,AH335,AI335)=4,N(AI339)&lt;&gt;0),(AE335+AG335+AH335+AI335)/AI339,""),"")</f>
        <v>0.11069711389875</v>
      </c>
      <c r="AJ334" s="257">
        <f>IFERROR(IF(AND(COUNT(AF335,AH335,AI335,AJ335)=4,N(AJ339)&lt;&gt;0),(AF335+AH335+AI335+AJ335)/AJ339,""),"")</f>
        <v>0.0657702253081913</v>
      </c>
      <c r="AK334" s="257">
        <f>IFERROR(IF(AND(COUNT(AH335,AI335,AJ335,AK335)=4,N(AK339)&lt;&gt;0),(AH335+AI335+AJ335+AK335)/AK339,""),"")</f>
        <v>0.0672064373037108</v>
      </c>
      <c r="AL334" s="257">
        <f>IFERROR(IF(AND(COUNT(AH335,AI335,AJ335,AK335)=4,N(AL339)&lt;&gt;0),(AH335+AI335+AJ335+AK335)/AL339,""),"")</f>
        <v>0.0672064373037108</v>
      </c>
      <c r="AM334" s="257">
        <f>IFERROR(IF(AND(COUNT(AI335,AJ335,AK335,AM335)=4,N(AM339)&lt;&gt;0),(AI335+AJ335+AK335+AM335)/AM339,""),"")</f>
        <v>0.0472632226137807</v>
      </c>
      <c r="AN334" s="257">
        <f>IFERROR(IF(AND(COUNT(AJ335,AK335,AM335,AN335)=4,N(AN339)&lt;&gt;0),(AJ335+AK335+AM335+AN335)/AN339,""),"")</f>
        <v>0.0535838950317883</v>
      </c>
      <c r="AO334" s="257">
        <f>IFERROR(IF(AND(COUNT(AK335,AM335,AN335,AO335)=4,N(AO339)&lt;&gt;0),(AK335+AM335+AN335+AO335)/AO339,""),"")</f>
        <v>0.0520772070818566</v>
      </c>
      <c r="AP334" s="257">
        <f>IFERROR(IF(AND(COUNT(AM335,AN335,AO335,AP335)=4,N(AP339)&lt;&gt;0),(AM335+AN335+AO335+AP335)/AP339,""),"")</f>
        <v>0.0512592576386894</v>
      </c>
      <c r="AQ334" s="257">
        <f>IFERROR(IF(AND(COUNT(AM335,AN335,AO335,AP335)=4,N(AQ339)&lt;&gt;0),(AM335+AN335+AO335+AP335)/AQ339,""),"")</f>
        <v>0.0512592576386894</v>
      </c>
      <c r="AR334" s="257">
        <f>IFERROR(IF(AND(COUNT(AN335,AO335,AP335,AR335)=4,N(AR339)&lt;&gt;0),(AN335+AO335+AP335+AR335)/AR339,""),"")</f>
        <v>0.0471096436642625</v>
      </c>
      <c r="AS334" s="257">
        <f>IFERROR(IF(AND(COUNT(AO335,AP335,AR335,AS335)=4,N(AS339)&lt;&gt;0),(AO335+AP335+AR335+AS335)/AS339,""),"")</f>
        <v>0.0477804844344407</v>
      </c>
      <c r="AT334" s="257">
        <f>IFERROR(IF(AND(COUNT(AP335,AR335,AS335,AT335)=4,N(AT339)&lt;&gt;0),(AP335+AR335+AS335+AT335)/AT339,""),"")</f>
        <v>0.0467428709943098</v>
      </c>
      <c r="AU334" s="257">
        <f>IFERROR(IF(AND(COUNT(AR335,AS335,AT335,AU335)=4,N(AU339)&lt;&gt;0),(AR335+AS335+AT335+AU335)/AU339,""),"")</f>
        <v>0.0462185399992301</v>
      </c>
      <c r="AV334" s="257">
        <f>IFERROR(IF(AND(COUNT(AR335,AS335,AT335,AU335)=4,N(AV339)&lt;&gt;0),(AR335+AS335+AT335+AU335)/AV339,""),"")</f>
        <v>0.0462185399992301</v>
      </c>
      <c r="AW334" s="257">
        <f>IFERROR(IF(AND(COUNT(AS335,AT335,AU335,AW335)=4,N(AW339)&lt;&gt;0),(AS335+AT335+AU335+AW335)/AW339,""),"")</f>
        <v>0.0429773109304071</v>
      </c>
      <c r="AX334" s="257">
        <f>IFERROR(IF(AND(COUNT(AT335,AU335,AW335,AX335)=4,N(AX339)&lt;&gt;0),(AT335+AU335+AW335+AX335)/AX339,""),"")</f>
        <v>0.0436949024501028</v>
      </c>
      <c r="AY334" s="257">
        <f>IFERROR(IF(AND(COUNT(AU335,AW335,AX335,AY335)=4,N(AY339)&lt;&gt;0),(AU335+AW335+AX335+AY335)/AY339,""),"")</f>
        <v>0.0429342872548239</v>
      </c>
      <c r="AZ334" s="257">
        <f>IFERROR(IF(AND(COUNT(AW335,AX335,AY335,AZ335)=4,N(AZ339)&lt;&gt;0),(AW335+AX335+AY335+AZ335)/AZ339,""),"")</f>
        <v>0.0425820467276821</v>
      </c>
      <c r="BA334" s="257">
        <f>IFERROR(IF(AND(COUNT(AW335,AX335,AY335,AZ335)=4,N(BA339)&lt;&gt;0),(AW335+AX335+AY335+AZ335)/BA339,""),"")</f>
        <v>0.0425820467276821</v>
      </c>
      <c r="BB334" s="257">
        <f>IFERROR(IF(AND(COUNT(AX335,AY335,AZ335,BB335)=4,N(BB339)&lt;&gt;0),(AX335+AY335+AZ335+BB335)/BB339,""),"")</f>
        <v>0.0399565741447648</v>
      </c>
      <c r="BC334" s="257">
        <f>IFERROR(IF(AND(COUNT(AY335,AZ335,BB335,BC335)=4,N(BC339)&lt;&gt;0),(AY335+AZ335+BB335+BC335)/BC339,""),"")</f>
        <v>0.0406521702671144</v>
      </c>
      <c r="BD334" s="257">
        <f>IFERROR(IF(AND(COUNT(AZ335,BB335,BC335,BD335)=4,N(BD339)&lt;&gt;0),(AZ335+BB335+BC335+BD335)/BD339,""),"")</f>
        <v>0.0400671026653273</v>
      </c>
      <c r="BE334" s="257">
        <f>IFERROR(IF(AND(COUNT(BB335,BC335,BD335,BE335)=4,N(BE339)&lt;&gt;0),(BB335+BC335+BD335+BE335)/BE339,""),"")</f>
        <v>0.0398221120805735</v>
      </c>
      <c r="BF334" s="257">
        <f>IFERROR(IF(AND(COUNT(BB335,BC335,BD335,BE335)=4,N(BF339)&lt;&gt;0),(BB335+BC335+BD335+BE335)/BF339,""),"")</f>
        <v>0.0398221120805735</v>
      </c>
      <c r="BG334" s="81" t="n"/>
      <c r="BH334" s="81" t="n"/>
      <c r="BI334" s="81" t="n"/>
      <c r="BJ334" s="81" t="n"/>
      <c r="BL334" s="81" t="n"/>
      <c r="BM334" s="81" t="n"/>
      <c r="BN334" s="81" t="n"/>
      <c r="BO334" s="81" t="n"/>
      <c r="BQ334" s="81" t="n"/>
      <c r="BR334" s="81" t="n"/>
      <c r="BS334" s="81" t="n"/>
      <c r="BT334" s="81" t="n"/>
      <c r="BV334" s="81" t="n"/>
      <c r="BW334" s="81" t="n"/>
      <c r="BX334" s="81" t="n"/>
      <c r="BY334" s="81" t="n"/>
      <c r="CA334" s="81" t="n"/>
      <c r="CB334" s="81" t="n"/>
      <c r="CC334" s="81" t="n"/>
      <c r="CD334" s="81" t="n"/>
      <c r="CF334" s="81" t="n"/>
      <c r="CG334" s="81" t="n"/>
      <c r="CH334" s="81" t="n"/>
      <c r="CI334" s="81" t="n"/>
      <c r="CK334" s="81" t="n"/>
      <c r="CL334" s="81" t="n"/>
      <c r="CM334" s="81" t="n"/>
      <c r="CN334" s="81" t="n"/>
      <c r="CP334" s="81" t="n"/>
      <c r="CQ334" s="81" t="n"/>
      <c r="CR334" s="81" t="n"/>
      <c r="CS334" s="81" t="n"/>
      <c r="CU334" s="81" t="n"/>
      <c r="CV334" s="81" t="n"/>
      <c r="CW334" s="81" t="n"/>
      <c r="CX334" s="81" t="n"/>
    </row>
    <row r="335" customFormat="1" s="77">
      <c r="A335" s="76" t="n"/>
      <c r="B335" s="76" t="n"/>
      <c r="C335" s="77" t="inlineStr">
        <is>
          <t>NOPLAT</t>
        </is>
      </c>
      <c r="D335">
        <f>IFERROR(D336*(1-D337),"")</f>
        <v>0</v>
      </c>
      <c r="E335">
        <f>IFERROR(E336*(1-E337),"")</f>
        <v>0</v>
      </c>
      <c r="F335">
        <f>IFERROR(F336*(1-F337),"")</f>
        <v>0</v>
      </c>
      <c r="G335">
        <f>IFERROR(G336*(1-G337),"")</f>
        <v>0</v>
      </c>
      <c r="H335" s="263">
        <f>IFERROR(H336*(1-N(H337)),0)</f>
        <v>0</v>
      </c>
      <c r="I335" s="263">
        <f>IFERROR(I336*(1-N(I337)),0)</f>
        <v>-845.043294614572</v>
      </c>
      <c r="J335" s="263">
        <f>IFERROR(J336*(1-N(J337)),0)</f>
        <v>-34.7741935483871</v>
      </c>
      <c r="K335" s="263">
        <f>IFERROR(K336*(1-N(K337)),0)</f>
        <v>787.250614250614</v>
      </c>
      <c r="L335" s="263">
        <f>IFERROR(L336*(1-N(L337)),0)</f>
        <v>-0.5375</v>
      </c>
      <c r="M335" s="263">
        <f>IFERROR(M336*(1-N(M337)),0)</f>
        <v>0</v>
      </c>
      <c r="N335" s="263">
        <f>IFERROR(N336*(1-N(N337)),0)</f>
        <v>435</v>
      </c>
      <c r="O335" s="263">
        <f>IFERROR(O336*(1-N(O337)),0)</f>
        <v>68.310502283105</v>
      </c>
      <c r="P335" s="263">
        <f>IFERROR(P336*(1-N(P337)),0)</f>
        <v>-24.8365384615385</v>
      </c>
      <c r="Q335" s="263">
        <f>IFERROR(Q336*(1-N(Q337)),0)</f>
        <v>-36.2721088435374</v>
      </c>
      <c r="R335" s="263">
        <f>IFERROR(R336*(1-N(R337)),0)</f>
        <v>140.361623616236</v>
      </c>
      <c r="S335" s="263">
        <f>IFERROR(S336*(1-N(S337)),0)</f>
        <v>13.936974789916</v>
      </c>
      <c r="T335" s="263">
        <f>IFERROR(T336*(1-N(T337)),0)</f>
        <v>473.613151152861</v>
      </c>
      <c r="U335" s="263">
        <f>IFERROR(U336*(1-N(U337)),0)</f>
        <v>753.217877094972</v>
      </c>
      <c r="V335" s="263">
        <f>IFERROR(V336*(1-N(V337)),0)</f>
        <v>0</v>
      </c>
      <c r="W335" s="263">
        <f>IFERROR(W336*(1-N(W337)),0)</f>
        <v>1044.16428279526</v>
      </c>
      <c r="X335" s="263">
        <f>IFERROR(X336*(1-N(X337)),0)</f>
        <v>684.999045801527</v>
      </c>
      <c r="Y335" s="263">
        <f>IFERROR(Y336*(1-N(Y337)),0)</f>
        <v>924.273858921162</v>
      </c>
      <c r="Z335" s="263">
        <f>IFERROR(Z336*(1-N(Z337)),0)</f>
        <v>1066.58480243161</v>
      </c>
      <c r="AA335" s="263">
        <f>IFERROR(AA336*(1-N(AA337)),0)</f>
        <v>965.210710128056</v>
      </c>
      <c r="AB335" s="263">
        <f>IFERROR(AB336*(1-N(AB337)),0)</f>
        <v>3606.10806023029</v>
      </c>
      <c r="AC335" s="263">
        <f>IFERROR(AC336*(1-N(AC337)),0)</f>
        <v>385.291390728477</v>
      </c>
      <c r="AD335" s="263">
        <f>IFERROR(AD336*(1-N(AD337)),0)</f>
        <v>622.296150824823</v>
      </c>
      <c r="AE335" s="263">
        <f>IFERROR(AE336*(1-N(AE337)),0)</f>
        <v>723.221505376344</v>
      </c>
      <c r="AF335" s="263">
        <f>IFERROR(AF336*(1-N(AF337)),0)</f>
        <v>374.182080924856</v>
      </c>
      <c r="AG335" s="263">
        <f>IFERROR(AG336*(1-N(AG337)),0)</f>
        <v>2042.68413557391</v>
      </c>
      <c r="AH335" s="263">
        <f>IFERROR(AH336*(1-N(AH337)),0)</f>
        <v>1750.37176470588</v>
      </c>
      <c r="AI335" s="263">
        <f>IFERROR(AI336*(1-N(AI337)),0)</f>
        <v>323.511111111111</v>
      </c>
      <c r="AJ335" s="263">
        <f>IFERROR(AJ336*(1-N(AJ337)),0)</f>
        <v>697.142456760904</v>
      </c>
      <c r="AK335" s="263">
        <f>IFERROR(AK336*(1-N(AK337)),0)</f>
        <v>644.51191512416</v>
      </c>
      <c r="AL335" s="263">
        <f>IFERROR(AL336*(1-N(AL337)),0)</f>
        <v>3358.23241427771</v>
      </c>
      <c r="AM335" s="263">
        <f>IFERROR(AM336*(1-N(AM337)),0)</f>
        <v>1180.1550082336</v>
      </c>
      <c r="AN335" s="263">
        <f>IFERROR(AN336*(1-N(AN337)),0)</f>
        <v>796.249162181708</v>
      </c>
      <c r="AO335" s="263">
        <f>IFERROR(AO336*(1-N(AO337)),0)</f>
        <v>838.450820228053</v>
      </c>
      <c r="AP335" s="263">
        <f>IFERROR(AP336*(1-N(AP337)),0)</f>
        <v>775.15224993382</v>
      </c>
      <c r="AQ335" s="263">
        <f>IFERROR(AQ336*(1-N(AQ337)),0)</f>
        <v>3590.00724057719</v>
      </c>
      <c r="AR335" s="263">
        <f>IFERROR(AR336*(1-N(AR337)),0)</f>
        <v>1413.4675693388</v>
      </c>
      <c r="AS335" s="263">
        <f>IFERROR(AS336*(1-N(AS337)),0)</f>
        <v>953.664866059915</v>
      </c>
      <c r="AT335" s="263">
        <f>IFERROR(AT336*(1-N(AT337)),0)</f>
        <v>1004.20964585975</v>
      </c>
      <c r="AU335" s="263">
        <f>IFERROR(AU336*(1-N(AU337)),0)</f>
        <v>928.397167268204</v>
      </c>
      <c r="AV335" s="263">
        <f>IFERROR(AV336*(1-N(AV337)),0)</f>
        <v>4299.73924852667</v>
      </c>
      <c r="AW335" s="263">
        <f>IFERROR(AW336*(1-N(AW337)),0)</f>
        <v>1685.83787853068</v>
      </c>
      <c r="AX335" s="263">
        <f>IFERROR(AX336*(1-N(AX337)),0)</f>
        <v>1137.43278551467</v>
      </c>
      <c r="AY335" s="263">
        <f>IFERROR(AY336*(1-N(AY337)),0)</f>
        <v>1197.7173694676</v>
      </c>
      <c r="AZ335" s="263">
        <f>IFERROR(AZ336*(1-N(AZ337)),0)</f>
        <v>1107.29608860673</v>
      </c>
      <c r="BA335" s="263">
        <f>IFERROR(BA336*(1-N(BA337)),0)</f>
        <v>5128.28412211968</v>
      </c>
      <c r="BB335" s="263">
        <f>IFERROR(BB336*(1-N(BB337)),0)</f>
        <v>2002.26381435152</v>
      </c>
      <c r="BC335" s="263">
        <f>IFERROR(BC336*(1-N(BC337)),0)</f>
        <v>1350.92498317693</v>
      </c>
      <c r="BD335" s="263">
        <f>IFERROR(BD336*(1-N(BD337)),0)</f>
        <v>1422.5247749181</v>
      </c>
      <c r="BE335" s="263">
        <f>IFERROR(BE336*(1-N(BE337)),0)</f>
        <v>1315.13173254986</v>
      </c>
      <c r="BF335" s="263">
        <f>IFERROR(BF336*(1-N(BF337)),0)</f>
        <v>6090.84530499641</v>
      </c>
      <c r="BG335" s="85" t="n"/>
      <c r="BH335" s="76" t="n"/>
      <c r="BI335" s="76" t="n"/>
      <c r="BJ335" s="76" t="n"/>
      <c r="BL335" s="85" t="n"/>
      <c r="BM335" s="76" t="n"/>
      <c r="BN335" s="76" t="n"/>
      <c r="BO335" s="76" t="n"/>
      <c r="BQ335" s="85" t="n"/>
      <c r="BR335" s="76" t="n"/>
      <c r="BS335" s="76" t="n"/>
      <c r="BT335" s="76" t="n"/>
      <c r="BV335" s="85" t="n"/>
      <c r="BW335" s="76" t="n"/>
      <c r="BX335" s="76" t="n"/>
      <c r="BY335" s="76" t="n"/>
      <c r="CA335" s="85" t="n"/>
      <c r="CB335" s="76" t="n"/>
      <c r="CC335" s="76" t="n"/>
      <c r="CD335" s="76" t="n"/>
      <c r="CF335" s="85" t="n"/>
      <c r="CG335" s="76" t="n"/>
      <c r="CH335" s="76" t="n"/>
      <c r="CI335" s="76" t="n"/>
      <c r="CK335" s="85" t="n"/>
      <c r="CL335" s="76" t="n"/>
      <c r="CM335" s="76" t="n"/>
      <c r="CN335" s="76" t="n"/>
      <c r="CP335" s="85" t="n"/>
      <c r="CQ335" s="76" t="n"/>
      <c r="CR335" s="76" t="n"/>
      <c r="CS335" s="76" t="n"/>
      <c r="CU335" s="85" t="n"/>
      <c r="CV335" s="76" t="n"/>
      <c r="CW335" s="76" t="n"/>
      <c r="CX335" s="76" t="n"/>
    </row>
    <row r="336" customFormat="1" s="77">
      <c r="A336" s="76" t="n"/>
      <c r="B336" s="76" t="n"/>
      <c r="C336" s="77" t="inlineStr">
        <is>
          <t>EBIT</t>
        </is>
      </c>
      <c r="D336" s="86">
        <f>IFERROR(D118,"")</f>
        <v>0</v>
      </c>
      <c r="E336" s="86">
        <f>IFERROR(E118,"")</f>
        <v>0</v>
      </c>
      <c r="F336" s="86">
        <f>IFERROR(F118,"")</f>
        <v>0</v>
      </c>
      <c r="G336" s="86">
        <f>IFERROR(G118,"")</f>
        <v>0</v>
      </c>
      <c r="H336" s="263">
        <f>IFERROR(H61,0)</f>
        <v>0</v>
      </c>
      <c r="I336" s="263">
        <f>IFERROR(I61,0)</f>
        <v>-1042</v>
      </c>
      <c r="J336" s="263">
        <f>IFERROR(J61,0)</f>
        <v>-308</v>
      </c>
      <c r="K336" s="263">
        <f>IFERROR(K61,0)</f>
        <v>1006</v>
      </c>
      <c r="L336" s="263">
        <f>IFERROR(L61,0)</f>
        <v>-2</v>
      </c>
      <c r="M336" s="263">
        <f>IFERROR(M61,0)</f>
        <v>-346</v>
      </c>
      <c r="N336" s="263">
        <f>IFERROR(N61,0)</f>
        <v>435</v>
      </c>
      <c r="O336" s="263">
        <f>IFERROR(O61,0)</f>
        <v>272</v>
      </c>
      <c r="P336" s="263">
        <f>IFERROR(P61,0)</f>
        <v>-41</v>
      </c>
      <c r="Q336" s="263">
        <f>IFERROR(Q61,0)</f>
        <v>-172</v>
      </c>
      <c r="R336" s="263">
        <f>IFERROR(R61,0)</f>
        <v>494</v>
      </c>
      <c r="S336" s="263">
        <f>IFERROR(S61,0)</f>
        <v>31</v>
      </c>
      <c r="T336" s="263">
        <f>IFERROR(T61,0)</f>
        <v>669</v>
      </c>
      <c r="U336" s="263">
        <f>IFERROR(U61,0)</f>
        <v>977</v>
      </c>
      <c r="V336" s="263">
        <f>IFERROR(V61,0)</f>
        <v>-67</v>
      </c>
      <c r="W336" s="263">
        <f>IFERROR(W61,0)</f>
        <v>1610</v>
      </c>
      <c r="X336" s="263">
        <f>IFERROR(X61,0)</f>
        <v>813</v>
      </c>
      <c r="Y336" s="263">
        <f>IFERROR(Y61,0)</f>
        <v>1100</v>
      </c>
      <c r="Z336" s="263">
        <f>IFERROR(Z61,0)</f>
        <v>1467</v>
      </c>
      <c r="AA336" s="263">
        <f>IFERROR(AA61,0)</f>
        <v>972</v>
      </c>
      <c r="AB336" s="263">
        <f>IFERROR(AB61,0)</f>
        <v>4352</v>
      </c>
      <c r="AC336" s="263">
        <f>IFERROR(AC61,0)</f>
        <v>451</v>
      </c>
      <c r="AD336" s="263">
        <f>IFERROR(AD61,0)</f>
        <v>951</v>
      </c>
      <c r="AE336" s="263">
        <f>IFERROR(AE61,0)</f>
        <v>1086</v>
      </c>
      <c r="AF336" s="263">
        <f>IFERROR(AF61,0)</f>
        <v>598</v>
      </c>
      <c r="AG336" s="263">
        <f>IFERROR(AG61,0)</f>
        <v>3086</v>
      </c>
      <c r="AH336" s="263">
        <f>IFERROR(AH61,0)</f>
        <v>2332</v>
      </c>
      <c r="AI336" s="263">
        <f>IFERROR(AI61,0)</f>
        <v>580</v>
      </c>
      <c r="AJ336" s="263">
        <f>IFERROR(AJ61,0)</f>
        <v>1018.0475325861</v>
      </c>
      <c r="AK336" s="263">
        <f>IFERROR(AK61,0)</f>
        <v>941.190367264534</v>
      </c>
      <c r="AL336" s="263">
        <f>IFERROR(AL61,0)</f>
        <v>4871.23789985064</v>
      </c>
      <c r="AM336" s="263">
        <f>IFERROR(AM61,0)</f>
        <v>1723.39796916631</v>
      </c>
      <c r="AN336" s="263">
        <f>IFERROR(AN61,0)</f>
        <v>1162.77453341341</v>
      </c>
      <c r="AO336" s="263">
        <f>IFERROR(AO61,0)</f>
        <v>1224.40224440485</v>
      </c>
      <c r="AP336" s="263">
        <f>IFERROR(AP61,0)</f>
        <v>1131.96639764309</v>
      </c>
      <c r="AQ336" s="263">
        <f>IFERROR(AQ61,0)</f>
        <v>5242.54114462766</v>
      </c>
      <c r="AR336" s="263">
        <f>IFERROR(AR61,0)</f>
        <v>2064.10778371136</v>
      </c>
      <c r="AS336" s="263">
        <f>IFERROR(AS61,0)</f>
        <v>1392.65103479321</v>
      </c>
      <c r="AT336" s="263">
        <f>IFERROR(AT61,0)</f>
        <v>1466.46233097994</v>
      </c>
      <c r="AU336" s="263">
        <f>IFERROR(AU61,0)</f>
        <v>1355.75223719516</v>
      </c>
      <c r="AV336" s="263">
        <f>IFERROR(AV61,0)</f>
        <v>6278.97338667967</v>
      </c>
      <c r="AW336" s="263">
        <f>IFERROR(AW61,0)</f>
        <v>2461.85421061934</v>
      </c>
      <c r="AX336" s="263">
        <f>IFERROR(AX61,0)</f>
        <v>1661.01006981546</v>
      </c>
      <c r="AY336" s="263">
        <f>IFERROR(AY61,0)</f>
        <v>1749.04454734737</v>
      </c>
      <c r="AZ336" s="263">
        <f>IFERROR(AZ61,0)</f>
        <v>1617.00100161156</v>
      </c>
      <c r="BA336" s="263">
        <f>IFERROR(BA61,0)</f>
        <v>7488.90982939374</v>
      </c>
      <c r="BB336" s="263">
        <f>IFERROR(BB61,0)</f>
        <v>2923.93572650547</v>
      </c>
      <c r="BC336" s="263">
        <f>IFERROR(BC61,0)</f>
        <v>1972.77591185911</v>
      </c>
      <c r="BD336" s="263">
        <f>IFERROR(BD61,0)</f>
        <v>2077.33415617328</v>
      </c>
      <c r="BE336" s="263">
        <f>IFERROR(BE61,0)</f>
        <v>1920.5064938503</v>
      </c>
      <c r="BF336" s="263">
        <f>IFERROR(BF61,0)</f>
        <v>8894.55228838816</v>
      </c>
      <c r="BG336" s="63" t="n"/>
      <c r="BH336" s="63" t="n"/>
      <c r="BI336" s="63" t="n"/>
      <c r="BJ336" s="63" t="n"/>
      <c r="BL336" s="63" t="n"/>
      <c r="BM336" s="63" t="n"/>
      <c r="BN336" s="63" t="n"/>
      <c r="BO336" s="63" t="n"/>
      <c r="BQ336" s="63" t="n"/>
      <c r="BR336" s="63" t="n"/>
      <c r="BS336" s="63" t="n"/>
      <c r="BT336" s="63" t="n"/>
      <c r="BV336" s="63" t="n"/>
      <c r="BW336" s="63" t="n"/>
      <c r="BX336" s="63" t="n"/>
      <c r="BY336" s="63" t="n"/>
      <c r="CA336" s="63" t="n"/>
      <c r="CB336" s="63" t="n"/>
      <c r="CC336" s="63" t="n"/>
      <c r="CD336" s="63" t="n"/>
      <c r="CF336" s="63" t="n"/>
      <c r="CG336" s="63" t="n"/>
      <c r="CH336" s="63" t="n"/>
      <c r="CI336" s="63" t="n"/>
      <c r="CK336" s="63" t="n"/>
      <c r="CL336" s="63" t="n"/>
      <c r="CM336" s="63" t="n"/>
      <c r="CN336" s="63" t="n"/>
      <c r="CP336" s="63" t="n"/>
      <c r="CQ336" s="63" t="n"/>
      <c r="CR336" s="63" t="n"/>
      <c r="CS336" s="63" t="n"/>
      <c r="CU336" s="63" t="n"/>
      <c r="CV336" s="63" t="n"/>
      <c r="CW336" s="63" t="n"/>
      <c r="CX336" s="63" t="n"/>
    </row>
    <row r="337" customFormat="1" s="77">
      <c r="A337" s="76" t="n"/>
      <c r="B337" s="76" t="n"/>
      <c r="C337" s="77" t="inlineStr">
        <is>
          <t>ETR (LIMITED TO 0%-100%)</t>
        </is>
      </c>
      <c r="D337" s="87">
        <f>IFERROR(D120,"")</f>
        <v>0</v>
      </c>
      <c r="E337" s="87">
        <f>IFERROR(E120,"")</f>
        <v>0</v>
      </c>
      <c r="F337" s="87">
        <f>IFERROR(F120,"")</f>
        <v>0</v>
      </c>
      <c r="G337" s="87">
        <f>IFERROR(G120,"")</f>
        <v>0</v>
      </c>
      <c r="H337" s="258" t="str">
        <f>IFERROR(IF(N(H118)&lt;&gt;0,MAX(0,MIN(1,-H119/H118)),""),"")</f>
        <v/>
      </c>
      <c r="I337" s="258">
        <f>IFERROR(IF(N(I118)&lt;&gt;0,MAX(0,MIN(1,-I119/I118)),""),"")</f>
        <v>0.189017951425554</v>
      </c>
      <c r="J337" s="258">
        <f>IFERROR(IF(N(J118)&lt;&gt;0,MAX(0,MIN(1,-J119/J118)),""),"")</f>
        <v>0.887096774193548</v>
      </c>
      <c r="K337" s="258">
        <f>IFERROR(IF(N(K118)&lt;&gt;0,MAX(0,MIN(1,-K119/K118)),""),"")</f>
        <v>0.217444717444717</v>
      </c>
      <c r="L337" s="258">
        <f>IFERROR(IF(N(L118)&lt;&gt;0,MAX(0,MIN(1,-L119/L118)),""),"")</f>
        <v>0.73125</v>
      </c>
      <c r="M337" s="258">
        <f>IFERROR(IF(N(M118)&lt;&gt;0,MAX(0,MIN(1,-M119/M118)),""),"")</f>
        <v>1</v>
      </c>
      <c r="N337" s="258">
        <f>IFERROR(IF(N(N118)&lt;&gt;0,MAX(0,MIN(1,-N119/N118)),""),"")</f>
        <v>0</v>
      </c>
      <c r="O337" s="258">
        <f>IFERROR(IF(N(O118)&lt;&gt;0,MAX(0,MIN(1,-O119/O118)),""),"")</f>
        <v>0.748858447488584</v>
      </c>
      <c r="P337" s="258">
        <f>IFERROR(IF(N(P118)&lt;&gt;0,MAX(0,MIN(1,-P119/P118)),""),"")</f>
        <v>0.394230769230769</v>
      </c>
      <c r="Q337" s="258">
        <f>IFERROR(IF(N(Q118)&lt;&gt;0,MAX(0,MIN(1,-Q119/Q118)),""),"")</f>
        <v>0.789115646258503</v>
      </c>
      <c r="R337" s="258">
        <f>IFERROR(IF(N(R118)&lt;&gt;0,MAX(0,MIN(1,-R119/R118)),""),"")</f>
        <v>0.715867158671587</v>
      </c>
      <c r="S337" s="258">
        <f>IFERROR(IF(N(S118)&lt;&gt;0,MAX(0,MIN(1,-S119/S118)),""),"")</f>
        <v>0.550420168067227</v>
      </c>
      <c r="T337" s="258">
        <f>IFERROR(IF(N(T118)&lt;&gt;0,MAX(0,MIN(1,-T119/T118)),""),"")</f>
        <v>0.292058070025619</v>
      </c>
      <c r="U337" s="258">
        <f>IFERROR(IF(N(U118)&lt;&gt;0,MAX(0,MIN(1,-U119/U118)),""),"")</f>
        <v>0.229050279329609</v>
      </c>
      <c r="V337" s="258">
        <f>IFERROR(IF(N(V118)&lt;&gt;0,MAX(0,MIN(1,-V119/V118)),""),"")</f>
        <v>1</v>
      </c>
      <c r="W337" s="258">
        <f>IFERROR(IF(N(W118)&lt;&gt;0,MAX(0,MIN(1,-W119/W118)),""),"")</f>
        <v>0.351450756027789</v>
      </c>
      <c r="X337" s="258">
        <f>IFERROR(IF(N(X118)&lt;&gt;0,MAX(0,MIN(1,-X119/X118)),""),"")</f>
        <v>0.157442748091603</v>
      </c>
      <c r="Y337" s="258">
        <f>IFERROR(IF(N(Y118)&lt;&gt;0,MAX(0,MIN(1,-Y119/Y118)),""),"")</f>
        <v>0.159751037344398</v>
      </c>
      <c r="Z337" s="258">
        <f>IFERROR(IF(N(Z118)&lt;&gt;0,MAX(0,MIN(1,-Z119/Z118)),""),"")</f>
        <v>0.272948328267477</v>
      </c>
      <c r="AA337" s="258">
        <f>IFERROR(IF(N(AA118)&lt;&gt;0,MAX(0,MIN(1,-AA119/AA118)),""),"")</f>
        <v>0.0069848661233993</v>
      </c>
      <c r="AB337" s="258">
        <f>IFERROR(IF(N(AB118)&lt;&gt;0,MAX(0,MIN(1,-AB119/AB118)),""),"")</f>
        <v>0.171390611160319</v>
      </c>
      <c r="AC337" s="258">
        <f>IFERROR(IF(N(AC118)&lt;&gt;0,MAX(0,MIN(1,-AC119/AC118)),""),"")</f>
        <v>0.145695364238411</v>
      </c>
      <c r="AD337" s="258">
        <f>IFERROR(IF(N(AD118)&lt;&gt;0,MAX(0,MIN(1,-AD119/AD118)),""),"")</f>
        <v>0.345640219952867</v>
      </c>
      <c r="AE337" s="258">
        <f>IFERROR(IF(N(AE118)&lt;&gt;0,MAX(0,MIN(1,-AE119/AE118)),""),"")</f>
        <v>0.33405017921147</v>
      </c>
      <c r="AF337" s="258">
        <f>IFERROR(IF(N(AF118)&lt;&gt;0,MAX(0,MIN(1,-AF119/AF118)),""),"")</f>
        <v>0.374277456647399</v>
      </c>
      <c r="AG337" s="258">
        <f>IFERROR(IF(N(AG118)&lt;&gt;0,MAX(0,MIN(1,-AG119/AG118)),""),"")</f>
        <v>0.338080318997437</v>
      </c>
      <c r="AH337" s="258">
        <f>IFERROR(IF(N(AH118)&lt;&gt;0,MAX(0,MIN(1,-AH119/AH118)),""),"")</f>
        <v>0.249411764705882</v>
      </c>
      <c r="AI337" s="258">
        <f>IFERROR(IF(N(AI118)&lt;&gt;0,MAX(0,MIN(1,-AI119/AI118)),""),"")</f>
        <v>0.442222222222222</v>
      </c>
      <c r="AJ337" s="258">
        <f>IFERROR(IF(N(AJ118)&lt;&gt;0,MAX(0,MIN(1,-AJ119/AJ118)),""),"")</f>
        <v>0.315216201163042</v>
      </c>
      <c r="AK337" s="258">
        <f>IFERROR(IF(N(AK118)&lt;&gt;0,MAX(0,MIN(1,-AK119/AK118)),""),"")</f>
        <v>0.315216201163042</v>
      </c>
      <c r="AL337" s="258">
        <f>IFERROR(IF(N(AL118)&lt;&gt;0,MAX(0,MIN(1,-AL119/AL118)),""),"")</f>
        <v>0.310599793456878</v>
      </c>
      <c r="AM337" s="258">
        <f>IFERROR(IF(N(AM118)&lt;&gt;0,MAX(0,MIN(1,-AM119/AM118)),""),"")</f>
        <v>0.315216201163042</v>
      </c>
      <c r="AN337" s="258">
        <f>IFERROR(IF(N(AN118)&lt;&gt;0,MAX(0,MIN(1,-AN119/AN118)),""),"")</f>
        <v>0.315216201163042</v>
      </c>
      <c r="AO337" s="258">
        <f>IFERROR(IF(N(AO118)&lt;&gt;0,MAX(0,MIN(1,-AO119/AO118)),""),"")</f>
        <v>0.315216201163042</v>
      </c>
      <c r="AP337" s="258">
        <f>IFERROR(IF(N(AP118)&lt;&gt;0,MAX(0,MIN(1,-AP119/AP118)),""),"")</f>
        <v>0.315216201163042</v>
      </c>
      <c r="AQ337" s="258">
        <f>IFERROR(IF(N(AQ118)&lt;&gt;0,MAX(0,MIN(1,-AQ119/AQ118)),""),"")</f>
        <v>0.315216201163042</v>
      </c>
      <c r="AR337" s="258">
        <f>IFERROR(IF(N(AR118)&lt;&gt;0,MAX(0,MIN(1,-AR119/AR118)),""),"")</f>
        <v>0.315216201163042</v>
      </c>
      <c r="AS337" s="258">
        <f>IFERROR(IF(N(AS118)&lt;&gt;0,MAX(0,MIN(1,-AS119/AS118)),""),"")</f>
        <v>0.315216201163042</v>
      </c>
      <c r="AT337" s="258">
        <f>IFERROR(IF(N(AT118)&lt;&gt;0,MAX(0,MIN(1,-AT119/AT118)),""),"")</f>
        <v>0.315216201163042</v>
      </c>
      <c r="AU337" s="258">
        <f>IFERROR(IF(N(AU118)&lt;&gt;0,MAX(0,MIN(1,-AU119/AU118)),""),"")</f>
        <v>0.315216201163042</v>
      </c>
      <c r="AV337" s="258">
        <f>IFERROR(IF(N(AV118)&lt;&gt;0,MAX(0,MIN(1,-AV119/AV118)),""),"")</f>
        <v>0.315216201163042</v>
      </c>
      <c r="AW337" s="258">
        <f>IFERROR(IF(N(AW118)&lt;&gt;0,MAX(0,MIN(1,-AW119/AW118)),""),"")</f>
        <v>0.315216201163042</v>
      </c>
      <c r="AX337" s="258">
        <f>IFERROR(IF(N(AX118)&lt;&gt;0,MAX(0,MIN(1,-AX119/AX118)),""),"")</f>
        <v>0.315216201163042</v>
      </c>
      <c r="AY337" s="258">
        <f>IFERROR(IF(N(AY118)&lt;&gt;0,MAX(0,MIN(1,-AY119/AY118)),""),"")</f>
        <v>0.315216201163042</v>
      </c>
      <c r="AZ337" s="258">
        <f>IFERROR(IF(N(AZ118)&lt;&gt;0,MAX(0,MIN(1,-AZ119/AZ118)),""),"")</f>
        <v>0.315216201163042</v>
      </c>
      <c r="BA337" s="258">
        <f>IFERROR(IF(N(BA118)&lt;&gt;0,MAX(0,MIN(1,-BA119/BA118)),""),"")</f>
        <v>0.315216201163042</v>
      </c>
      <c r="BB337" s="258">
        <f>IFERROR(IF(N(BB118)&lt;&gt;0,MAX(0,MIN(1,-BB119/BB118)),""),"")</f>
        <v>0.315216201163042</v>
      </c>
      <c r="BC337" s="258">
        <f>IFERROR(IF(N(BC118)&lt;&gt;0,MAX(0,MIN(1,-BC119/BC118)),""),"")</f>
        <v>0.315216201163042</v>
      </c>
      <c r="BD337" s="258">
        <f>IFERROR(IF(N(BD118)&lt;&gt;0,MAX(0,MIN(1,-BD119/BD118)),""),"")</f>
        <v>0.315216201163042</v>
      </c>
      <c r="BE337" s="258">
        <f>IFERROR(IF(N(BE118)&lt;&gt;0,MAX(0,MIN(1,-BE119/BE118)),""),"")</f>
        <v>0.315216201163042</v>
      </c>
      <c r="BF337" s="258">
        <f>IFERROR(IF(N(BF118)&lt;&gt;0,MAX(0,MIN(1,-BF119/BF118)),""),"")</f>
        <v>0.315216201163042</v>
      </c>
      <c r="BG337" s="88" t="n"/>
      <c r="BH337" s="88" t="n"/>
      <c r="BI337" s="88" t="n"/>
      <c r="BJ337" s="88" t="n"/>
      <c r="BL337" s="88" t="n"/>
      <c r="BM337" s="88" t="n"/>
      <c r="BN337" s="88" t="n"/>
      <c r="BO337" s="88" t="n"/>
      <c r="BQ337" s="88" t="n"/>
      <c r="BR337" s="88" t="n"/>
      <c r="BS337" s="88" t="n"/>
      <c r="BT337" s="88" t="n"/>
      <c r="BV337" s="88" t="n"/>
      <c r="BW337" s="88" t="n"/>
      <c r="BX337" s="88" t="n"/>
      <c r="BY337" s="88" t="n"/>
      <c r="CA337" s="88" t="n"/>
      <c r="CB337" s="88" t="n"/>
      <c r="CC337" s="88" t="n"/>
      <c r="CD337" s="88" t="n"/>
      <c r="CF337" s="88" t="n"/>
      <c r="CG337" s="88" t="n"/>
      <c r="CH337" s="88" t="n"/>
      <c r="CI337" s="88" t="n"/>
      <c r="CK337" s="88" t="n"/>
      <c r="CL337" s="88" t="n"/>
      <c r="CM337" s="88" t="n"/>
      <c r="CN337" s="88" t="n"/>
      <c r="CP337" s="88" t="n"/>
      <c r="CQ337" s="88" t="n"/>
      <c r="CR337" s="88" t="n"/>
      <c r="CS337" s="88" t="n"/>
      <c r="CU337" s="88" t="n"/>
      <c r="CV337" s="88" t="n"/>
      <c r="CW337" s="88" t="n"/>
      <c r="CX337" s="88" t="n"/>
    </row>
    <row r="338" customFormat="1" s="77">
      <c r="A338" s="76" t="n"/>
      <c r="B338" s="76" t="n"/>
      <c r="C338" s="77" t="inlineStr">
        <is>
          <t>INVESTED CAPITAL</t>
        </is>
      </c>
      <c r="D338" s="86">
        <f>IFERROR(D341-D342+D343,"")</f>
        <v>0</v>
      </c>
      <c r="E338" s="86">
        <f>IFERROR(E341-E342+E343,"")</f>
        <v>0</v>
      </c>
      <c r="F338" s="86">
        <f>IFERROR(F341-F342+F343,"")</f>
        <v>0</v>
      </c>
      <c r="G338" s="86">
        <f>IFERROR(G341-G342+G343,"")</f>
        <v>0</v>
      </c>
      <c r="H338" s="263">
        <f>IFERROR(H340+H343,0)</f>
        <v>0</v>
      </c>
      <c r="I338" s="263">
        <f>IFERROR(I340+I343,0)</f>
        <v>0</v>
      </c>
      <c r="J338" s="263">
        <f>IFERROR(J340+J343,0)</f>
        <v>0</v>
      </c>
      <c r="K338" s="263">
        <f>IFERROR(K340+K343,0)</f>
        <v>0</v>
      </c>
      <c r="L338" s="263">
        <f>IFERROR(L340+L343,0)</f>
        <v>18411</v>
      </c>
      <c r="M338" s="263">
        <f>IFERROR(M340+M343,0)</f>
        <v>18411</v>
      </c>
      <c r="N338" s="263">
        <f>IFERROR(N340+N343,0)</f>
        <v>14023</v>
      </c>
      <c r="O338" s="263">
        <f>IFERROR(O340+O343,0)</f>
        <v>14548</v>
      </c>
      <c r="P338" s="263">
        <f>IFERROR(P340+P343,0)</f>
        <v>14028</v>
      </c>
      <c r="Q338" s="263">
        <f>IFERROR(Q340+Q343,0)</f>
        <v>16190</v>
      </c>
      <c r="R338" s="263">
        <f>IFERROR(R340+R343,0)</f>
        <v>16190</v>
      </c>
      <c r="S338" s="263">
        <f>IFERROR(S340+S343,0)</f>
        <v>17142</v>
      </c>
      <c r="T338" s="263">
        <f>IFERROR(T340+T343,0)</f>
        <v>18219</v>
      </c>
      <c r="U338" s="263">
        <f>IFERROR(U340+U343,0)</f>
        <v>16289</v>
      </c>
      <c r="V338" s="263">
        <f>IFERROR(V340+V343,0)</f>
        <v>19725</v>
      </c>
      <c r="W338" s="263">
        <f>IFERROR(W340+W343,0)</f>
        <v>19725</v>
      </c>
      <c r="X338" s="263">
        <f>IFERROR(X340+X343,0)</f>
        <v>20336</v>
      </c>
      <c r="Y338" s="263">
        <f>IFERROR(Y340+Y343,0)</f>
        <v>20211</v>
      </c>
      <c r="Z338" s="263">
        <f>IFERROR(Z340+Z343,0)</f>
        <v>17678</v>
      </c>
      <c r="AA338" s="263">
        <f>IFERROR(AA340+AA343,0)</f>
        <v>15800</v>
      </c>
      <c r="AB338" s="263">
        <f>IFERROR(AB340+AB343,0)</f>
        <v>15800</v>
      </c>
      <c r="AC338" s="263">
        <f>IFERROR(AC340+AC343,0)</f>
        <v>17904</v>
      </c>
      <c r="AD338" s="263">
        <f>IFERROR(AD340+AD343,0)</f>
        <v>18078</v>
      </c>
      <c r="AE338" s="263">
        <f>IFERROR(AE340+AE343,0)</f>
        <v>15679</v>
      </c>
      <c r="AF338" s="263">
        <f>IFERROR(AF340+AF343,0)</f>
        <v>16456</v>
      </c>
      <c r="AG338" s="263">
        <f>IFERROR(AG340+AG343,0)</f>
        <v>16456</v>
      </c>
      <c r="AH338" s="263">
        <f>IFERROR(AH340+AH343,0)</f>
        <v>54315</v>
      </c>
      <c r="AI338" s="263">
        <f>IFERROR(AI340+AI343,0)</f>
        <v>55248</v>
      </c>
      <c r="AJ338" s="263">
        <f>IFERROR(AJ340+AJ343,0)</f>
        <v>59348.1439715266</v>
      </c>
      <c r="AK338" s="263">
        <f>IFERROR(AK340+AK343,0)</f>
        <v>62348.5787762561</v>
      </c>
      <c r="AL338" s="263">
        <f>IFERROR(AL340+AL343,0)</f>
        <v>62348.5787762561</v>
      </c>
      <c r="AM338" s="263">
        <f>IFERROR(AM340+AM343,0)</f>
        <v>71728.576064349</v>
      </c>
      <c r="AN338" s="263">
        <f>IFERROR(AN340+AN343,0)</f>
        <v>73449.6829317271</v>
      </c>
      <c r="AO338" s="263">
        <f>IFERROR(AO340+AO343,0)</f>
        <v>77954.6580794738</v>
      </c>
      <c r="AP338" s="263">
        <f>IFERROR(AP340+AP343,0)</f>
        <v>81563.2706358729</v>
      </c>
      <c r="AQ338" s="263">
        <f>IFERROR(AQ340+AQ343,0)</f>
        <v>81563.2706358729</v>
      </c>
      <c r="AR338" s="263">
        <f>IFERROR(AR340+AR343,0)</f>
        <v>92684.9011068335</v>
      </c>
      <c r="AS338" s="263">
        <f>IFERROR(AS340+AS343,0)</f>
        <v>94840.0001229379</v>
      </c>
      <c r="AT338" s="263">
        <f>IFERROR(AT340+AT343,0)</f>
        <v>100235.593267561</v>
      </c>
      <c r="AU338" s="263">
        <f>IFERROR(AU340+AU343,0)</f>
        <v>104557.616038462</v>
      </c>
      <c r="AV338" s="263">
        <f>IFERROR(AV340+AV343,0)</f>
        <v>104557.616038462</v>
      </c>
      <c r="AW338" s="263">
        <f>IFERROR(AW340+AW343,0)</f>
        <v>117911.263201626</v>
      </c>
      <c r="AX338" s="263">
        <f>IFERROR(AX340+AX343,0)</f>
        <v>120369.844599648</v>
      </c>
      <c r="AY338" s="263">
        <f>IFERROR(AY340+AY343,0)</f>
        <v>126805.149871349</v>
      </c>
      <c r="AZ338" s="263">
        <f>IFERROR(AZ340+AZ343,0)</f>
        <v>131960.011473491</v>
      </c>
      <c r="BA338" s="263">
        <f>IFERROR(BA340+BA343,0)</f>
        <v>131960.011473491</v>
      </c>
      <c r="BB338" s="263">
        <f>IFERROR(BB340+BB343,0)</f>
        <v>147792.68779931</v>
      </c>
      <c r="BC338" s="263">
        <f>IFERROR(BC340+BC343,0)</f>
        <v>150712.736417619</v>
      </c>
      <c r="BD338" s="263">
        <f>IFERROR(BD340+BD343,0)</f>
        <v>158355.926218921</v>
      </c>
      <c r="BE338" s="263">
        <f>IFERROR(BE340+BE343,0)</f>
        <v>164478.337504967</v>
      </c>
      <c r="BF338" s="263">
        <f>IFERROR(BF340+BF343,0)</f>
        <v>164478.337504967</v>
      </c>
      <c r="BG338" s="63" t="n"/>
      <c r="BH338" s="63" t="n"/>
      <c r="BI338" s="63" t="n"/>
      <c r="BJ338" s="63" t="n"/>
      <c r="BL338" s="63" t="n"/>
      <c r="BM338" s="63" t="n"/>
      <c r="BN338" s="63" t="n"/>
      <c r="BO338" s="63" t="n"/>
      <c r="BQ338" s="63" t="n"/>
      <c r="BR338" s="63" t="n"/>
      <c r="BS338" s="63" t="n"/>
      <c r="BT338" s="63" t="n"/>
      <c r="BV338" s="63" t="n"/>
      <c r="BW338" s="63" t="n"/>
      <c r="BX338" s="63" t="n"/>
      <c r="BY338" s="63" t="n"/>
      <c r="CA338" s="63" t="n"/>
      <c r="CB338" s="63" t="n"/>
      <c r="CC338" s="63" t="n"/>
      <c r="CD338" s="63" t="n"/>
      <c r="CF338" s="63" t="n"/>
      <c r="CG338" s="63" t="n"/>
      <c r="CH338" s="63" t="n"/>
      <c r="CI338" s="63" t="n"/>
      <c r="CK338" s="63" t="n"/>
      <c r="CL338" s="63" t="n"/>
      <c r="CM338" s="63" t="n"/>
      <c r="CN338" s="63" t="n"/>
      <c r="CP338" s="63" t="n"/>
      <c r="CQ338" s="63" t="n"/>
      <c r="CR338" s="63" t="n"/>
      <c r="CS338" s="63" t="n"/>
      <c r="CU338" s="63" t="n"/>
      <c r="CV338" s="63" t="n"/>
      <c r="CW338" s="63" t="n"/>
      <c r="CX338" s="63" t="n"/>
    </row>
    <row r="339" customFormat="1" s="77">
      <c r="A339" s="76" t="n"/>
      <c r="B339" s="76" t="n"/>
      <c r="C339" s="77" t="inlineStr">
        <is>
          <t>INVESTED CAPITAL - EX GOODWILL</t>
        </is>
      </c>
      <c r="D339" s="89">
        <f>IFERROR(D338-D167,"")</f>
        <v>0</v>
      </c>
      <c r="E339" s="89">
        <f>IFERROR(E338-E167,"")</f>
        <v>0</v>
      </c>
      <c r="F339" s="89">
        <f>IFERROR(F338-F167,"")</f>
        <v>0</v>
      </c>
      <c r="G339" s="89">
        <f>IFERROR(G338-G167,"")</f>
        <v>0</v>
      </c>
      <c r="H339" s="263">
        <f>IFERROR(H338-N(H167),0)</f>
        <v>0</v>
      </c>
      <c r="I339" s="263">
        <f>IFERROR(I338-N(I167),0)</f>
        <v>0</v>
      </c>
      <c r="J339" s="263">
        <f>IFERROR(J338-N(J167),0)</f>
        <v>0</v>
      </c>
      <c r="K339" s="263">
        <f>IFERROR(K338-N(K167),0)</f>
        <v>0</v>
      </c>
      <c r="L339" s="263">
        <f>IFERROR(L338-N(L167),0)</f>
        <v>18411</v>
      </c>
      <c r="M339" s="263">
        <f>IFERROR(M338-N(M167),0)</f>
        <v>18411</v>
      </c>
      <c r="N339" s="263">
        <f>IFERROR(N338-N(N167),0)</f>
        <v>14023</v>
      </c>
      <c r="O339" s="263">
        <f>IFERROR(O338-N(O167),0)</f>
        <v>14548</v>
      </c>
      <c r="P339" s="263">
        <f>IFERROR(P338-N(P167),0)</f>
        <v>14028</v>
      </c>
      <c r="Q339" s="263">
        <f>IFERROR(Q338-N(Q167),0)</f>
        <v>16190</v>
      </c>
      <c r="R339" s="263">
        <f>IFERROR(R338-N(R167),0)</f>
        <v>16190</v>
      </c>
      <c r="S339" s="263">
        <f>IFERROR(S338-N(S167),0)</f>
        <v>17142</v>
      </c>
      <c r="T339" s="263">
        <f>IFERROR(T338-N(T167),0)</f>
        <v>18219</v>
      </c>
      <c r="U339" s="263">
        <f>IFERROR(U338-N(U167),0)</f>
        <v>16289</v>
      </c>
      <c r="V339" s="263">
        <f>IFERROR(V338-N(V167),0)</f>
        <v>19300</v>
      </c>
      <c r="W339" s="263">
        <f>IFERROR(W338-N(W167),0)</f>
        <v>19300</v>
      </c>
      <c r="X339" s="263">
        <f>IFERROR(X338-N(X167),0)</f>
        <v>19911</v>
      </c>
      <c r="Y339" s="263">
        <f>IFERROR(Y338-N(Y167),0)</f>
        <v>19791</v>
      </c>
      <c r="Z339" s="263">
        <f>IFERROR(Z338-N(Z167),0)</f>
        <v>17258</v>
      </c>
      <c r="AA339" s="263">
        <f>IFERROR(AA338-N(AA167),0)</f>
        <v>15380</v>
      </c>
      <c r="AB339" s="263">
        <f>IFERROR(AB338-N(AB167),0)</f>
        <v>15380</v>
      </c>
      <c r="AC339" s="263">
        <f>IFERROR(AC338-N(AC167),0)</f>
        <v>17484</v>
      </c>
      <c r="AD339" s="263">
        <f>IFERROR(AD338-N(AD167),0)</f>
        <v>17658</v>
      </c>
      <c r="AE339" s="263">
        <f>IFERROR(AE338-N(AE167),0)</f>
        <v>15259</v>
      </c>
      <c r="AF339" s="263">
        <f>IFERROR(AF338-N(AF167),0)</f>
        <v>16036</v>
      </c>
      <c r="AG339" s="263">
        <f>IFERROR(AG338-N(AG167),0)</f>
        <v>16036</v>
      </c>
      <c r="AH339" s="263">
        <f>IFERROR(AH338-N(AH167),0)</f>
        <v>42788</v>
      </c>
      <c r="AI339" s="263">
        <f>IFERROR(AI338-N(AI167),0)</f>
        <v>43721</v>
      </c>
      <c r="AJ339" s="263">
        <f>IFERROR(AJ338-N(AJ167),0)</f>
        <v>47821.1439715266</v>
      </c>
      <c r="AK339" s="263">
        <f>IFERROR(AK338-N(AK167),0)</f>
        <v>50821.5787762561</v>
      </c>
      <c r="AL339" s="263">
        <f>IFERROR(AL338-N(AL167),0)</f>
        <v>50821.5787762561</v>
      </c>
      <c r="AM339" s="263">
        <f>IFERROR(AM338-N(AM167),0)</f>
        <v>60201.576064349</v>
      </c>
      <c r="AN339" s="263">
        <f>IFERROR(AN338-N(AN167),0)</f>
        <v>61922.6829317271</v>
      </c>
      <c r="AO339" s="263">
        <f>IFERROR(AO338-N(AO167),0)</f>
        <v>66427.6580794738</v>
      </c>
      <c r="AP339" s="263">
        <f>IFERROR(AP338-N(AP167),0)</f>
        <v>70036.2706358729</v>
      </c>
      <c r="AQ339" s="263">
        <f>IFERROR(AQ338-N(AQ167),0)</f>
        <v>70036.2706358729</v>
      </c>
      <c r="AR339" s="263">
        <f>IFERROR(AR338-N(AR167),0)</f>
        <v>81157.9011068335</v>
      </c>
      <c r="AS339" s="263">
        <f>IFERROR(AS338-N(AS167),0)</f>
        <v>83313.0001229379</v>
      </c>
      <c r="AT339" s="263">
        <f>IFERROR(AT338-N(AT167),0)</f>
        <v>88708.5932675606</v>
      </c>
      <c r="AU339" s="263">
        <f>IFERROR(AU338-N(AU167),0)</f>
        <v>93030.6160384619</v>
      </c>
      <c r="AV339" s="263">
        <f>IFERROR(AV338-N(AV167),0)</f>
        <v>93030.6160384619</v>
      </c>
      <c r="AW339" s="263">
        <f>IFERROR(AW338-N(AW167),0)</f>
        <v>106384.263201626</v>
      </c>
      <c r="AX339" s="263">
        <f>IFERROR(AX338-N(AX167),0)</f>
        <v>108842.844599648</v>
      </c>
      <c r="AY339" s="263">
        <f>IFERROR(AY338-N(AY167),0)</f>
        <v>115278.149871349</v>
      </c>
      <c r="AZ339" s="263">
        <f>IFERROR(AZ338-N(AZ167),0)</f>
        <v>120433.011473491</v>
      </c>
      <c r="BA339" s="263">
        <f>IFERROR(BA338-N(BA167),0)</f>
        <v>120433.011473491</v>
      </c>
      <c r="BB339" s="263">
        <f>IFERROR(BB338-N(BB167),0)</f>
        <v>136265.68779931</v>
      </c>
      <c r="BC339" s="263">
        <f>IFERROR(BC338-N(BC167),0)</f>
        <v>139185.736417619</v>
      </c>
      <c r="BD339" s="263">
        <f>IFERROR(BD338-N(BD167),0)</f>
        <v>146828.926218921</v>
      </c>
      <c r="BE339" s="263">
        <f>IFERROR(BE338-N(BE167),0)</f>
        <v>152951.337504967</v>
      </c>
      <c r="BF339" s="263">
        <f>IFERROR(BF338-N(BF167),0)</f>
        <v>152951.337504967</v>
      </c>
      <c r="BG339" s="90" t="n"/>
      <c r="BH339" s="90" t="n"/>
      <c r="BI339" s="90" t="n"/>
      <c r="BJ339" s="90" t="n"/>
      <c r="BL339" s="90" t="n"/>
      <c r="BM339" s="90" t="n"/>
      <c r="BN339" s="90" t="n"/>
      <c r="BO339" s="90" t="n"/>
      <c r="BQ339" s="90" t="n"/>
      <c r="BR339" s="90" t="n"/>
      <c r="BS339" s="90" t="n"/>
      <c r="BT339" s="90" t="n"/>
      <c r="BV339" s="90" t="n"/>
      <c r="BW339" s="90" t="n"/>
      <c r="BX339" s="90" t="n"/>
      <c r="BY339" s="90" t="n"/>
      <c r="CA339" s="90" t="n"/>
      <c r="CB339" s="90" t="n"/>
      <c r="CC339" s="90" t="n"/>
      <c r="CD339" s="90" t="n"/>
      <c r="CF339" s="90" t="n"/>
      <c r="CG339" s="90" t="n"/>
      <c r="CH339" s="90" t="n"/>
      <c r="CI339" s="90" t="n"/>
      <c r="CK339" s="90" t="n"/>
      <c r="CL339" s="90" t="n"/>
      <c r="CM339" s="90" t="n"/>
      <c r="CN339" s="90" t="n"/>
      <c r="CP339" s="90" t="n"/>
      <c r="CQ339" s="90" t="n"/>
      <c r="CR339" s="90" t="n"/>
      <c r="CS339" s="90" t="n"/>
      <c r="CU339" s="90" t="n"/>
      <c r="CV339" s="90" t="n"/>
      <c r="CW339" s="90" t="n"/>
      <c r="CX339" s="90" t="n"/>
    </row>
    <row r="340" customFormat="1" s="77">
      <c r="A340" s="76" t="n"/>
      <c r="B340" s="76" t="n"/>
      <c r="C340" s="77" t="inlineStr">
        <is>
          <t>OPERATING WORKING CAPITAL</t>
        </is>
      </c>
      <c r="D340" s="91">
        <f>IFERROR(D341-D342,"")</f>
        <v>0</v>
      </c>
      <c r="E340" s="91">
        <f>IFERROR(E341-E342,"")</f>
        <v>0</v>
      </c>
      <c r="F340" s="91">
        <f>IFERROR(F341-F342,"")</f>
        <v>0</v>
      </c>
      <c r="G340" s="91">
        <f>IFERROR(G341-G342,"")</f>
        <v>0</v>
      </c>
      <c r="H340" s="263">
        <f>IFERROR(H341-H342,0)</f>
        <v>0</v>
      </c>
      <c r="I340" s="263">
        <f>IFERROR(I341-I342,0)</f>
        <v>0</v>
      </c>
      <c r="J340" s="263">
        <f>IFERROR(J341-J342,0)</f>
        <v>0</v>
      </c>
      <c r="K340" s="263">
        <f>IFERROR(K341-K342,0)</f>
        <v>0</v>
      </c>
      <c r="L340" s="263">
        <f>IFERROR(L341-L342,0)</f>
        <v>2239</v>
      </c>
      <c r="M340" s="263">
        <f>IFERROR(M341-M342,0)</f>
        <v>2239</v>
      </c>
      <c r="N340" s="263">
        <f>IFERROR(N341-N342,0)</f>
        <v>339</v>
      </c>
      <c r="O340" s="263">
        <f>IFERROR(O341-O342,0)</f>
        <v>898</v>
      </c>
      <c r="P340" s="263">
        <f>IFERROR(P341-P342,0)</f>
        <v>368</v>
      </c>
      <c r="Q340" s="263">
        <f>IFERROR(Q341-Q342,0)</f>
        <v>1917</v>
      </c>
      <c r="R340" s="263">
        <f>IFERROR(R341-R342,0)</f>
        <v>1917</v>
      </c>
      <c r="S340" s="263">
        <f>IFERROR(S341-S342,0)</f>
        <v>2499</v>
      </c>
      <c r="T340" s="263">
        <f>IFERROR(T341-T342,0)</f>
        <v>2844</v>
      </c>
      <c r="U340" s="263">
        <f>IFERROR(U341-U342,0)</f>
        <v>1459</v>
      </c>
      <c r="V340" s="263">
        <f>IFERROR(V341-V342,0)</f>
        <v>2975</v>
      </c>
      <c r="W340" s="263">
        <f>IFERROR(W341-W342,0)</f>
        <v>2975</v>
      </c>
      <c r="X340" s="263">
        <f>IFERROR(X341-X342,0)</f>
        <v>3000</v>
      </c>
      <c r="Y340" s="263">
        <f>IFERROR(Y341-Y342,0)</f>
        <v>3097</v>
      </c>
      <c r="Z340" s="263">
        <f>IFERROR(Z341-Z342,0)</f>
        <v>1212</v>
      </c>
      <c r="AA340" s="263">
        <f>IFERROR(AA341-AA342,0)</f>
        <v>-1193</v>
      </c>
      <c r="AB340" s="263">
        <f>IFERROR(AB341-AB342,0)</f>
        <v>-1193</v>
      </c>
      <c r="AC340" s="263">
        <f>IFERROR(AC341-AC342,0)</f>
        <v>335</v>
      </c>
      <c r="AD340" s="263">
        <f>IFERROR(AD341-AD342,0)</f>
        <v>-34</v>
      </c>
      <c r="AE340" s="263">
        <f>IFERROR(AE341-AE342,0)</f>
        <v>-2088</v>
      </c>
      <c r="AF340" s="263">
        <f>IFERROR(AF341-AF342,0)</f>
        <v>-1472</v>
      </c>
      <c r="AG340" s="263">
        <f>IFERROR(AG341-AG342,0)</f>
        <v>-1472</v>
      </c>
      <c r="AH340" s="263">
        <f>IFERROR(AH341-AH342,0)</f>
        <v>8295</v>
      </c>
      <c r="AI340" s="263">
        <f>IFERROR(AI341-AI342,0)</f>
        <v>9748</v>
      </c>
      <c r="AJ340" s="263">
        <f>IFERROR(AJ341-AJ342,0)</f>
        <v>10266.6158015189</v>
      </c>
      <c r="AK340" s="263">
        <f>IFERROR(AK341-AK342,0)</f>
        <v>9955.90873339813</v>
      </c>
      <c r="AL340" s="263">
        <f>IFERROR(AL341-AL342,0)</f>
        <v>9955.90873339813</v>
      </c>
      <c r="AM340" s="263">
        <f>IFERROR(AM341-AM342,0)</f>
        <v>13272.9294146683</v>
      </c>
      <c r="AN340" s="263">
        <f>IFERROR(AN341-AN342,0)</f>
        <v>10903.3532702143</v>
      </c>
      <c r="AO340" s="263">
        <f>IFERROR(AO341-AO342,0)</f>
        <v>11100.8368820629</v>
      </c>
      <c r="AP340" s="263">
        <f>IFERROR(AP341-AP342,0)</f>
        <v>10727.1505664612</v>
      </c>
      <c r="AQ340" s="263">
        <f>IFERROR(AQ341-AQ342,0)</f>
        <v>10727.1505664612</v>
      </c>
      <c r="AR340" s="263">
        <f>IFERROR(AR341-AR342,0)</f>
        <v>14587.1749368549</v>
      </c>
      <c r="AS340" s="263">
        <f>IFERROR(AS341-AS342,0)</f>
        <v>11842.8770658298</v>
      </c>
      <c r="AT340" s="263">
        <f>IFERROR(AT341-AT342,0)</f>
        <v>12079.4025043328</v>
      </c>
      <c r="AU340" s="263">
        <f>IFERROR(AU341-AU342,0)</f>
        <v>11631.8396973086</v>
      </c>
      <c r="AV340" s="263">
        <f>IFERROR(AV341-AV342,0)</f>
        <v>11631.8396973086</v>
      </c>
      <c r="AW340" s="263">
        <f>IFERROR(AW341-AW342,0)</f>
        <v>16324.5943937062</v>
      </c>
      <c r="AX340" s="263">
        <f>IFERROR(AX341-AX342,0)</f>
        <v>12939.6820792108</v>
      </c>
      <c r="AY340" s="263">
        <f>IFERROR(AY341-AY342,0)</f>
        <v>13221.7851511977</v>
      </c>
      <c r="AZ340" s="263">
        <f>IFERROR(AZ341-AZ342,0)</f>
        <v>12687.9785400875</v>
      </c>
      <c r="BA340" s="263">
        <f>IFERROR(BA341-BA342,0)</f>
        <v>12687.9785400875</v>
      </c>
      <c r="BB340" s="263">
        <f>IFERROR(BB341-BB342,0)</f>
        <v>18234.1428548523</v>
      </c>
      <c r="BC340" s="263">
        <f>IFERROR(BC341-BC342,0)</f>
        <v>14213.8942126911</v>
      </c>
      <c r="BD340" s="263">
        <f>IFERROR(BD341-BD342,0)</f>
        <v>14548.9470550493</v>
      </c>
      <c r="BE340" s="263">
        <f>IFERROR(BE341-BE342,0)</f>
        <v>13914.946790315</v>
      </c>
      <c r="BF340" s="263">
        <f>IFERROR(BF341-BF342,0)</f>
        <v>13914.946790315</v>
      </c>
      <c r="BG340" s="63" t="n"/>
      <c r="BH340" s="63" t="n"/>
      <c r="BI340" s="63" t="n"/>
      <c r="BJ340" s="63" t="n"/>
      <c r="BL340" s="63" t="n"/>
      <c r="BM340" s="63" t="n"/>
      <c r="BN340" s="63" t="n"/>
      <c r="BO340" s="63" t="n"/>
      <c r="BQ340" s="63" t="n"/>
      <c r="BR340" s="63" t="n"/>
      <c r="BS340" s="63" t="n"/>
      <c r="BT340" s="63" t="n"/>
      <c r="BV340" s="63" t="n"/>
      <c r="BW340" s="63" t="n"/>
      <c r="BX340" s="63" t="n"/>
      <c r="BY340" s="63" t="n"/>
      <c r="CA340" s="63" t="n"/>
      <c r="CB340" s="63" t="n"/>
      <c r="CC340" s="63" t="n"/>
      <c r="CD340" s="63" t="n"/>
      <c r="CF340" s="63" t="n"/>
      <c r="CG340" s="63" t="n"/>
      <c r="CH340" s="63" t="n"/>
      <c r="CI340" s="63" t="n"/>
      <c r="CK340" s="63" t="n"/>
      <c r="CL340" s="63" t="n"/>
      <c r="CM340" s="63" t="n"/>
      <c r="CN340" s="63" t="n"/>
      <c r="CP340" s="63" t="n"/>
      <c r="CQ340" s="63" t="n"/>
      <c r="CR340" s="63" t="n"/>
      <c r="CS340" s="63" t="n"/>
      <c r="CU340" s="63" t="n"/>
      <c r="CV340" s="63" t="n"/>
      <c r="CW340" s="63" t="n"/>
      <c r="CX340" s="63" t="n"/>
    </row>
    <row r="341" customFormat="1" s="77">
      <c r="A341" s="76" t="n"/>
      <c r="B341" s="76" t="n"/>
      <c r="C341" s="77" t="inlineStr">
        <is>
          <t>CURRENT ASSETS (OPERATING, EX CASH)</t>
        </is>
      </c>
      <c r="D341" s="89">
        <f>IFERROR(D133+D137+D141+D142+D143,"")</f>
        <v>0</v>
      </c>
      <c r="E341" s="89">
        <f>IFERROR(E133+E137+E141+E142+E143,"")</f>
        <v>0</v>
      </c>
      <c r="F341" s="89">
        <f>IFERROR(F133+F137+F141+F142+F143,"")</f>
        <v>0</v>
      </c>
      <c r="G341" s="89">
        <f>IFERROR(G133+G137+G141+G142+G143,"")</f>
        <v>0</v>
      </c>
      <c r="H341" s="263">
        <f>IFERROR((N(H133)+N(H137)+N(H141)+N(H142)+N(H143)),0)</f>
        <v>0</v>
      </c>
      <c r="I341" s="263">
        <f>IFERROR((N(I133)+N(I137)+N(I141)+N(I142)+N(I143)),0)</f>
        <v>0</v>
      </c>
      <c r="J341" s="263">
        <f>IFERROR((N(J133)+N(J137)+N(J141)+N(J142)+N(J143)),0)</f>
        <v>0</v>
      </c>
      <c r="K341" s="263">
        <f>IFERROR((N(K133)+N(K137)+N(K141)+N(K142)+N(K143)),0)</f>
        <v>0</v>
      </c>
      <c r="L341" s="263">
        <f>IFERROR((N(L133)+N(L137)+N(L141)+N(L142)+N(L143)),0)</f>
        <v>6933</v>
      </c>
      <c r="M341" s="263">
        <f>IFERROR((N(M133)+N(M137)+N(M141)+N(M142)+N(M143)),0)</f>
        <v>6933</v>
      </c>
      <c r="N341" s="263">
        <f>IFERROR((N(N133)+N(N137)+N(N141)+N(N142)+N(N143)),0)</f>
        <v>5502</v>
      </c>
      <c r="O341" s="263">
        <f>IFERROR((N(O133)+N(O137)+N(O141)+N(O142)+N(O143)),0)</f>
        <v>6392</v>
      </c>
      <c r="P341" s="263">
        <f>IFERROR((N(P133)+N(P137)+N(P141)+N(P142)+N(P143)),0)</f>
        <v>7381</v>
      </c>
      <c r="Q341" s="263">
        <f>IFERROR((N(Q133)+N(Q137)+N(Q141)+N(Q142)+N(Q143)),0)</f>
        <v>8454</v>
      </c>
      <c r="R341" s="263">
        <f>IFERROR((N(R133)+N(R137)+N(R141)+N(R142)+N(R143)),0)</f>
        <v>8454</v>
      </c>
      <c r="S341" s="263">
        <f>IFERROR((N(S133)+N(S137)+N(S141)+N(S142)+N(S143)),0)</f>
        <v>7580</v>
      </c>
      <c r="T341" s="263">
        <f>IFERROR((N(T133)+N(T137)+N(T141)+N(T142)+N(T143)),0)</f>
        <v>7024</v>
      </c>
      <c r="U341" s="263">
        <f>IFERROR((N(U133)+N(U137)+N(U141)+N(U142)+N(U143)),0)</f>
        <v>6079</v>
      </c>
      <c r="V341" s="263">
        <f>IFERROR((N(V133)+N(V137)+N(V141)+N(V142)+N(V143)),0)</f>
        <v>7529</v>
      </c>
      <c r="W341" s="263">
        <f>IFERROR((N(W133)+N(W137)+N(W141)+N(W142)+N(W143)),0)</f>
        <v>7529</v>
      </c>
      <c r="X341" s="263">
        <f>IFERROR((N(X133)+N(X137)+N(X141)+N(X142)+N(X143)),0)</f>
        <v>7291</v>
      </c>
      <c r="Y341" s="263">
        <f>IFERROR((N(Y133)+N(Y137)+N(Y141)+N(Y142)+N(Y143)),0)</f>
        <v>7183</v>
      </c>
      <c r="Z341" s="263">
        <f>IFERROR((N(Z133)+N(Z137)+N(Z141)+N(Z142)+N(Z143)),0)</f>
        <v>5630</v>
      </c>
      <c r="AA341" s="263">
        <f>IFERROR((N(AA133)+N(AA137)+N(AA141)+N(AA142)+N(AA143)),0)</f>
        <v>4625</v>
      </c>
      <c r="AB341" s="263">
        <f>IFERROR((N(AB133)+N(AB137)+N(AB141)+N(AB142)+N(AB143)),0)</f>
        <v>4625</v>
      </c>
      <c r="AC341" s="263">
        <f>IFERROR((N(AC133)+N(AC137)+N(AC141)+N(AC142)+N(AC143)),0)</f>
        <v>5843</v>
      </c>
      <c r="AD341" s="263">
        <f>IFERROR((N(AD133)+N(AD137)+N(AD141)+N(AD142)+N(AD143)),0)</f>
        <v>5197</v>
      </c>
      <c r="AE341" s="263">
        <f>IFERROR((N(AE133)+N(AE137)+N(AE141)+N(AE142)+N(AE143)),0)</f>
        <v>3599</v>
      </c>
      <c r="AF341" s="263">
        <f>IFERROR((N(AF133)+N(AF137)+N(AF141)+N(AF142)+N(AF143)),0)</f>
        <v>4730</v>
      </c>
      <c r="AG341" s="263">
        <f>IFERROR((N(AG133)+N(AG137)+N(AG141)+N(AG142)+N(AG143)),0)</f>
        <v>4730</v>
      </c>
      <c r="AH341" s="263">
        <f>IFERROR((N(AH133)+N(AH137)+N(AH141)+N(AH142)+N(AH143)),0)</f>
        <v>16038</v>
      </c>
      <c r="AI341" s="263">
        <f>IFERROR((N(AI133)+N(AI137)+N(AI141)+N(AI142)+N(AI143)),0)</f>
        <v>17191</v>
      </c>
      <c r="AJ341" s="263">
        <f>IFERROR((N(AJ133)+N(AJ137)+N(AJ141)+N(AJ142)+N(AJ143)),0)</f>
        <v>13277.6158015189</v>
      </c>
      <c r="AK341" s="263">
        <f>IFERROR((N(AK133)+N(AK137)+N(AK141)+N(AK142)+N(AK143)),0)</f>
        <v>12966.9087333981</v>
      </c>
      <c r="AL341" s="263">
        <f>IFERROR((N(AL133)+N(AL137)+N(AL141)+N(AL142)+N(AL143)),0)</f>
        <v>12966.9087333981</v>
      </c>
      <c r="AM341" s="263">
        <f>IFERROR((N(AM133)+N(AM137)+N(AM141)+N(AM142)+N(AM143)),0)</f>
        <v>16283.9294146683</v>
      </c>
      <c r="AN341" s="263">
        <f>IFERROR((N(AN133)+N(AN137)+N(AN141)+N(AN142)+N(AN143)),0)</f>
        <v>13914.3532702143</v>
      </c>
      <c r="AO341" s="263">
        <f>IFERROR((N(AO133)+N(AO137)+N(AO141)+N(AO142)+N(AO143)),0)</f>
        <v>14111.8368820629</v>
      </c>
      <c r="AP341" s="263">
        <f>IFERROR((N(AP133)+N(AP137)+N(AP141)+N(AP142)+N(AP143)),0)</f>
        <v>13738.1505664612</v>
      </c>
      <c r="AQ341" s="263">
        <f>IFERROR((N(AQ133)+N(AQ137)+N(AQ141)+N(AQ142)+N(AQ143)),0)</f>
        <v>13738.1505664612</v>
      </c>
      <c r="AR341" s="263">
        <f>IFERROR((N(AR133)+N(AR137)+N(AR141)+N(AR142)+N(AR143)),0)</f>
        <v>17598.1749368549</v>
      </c>
      <c r="AS341" s="263">
        <f>IFERROR((N(AS133)+N(AS137)+N(AS141)+N(AS142)+N(AS143)),0)</f>
        <v>14853.8770658298</v>
      </c>
      <c r="AT341" s="263">
        <f>IFERROR((N(AT133)+N(AT137)+N(AT141)+N(AT142)+N(AT143)),0)</f>
        <v>15090.4025043328</v>
      </c>
      <c r="AU341" s="263">
        <f>IFERROR((N(AU133)+N(AU137)+N(AU141)+N(AU142)+N(AU143)),0)</f>
        <v>14642.8396973086</v>
      </c>
      <c r="AV341" s="263">
        <f>IFERROR((N(AV133)+N(AV137)+N(AV141)+N(AV142)+N(AV143)),0)</f>
        <v>14642.8396973086</v>
      </c>
      <c r="AW341" s="263">
        <f>IFERROR((N(AW133)+N(AW137)+N(AW141)+N(AW142)+N(AW143)),0)</f>
        <v>19335.5943937062</v>
      </c>
      <c r="AX341" s="263">
        <f>IFERROR((N(AX133)+N(AX137)+N(AX141)+N(AX142)+N(AX143)),0)</f>
        <v>15950.6820792108</v>
      </c>
      <c r="AY341" s="263">
        <f>IFERROR((N(AY133)+N(AY137)+N(AY141)+N(AY142)+N(AY143)),0)</f>
        <v>16232.7851511977</v>
      </c>
      <c r="AZ341" s="263">
        <f>IFERROR((N(AZ133)+N(AZ137)+N(AZ141)+N(AZ142)+N(AZ143)),0)</f>
        <v>15698.9785400875</v>
      </c>
      <c r="BA341" s="263">
        <f>IFERROR((N(BA133)+N(BA137)+N(BA141)+N(BA142)+N(BA143)),0)</f>
        <v>15698.9785400875</v>
      </c>
      <c r="BB341" s="263">
        <f>IFERROR((N(BB133)+N(BB137)+N(BB141)+N(BB142)+N(BB143)),0)</f>
        <v>21245.1428548523</v>
      </c>
      <c r="BC341" s="263">
        <f>IFERROR((N(BC133)+N(BC137)+N(BC141)+N(BC142)+N(BC143)),0)</f>
        <v>17224.8942126911</v>
      </c>
      <c r="BD341" s="263">
        <f>IFERROR((N(BD133)+N(BD137)+N(BD141)+N(BD142)+N(BD143)),0)</f>
        <v>17559.9470550493</v>
      </c>
      <c r="BE341" s="263">
        <f>IFERROR((N(BE133)+N(BE137)+N(BE141)+N(BE142)+N(BE143)),0)</f>
        <v>16925.946790315</v>
      </c>
      <c r="BF341" s="263">
        <f>IFERROR((N(BF133)+N(BF137)+N(BF141)+N(BF142)+N(BF143)),0)</f>
        <v>16925.946790315</v>
      </c>
      <c r="BG341" s="90" t="n"/>
      <c r="BH341" s="90" t="n"/>
      <c r="BI341" s="90" t="n"/>
      <c r="BJ341" s="90" t="n"/>
      <c r="BL341" s="90" t="n"/>
      <c r="BM341" s="90" t="n"/>
      <c r="BN341" s="90" t="n"/>
      <c r="BO341" s="90" t="n"/>
      <c r="BQ341" s="90" t="n"/>
      <c r="BR341" s="90" t="n"/>
      <c r="BS341" s="90" t="n"/>
      <c r="BT341" s="90" t="n"/>
      <c r="BV341" s="90" t="n"/>
      <c r="BW341" s="90" t="n"/>
      <c r="BX341" s="90" t="n"/>
      <c r="BY341" s="90" t="n"/>
      <c r="CA341" s="90" t="n"/>
      <c r="CB341" s="90" t="n"/>
      <c r="CC341" s="90" t="n"/>
      <c r="CD341" s="90" t="n"/>
      <c r="CF341" s="90" t="n"/>
      <c r="CG341" s="90" t="n"/>
      <c r="CH341" s="90" t="n"/>
      <c r="CI341" s="90" t="n"/>
      <c r="CK341" s="90" t="n"/>
      <c r="CL341" s="90" t="n"/>
      <c r="CM341" s="90" t="n"/>
      <c r="CN341" s="90" t="n"/>
      <c r="CP341" s="90" t="n"/>
      <c r="CQ341" s="90" t="n"/>
      <c r="CR341" s="90" t="n"/>
      <c r="CS341" s="90" t="n"/>
      <c r="CU341" s="90" t="n"/>
      <c r="CV341" s="90" t="n"/>
      <c r="CW341" s="90" t="n"/>
      <c r="CX341" s="90" t="n"/>
    </row>
    <row r="342" customFormat="1" s="77">
      <c r="A342" s="76" t="n"/>
      <c r="B342" s="76" t="n"/>
      <c r="C342" s="77" t="inlineStr">
        <is>
          <t>CURRENT LIABILITIES (OPERATING, EX DEBT)</t>
        </is>
      </c>
      <c r="D342" s="89">
        <f>IFERROR(D186+D190+D192+D193,"")</f>
        <v>0</v>
      </c>
      <c r="E342" s="89">
        <f>IFERROR(E186+E190+E192+E193,"")</f>
        <v>0</v>
      </c>
      <c r="F342" s="89">
        <f>IFERROR(F186+F190+F192+F193,"")</f>
        <v>0</v>
      </c>
      <c r="G342" s="89">
        <f>IFERROR(G186+G190+G192+G193,"")</f>
        <v>0</v>
      </c>
      <c r="H342" s="263">
        <f>IFERROR((N(H186)+N(H190)+N(H192)+N(H193)),0)</f>
        <v>0</v>
      </c>
      <c r="I342" s="263">
        <f>IFERROR((N(I186)+N(I190)+N(I192)+N(I193)),0)</f>
        <v>0</v>
      </c>
      <c r="J342" s="263">
        <f>IFERROR((N(J186)+N(J190)+N(J192)+N(J193)),0)</f>
        <v>0</v>
      </c>
      <c r="K342" s="263">
        <f>IFERROR((N(K186)+N(K190)+N(K192)+N(K193)),0)</f>
        <v>0</v>
      </c>
      <c r="L342" s="263">
        <f>IFERROR((N(L186)+N(L190)+N(L192)+N(L193)),0)</f>
        <v>4694</v>
      </c>
      <c r="M342" s="263">
        <f>IFERROR((N(M186)+N(M190)+N(M192)+N(M193)),0)</f>
        <v>4694</v>
      </c>
      <c r="N342" s="263">
        <f>IFERROR((N(N186)+N(N190)+N(N192)+N(N193)),0)</f>
        <v>5163</v>
      </c>
      <c r="O342" s="263">
        <f>IFERROR((N(O186)+N(O190)+N(O192)+N(O193)),0)</f>
        <v>5494</v>
      </c>
      <c r="P342" s="263">
        <f>IFERROR((N(P186)+N(P190)+N(P192)+N(P193)),0)</f>
        <v>7013</v>
      </c>
      <c r="Q342" s="263">
        <f>IFERROR((N(Q186)+N(Q190)+N(Q192)+N(Q193)),0)</f>
        <v>6537</v>
      </c>
      <c r="R342" s="263">
        <f>IFERROR((N(R186)+N(R190)+N(R192)+N(R193)),0)</f>
        <v>6537</v>
      </c>
      <c r="S342" s="263">
        <f>IFERROR((N(S186)+N(S190)+N(S192)+N(S193)),0)</f>
        <v>5081</v>
      </c>
      <c r="T342" s="263">
        <f>IFERROR((N(T186)+N(T190)+N(T192)+N(T193)),0)</f>
        <v>4180</v>
      </c>
      <c r="U342" s="263">
        <f>IFERROR((N(U186)+N(U190)+N(U192)+N(U193)),0)</f>
        <v>4620</v>
      </c>
      <c r="V342" s="263">
        <f>IFERROR((N(V186)+N(V190)+N(V192)+N(V193)),0)</f>
        <v>4554</v>
      </c>
      <c r="W342" s="263">
        <f>IFERROR((N(W186)+N(W190)+N(W192)+N(W193)),0)</f>
        <v>4554</v>
      </c>
      <c r="X342" s="263">
        <f>IFERROR((N(X186)+N(X190)+N(X192)+N(X193)),0)</f>
        <v>4291</v>
      </c>
      <c r="Y342" s="263">
        <f>IFERROR((N(Y186)+N(Y190)+N(Y192)+N(Y193)),0)</f>
        <v>4086</v>
      </c>
      <c r="Z342" s="263">
        <f>IFERROR((N(Z186)+N(Z190)+N(Z192)+N(Z193)),0)</f>
        <v>4418</v>
      </c>
      <c r="AA342" s="263">
        <f>IFERROR((N(AA186)+N(AA190)+N(AA192)+N(AA193)),0)</f>
        <v>5818</v>
      </c>
      <c r="AB342" s="263">
        <f>IFERROR((N(AB186)+N(AB190)+N(AB192)+N(AB193)),0)</f>
        <v>5818</v>
      </c>
      <c r="AC342" s="263">
        <f>IFERROR((N(AC186)+N(AC190)+N(AC192)+N(AC193)),0)</f>
        <v>5508</v>
      </c>
      <c r="AD342" s="263">
        <f>IFERROR((N(AD186)+N(AD190)+N(AD192)+N(AD193)),0)</f>
        <v>5231</v>
      </c>
      <c r="AE342" s="263">
        <f>IFERROR((N(AE186)+N(AE190)+N(AE192)+N(AE193)),0)</f>
        <v>5687</v>
      </c>
      <c r="AF342" s="263">
        <f>IFERROR((N(AF186)+N(AF190)+N(AF192)+N(AF193)),0)</f>
        <v>6202</v>
      </c>
      <c r="AG342" s="263">
        <f>IFERROR((N(AG186)+N(AG190)+N(AG192)+N(AG193)),0)</f>
        <v>6202</v>
      </c>
      <c r="AH342" s="263">
        <f>IFERROR((N(AH186)+N(AH190)+N(AH192)+N(AH193)),0)</f>
        <v>7743</v>
      </c>
      <c r="AI342" s="263">
        <f>IFERROR((N(AI186)+N(AI190)+N(AI192)+N(AI193)),0)</f>
        <v>7443</v>
      </c>
      <c r="AJ342" s="263">
        <f>IFERROR((N(AJ186)+N(AJ190)+N(AJ192)+N(AJ193)),0)</f>
        <v>3011</v>
      </c>
      <c r="AK342" s="263">
        <f>IFERROR((N(AK186)+N(AK190)+N(AK192)+N(AK193)),0)</f>
        <v>3011</v>
      </c>
      <c r="AL342" s="263">
        <f>IFERROR((N(AL186)+N(AL190)+N(AL192)+N(AL193)),0)</f>
        <v>3011</v>
      </c>
      <c r="AM342" s="263">
        <f>IFERROR((N(AM186)+N(AM190)+N(AM192)+N(AM193)),0)</f>
        <v>3011</v>
      </c>
      <c r="AN342" s="263">
        <f>IFERROR((N(AN186)+N(AN190)+N(AN192)+N(AN193)),0)</f>
        <v>3011</v>
      </c>
      <c r="AO342" s="263">
        <f>IFERROR((N(AO186)+N(AO190)+N(AO192)+N(AO193)),0)</f>
        <v>3011</v>
      </c>
      <c r="AP342" s="263">
        <f>IFERROR((N(AP186)+N(AP190)+N(AP192)+N(AP193)),0)</f>
        <v>3011</v>
      </c>
      <c r="AQ342" s="263">
        <f>IFERROR((N(AQ186)+N(AQ190)+N(AQ192)+N(AQ193)),0)</f>
        <v>3011</v>
      </c>
      <c r="AR342" s="263">
        <f>IFERROR((N(AR186)+N(AR190)+N(AR192)+N(AR193)),0)</f>
        <v>3011</v>
      </c>
      <c r="AS342" s="263">
        <f>IFERROR((N(AS186)+N(AS190)+N(AS192)+N(AS193)),0)</f>
        <v>3011</v>
      </c>
      <c r="AT342" s="263">
        <f>IFERROR((N(AT186)+N(AT190)+N(AT192)+N(AT193)),0)</f>
        <v>3011</v>
      </c>
      <c r="AU342" s="263">
        <f>IFERROR((N(AU186)+N(AU190)+N(AU192)+N(AU193)),0)</f>
        <v>3011</v>
      </c>
      <c r="AV342" s="263">
        <f>IFERROR((N(AV186)+N(AV190)+N(AV192)+N(AV193)),0)</f>
        <v>3011</v>
      </c>
      <c r="AW342" s="263">
        <f>IFERROR((N(AW186)+N(AW190)+N(AW192)+N(AW193)),0)</f>
        <v>3011</v>
      </c>
      <c r="AX342" s="263">
        <f>IFERROR((N(AX186)+N(AX190)+N(AX192)+N(AX193)),0)</f>
        <v>3011</v>
      </c>
      <c r="AY342" s="263">
        <f>IFERROR((N(AY186)+N(AY190)+N(AY192)+N(AY193)),0)</f>
        <v>3011</v>
      </c>
      <c r="AZ342" s="263">
        <f>IFERROR((N(AZ186)+N(AZ190)+N(AZ192)+N(AZ193)),0)</f>
        <v>3011</v>
      </c>
      <c r="BA342" s="263">
        <f>IFERROR((N(BA186)+N(BA190)+N(BA192)+N(BA193)),0)</f>
        <v>3011</v>
      </c>
      <c r="BB342" s="263">
        <f>IFERROR((N(BB186)+N(BB190)+N(BB192)+N(BB193)),0)</f>
        <v>3011</v>
      </c>
      <c r="BC342" s="263">
        <f>IFERROR((N(BC186)+N(BC190)+N(BC192)+N(BC193)),0)</f>
        <v>3011</v>
      </c>
      <c r="BD342" s="263">
        <f>IFERROR((N(BD186)+N(BD190)+N(BD192)+N(BD193)),0)</f>
        <v>3011</v>
      </c>
      <c r="BE342" s="263">
        <f>IFERROR((N(BE186)+N(BE190)+N(BE192)+N(BE193)),0)</f>
        <v>3011</v>
      </c>
      <c r="BF342" s="263">
        <f>IFERROR((N(BF186)+N(BF190)+N(BF192)+N(BF193)),0)</f>
        <v>3011</v>
      </c>
      <c r="BG342" s="90" t="n"/>
      <c r="BH342" s="90" t="n"/>
      <c r="BI342" s="90" t="n"/>
      <c r="BJ342" s="90" t="n"/>
      <c r="BL342" s="90" t="n"/>
      <c r="BM342" s="90" t="n"/>
      <c r="BN342" s="90" t="n"/>
      <c r="BO342" s="90" t="n"/>
      <c r="BQ342" s="90" t="n"/>
      <c r="BR342" s="90" t="n"/>
      <c r="BS342" s="90" t="n"/>
      <c r="BT342" s="90" t="n"/>
      <c r="BV342" s="90" t="n"/>
      <c r="BW342" s="90" t="n"/>
      <c r="BX342" s="90" t="n"/>
      <c r="BY342" s="90" t="n"/>
      <c r="CA342" s="90" t="n"/>
      <c r="CB342" s="90" t="n"/>
      <c r="CC342" s="90" t="n"/>
      <c r="CD342" s="90" t="n"/>
      <c r="CF342" s="90" t="n"/>
      <c r="CG342" s="90" t="n"/>
      <c r="CH342" s="90" t="n"/>
      <c r="CI342" s="90" t="n"/>
      <c r="CK342" s="90" t="n"/>
      <c r="CL342" s="90" t="n"/>
      <c r="CM342" s="90" t="n"/>
      <c r="CN342" s="90" t="n"/>
      <c r="CP342" s="90" t="n"/>
      <c r="CQ342" s="90" t="n"/>
      <c r="CR342" s="90" t="n"/>
      <c r="CS342" s="90" t="n"/>
      <c r="CU342" s="90" t="n"/>
      <c r="CV342" s="90" t="n"/>
      <c r="CW342" s="90" t="n"/>
      <c r="CX342" s="90" t="n"/>
    </row>
    <row r="343" customFormat="1" s="77">
      <c r="A343" s="76" t="n"/>
      <c r="B343" s="76" t="n"/>
      <c r="C343" s="77" t="inlineStr">
        <is>
          <t>FIXED ASSETS</t>
        </is>
      </c>
      <c r="D343" s="89">
        <f>IFERROR(D154+D164+D167+D168+D177-D228,"")</f>
        <v>0</v>
      </c>
      <c r="E343" s="89">
        <f>IFERROR(E154+E164+E167+E168+E177-E228,"")</f>
        <v>0</v>
      </c>
      <c r="F343" s="89">
        <f>IFERROR(F154+F164+F167+F168+F177-F228,"")</f>
        <v>0</v>
      </c>
      <c r="G343" s="89">
        <f>IFERROR(G154+G164+G167+G168+G177-G228,"")</f>
        <v>0</v>
      </c>
      <c r="H343" s="263">
        <f>IFERROR((N(H154)+N(H164)+N(H167)+N(H168)+N(H177))-N(H228),0)</f>
        <v>0</v>
      </c>
      <c r="I343" s="263">
        <f>IFERROR((N(I154)+N(I164)+N(I167)+N(I168)+N(I177))-N(I228),0)</f>
        <v>0</v>
      </c>
      <c r="J343" s="263">
        <f>IFERROR((N(J154)+N(J164)+N(J167)+N(J168)+N(J177))-N(J228),0)</f>
        <v>0</v>
      </c>
      <c r="K343" s="263">
        <f>IFERROR((N(K154)+N(K164)+N(K167)+N(K168)+N(K177))-N(K228),0)</f>
        <v>0</v>
      </c>
      <c r="L343" s="263">
        <f>IFERROR((N(L154)+N(L164)+N(L167)+N(L168)+N(L177))-N(L228),0)</f>
        <v>16172</v>
      </c>
      <c r="M343" s="263">
        <f>IFERROR((N(M154)+N(M164)+N(M167)+N(M168)+N(M177))-N(M228),0)</f>
        <v>16172</v>
      </c>
      <c r="N343" s="263">
        <f>IFERROR((N(N154)+N(N164)+N(N167)+N(N168)+N(N177))-N(N228),0)</f>
        <v>13684</v>
      </c>
      <c r="O343" s="263">
        <f>IFERROR((N(O154)+N(O164)+N(O167)+N(O168)+N(O177))-N(O228),0)</f>
        <v>13650</v>
      </c>
      <c r="P343" s="263">
        <f>IFERROR((N(P154)+N(P164)+N(P167)+N(P168)+N(P177))-N(P228),0)</f>
        <v>13660</v>
      </c>
      <c r="Q343" s="263">
        <f>IFERROR((N(Q154)+N(Q164)+N(Q167)+N(Q168)+N(Q177))-N(Q228),0)</f>
        <v>14273</v>
      </c>
      <c r="R343" s="263">
        <f>IFERROR((N(R154)+N(R164)+N(R167)+N(R168)+N(R177))-N(R228),0)</f>
        <v>14273</v>
      </c>
      <c r="S343" s="263">
        <f>IFERROR((N(S154)+N(S164)+N(S167)+N(S168)+N(S177))-N(S228),0)</f>
        <v>14643</v>
      </c>
      <c r="T343" s="263">
        <f>IFERROR((N(T154)+N(T164)+N(T167)+N(T168)+N(T177))-N(T228),0)</f>
        <v>15375</v>
      </c>
      <c r="U343" s="263">
        <f>IFERROR((N(U154)+N(U164)+N(U167)+N(U168)+N(U177))-N(U228),0)</f>
        <v>14830</v>
      </c>
      <c r="V343" s="263">
        <f>IFERROR((N(V154)+N(V164)+N(V167)+N(V168)+N(V177))-N(V228),0)</f>
        <v>16750</v>
      </c>
      <c r="W343" s="263">
        <f>IFERROR((N(W154)+N(W164)+N(W167)+N(W168)+N(W177))-N(W228),0)</f>
        <v>16750</v>
      </c>
      <c r="X343" s="263">
        <f>IFERROR((N(X154)+N(X164)+N(X167)+N(X168)+N(X177))-N(X228),0)</f>
        <v>17336</v>
      </c>
      <c r="Y343" s="263">
        <f>IFERROR((N(Y154)+N(Y164)+N(Y167)+N(Y168)+N(Y177))-N(Y228),0)</f>
        <v>17114</v>
      </c>
      <c r="Z343" s="263">
        <f>IFERROR((N(Z154)+N(Z164)+N(Z167)+N(Z168)+N(Z177))-N(Z228),0)</f>
        <v>16466</v>
      </c>
      <c r="AA343" s="263">
        <f>IFERROR((N(AA154)+N(AA164)+N(AA167)+N(AA168)+N(AA177))-N(AA228),0)</f>
        <v>16993</v>
      </c>
      <c r="AB343" s="263">
        <f>IFERROR((N(AB154)+N(AB164)+N(AB167)+N(AB168)+N(AB177))-N(AB228),0)</f>
        <v>16993</v>
      </c>
      <c r="AC343" s="263">
        <f>IFERROR((N(AC154)+N(AC164)+N(AC167)+N(AC168)+N(AC177))-N(AC228),0)</f>
        <v>17569</v>
      </c>
      <c r="AD343" s="263">
        <f>IFERROR((N(AD154)+N(AD164)+N(AD167)+N(AD168)+N(AD177))-N(AD228),0)</f>
        <v>18112</v>
      </c>
      <c r="AE343" s="263">
        <f>IFERROR((N(AE154)+N(AE164)+N(AE167)+N(AE168)+N(AE177))-N(AE228),0)</f>
        <v>17767</v>
      </c>
      <c r="AF343" s="263">
        <f>IFERROR((N(AF154)+N(AF164)+N(AF167)+N(AF168)+N(AF177))-N(AF228),0)</f>
        <v>17928</v>
      </c>
      <c r="AG343" s="263">
        <f>IFERROR((N(AG154)+N(AG164)+N(AG167)+N(AG168)+N(AG177))-N(AG228),0)</f>
        <v>17928</v>
      </c>
      <c r="AH343" s="263">
        <f>IFERROR((N(AH154)+N(AH164)+N(AH167)+N(AH168)+N(AH177))-N(AH228),0)</f>
        <v>46020</v>
      </c>
      <c r="AI343" s="263">
        <f>IFERROR((N(AI154)+N(AI164)+N(AI167)+N(AI168)+N(AI177))-N(AI228),0)</f>
        <v>45500</v>
      </c>
      <c r="AJ343" s="263">
        <f>IFERROR((N(AJ154)+N(AJ164)+N(AJ167)+N(AJ168)+N(AJ177))-N(AJ228),0)</f>
        <v>49081.5281700077</v>
      </c>
      <c r="AK343" s="263">
        <f>IFERROR((N(AK154)+N(AK164)+N(AK167)+N(AK168)+N(AK177))-N(AK228),0)</f>
        <v>52392.670042858</v>
      </c>
      <c r="AL343" s="263">
        <f>IFERROR((N(AL154)+N(AL164)+N(AL167)+N(AL168)+N(AL177))-N(AL228),0)</f>
        <v>52392.670042858</v>
      </c>
      <c r="AM343" s="263">
        <f>IFERROR((N(AM154)+N(AM164)+N(AM167)+N(AM168)+N(AM177))-N(AM228),0)</f>
        <v>58455.6466496807</v>
      </c>
      <c r="AN343" s="263">
        <f>IFERROR((N(AN154)+N(AN164)+N(AN167)+N(AN168)+N(AN177))-N(AN228),0)</f>
        <v>62546.3296615129</v>
      </c>
      <c r="AO343" s="263">
        <f>IFERROR((N(AO154)+N(AO164)+N(AO167)+N(AO168)+N(AO177))-N(AO228),0)</f>
        <v>66853.821197411</v>
      </c>
      <c r="AP343" s="263">
        <f>IFERROR((N(AP154)+N(AP164)+N(AP167)+N(AP168)+N(AP177))-N(AP228),0)</f>
        <v>70836.1200694117</v>
      </c>
      <c r="AQ343" s="263">
        <f>IFERROR((N(AQ154)+N(AQ164)+N(AQ167)+N(AQ168)+N(AQ177))-N(AQ228),0)</f>
        <v>70836.1200694117</v>
      </c>
      <c r="AR343" s="263">
        <f>IFERROR((N(AR154)+N(AR164)+N(AR167)+N(AR168)+N(AR177))-N(AR228),0)</f>
        <v>78097.7261699786</v>
      </c>
      <c r="AS343" s="263">
        <f>IFERROR((N(AS154)+N(AS164)+N(AS167)+N(AS168)+N(AS177))-N(AS228),0)</f>
        <v>82997.1230571081</v>
      </c>
      <c r="AT343" s="263">
        <f>IFERROR((N(AT154)+N(AT164)+N(AT167)+N(AT168)+N(AT177))-N(AT228),0)</f>
        <v>88156.1907632278</v>
      </c>
      <c r="AU343" s="263">
        <f>IFERROR((N(AU154)+N(AU164)+N(AU167)+N(AU168)+N(AU177))-N(AU228),0)</f>
        <v>92925.7763411533</v>
      </c>
      <c r="AV343" s="263">
        <f>IFERROR((N(AV154)+N(AV164)+N(AV167)+N(AV168)+N(AV177))-N(AV228),0)</f>
        <v>92925.7763411533</v>
      </c>
      <c r="AW343" s="263">
        <f>IFERROR((N(AW154)+N(AW164)+N(AW167)+N(AW168)+N(AW177))-N(AW228),0)</f>
        <v>101586.66880792</v>
      </c>
      <c r="AX343" s="263">
        <f>IFERROR((N(AX154)+N(AX164)+N(AX167)+N(AX168)+N(AX177))-N(AX228),0)</f>
        <v>107430.162520437</v>
      </c>
      <c r="AY343" s="263">
        <f>IFERROR((N(AY154)+N(AY164)+N(AY167)+N(AY168)+N(AY177))-N(AY228),0)</f>
        <v>113583.364720152</v>
      </c>
      <c r="AZ343" s="263">
        <f>IFERROR((N(AZ154)+N(AZ164)+N(AZ167)+N(AZ168)+N(AZ177))-N(AZ228),0)</f>
        <v>119272.032933404</v>
      </c>
      <c r="BA343" s="263">
        <f>IFERROR((N(BA154)+N(BA164)+N(BA167)+N(BA168)+N(BA177))-N(BA228),0)</f>
        <v>119272.032933404</v>
      </c>
      <c r="BB343" s="263">
        <f>IFERROR((N(BB154)+N(BB164)+N(BB167)+N(BB168)+N(BB177))-N(BB228),0)</f>
        <v>129558.544944458</v>
      </c>
      <c r="BC343" s="263">
        <f>IFERROR((N(BC154)+N(BC164)+N(BC167)+N(BC168)+N(BC177))-N(BC228),0)</f>
        <v>136498.842204928</v>
      </c>
      <c r="BD343" s="263">
        <f>IFERROR((N(BD154)+N(BD164)+N(BD167)+N(BD168)+N(BD177))-N(BD228),0)</f>
        <v>143806.979163872</v>
      </c>
      <c r="BE343" s="263">
        <f>IFERROR((N(BE154)+N(BE164)+N(BE167)+N(BE168)+N(BE177))-N(BE228),0)</f>
        <v>150563.390714652</v>
      </c>
      <c r="BF343" s="263">
        <f>IFERROR((N(BF154)+N(BF164)+N(BF167)+N(BF168)+N(BF177))-N(BF228),0)</f>
        <v>150563.390714652</v>
      </c>
      <c r="BG343" s="90" t="n"/>
      <c r="BH343" s="90" t="n"/>
      <c r="BI343" s="90" t="n"/>
      <c r="BJ343" s="90" t="n"/>
      <c r="BL343" s="90" t="n"/>
      <c r="BM343" s="90" t="n"/>
      <c r="BN343" s="90" t="n"/>
      <c r="BO343" s="90" t="n"/>
      <c r="BQ343" s="90" t="n"/>
      <c r="BR343" s="90" t="n"/>
      <c r="BS343" s="90" t="n"/>
      <c r="BT343" s="90" t="n"/>
      <c r="BV343" s="90" t="n"/>
      <c r="BW343" s="90" t="n"/>
      <c r="BX343" s="90" t="n"/>
      <c r="BY343" s="90" t="n"/>
      <c r="CA343" s="90" t="n"/>
      <c r="CB343" s="90" t="n"/>
      <c r="CC343" s="90" t="n"/>
      <c r="CD343" s="90" t="n"/>
      <c r="CF343" s="90" t="n"/>
      <c r="CG343" s="90" t="n"/>
      <c r="CH343" s="90" t="n"/>
      <c r="CI343" s="90" t="n"/>
      <c r="CK343" s="90" t="n"/>
      <c r="CL343" s="90" t="n"/>
      <c r="CM343" s="90" t="n"/>
      <c r="CN343" s="90" t="n"/>
      <c r="CP343" s="90" t="n"/>
      <c r="CQ343" s="90" t="n"/>
      <c r="CR343" s="90" t="n"/>
      <c r="CS343" s="90" t="n"/>
      <c r="CU343" s="90" t="n"/>
      <c r="CV343" s="90" t="n"/>
      <c r="CW343" s="90" t="n"/>
      <c r="CX343" s="90" t="n"/>
    </row>
    <row r="344" customFormat="1" s="77">
      <c r="A344" s="76" t="n"/>
      <c r="B344" s="76" t="n"/>
    </row>
    <row r="345" customFormat="1" s="77">
      <c r="A345" s="76" t="n"/>
      <c r="B345" s="76" t="n"/>
    </row>
    <row r="346" customFormat="1" s="77">
      <c r="A346" s="76" t="n"/>
      <c r="B346" s="76" t="n"/>
    </row>
    <row r="347" customFormat="1" s="77">
      <c r="A347" s="76" t="n"/>
      <c r="B347" s="76" t="n"/>
    </row>
    <row r="348" customFormat="1" s="77">
      <c r="A348" s="76" t="n"/>
      <c r="B348" s="76" t="n"/>
    </row>
    <row r="349" customFormat="1" s="77">
      <c r="A349" s="76" t="n"/>
      <c r="B349" s="76" t="n"/>
    </row>
    <row r="350" customFormat="1" s="77">
      <c r="A350" s="76" t="n"/>
      <c r="B350" s="76" t="n"/>
    </row>
    <row r="351" customFormat="1" s="77">
      <c r="A351" s="76" t="n"/>
      <c r="B351" s="76" t="n"/>
      <c r="C351" s="74" t="inlineStr">
        <is>
          <t>DUPONT ANALYSIS</t>
        </is>
      </c>
    </row>
    <row r="352" customFormat="1" s="77">
      <c r="A352" s="76" t="n"/>
      <c r="B352" s="76" t="n"/>
      <c r="C352" s="77" t="inlineStr">
        <is>
          <t>NET PROFIT MARGIN (LTM)</t>
        </is>
      </c>
      <c r="D352" s="84" t="str">
        <f>IFERROR(D125/D15,"")</f>
        <v/>
      </c>
      <c r="E352" s="84" t="str">
        <f>IFERROR(E125/E15,"")</f>
        <v/>
      </c>
      <c r="F352" s="84" t="str">
        <f>IFERROR(F125/F15,"")</f>
        <v/>
      </c>
      <c r="G352" s="84" t="str">
        <f>IFERROR(G125/G15,"")</f>
        <v/>
      </c>
      <c r="H352" s="258" t="str">
        <f>IFERROR(IF(AND(COUNT(H125)=1,(H15)&lt;&gt;0),(H125)/(H15),""),"")</f>
        <v/>
      </c>
      <c r="I352" s="257" t="str">
        <f>""</f>
        <v/>
      </c>
      <c r="J352" s="257" t="str">
        <f>""</f>
        <v/>
      </c>
      <c r="K352" s="257" t="str">
        <f>""</f>
        <v/>
      </c>
      <c r="L352" s="257">
        <f>IFERROR(IF(AND(COUNT(I125,J125,K125,L125)=4,(I15+J15+K15+L15)&lt;&gt;0),(I125+J125+K125+L125)/(I15+J15+K15+L15),""),"")</f>
        <v>-0.0104325699745547</v>
      </c>
      <c r="M352" s="258">
        <f>IFERROR(IF(AND(COUNT(I125,J125,K125,L125)=4,(I15+J15+K15+L15)&lt;&gt;0),(I125+J125+K125+L125)/(I15+J15+K15+L15),""),"")</f>
        <v>-0.0104325699745547</v>
      </c>
      <c r="N352" s="257">
        <f>IFERROR(IF(AND(COUNT(J125,K125,L125,N125)=4,(J15+K15+L15+N15)&lt;&gt;0),(J125+K125+L125+N125)/(J15+K15+L15+N15),""),"")</f>
        <v>0.0352606442434712</v>
      </c>
      <c r="O352" s="257">
        <f>IFERROR(IF(AND(COUNT(K125,L125,N125,O125)=4,(K15+L15+N15+O15)&lt;&gt;0),(K125+L125+N125+O125)/(K15+L15+N15+O15),""),"")</f>
        <v>0.0306754310755454</v>
      </c>
      <c r="P352" s="257">
        <f>IFERROR(IF(AND(COUNT(L125,N125,O125,P125)=4,(L15+N15+O15+P15)&lt;&gt;0),(L125+N125+O125+P125)/(L15+N15+O15+P15),""),"")</f>
        <v>-0.0066699059145722</v>
      </c>
      <c r="Q352" s="257">
        <f>IFERROR(IF(AND(COUNT(N125,O125,P125,Q125)=4,(N15+O15+P15+Q15)&lt;&gt;0),(N125+O125+P125+Q125)/(N15+O15+P15+Q15),""),"")</f>
        <v>-0.00650572831423895</v>
      </c>
      <c r="R352" s="258">
        <f>IFERROR(IF(AND(COUNT(N125,O125,P125,Q125)=4,(N15+O15+P15+Q15)&lt;&gt;0),(N125+O125+P125+Q125)/(N15+O15+P15+Q15),""),"")</f>
        <v>-0.00650572831423895</v>
      </c>
      <c r="S352" s="257">
        <f>IFERROR(IF(AND(COUNT(O125,P125,Q125,S125)=4,(O15+P15+Q15+S15)&lt;&gt;0),(O125+P125+Q125+S125)/(O15+P15+Q15+S15),""),"")</f>
        <v>-0.00639812220792004</v>
      </c>
      <c r="T352" s="257">
        <f>IFERROR(IF(AND(COUNT(P125,Q125,S125,T125)=4,(P15+Q15+S15+T15)&lt;&gt;0),(P125+Q125+S125+T125)/(P15+Q15+S15+T15),""),"")</f>
        <v>0.0293616215192271</v>
      </c>
      <c r="U352" s="257">
        <f>IFERROR(IF(AND(COUNT(Q125,S125,T125,U125)=4,(Q15+S15+T15+U15)&lt;&gt;0),(Q125+S125+T125+U125)/(Q15+S15+T15+U15),""),"")</f>
        <v>0.064033264033264</v>
      </c>
      <c r="V352" s="257">
        <f>IFERROR(IF(AND(COUNT(S125,T125,U125,V125)=4,(S15+T15+U15+V15)&lt;&gt;0),(S125+T125+U125+V125)/(S15+T15+U15+V15),""),"")</f>
        <v>0.0651336383337346</v>
      </c>
      <c r="W352" s="258">
        <f>IFERROR(IF(AND(COUNT(S125,T125,U125,V125)=4,(S15+T15+U15+V15)&lt;&gt;0),(S125+T125+U125+V125)/(S15+T15+U15+V15),""),"")</f>
        <v>0.0651336383337346</v>
      </c>
      <c r="X352" s="257">
        <f>IFERROR(IF(AND(COUNT(T125,U125,V125,X125)=4,(T15+U15+V15+X15)&lt;&gt;0),(T125+U125+V125+X125)/(T15+U15+V15+X15),""),"")</f>
        <v>0.102492132346687</v>
      </c>
      <c r="Y352" s="257">
        <f>IFERROR(IF(AND(COUNT(U125,V125,X125,Y125)=4,(U15+V15+X15+Y15)&lt;&gt;0),(U125+V125+X125+Y125)/(U15+V15+X15+Y15),""),"")</f>
        <v>0.101558849764261</v>
      </c>
      <c r="Z352" s="257">
        <f>IFERROR(IF(AND(COUNT(V125,X125,Y125,Z125)=4,(V15+X15+Y15+Z15)&lt;&gt;0),(V125+X125+Y125+Z125)/(V15+X15+Y15+Z15),""),"")</f>
        <v>0.119256108748228</v>
      </c>
      <c r="AA352" s="257">
        <f>IFERROR(IF(AND(COUNT(X125,Y125,Z125,AA125)=4,(X15+Y15+Z15+AA15)&lt;&gt;0),(X125+Y125+Z125+AA125)/(X15+Y15+Z15+AA15),""),"")</f>
        <v>0.159071622539036</v>
      </c>
      <c r="AB352" s="258">
        <f>IFERROR(IF(AND(COUNT(X125,Y125,Z125,AA125)=4,(X15+Y15+Z15+AA15)&lt;&gt;0),(X125+Y125+Z125+AA125)/(X15+Y15+Z15+AA15),""),"")</f>
        <v>0.159071622539036</v>
      </c>
      <c r="AC352" s="257">
        <f>IFERROR(IF(AND(COUNT(Y125,Z125,AA125,AC125)=4,(Y15+Z15+AA15+AC15)&lt;&gt;0),(Y125+Z125+AA125+AC125)/(Y15+Z15+AA15+AC15),""),"")</f>
        <v>0.123331266790659</v>
      </c>
      <c r="AD352" s="257">
        <f>IFERROR(IF(AND(COUNT(Z125,AA125,AC125,AD125)=4,(Z15+AA15+AC15+AD15)&lt;&gt;0),(Z125+AA125+AC125+AD125)/(Z15+AA15+AC15+AD15),""),"")</f>
        <v>0.121227992425769</v>
      </c>
      <c r="AE352" s="257">
        <f>IFERROR(IF(AND(COUNT(AA125,AC125,AD125,AE125)=4,(AA15+AC15+AD15+AE15)&lt;&gt;0),(AA125+AC125+AD125+AE125)/(AA15+AC15+AD15+AE15),""),"")</f>
        <v>0.110261261623928</v>
      </c>
      <c r="AF352" s="257">
        <f>IFERROR(IF(AND(COUNT(AB125,AD125,AE125,AF125)=4,(AB15+AD15+AE15+AF15)&lt;&gt;0),(AB125+AD125+AE125+AF125)/(AB15+AD15+AE15+AF15),""),"")</f>
        <v>0.140618722378465</v>
      </c>
      <c r="AG352" s="258">
        <f>IFERROR(IF(AND(COUNT(AC125,AD125,AE125,AF125)=4,(AC15+AD15+AE15+AF15)&lt;&gt;0),(AC125+AD125+AE125+AF125)/(AC15+AD15+AE15+AF15),""),"")</f>
        <v>0.0908236399953002</v>
      </c>
      <c r="AH352" s="257">
        <f>IFERROR(IF(AND(COUNT(AD125,AF125,AG125,AH125)=4,(AD15+AF15+AG15+AH15)&lt;&gt;0),(AD125+AF125+AG125+AH125)/(AD15+AF15+AG15+AH15),""),"")</f>
        <v>0.106082326438665</v>
      </c>
      <c r="AI352" s="257">
        <f>IFERROR(IF(AND(COUNT(AE125,AG125,AH125,AI125)=4,(AE15+AG15+AH15+AI15)&lt;&gt;0),(AE125+AG125+AH125+AI125)/(AE15+AG15+AH15+AI15),""),"")</f>
        <v>0.105501783989434</v>
      </c>
      <c r="AJ352" s="257">
        <f>IFERROR(IF(AND(COUNT(AF125,AH125,AI125,AJ125)=4,(AF15+AH15+AI15+AJ15)&lt;&gt;0),(AF125+AH125+AI125+AJ125)/(AF15+AH15+AI15+AJ15),""),"")</f>
        <v>0.105097486333107</v>
      </c>
      <c r="AK352" s="257">
        <f>IFERROR(IF(AND(COUNT(AH125,AI125,AJ125,AK125)=4,(AH15+AI15+AJ15+AK15)&lt;&gt;0),(AH125+AI125+AJ125+AK125)/(AH15+AI15+AJ15+AK15),""),"")</f>
        <v>0.112861286065685</v>
      </c>
      <c r="AL352" s="258">
        <f>IFERROR(IF(AND(COUNT(AH125,AI125,AJ125,AK125)=4,(AH15+AI15+AJ15+AK15)&lt;&gt;0),(AH125+AI125+AJ125+AK125)/(AH15+AI15+AJ15+AK15),""),"")</f>
        <v>0.112861286065685</v>
      </c>
      <c r="AM352" s="257">
        <f>IFERROR(IF(AND(COUNT(AI125,AJ125,AK125,AM125)=4,(AI15+AJ15+AK15+AM15)&lt;&gt;0),(AI125+AJ125+AK125+AM125)/(AI15+AJ15+AK15+AM15),""),"")</f>
        <v>0.103564364580769</v>
      </c>
      <c r="AN352" s="257">
        <f>IFERROR(IF(AND(COUNT(AJ125,AK125,AM125,AN125)=4,(AJ15+AK15+AM15+AN15)&lt;&gt;0),(AJ125+AK125+AM125+AN125)/(AJ15+AK15+AM15+AN15),""),"")</f>
        <v>0.112805674072699</v>
      </c>
      <c r="AO352" s="257">
        <f>IFERROR(IF(AND(COUNT(AK125,AM125,AN125,AO125)=4,(AK15+AM15+AN15+AO15)&lt;&gt;0),(AK125+AM125+AN125+AO125)/(AK15+AM15+AN15+AO15),""),"")</f>
        <v>0.112805674072699</v>
      </c>
      <c r="AP352" s="257">
        <f>IFERROR(IF(AND(COUNT(AM125,AN125,AO125,AP125)=4,(AM15+AN15+AO15+AP15)&lt;&gt;0),(AM125+AN125+AO125+AP125)/(AM15+AN15+AO15+AP15),""),"")</f>
        <v>0.112805674072699</v>
      </c>
      <c r="AQ352" s="258">
        <f>IFERROR(IF(AND(COUNT(AM125,AN125,AO125,AP125)=4,(AM15+AN15+AO15+AP15)&lt;&gt;0),(AM125+AN125+AO125+AP125)/(AM15+AN15+AO15+AP15),""),"")</f>
        <v>0.112805674072699</v>
      </c>
      <c r="AR352" s="257">
        <f>IFERROR(IF(AND(COUNT(AN125,AO125,AP125,AR125)=4,(AN15+AO15+AP15+AR15)&lt;&gt;0),(AN125+AO125+AP125+AR125)/(AN15+AO15+AP15+AR15),""),"")</f>
        <v>0.112805674072699</v>
      </c>
      <c r="AS352" s="257">
        <f>IFERROR(IF(AND(COUNT(AO125,AP125,AR125,AS125)=4,(AO15+AP15+AR15+AS15)&lt;&gt;0),(AO125+AP125+AR125+AS125)/(AO15+AP15+AR15+AS15),""),"")</f>
        <v>0.112805674072699</v>
      </c>
      <c r="AT352" s="257">
        <f>IFERROR(IF(AND(COUNT(AP125,AR125,AS125,AT125)=4,(AP15+AR15+AS15+AT15)&lt;&gt;0),(AP125+AR125+AS125+AT125)/(AP15+AR15+AS15+AT15),""),"")</f>
        <v>0.112805674072699</v>
      </c>
      <c r="AU352" s="257">
        <f>IFERROR(IF(AND(COUNT(AR125,AS125,AT125,AU125)=4,(AR15+AS15+AT15+AU15)&lt;&gt;0),(AR125+AS125+AT125+AU125)/(AR15+AS15+AT15+AU15),""),"")</f>
        <v>0.112805674072699</v>
      </c>
      <c r="AV352" s="258">
        <f>IFERROR(IF(AND(COUNT(AR125,AS125,AT125,AU125)=4,(AR15+AS15+AT15+AU15)&lt;&gt;0),(AR125+AS125+AT125+AU125)/(AR15+AS15+AT15+AU15),""),"")</f>
        <v>0.112805674072699</v>
      </c>
      <c r="AW352" s="257">
        <f>IFERROR(IF(AND(COUNT(AS125,AT125,AU125,AW125)=4,(AS15+AT15+AU15+AW15)&lt;&gt;0),(AS125+AT125+AU125+AW125)/(AS15+AT15+AU15+AW15),""),"")</f>
        <v>0.112805674072699</v>
      </c>
      <c r="AX352" s="257">
        <f>IFERROR(IF(AND(COUNT(AT125,AU125,AW125,AX125)=4,(AT15+AU15+AW15+AX15)&lt;&gt;0),(AT125+AU125+AW125+AX125)/(AT15+AU15+AW15+AX15),""),"")</f>
        <v>0.112805674072699</v>
      </c>
      <c r="AY352" s="257">
        <f>IFERROR(IF(AND(COUNT(AU125,AW125,AX125,AY125)=4,(AU15+AW15+AX15+AY15)&lt;&gt;0),(AU125+AW125+AX125+AY125)/(AU15+AW15+AX15+AY15),""),"")</f>
        <v>0.112805674072699</v>
      </c>
      <c r="AZ352" s="257">
        <f>IFERROR(IF(AND(COUNT(AW125,AX125,AY125,AZ125)=4,(AW15+AX15+AY15+AZ15)&lt;&gt;0),(AW125+AX125+AY125+AZ125)/(AW15+AX15+AY15+AZ15),""),"")</f>
        <v>0.112805674072699</v>
      </c>
      <c r="BA352" s="258">
        <f>IFERROR(IF(AND(COUNT(AW125,AX125,AY125,AZ125)=4,(AW15+AX15+AY15+AZ15)&lt;&gt;0),(AW125+AX125+AY125+AZ125)/(AW15+AX15+AY15+AZ15),""),"")</f>
        <v>0.112805674072699</v>
      </c>
      <c r="BB352" s="257">
        <f>IFERROR(IF(AND(COUNT(AX125,AY125,AZ125,BB125)=4,(AX15+AY15+AZ15+BB15)&lt;&gt;0),(AX125+AY125+AZ125+BB125)/(AX15+AY15+AZ15+BB15),""),"")</f>
        <v>0.112805674072699</v>
      </c>
      <c r="BC352" s="257">
        <f>IFERROR(IF(AND(COUNT(AY125,AZ125,BB125,BC125)=4,(AY15+AZ15+BB15+BC15)&lt;&gt;0),(AY125+AZ125+BB125+BC125)/(AY15+AZ15+BB15+BC15),""),"")</f>
        <v>0.112805674072699</v>
      </c>
      <c r="BD352" s="257">
        <f>IFERROR(IF(AND(COUNT(AZ125,BB125,BC125,BD125)=4,(AZ15+BB15+BC15+BD15)&lt;&gt;0),(AZ125+BB125+BC125+BD125)/(AZ15+BB15+BC15+BD15),""),"")</f>
        <v>0.112805674072699</v>
      </c>
      <c r="BE352" s="257">
        <f>IFERROR(IF(AND(COUNT(BB125,BC125,BD125,BE125)=4,(BB15+BC15+BD15+BE15)&lt;&gt;0),(BB125+BC125+BD125+BE125)/(BB15+BC15+BD15+BE15),""),"")</f>
        <v>0.112805674072699</v>
      </c>
      <c r="BF352" s="258">
        <f>IFERROR(IF(AND(COUNT(BB125,BC125,BD125,BE125)=4,(BB15+BC15+BD15+BE15)&lt;&gt;0),(BB125+BC125+BD125+BE125)/(BB15+BC15+BD15+BE15),""),"")</f>
        <v>0.112805674072699</v>
      </c>
      <c r="BG352" s="81" t="n"/>
      <c r="BH352" s="81" t="n"/>
      <c r="BI352" s="81" t="n"/>
      <c r="BJ352" s="81" t="n"/>
      <c r="BL352" s="81" t="n"/>
      <c r="BM352" s="81" t="n"/>
      <c r="BN352" s="81" t="n"/>
      <c r="BO352" s="81" t="n"/>
      <c r="BQ352" s="81" t="n"/>
      <c r="BR352" s="81" t="n"/>
      <c r="BS352" s="81" t="n"/>
      <c r="BT352" s="81" t="n"/>
      <c r="BV352" s="81" t="n"/>
      <c r="BW352" s="81" t="n"/>
      <c r="BX352" s="81" t="n"/>
      <c r="BY352" s="81" t="n"/>
      <c r="CA352" s="81" t="n"/>
      <c r="CB352" s="81" t="n"/>
      <c r="CC352" s="81" t="n"/>
      <c r="CD352" s="81" t="n"/>
      <c r="CF352" s="81" t="n"/>
      <c r="CG352" s="81" t="n"/>
      <c r="CH352" s="81" t="n"/>
      <c r="CI352" s="81" t="n"/>
      <c r="CK352" s="81" t="n"/>
      <c r="CL352" s="81" t="n"/>
      <c r="CM352" s="81" t="n"/>
      <c r="CN352" s="81" t="n"/>
      <c r="CP352" s="81" t="n"/>
      <c r="CQ352" s="81" t="n"/>
      <c r="CR352" s="81" t="n"/>
      <c r="CS352" s="81" t="n"/>
      <c r="CU352" s="81" t="n"/>
      <c r="CV352" s="81" t="n"/>
      <c r="CW352" s="81" t="n"/>
      <c r="CX352" s="81" t="n"/>
    </row>
    <row r="353" customFormat="1" s="77">
      <c r="A353" s="76" t="n"/>
      <c r="B353" s="76" t="n"/>
      <c r="C353" s="77" t="inlineStr">
        <is>
          <t>ASSET TURNOVER (LTM REVENUE / ASSETS)</t>
        </is>
      </c>
      <c r="D353" s="84" t="str">
        <f>IFERROR(D15/D185,"")</f>
        <v/>
      </c>
      <c r="E353" s="84" t="str">
        <f>IFERROR(E15/E185,"")</f>
        <v/>
      </c>
      <c r="F353" s="84" t="str">
        <f>IFERROR(F15/F185,"")</f>
        <v/>
      </c>
      <c r="G353" s="84" t="str">
        <f>IFERROR(G15/G185,"")</f>
        <v/>
      </c>
      <c r="H353" s="262" t="str">
        <f>IFERROR(IF(AND(COUNT(H15)=1,N(H185)&lt;&gt;0),(H15)/H185,""),"")</f>
        <v/>
      </c>
      <c r="I353" s="264" t="str">
        <f>""</f>
        <v/>
      </c>
      <c r="J353" s="264" t="str">
        <f>""</f>
        <v/>
      </c>
      <c r="K353" s="264" t="str">
        <f>""</f>
        <v/>
      </c>
      <c r="L353" s="264">
        <f>IFERROR(IF(AND(COUNT(I15,J15,K15,L15)=4,N(L185)&lt;&gt;0),(I15+J15+K15+L15)/L185,""),"")</f>
        <v>0.408642848230254</v>
      </c>
      <c r="M353" s="262">
        <f>IFERROR(IF(AND(COUNT(I15,J15,K15,L15)=4,N(M185)&lt;&gt;0),(I15+J15+K15+L15)/M185,""),"")</f>
        <v>0.408642848230254</v>
      </c>
      <c r="N353" s="264">
        <f>IFERROR(IF(AND(COUNT(J15,K15,L15,N15)=4,N(N185)&lt;&gt;0),(J15+K15+L15+N15)/N185,""),"")</f>
        <v>0.420142594885369</v>
      </c>
      <c r="O353" s="264">
        <f>IFERROR(IF(AND(COUNT(K15,L15,N15,O15)=4,N(O185)&lt;&gt;0),(K15+L15+N15+O15)/O185,""),"")</f>
        <v>0.463106346370194</v>
      </c>
      <c r="P353" s="264">
        <f>IFERROR(IF(AND(COUNT(L15,N15,O15,P15)=4,N(P185)&lt;&gt;0),(L15+N15+O15+P15)/P185,""),"")</f>
        <v>0.485648704307534</v>
      </c>
      <c r="Q353" s="264">
        <f>IFERROR(IF(AND(COUNT(N15,O15,P15,Q15)=4,N(Q185)&lt;&gt;0),(N15+O15+P15+Q15)/Q185,""),"")</f>
        <v>0.521008761644887</v>
      </c>
      <c r="R353" s="262">
        <f>IFERROR(IF(AND(COUNT(N15,O15,P15,Q15)=4,N(R185)&lt;&gt;0),(N15+O15+P15+Q15)/R185,""),"")</f>
        <v>0.521008761644887</v>
      </c>
      <c r="S353" s="264">
        <f>IFERROR(IF(AND(COUNT(O15,P15,Q15,S15)=4,N(S185)&lt;&gt;0),(O15+P15+Q15+S15)/S185,""),"")</f>
        <v>0.572251830668573</v>
      </c>
      <c r="T353" s="264">
        <f>IFERROR(IF(AND(COUNT(P15,Q15,S15,T15)=4,N(T185)&lt;&gt;0),(P15+Q15+S15+T15)/T185,""),"")</f>
        <v>0.566915096973732</v>
      </c>
      <c r="U353" s="264">
        <f>IFERROR(IF(AND(COUNT(Q15,S15,T15,U15)=4,N(U185)&lt;&gt;0),(Q15+S15+T15+U15)/U185,""),"")</f>
        <v>0.540283876238129</v>
      </c>
      <c r="V353" s="264">
        <f>IFERROR(IF(AND(COUNT(S15,T15,U15,V15)=4,N(V185)&lt;&gt;0),(S15+T15+U15+V15)/V185,""),"")</f>
        <v>0.490917687852161</v>
      </c>
      <c r="W353" s="262">
        <f>IFERROR(IF(AND(COUNT(S15,T15,U15,V15)=4,N(W185)&lt;&gt;0),(S15+T15+U15+V15)/W185,""),"")</f>
        <v>0.490917687852161</v>
      </c>
      <c r="X353" s="264">
        <f>IFERROR(IF(AND(COUNT(T15,U15,V15,X15)=4,N(X185)&lt;&gt;0),(T15+U15+V15+X15)/X185,""),"")</f>
        <v>0.452070596377898</v>
      </c>
      <c r="Y353" s="264">
        <f>IFERROR(IF(AND(COUNT(U15,V15,X15,Y15)=4,N(Y185)&lt;&gt;0),(U15+V15+X15+Y15)/Y185,""),"")</f>
        <v>0.458570315543436</v>
      </c>
      <c r="Z353" s="264">
        <f>IFERROR(IF(AND(COUNT(V15,X15,Y15,Z15)=4,N(Z185)&lt;&gt;0),(V15+X15+Y15+Z15)/Z185,""),"")</f>
        <v>0.462669290427133</v>
      </c>
      <c r="AA353" s="264">
        <f>IFERROR(IF(AND(COUNT(X15,Y15,Z15,AA15)=4,N(AA185)&lt;&gt;0),(X15+Y15+Z15+AA15)/AA185,""),"")</f>
        <v>0.445300986282734</v>
      </c>
      <c r="AB353" s="262">
        <f>IFERROR(IF(AND(COUNT(X15,Y15,Z15,AA15)=4,N(AB185)&lt;&gt;0),(X15+Y15+Z15+AA15)/AB185,""),"")</f>
        <v>0.445300986282734</v>
      </c>
      <c r="AC353" s="264">
        <f>IFERROR(IF(AND(COUNT(Y15,Z15,AA15,AC15)=4,N(AC185)&lt;&gt;0),(Y15+Z15+AA15+AC15)/AC185,""),"")</f>
        <v>0.46304447676644</v>
      </c>
      <c r="AD353" s="264">
        <f>IFERROR(IF(AND(COUNT(Z15,AA15,AC15,AD15)=4,N(AD185)&lt;&gt;0),(Z15+AA15+AC15+AD15)/AD185,""),"")</f>
        <v>0.467985218145481</v>
      </c>
      <c r="AE353" s="264">
        <f>IFERROR(IF(AND(COUNT(AA15,AC15,AD15,AE15)=4,N(AE185)&lt;&gt;0),(AA15+AC15+AD15+AE15)/AE185,""),"")</f>
        <v>0.442317622549456</v>
      </c>
      <c r="AF353" s="264">
        <f>IFERROR(IF(AND(COUNT(AB15,AD15,AE15,AF15)=4,N(AF185)&lt;&gt;0),(AB15+AD15+AE15+AF15)/AF185,""),"")</f>
        <v>0.739104613181016</v>
      </c>
      <c r="AG353" s="262">
        <f>IFERROR(IF(AND(COUNT(AC15,AD15,AE15,AF15)=4,N(AG185)&lt;&gt;0),(AC15+AD15+AE15+AF15)/AG185,""),"")</f>
        <v>0.445999056752083</v>
      </c>
      <c r="AH353" s="264">
        <f>IFERROR(IF(AND(COUNT(AD15,AF15,AG15,AH15)=4,N(AH185)&lt;&gt;0),(AD15+AF15+AG15+AH15)/AH185,""),"")</f>
        <v>0.503864370401709</v>
      </c>
      <c r="AI353" s="264">
        <f>IFERROR(IF(AND(COUNT(AE15,AG15,AH15,AI15)=4,N(AI185)&lt;&gt;0),(AE15+AG15+AH15+AI15)/AI185,""),"")</f>
        <v>0.516309934556706</v>
      </c>
      <c r="AJ353" s="264">
        <f>IFERROR(IF(AND(COUNT(AF15,AH15,AI15,AJ15)=4,N(AJ185)&lt;&gt;0),(AF15+AH15+AI15+AJ15)/AJ185,""),"")</f>
        <v>0.344218186565913</v>
      </c>
      <c r="AK353" s="264">
        <f>IFERROR(IF(AND(COUNT(AH15,AI15,AJ15,AK15)=4,N(AK185)&lt;&gt;0),(AH15+AI15+AJ15+AK15)/AK185,""),"")</f>
        <v>0.354136083512024</v>
      </c>
      <c r="AL353" s="262">
        <f>IFERROR(IF(AND(COUNT(AH15,AI15,AJ15,AK15)=4,N(AL185)&lt;&gt;0),(AH15+AI15+AJ15+AK15)/AL185,""),"")</f>
        <v>0.354136083512024</v>
      </c>
      <c r="AM353" s="264">
        <f>IFERROR(IF(AND(COUNT(AI15,AJ15,AK15,AM15)=4,N(AM185)&lt;&gt;0),(AI15+AJ15+AK15+AM15)/AM185,""),"")</f>
        <v>0.371859995481483</v>
      </c>
      <c r="AN353" s="264">
        <f>IFERROR(IF(AND(COUNT(AJ15,AK15,AM15,AN15)=4,N(AN185)&lt;&gt;0),(AJ15+AK15+AM15+AN15)/AN185,""),"")</f>
        <v>0.383510142663218</v>
      </c>
      <c r="AO353" s="264">
        <f>IFERROR(IF(AND(COUNT(AK15,AM15,AN15,AO15)=4,N(AO185)&lt;&gt;0),(AK15+AM15+AN15+AO15)/AO185,""),"")</f>
        <v>0.395519111778342</v>
      </c>
      <c r="AP353" s="264">
        <f>IFERROR(IF(AND(COUNT(AM15,AN15,AO15,AP15)=4,N(AP185)&lt;&gt;0),(AM15+AN15+AO15+AP15)/AP185,""),"")</f>
        <v>0.406392700700058</v>
      </c>
      <c r="AQ353" s="262">
        <f>IFERROR(IF(AND(COUNT(AM15,AN15,AO15,AP15)=4,N(AQ185)&lt;&gt;0),(AM15+AN15+AO15+AP15)/AQ185,""),"")</f>
        <v>0.406392700700058</v>
      </c>
      <c r="AR353" s="264">
        <f>IFERROR(IF(AND(COUNT(AN15,AO15,AP15,AR15)=4,N(AR185)&lt;&gt;0),(AN15+AO15+AP15+AR15)/AR185,""),"")</f>
        <v>0.425130503097983</v>
      </c>
      <c r="AS353" s="264">
        <f>IFERROR(IF(AND(COUNT(AO15,AP15,AR15,AS15)=4,N(AS185)&lt;&gt;0),(AO15+AP15+AR15+AS15)/AS185,""),"")</f>
        <v>0.437401939383268</v>
      </c>
      <c r="AT353" s="264">
        <f>IFERROR(IF(AND(COUNT(AP15,AR15,AS15,AT15)=4,N(AT185)&lt;&gt;0),(AP15+AR15+AS15+AT15)/AT185,""),"")</f>
        <v>0.45001403768571</v>
      </c>
      <c r="AU353" s="264">
        <f>IFERROR(IF(AND(COUNT(AR15,AS15,AT15,AU15)=4,N(AU185)&lt;&gt;0),(AR15+AS15+AT15+AU15)/AU185,""),"")</f>
        <v>0.461401212703738</v>
      </c>
      <c r="AV353" s="262">
        <f>IFERROR(IF(AND(COUNT(AR15,AS15,AT15,AU15)=4,N(AV185)&lt;&gt;0),(AR15+AS15+AT15+AU15)/AV185,""),"")</f>
        <v>0.461401212703738</v>
      </c>
      <c r="AW353" s="264">
        <f>IFERROR(IF(AND(COUNT(AS15,AT15,AU15,AW15)=4,N(AW185)&lt;&gt;0),(AS15+AT15+AU15+AW15)/AW185,""),"")</f>
        <v>0.480816904020843</v>
      </c>
      <c r="AX353" s="264">
        <f>IFERROR(IF(AND(COUNT(AT15,AU15,AW15,AX15)=4,N(AX185)&lt;&gt;0),(AT15+AU15+AW15+AX15)/AX185,""),"")</f>
        <v>0.49348374669908</v>
      </c>
      <c r="AY353" s="264">
        <f>IFERROR(IF(AND(COUNT(AU15,AW15,AX15,AY15)=4,N(AY185)&lt;&gt;0),(AU15+AW15+AX15+AY15)/AY185,""),"")</f>
        <v>0.506462406287313</v>
      </c>
      <c r="AZ353" s="264">
        <f>IFERROR(IF(AND(COUNT(AW15,AX15,AY15,AZ15)=4,N(AZ185)&lt;&gt;0),(AW15+AX15+AY15+AZ15)/AZ185,""),"")</f>
        <v>0.518146018964115</v>
      </c>
      <c r="BA353" s="262">
        <f>IFERROR(IF(AND(COUNT(AW15,AX15,AY15,AZ15)=4,N(BA185)&lt;&gt;0),(AW15+AX15+AY15+AZ15)/BA185,""),"")</f>
        <v>0.518146018964115</v>
      </c>
      <c r="BB353" s="264">
        <f>IFERROR(IF(AND(COUNT(AX15,AY15,AZ15,BB15)=4,N(BB185)&lt;&gt;0),(AX15+AY15+AZ15+BB15)/BB185,""),"")</f>
        <v>0.53784267845342</v>
      </c>
      <c r="BC353" s="264">
        <f>IFERROR(IF(AND(COUNT(AY15,AZ15,BB15,BC15)=4,N(BC185)&lt;&gt;0),(AY15+AZ15+BB15+BC15)/BC185,""),"")</f>
        <v>0.55064279481318</v>
      </c>
      <c r="BD353" s="264">
        <f>IFERROR(IF(AND(COUNT(AZ15,BB15,BC15,BD15)=4,N(BD185)&lt;&gt;0),(AZ15+BB15+BC15+BD15)/BD185,""),"")</f>
        <v>0.563717255608162</v>
      </c>
      <c r="BE353" s="264">
        <f>IFERROR(IF(AND(COUNT(BB15,BC15,BD15,BE15)=4,N(BE185)&lt;&gt;0),(BB15+BC15+BD15+BE15)/BE185,""),"")</f>
        <v>0.575451989298163</v>
      </c>
      <c r="BF353" s="262">
        <f>IFERROR(IF(AND(COUNT(BB15,BC15,BD15,BE15)=4,N(BF185)&lt;&gt;0),(BB15+BC15+BD15+BE15)/BF185,""),"")</f>
        <v>0.575451989298163</v>
      </c>
      <c r="BG353" s="81" t="n"/>
      <c r="BH353" s="81" t="n"/>
      <c r="BI353" s="81" t="n"/>
      <c r="BJ353" s="81" t="n"/>
      <c r="BL353" s="81" t="n"/>
      <c r="BM353" s="81" t="n"/>
      <c r="BN353" s="81" t="n"/>
      <c r="BO353" s="81" t="n"/>
      <c r="BQ353" s="81" t="n"/>
      <c r="BR353" s="81" t="n"/>
      <c r="BS353" s="81" t="n"/>
      <c r="BT353" s="81" t="n"/>
      <c r="BV353" s="81" t="n"/>
      <c r="BW353" s="81" t="n"/>
      <c r="BX353" s="81" t="n"/>
      <c r="BY353" s="81" t="n"/>
      <c r="CA353" s="81" t="n"/>
      <c r="CB353" s="81" t="n"/>
      <c r="CC353" s="81" t="n"/>
      <c r="CD353" s="81" t="n"/>
      <c r="CF353" s="81" t="n"/>
      <c r="CG353" s="81" t="n"/>
      <c r="CH353" s="81" t="n"/>
      <c r="CI353" s="81" t="n"/>
      <c r="CK353" s="81" t="n"/>
      <c r="CL353" s="81" t="n"/>
      <c r="CM353" s="81" t="n"/>
      <c r="CN353" s="81" t="n"/>
      <c r="CP353" s="81" t="n"/>
      <c r="CQ353" s="81" t="n"/>
      <c r="CR353" s="81" t="n"/>
      <c r="CS353" s="81" t="n"/>
      <c r="CU353" s="81" t="n"/>
      <c r="CV353" s="81" t="n"/>
      <c r="CW353" s="81" t="n"/>
      <c r="CX353" s="81" t="n"/>
    </row>
    <row r="354" customFormat="1" s="77">
      <c r="A354" s="76" t="n"/>
      <c r="B354" s="76" t="n"/>
      <c r="C354" s="77" t="inlineStr">
        <is>
          <t>EQUITY MULTIPLIER (ASSETS / EQUITY)</t>
        </is>
      </c>
      <c r="D354" s="84" t="str">
        <f>IFERROR(D185/D259,"")</f>
        <v/>
      </c>
      <c r="E354" s="84" t="str">
        <f>IFERROR(E185/E259,"")</f>
        <v/>
      </c>
      <c r="F354" s="84" t="str">
        <f>IFERROR(F185/F259,"")</f>
        <v/>
      </c>
      <c r="G354" s="84" t="str">
        <f>IFERROR(G185/G259,"")</f>
        <v/>
      </c>
      <c r="H354" s="262" t="str">
        <f>IFERROR(IF(N(H259)&lt;&gt;0,H185/H259,""),"")</f>
        <v/>
      </c>
      <c r="I354" s="264" t="str">
        <f>IFERROR(IF(N(I259)&lt;&gt;0,I185/I259,""),"")</f>
        <v/>
      </c>
      <c r="J354" s="264" t="str">
        <f>IFERROR(IF(N(J259)&lt;&gt;0,J185/J259,""),"")</f>
        <v/>
      </c>
      <c r="K354" s="264" t="str">
        <f>IFERROR(IF(N(K259)&lt;&gt;0,K185/K259,""),"")</f>
        <v/>
      </c>
      <c r="L354" s="264">
        <f>IFERROR(IF(N(L259)&lt;&gt;0,L185/L259,""),"")</f>
        <v>4.14034785603582</v>
      </c>
      <c r="M354" s="262">
        <f>IFERROR(IF(N(M259)&lt;&gt;0,M185/M259,""),"")</f>
        <v>4.14034785603582</v>
      </c>
      <c r="N354" s="264">
        <f>IFERROR(IF(N(N259)&lt;&gt;0,N185/N259,""),"")</f>
        <v>4.07179487179487</v>
      </c>
      <c r="O354" s="264">
        <f>IFERROR(IF(N(O259)&lt;&gt;0,O185/O259,""),"")</f>
        <v>3.98041970322241</v>
      </c>
      <c r="P354" s="264">
        <f>IFERROR(IF(N(P259)&lt;&gt;0,P185/P259,""),"")</f>
        <v>4.17369504879577</v>
      </c>
      <c r="Q354" s="264">
        <f>IFERROR(IF(N(Q259)&lt;&gt;0,Q185/Q259,""),"")</f>
        <v>4.12495603236018</v>
      </c>
      <c r="R354" s="262">
        <f>IFERROR(IF(N(R259)&lt;&gt;0,R185/R259,""),"")</f>
        <v>4.12495603236018</v>
      </c>
      <c r="S354" s="264">
        <f>IFERROR(IF(N(S259)&lt;&gt;0,S185/S259,""),"")</f>
        <v>4.16362980335558</v>
      </c>
      <c r="T354" s="264">
        <f>IFERROR(IF(N(T259)&lt;&gt;0,T185/T259,""),"")</f>
        <v>4.00955907681709</v>
      </c>
      <c r="U354" s="264">
        <f>IFERROR(IF(N(U259)&lt;&gt;0,U185/U259,""),"")</f>
        <v>4.08041666666667</v>
      </c>
      <c r="V354" s="264">
        <f>IFERROR(IF(N(V259)&lt;&gt;0,V185/V259,""),"")</f>
        <v>4.49743044479887</v>
      </c>
      <c r="W354" s="262">
        <f>IFERROR(IF(N(W259)&lt;&gt;0,W185/W259,""),"")</f>
        <v>4.49743044479887</v>
      </c>
      <c r="X354" s="264">
        <f>IFERROR(IF(N(X259)&lt;&gt;0,X185/X259,""),"")</f>
        <v>4.49948096885813</v>
      </c>
      <c r="Y354" s="264">
        <f>IFERROR(IF(N(Y259)&lt;&gt;0,Y185/Y259,""),"")</f>
        <v>4.35786435786436</v>
      </c>
      <c r="Z354" s="264">
        <f>IFERROR(IF(N(Z259)&lt;&gt;0,Z185/Z259,""),"")</f>
        <v>4.00540916467043</v>
      </c>
      <c r="AA354" s="264">
        <f>IFERROR(IF(N(AA259)&lt;&gt;0,AA185/AA259,""),"")</f>
        <v>3.90915134057168</v>
      </c>
      <c r="AB354" s="262">
        <f>IFERROR(IF(N(AB259)&lt;&gt;0,AB185/AB259,""),"")</f>
        <v>3.90915134057168</v>
      </c>
      <c r="AC354" s="264">
        <f>IFERROR(IF(N(AC259)&lt;&gt;0,AC185/AC259,""),"")</f>
        <v>3.91870406479676</v>
      </c>
      <c r="AD354" s="264">
        <f>IFERROR(IF(N(AD259)&lt;&gt;0,AD185/AD259,""),"")</f>
        <v>3.84249800767949</v>
      </c>
      <c r="AE354" s="264">
        <f>IFERROR(IF(N(AE259)&lt;&gt;0,AE185/AE259,""),"")</f>
        <v>3.8225564933297</v>
      </c>
      <c r="AF354" s="264">
        <f>IFERROR(IF(N(AF259)&lt;&gt;0,AF185/AF259,""),"")</f>
        <v>3.8543728539689</v>
      </c>
      <c r="AG354" s="262">
        <f>IFERROR(IF(N(AG259)&lt;&gt;0,AG185/AG259,""),"")</f>
        <v>3.8543728539689</v>
      </c>
      <c r="AH354" s="264">
        <f>IFERROR(IF(N(AH259)&lt;&gt;0,AH185/AH259,""),"")</f>
        <v>2.86549379065642</v>
      </c>
      <c r="AI354" s="264">
        <f>IFERROR(IF(N(AI259)&lt;&gt;0,AI185/AI259,""),"")</f>
        <v>3.03981808056432</v>
      </c>
      <c r="AJ354" s="264">
        <f>IFERROR(IF(N(AJ259)&lt;&gt;0,AJ185/AJ259,""),"")</f>
        <v>2.8516344900971</v>
      </c>
      <c r="AK354" s="264">
        <f>IFERROR(IF(N(AK259)&lt;&gt;0,AK185/AK259,""),"")</f>
        <v>2.80680535391926</v>
      </c>
      <c r="AL354" s="262">
        <f>IFERROR(IF(N(AL259)&lt;&gt;0,AL185/AL259,""),"")</f>
        <v>2.80680535391926</v>
      </c>
      <c r="AM354" s="264">
        <f>IFERROR(IF(N(AM259)&lt;&gt;0,AM185/AM259,""),"")</f>
        <v>2.73010697770669</v>
      </c>
      <c r="AN354" s="264">
        <f>IFERROR(IF(N(AN259)&lt;&gt;0,AN185/AN259,""),"")</f>
        <v>2.68193505749976</v>
      </c>
      <c r="AO354" s="264">
        <f>IFERROR(IF(N(AO259)&lt;&gt;0,AO185/AO259,""),"")</f>
        <v>2.63402697080767</v>
      </c>
      <c r="AP354" s="264">
        <f>IFERROR(IF(N(AP259)&lt;&gt;0,AP185/AP259,""),"")</f>
        <v>2.59210132832815</v>
      </c>
      <c r="AQ354" s="262">
        <f>IFERROR(IF(N(AQ259)&lt;&gt;0,AQ185/AQ259,""),"")</f>
        <v>2.59210132832815</v>
      </c>
      <c r="AR354" s="264">
        <f>IFERROR(IF(N(AR259)&lt;&gt;0,AR185/AR259,""),"")</f>
        <v>2.52094197570184</v>
      </c>
      <c r="AS354" s="264">
        <f>IFERROR(IF(N(AS259)&lt;&gt;0,AS185/AS259,""),"")</f>
        <v>2.47641933227974</v>
      </c>
      <c r="AT354" s="264">
        <f>IFERROR(IF(N(AT259)&lt;&gt;0,AT185/AT259,""),"")</f>
        <v>2.4322702310655</v>
      </c>
      <c r="AU354" s="264">
        <f>IFERROR(IF(N(AU259)&lt;&gt;0,AU185/AU259,""),"")</f>
        <v>2.39373985216968</v>
      </c>
      <c r="AV354" s="262">
        <f>IFERROR(IF(N(AV259)&lt;&gt;0,AV185/AV259,""),"")</f>
        <v>2.39373985216968</v>
      </c>
      <c r="AW354" s="264">
        <f>IFERROR(IF(N(AW259)&lt;&gt;0,AW185/AW259,""),"")</f>
        <v>2.32882727541892</v>
      </c>
      <c r="AX354" s="264">
        <f>IFERROR(IF(N(AX259)&lt;&gt;0,AX185/AX259,""),"")</f>
        <v>2.28834280145468</v>
      </c>
      <c r="AY354" s="264">
        <f>IFERROR(IF(N(AY259)&lt;&gt;0,AY185/AY259,""),"")</f>
        <v>2.2482961504035</v>
      </c>
      <c r="AZ354" s="264">
        <f>IFERROR(IF(N(AZ259)&lt;&gt;0,AZ185/AZ259,""),"")</f>
        <v>2.21342571417935</v>
      </c>
      <c r="BA354" s="262">
        <f>IFERROR(IF(N(BA259)&lt;&gt;0,BA185/BA259,""),"")</f>
        <v>2.21342571417935</v>
      </c>
      <c r="BB354" s="264">
        <f>IFERROR(IF(N(BB259)&lt;&gt;0,BB185/BB259,""),"")</f>
        <v>2.15507995062889</v>
      </c>
      <c r="BC354" s="264">
        <f>IFERROR(IF(N(BC259)&lt;&gt;0,BC185/BC259,""),"")</f>
        <v>2.11878447438892</v>
      </c>
      <c r="BD354" s="264">
        <f>IFERROR(IF(N(BD259)&lt;&gt;0,BD185/BD259,""),"")</f>
        <v>2.08295188278139</v>
      </c>
      <c r="BE354" s="264">
        <f>IFERROR(IF(N(BE259)&lt;&gt;0,BE185/BE259,""),"")</f>
        <v>2.05180765728948</v>
      </c>
      <c r="BF354" s="262">
        <f>IFERROR(IF(N(BF259)&lt;&gt;0,BF185/BF259,""),"")</f>
        <v>2.05180765728948</v>
      </c>
      <c r="BG354" s="81" t="n"/>
      <c r="BH354" s="81" t="n"/>
      <c r="BI354" s="81" t="n"/>
      <c r="BJ354" s="81" t="n"/>
      <c r="BL354" s="81" t="n"/>
      <c r="BM354" s="81" t="n"/>
      <c r="BN354" s="81" t="n"/>
      <c r="BO354" s="81" t="n"/>
      <c r="BQ354" s="81" t="n"/>
      <c r="BR354" s="81" t="n"/>
      <c r="BS354" s="81" t="n"/>
      <c r="BT354" s="81" t="n"/>
      <c r="BV354" s="81" t="n"/>
      <c r="BW354" s="81" t="n"/>
      <c r="BX354" s="81" t="n"/>
      <c r="BY354" s="81" t="n"/>
      <c r="CA354" s="81" t="n"/>
      <c r="CB354" s="81" t="n"/>
      <c r="CC354" s="81" t="n"/>
      <c r="CD354" s="81" t="n"/>
      <c r="CF354" s="81" t="n"/>
      <c r="CG354" s="81" t="n"/>
      <c r="CH354" s="81" t="n"/>
      <c r="CI354" s="81" t="n"/>
      <c r="CK354" s="81" t="n"/>
      <c r="CL354" s="81" t="n"/>
      <c r="CM354" s="81" t="n"/>
      <c r="CN354" s="81" t="n"/>
      <c r="CP354" s="81" t="n"/>
      <c r="CQ354" s="81" t="n"/>
      <c r="CR354" s="81" t="n"/>
      <c r="CS354" s="81" t="n"/>
      <c r="CU354" s="81" t="n"/>
      <c r="CV354" s="81" t="n"/>
      <c r="CW354" s="81" t="n"/>
      <c r="CX354" s="81" t="n"/>
    </row>
    <row r="355" customFormat="1" s="77">
      <c r="A355" s="76" t="n"/>
      <c r="B355" s="76" t="n"/>
      <c r="C355" s="77" t="inlineStr">
        <is>
          <t>ROE - DUPONT</t>
        </is>
      </c>
      <c r="D355" s="84">
        <f>IFERROR(PRODUCT(D352:D354),"")</f>
        <v>0</v>
      </c>
      <c r="E355" s="84">
        <f>IFERROR(PRODUCT(E352:E354),"")</f>
        <v>0</v>
      </c>
      <c r="F355" s="84">
        <f>IFERROR(PRODUCT(F352:F354),"")</f>
        <v>0</v>
      </c>
      <c r="G355" s="84">
        <f>IFERROR(PRODUCT(G352:G354),"")</f>
        <v>0</v>
      </c>
      <c r="H355" s="258" t="str">
        <f>IFERROR(IF(COUNT(H352,H353,H354)=3,H352*H353*H354,""),"")</f>
        <v/>
      </c>
      <c r="I355" s="257" t="str">
        <f>IFERROR(IF(COUNT(I352,I353,I354)=3,I352*I353*I354,""),"")</f>
        <v/>
      </c>
      <c r="J355" s="257" t="str">
        <f>IFERROR(IF(COUNT(J352,J353,J354)=3,J352*J353*J354,""),"")</f>
        <v/>
      </c>
      <c r="K355" s="257" t="str">
        <f>IFERROR(IF(COUNT(K352,K353,K354)=3,K352*K353*K354,""),"")</f>
        <v/>
      </c>
      <c r="L355" s="257">
        <f>IFERROR(IF(COUNT(L352,L353,L354)=3,L352*L353*L354,""),"")</f>
        <v>-0.0176511107284312</v>
      </c>
      <c r="M355" s="258">
        <f>IFERROR(IF(COUNT(M352,M353,M354)=3,M352*M353*M354,""),"")</f>
        <v>-0.0176511107284312</v>
      </c>
      <c r="N355" s="257">
        <f>IFERROR(IF(COUNT(N352,N353,N354)=3,N352*N353*N354,""),"")</f>
        <v>0.0603215993046502</v>
      </c>
      <c r="O355" s="257">
        <f>IFERROR(IF(COUNT(O352,O353,O354)=3,O352*O353*O354,""),"")</f>
        <v>0.0565457897971727</v>
      </c>
      <c r="P355" s="257">
        <f>IFERROR(IF(COUNT(P352,P353,P354)=3,P352*P353*P354,""),"")</f>
        <v>-0.0135195630763721</v>
      </c>
      <c r="Q355" s="257">
        <f>IFERROR(IF(COUNT(Q352,Q353,Q354)=3,Q352*Q353*Q354,""),"")</f>
        <v>-0.0139817094618361</v>
      </c>
      <c r="R355" s="258">
        <f>IFERROR(IF(COUNT(R352,R353,R354)=3,R352*R353*R354,""),"")</f>
        <v>-0.0139817094618361</v>
      </c>
      <c r="S355" s="257">
        <f>IFERROR(IF(COUNT(S352,S353,S354)=3,S352*S353*S354,""),"")</f>
        <v>-0.0152444524625654</v>
      </c>
      <c r="T355" s="257">
        <f>IFERROR(IF(COUNT(T352,T353,T354)=3,T352*T353*T354,""),"")</f>
        <v>0.0667413021012745</v>
      </c>
      <c r="U355" s="257">
        <f>IFERROR(IF(COUNT(U352,U353,U354)=3,U352*U353*U354,""),"")</f>
        <v>0.141166666666667</v>
      </c>
      <c r="V355" s="257">
        <f>IFERROR(IF(COUNT(V352,V353,V354)=3,V352*V353*V354,""),"")</f>
        <v>0.143806485911749</v>
      </c>
      <c r="W355" s="258">
        <f>IFERROR(IF(COUNT(W352,W353,W354)=3,W352*W353*W354,""),"")</f>
        <v>0.143806485911749</v>
      </c>
      <c r="X355" s="257">
        <f>IFERROR(IF(COUNT(X352,X353,X354)=3,X352*X353*X354,""),"")</f>
        <v>0.208477508650519</v>
      </c>
      <c r="Y355" s="257">
        <f>IFERROR(IF(COUNT(Y352,Y353,Y354)=3,Y352*Y353*Y354,""),"")</f>
        <v>0.202953908836262</v>
      </c>
      <c r="Z355" s="257">
        <f>IFERROR(IF(COUNT(Z352,Z353,Z354)=3,Z352*Z353*Z354,""),"")</f>
        <v>0.221003013677459</v>
      </c>
      <c r="AA355" s="257">
        <f>IFERROR(IF(COUNT(AA352,AA353,AA354)=3,AA352*AA353*AA354,""),"")</f>
        <v>0.276903759509565</v>
      </c>
      <c r="AB355" s="258">
        <f>IFERROR(IF(COUNT(AB352,AB353,AB354)=3,AB352*AB353*AB354,""),"")</f>
        <v>0.276903759509565</v>
      </c>
      <c r="AC355" s="257">
        <f>IFERROR(IF(COUNT(AC352,AC353,AC354)=3,AC352*AC353*AC354,""),"")</f>
        <v>0.223788810559472</v>
      </c>
      <c r="AD355" s="257">
        <f>IFERROR(IF(COUNT(AD352,AD353,AD354)=3,AD352*AD353*AD354,""),"")</f>
        <v>0.217996087806998</v>
      </c>
      <c r="AE355" s="257">
        <f>IFERROR(IF(COUNT(AE352,AE353,AE354)=3,AE352*AE353*AE354,""),"")</f>
        <v>0.186427988020692</v>
      </c>
      <c r="AF355" s="257">
        <f>IFERROR(IF(COUNT(AF352,AF353,AF354)=3,AF352*AF353*AF354,""),"")</f>
        <v>0.400592472901098</v>
      </c>
      <c r="AG355" s="258">
        <f>IFERROR(IF(COUNT(AG352,AG353,AG354)=3,AG352*AG353*AG354,""),"")</f>
        <v>0.156130074732377</v>
      </c>
      <c r="AH355" s="257">
        <f>IFERROR(IF(COUNT(AH352,AH353,AH354)=3,AH352*AH353*AH354,""),"")</f>
        <v>0.153163808397398</v>
      </c>
      <c r="AI355" s="257">
        <f>IFERROR(IF(COUNT(AI352,AI353,AI354)=3,AI352*AI353*AI354,""),"")</f>
        <v>0.165583812882866</v>
      </c>
      <c r="AJ355" s="257">
        <f>IFERROR(IF(COUNT(AJ352,AJ353,AJ354)=3,AJ352*AJ353*AJ354,""),"")</f>
        <v>0.103162058626605</v>
      </c>
      <c r="AK355" s="257">
        <f>IFERROR(IF(COUNT(AK352,AK353,AK354)=3,AK352*AK353*AK354,""),"")</f>
        <v>0.11218310882964</v>
      </c>
      <c r="AL355" s="258">
        <f>IFERROR(IF(COUNT(AL352,AL353,AL354)=3,AL352*AL353*AL354,""),"")</f>
        <v>0.11218310882964</v>
      </c>
      <c r="AM355" s="257">
        <f>IFERROR(IF(COUNT(AM352,AM353,AM354)=3,AM352*AM353*AM354,""),"")</f>
        <v>0.105140362381955</v>
      </c>
      <c r="AN355" s="257">
        <f>IFERROR(IF(COUNT(AN352,AN353,AN354)=3,AN352*AN353*AN354,""),"")</f>
        <v>0.1160261967104</v>
      </c>
      <c r="AO355" s="257">
        <f>IFERROR(IF(COUNT(AO352,AO353,AO354)=3,AO352*AO353*AO354,""),"")</f>
        <v>0.117521854584824</v>
      </c>
      <c r="AP355" s="257">
        <f>IFERROR(IF(COUNT(AP352,AP353,AP354)=3,AP352*AP353*AP354,""),"")</f>
        <v>0.118830744620817</v>
      </c>
      <c r="AQ355" s="258">
        <f>IFERROR(IF(COUNT(AQ352,AQ353,AQ354)=3,AQ352*AQ353*AQ354,""),"")</f>
        <v>0.118830744620817</v>
      </c>
      <c r="AR355" s="257">
        <f>IFERROR(IF(COUNT(AR352,AR353,AR354)=3,AR352*AR353*AR354,""),"")</f>
        <v>0.120897149540489</v>
      </c>
      <c r="AS355" s="257">
        <f>IFERROR(IF(COUNT(AS352,AS353,AS354)=3,AS352*AS353*AS354,""),"")</f>
        <v>0.122190047887772</v>
      </c>
      <c r="AT355" s="257">
        <f>IFERROR(IF(COUNT(AT352,AT353,AT354)=3,AT352*AT353*AT354,""),"")</f>
        <v>0.123472098898372</v>
      </c>
      <c r="AU355" s="257">
        <f>IFERROR(IF(COUNT(AU352,AU353,AU354)=3,AU352*AU353*AU354,""),"")</f>
        <v>0.124590987162088</v>
      </c>
      <c r="AV355" s="258">
        <f>IFERROR(IF(COUNT(AV352,AV353,AV354)=3,AV352*AV353*AV354,""),"")</f>
        <v>0.124590987162088</v>
      </c>
      <c r="AW355" s="257">
        <f>IFERROR(IF(COUNT(AW352,AW353,AW354)=3,AW352*AW353*AW354,""),"")</f>
        <v>0.126312971403313</v>
      </c>
      <c r="AX355" s="257">
        <f>IFERROR(IF(COUNT(AX352,AX353,AX354)=3,AX352*AX353*AX354,""),"")</f>
        <v>0.127386933178832</v>
      </c>
      <c r="AY355" s="257">
        <f>IFERROR(IF(COUNT(AY352,AY353,AY354)=3,AY352*AY353*AY354,""),"")</f>
        <v>0.128449280500042</v>
      </c>
      <c r="AZ355" s="257">
        <f>IFERROR(IF(COUNT(AZ352,AZ353,AZ354)=3,AZ352*AZ353*AZ354,""),"")</f>
        <v>0.129374314517613</v>
      </c>
      <c r="BA355" s="258">
        <f>IFERROR(IF(COUNT(BA352,BA353,BA354)=3,BA352*BA353*BA354,""),"")</f>
        <v>0.129374314517613</v>
      </c>
      <c r="BB355" s="257">
        <f>IFERROR(IF(COUNT(BB352,BB353,BB354)=3,BB352*BB353*BB354,""),"")</f>
        <v>0.13075237692969</v>
      </c>
      <c r="BC355" s="257">
        <f>IFERROR(IF(COUNT(BC352,BC353,BC354)=3,BC352*BC353*BC354,""),"")</f>
        <v>0.131609635940303</v>
      </c>
      <c r="BD355" s="257">
        <f>IFERROR(IF(COUNT(BD352,BD353,BD354)=3,BD352*BD353*BD354,""),"")</f>
        <v>0.13245596212779</v>
      </c>
      <c r="BE355" s="257">
        <f>IFERROR(IF(COUNT(BE352,BE353,BE354)=3,BE352*BE353*BE354,""),"")</f>
        <v>0.133191554292361</v>
      </c>
      <c r="BF355" s="258">
        <f>IFERROR(IF(COUNT(BF352,BF353,BF354)=3,BF352*BF353*BF354,""),"")</f>
        <v>0.133191554292361</v>
      </c>
      <c r="BG355" s="81" t="n"/>
      <c r="BH355" s="81" t="n"/>
      <c r="BI355" s="81" t="n"/>
      <c r="BJ355" s="81" t="n"/>
      <c r="BL355" s="81" t="n"/>
      <c r="BM355" s="81" t="n"/>
      <c r="BN355" s="81" t="n"/>
      <c r="BO355" s="81" t="n"/>
      <c r="BQ355" s="81" t="n"/>
      <c r="BR355" s="81" t="n"/>
      <c r="BS355" s="81" t="n"/>
      <c r="BT355" s="81" t="n"/>
      <c r="BV355" s="81" t="n"/>
      <c r="BW355" s="81" t="n"/>
      <c r="BX355" s="81" t="n"/>
      <c r="BY355" s="81" t="n"/>
      <c r="CA355" s="81" t="n"/>
      <c r="CB355" s="81" t="n"/>
      <c r="CC355" s="81" t="n"/>
      <c r="CD355" s="81" t="n"/>
      <c r="CF355" s="81" t="n"/>
      <c r="CG355" s="81" t="n"/>
      <c r="CH355" s="81" t="n"/>
      <c r="CI355" s="81" t="n"/>
      <c r="CK355" s="81" t="n"/>
      <c r="CL355" s="81" t="n"/>
      <c r="CM355" s="81" t="n"/>
      <c r="CN355" s="81" t="n"/>
      <c r="CP355" s="81" t="n"/>
      <c r="CQ355" s="81" t="n"/>
      <c r="CR355" s="81" t="n"/>
      <c r="CS355" s="81" t="n"/>
      <c r="CU355" s="81" t="n"/>
      <c r="CV355" s="81" t="n"/>
      <c r="CW355" s="81" t="n"/>
      <c r="CX355" s="81" t="n"/>
    </row>
    <row r="356" customFormat="1" s="77">
      <c r="A356" s="76" t="n"/>
      <c r="B356" s="76" t="n"/>
      <c r="C356" s="77" t="inlineStr">
        <is>
          <t>ROE (LTM)</t>
        </is>
      </c>
      <c r="D356" s="84" t="str">
        <f>IFERROR(D125/D259,"")</f>
        <v/>
      </c>
      <c r="E356" s="84" t="str">
        <f>IFERROR(E125/E259,"")</f>
        <v/>
      </c>
      <c r="F356" s="84" t="str">
        <f>IFERROR(F125/F259,"")</f>
        <v/>
      </c>
      <c r="G356" s="84" t="str">
        <f>IFERROR(G125/G259,"")</f>
        <v/>
      </c>
      <c r="H356" s="258" t="str">
        <f>IFERROR(IF(AND(COUNT(H125)=1,N(H259)&lt;&gt;0),(H125)/H259,""),"")</f>
        <v/>
      </c>
      <c r="I356" s="257" t="str">
        <f>""</f>
        <v/>
      </c>
      <c r="J356" s="257" t="str">
        <f>""</f>
        <v/>
      </c>
      <c r="K356" s="257" t="str">
        <f>""</f>
        <v/>
      </c>
      <c r="L356" s="257">
        <f>IFERROR(IF(AND(COUNT(I125,J125,K125,L125)=4,N(L259)&lt;&gt;0),(I125+J125+K125+L125)/L259,""),"")</f>
        <v>-0.0176511107284312</v>
      </c>
      <c r="M356" s="258">
        <f>IFERROR(IF(AND(COUNT(I125,J125,K125,L125)=4,N(M259)&lt;&gt;0),(I125+J125+K125+L125)/M259,""),"")</f>
        <v>-0.0176511107284312</v>
      </c>
      <c r="N356" s="257">
        <f>IFERROR(IF(AND(COUNT(J125,K125,L125,N125)=4,N(N259)&lt;&gt;0),(J125+K125+L125+N125)/N259,""),"")</f>
        <v>0.0603215993046502</v>
      </c>
      <c r="O356" s="257">
        <f>IFERROR(IF(AND(COUNT(K125,L125,N125,O125)=4,N(O259)&lt;&gt;0),(K125+L125+N125+O125)/O259,""),"")</f>
        <v>0.0565457897971727</v>
      </c>
      <c r="P356" s="257">
        <f>IFERROR(IF(AND(COUNT(L125,N125,O125,P125)=4,N(P259)&lt;&gt;0),(L125+N125+O125+P125)/P259,""),"")</f>
        <v>-0.0135195630763721</v>
      </c>
      <c r="Q356" s="257">
        <f>IFERROR(IF(AND(COUNT(N125,O125,P125,Q125)=4,N(Q259)&lt;&gt;0),(N125+O125+P125+Q125)/Q259,""),"")</f>
        <v>-0.0139817094618361</v>
      </c>
      <c r="R356" s="258">
        <f>IFERROR(IF(AND(COUNT(N125,O125,P125,Q125)=4,N(R259)&lt;&gt;0),(N125+O125+P125+Q125)/R259,""),"")</f>
        <v>-0.0139817094618361</v>
      </c>
      <c r="S356" s="257">
        <f>IFERROR(IF(AND(COUNT(O125,P125,Q125,S125)=4,N(S259)&lt;&gt;0),(O125+P125+Q125+S125)/S259,""),"")</f>
        <v>-0.0152444524625654</v>
      </c>
      <c r="T356" s="257">
        <f>IFERROR(IF(AND(COUNT(P125,Q125,S125,T125)=4,N(T259)&lt;&gt;0),(P125+Q125+S125+T125)/T259,""),"")</f>
        <v>0.0667413021012746</v>
      </c>
      <c r="U356" s="257">
        <f>IFERROR(IF(AND(COUNT(Q125,S125,T125,U125)=4,N(U259)&lt;&gt;0),(Q125+S125+T125+U125)/U259,""),"")</f>
        <v>0.141166666666667</v>
      </c>
      <c r="V356" s="257">
        <f>IFERROR(IF(AND(COUNT(S125,T125,U125,V125)=4,N(V259)&lt;&gt;0),(S125+T125+U125+V125)/V259,""),"")</f>
        <v>0.143806485911749</v>
      </c>
      <c r="W356" s="258">
        <f>IFERROR(IF(AND(COUNT(S125,T125,U125,V125)=4,N(W259)&lt;&gt;0),(S125+T125+U125+V125)/W259,""),"")</f>
        <v>0.143806485911749</v>
      </c>
      <c r="X356" s="257">
        <f>IFERROR(IF(AND(COUNT(T125,U125,V125,X125)=4,N(X259)&lt;&gt;0),(T125+U125+V125+X125)/X259,""),"")</f>
        <v>0.208477508650519</v>
      </c>
      <c r="Y356" s="257">
        <f>IFERROR(IF(AND(COUNT(U125,V125,X125,Y125)=4,N(Y259)&lt;&gt;0),(U125+V125+X125+Y125)/Y259,""),"")</f>
        <v>0.202953908836262</v>
      </c>
      <c r="Z356" s="257">
        <f>IFERROR(IF(AND(COUNT(V125,X125,Y125,Z125)=4,N(Z259)&lt;&gt;0),(V125+X125+Y125+Z125)/Z259,""),"")</f>
        <v>0.221003013677459</v>
      </c>
      <c r="AA356" s="257">
        <f>IFERROR(IF(AND(COUNT(X125,Y125,Z125,AA125)=4,N(AA259)&lt;&gt;0),(X125+Y125+Z125+AA125)/AA259,""),"")</f>
        <v>0.276903759509565</v>
      </c>
      <c r="AB356" s="258">
        <f>IFERROR(IF(AND(COUNT(X125,Y125,Z125,AA125)=4,N(AB259)&lt;&gt;0),(X125+Y125+Z125+AA125)/AB259,""),"")</f>
        <v>0.276903759509565</v>
      </c>
      <c r="AC356" s="257">
        <f>IFERROR(IF(AND(COUNT(Y125,Z125,AA125,AC125)=4,N(AC259)&lt;&gt;0),(Y125+Z125+AA125+AC125)/AC259,""),"")</f>
        <v>0.223788810559472</v>
      </c>
      <c r="AD356" s="257">
        <f>IFERROR(IF(AND(COUNT(Z125,AA125,AC125,AD125)=4,N(AD259)&lt;&gt;0),(Z125+AA125+AC125+AD125)/AD259,""),"")</f>
        <v>0.217996087806998</v>
      </c>
      <c r="AE356" s="257">
        <f>IFERROR(IF(AND(COUNT(AA125,AC125,AD125,AE125)=4,N(AE259)&lt;&gt;0),(AA125+AC125+AD125+AE125)/AE259,""),"")</f>
        <v>0.186427988020692</v>
      </c>
      <c r="AF356" s="257">
        <f>IFERROR(IF(AND(COUNT(AB125,AD125,AE125,AF125)=4,N(AF259)&lt;&gt;0),(AB125+AD125+AE125+AF125)/AF259,""),"")</f>
        <v>0.400592472901097</v>
      </c>
      <c r="AG356" s="258">
        <f>IFERROR(IF(AND(COUNT(AC125,AD125,AE125,AF125)=4,N(AG259)&lt;&gt;0),(AC125+AD125+AE125+AF125)/AG259,""),"")</f>
        <v>0.156130074732377</v>
      </c>
      <c r="AH356" s="257">
        <f>IFERROR(IF(AND(COUNT(AD125,AF125,AG125,AH125)=4,N(AH259)&lt;&gt;0),(AD125+AF125+AG125+AH125)/AH259,""),"")</f>
        <v>0.153163808397398</v>
      </c>
      <c r="AI356" s="257">
        <f>IFERROR(IF(AND(COUNT(AE125,AG125,AH125,AI125)=4,N(AI259)&lt;&gt;0),(AE125+AG125+AH125+AI125)/AI259,""),"")</f>
        <v>0.165583812882866</v>
      </c>
      <c r="AJ356" s="257">
        <f>IFERROR(IF(AND(COUNT(AF125,AH125,AI125,AJ125)=4,N(AJ259)&lt;&gt;0),(AF125+AH125+AI125+AJ125)/AJ259,""),"")</f>
        <v>0.103162058626605</v>
      </c>
      <c r="AK356" s="257">
        <f>IFERROR(IF(AND(COUNT(AH125,AI125,AJ125,AK125)=4,N(AK259)&lt;&gt;0),(AH125+AI125+AJ125+AK125)/AK259,""),"")</f>
        <v>0.11218310882964</v>
      </c>
      <c r="AL356" s="258">
        <f>IFERROR(IF(AND(COUNT(AH125,AI125,AJ125,AK125)=4,N(AL259)&lt;&gt;0),(AH125+AI125+AJ125+AK125)/AL259,""),"")</f>
        <v>0.11218310882964</v>
      </c>
      <c r="AM356" s="257">
        <f>IFERROR(IF(AND(COUNT(AI125,AJ125,AK125,AM125)=4,N(AM259)&lt;&gt;0),(AI125+AJ125+AK125+AM125)/AM259,""),"")</f>
        <v>0.105140362381955</v>
      </c>
      <c r="AN356" s="257">
        <f>IFERROR(IF(AND(COUNT(AJ125,AK125,AM125,AN125)=4,N(AN259)&lt;&gt;0),(AJ125+AK125+AM125+AN125)/AN259,""),"")</f>
        <v>0.1160261967104</v>
      </c>
      <c r="AO356" s="257">
        <f>IFERROR(IF(AND(COUNT(AK125,AM125,AN125,AO125)=4,N(AO259)&lt;&gt;0),(AK125+AM125+AN125+AO125)/AO259,""),"")</f>
        <v>0.117521854584824</v>
      </c>
      <c r="AP356" s="257">
        <f>IFERROR(IF(AND(COUNT(AM125,AN125,AO125,AP125)=4,N(AP259)&lt;&gt;0),(AM125+AN125+AO125+AP125)/AP259,""),"")</f>
        <v>0.118830744620817</v>
      </c>
      <c r="AQ356" s="258">
        <f>IFERROR(IF(AND(COUNT(AM125,AN125,AO125,AP125)=4,N(AQ259)&lt;&gt;0),(AM125+AN125+AO125+AP125)/AQ259,""),"")</f>
        <v>0.118830744620817</v>
      </c>
      <c r="AR356" s="257">
        <f>IFERROR(IF(AND(COUNT(AN125,AO125,AP125,AR125)=4,N(AR259)&lt;&gt;0),(AN125+AO125+AP125+AR125)/AR259,""),"")</f>
        <v>0.120897149540489</v>
      </c>
      <c r="AS356" s="257">
        <f>IFERROR(IF(AND(COUNT(AO125,AP125,AR125,AS125)=4,N(AS259)&lt;&gt;0),(AO125+AP125+AR125+AS125)/AS259,""),"")</f>
        <v>0.122190047887772</v>
      </c>
      <c r="AT356" s="257">
        <f>IFERROR(IF(AND(COUNT(AP125,AR125,AS125,AT125)=4,N(AT259)&lt;&gt;0),(AP125+AR125+AS125+AT125)/AT259,""),"")</f>
        <v>0.123472098898372</v>
      </c>
      <c r="AU356" s="257">
        <f>IFERROR(IF(AND(COUNT(AR125,AS125,AT125,AU125)=4,N(AU259)&lt;&gt;0),(AR125+AS125+AT125+AU125)/AU259,""),"")</f>
        <v>0.124590987162088</v>
      </c>
      <c r="AV356" s="258">
        <f>IFERROR(IF(AND(COUNT(AR125,AS125,AT125,AU125)=4,N(AV259)&lt;&gt;0),(AR125+AS125+AT125+AU125)/AV259,""),"")</f>
        <v>0.124590987162088</v>
      </c>
      <c r="AW356" s="257">
        <f>IFERROR(IF(AND(COUNT(AS125,AT125,AU125,AW125)=4,N(AW259)&lt;&gt;0),(AS125+AT125+AU125+AW125)/AW259,""),"")</f>
        <v>0.126312971403313</v>
      </c>
      <c r="AX356" s="257">
        <f>IFERROR(IF(AND(COUNT(AT125,AU125,AW125,AX125)=4,N(AX259)&lt;&gt;0),(AT125+AU125+AW125+AX125)/AX259,""),"")</f>
        <v>0.127386933178832</v>
      </c>
      <c r="AY356" s="257">
        <f>IFERROR(IF(AND(COUNT(AU125,AW125,AX125,AY125)=4,N(AY259)&lt;&gt;0),(AU125+AW125+AX125+AY125)/AY259,""),"")</f>
        <v>0.128449280500042</v>
      </c>
      <c r="AZ356" s="257">
        <f>IFERROR(IF(AND(COUNT(AW125,AX125,AY125,AZ125)=4,N(AZ259)&lt;&gt;0),(AW125+AX125+AY125+AZ125)/AZ259,""),"")</f>
        <v>0.129374314517613</v>
      </c>
      <c r="BA356" s="258">
        <f>IFERROR(IF(AND(COUNT(AW125,AX125,AY125,AZ125)=4,N(BA259)&lt;&gt;0),(AW125+AX125+AY125+AZ125)/BA259,""),"")</f>
        <v>0.129374314517613</v>
      </c>
      <c r="BB356" s="257">
        <f>IFERROR(IF(AND(COUNT(AX125,AY125,AZ125,BB125)=4,N(BB259)&lt;&gt;0),(AX125+AY125+AZ125+BB125)/BB259,""),"")</f>
        <v>0.13075237692969</v>
      </c>
      <c r="BC356" s="257">
        <f>IFERROR(IF(AND(COUNT(AY125,AZ125,BB125,BC125)=4,N(BC259)&lt;&gt;0),(AY125+AZ125+BB125+BC125)/BC259,""),"")</f>
        <v>0.131609635940303</v>
      </c>
      <c r="BD356" s="257">
        <f>IFERROR(IF(AND(COUNT(AZ125,BB125,BC125,BD125)=4,N(BD259)&lt;&gt;0),(AZ125+BB125+BC125+BD125)/BD259,""),"")</f>
        <v>0.13245596212779</v>
      </c>
      <c r="BE356" s="257">
        <f>IFERROR(IF(AND(COUNT(BB125,BC125,BD125,BE125)=4,N(BE259)&lt;&gt;0),(BB125+BC125+BD125+BE125)/BE259,""),"")</f>
        <v>0.133191554292361</v>
      </c>
      <c r="BF356" s="258">
        <f>IFERROR(IF(AND(COUNT(BB125,BC125,BD125,BE125)=4,N(BF259)&lt;&gt;0),(BB125+BC125+BD125+BE125)/BF259,""),"")</f>
        <v>0.133191554292361</v>
      </c>
      <c r="BG356" s="81" t="n"/>
      <c r="BH356" s="81" t="n"/>
      <c r="BI356" s="81" t="n"/>
      <c r="BJ356" s="81" t="n"/>
      <c r="BL356" s="81" t="n"/>
      <c r="BM356" s="81" t="n"/>
      <c r="BN356" s="81" t="n"/>
      <c r="BO356" s="81" t="n"/>
      <c r="BQ356" s="81" t="n"/>
      <c r="BR356" s="81" t="n"/>
      <c r="BS356" s="81" t="n"/>
      <c r="BT356" s="81" t="n"/>
      <c r="BV356" s="81" t="n"/>
      <c r="BW356" s="81" t="n"/>
      <c r="BX356" s="81" t="n"/>
      <c r="BY356" s="81" t="n"/>
      <c r="CA356" s="81" t="n"/>
      <c r="CB356" s="81" t="n"/>
      <c r="CC356" s="81" t="n"/>
      <c r="CD356" s="81" t="n"/>
      <c r="CF356" s="81" t="n"/>
      <c r="CG356" s="81" t="n"/>
      <c r="CH356" s="81" t="n"/>
      <c r="CI356" s="81" t="n"/>
      <c r="CK356" s="81" t="n"/>
      <c r="CL356" s="81" t="n"/>
      <c r="CM356" s="81" t="n"/>
      <c r="CN356" s="81" t="n"/>
      <c r="CP356" s="81" t="n"/>
      <c r="CQ356" s="81" t="n"/>
      <c r="CR356" s="81" t="n"/>
      <c r="CS356" s="81" t="n"/>
      <c r="CU356" s="81" t="n"/>
      <c r="CV356" s="81" t="n"/>
      <c r="CW356" s="81" t="n"/>
      <c r="CX356" s="81" t="n"/>
    </row>
    <row r="357"/>
    <row r="358">
      <c r="C358" s="73" t="inlineStr">
        <is>
          <t>Scenario Analysis</t>
        </is>
      </c>
      <c r="D358" s="73" t="n"/>
      <c r="E358" s="73" t="n"/>
      <c r="F358" s="73" t="n"/>
      <c r="G358" s="73" t="n"/>
      <c r="H358" s="73" t="n"/>
      <c r="I358" s="73" t="n"/>
      <c r="J358" s="73" t="n"/>
      <c r="K358" s="73" t="n"/>
      <c r="L358" s="73" t="n"/>
      <c r="M358" s="73" t="n"/>
      <c r="N358" s="73" t="n"/>
      <c r="O358" s="73" t="n"/>
      <c r="P358" s="73" t="n"/>
      <c r="Q358" s="73" t="n"/>
      <c r="R358" s="73" t="n"/>
      <c r="S358" s="73" t="n"/>
      <c r="T358" s="73" t="n"/>
      <c r="U358" s="73" t="n"/>
      <c r="V358" s="73" t="n"/>
      <c r="W358" s="73" t="n"/>
      <c r="X358" s="73" t="n"/>
      <c r="Y358" s="73" t="n"/>
      <c r="Z358" s="73" t="n"/>
      <c r="AA358" s="73" t="n"/>
      <c r="AB358" s="73" t="n"/>
      <c r="AC358" s="73" t="n"/>
      <c r="AD358" s="73" t="n"/>
      <c r="AE358" s="73" t="n"/>
      <c r="AF358" s="73" t="n"/>
      <c r="AG358" s="73" t="n"/>
      <c r="AH358" s="73" t="n"/>
      <c r="AI358" s="73" t="n"/>
      <c r="AJ358" s="73" t="n"/>
      <c r="AK358" s="73" t="n"/>
      <c r="AL358" s="73" t="n"/>
      <c r="AM358" s="73" t="n"/>
      <c r="AN358" s="73" t="n"/>
      <c r="AO358" s="73" t="n"/>
      <c r="AP358" s="73" t="n"/>
      <c r="AQ358" s="73" t="n"/>
      <c r="AR358" s="73" t="n"/>
      <c r="AS358" s="73" t="n"/>
      <c r="AT358" s="73" t="n"/>
      <c r="AU358" s="73" t="n"/>
      <c r="AV358" s="73" t="n"/>
      <c r="AW358" s="73" t="n"/>
      <c r="AX358" s="73" t="n"/>
      <c r="AY358" s="73" t="n"/>
      <c r="AZ358" s="73" t="n"/>
      <c r="BA358" s="73" t="n"/>
      <c r="BB358" s="73" t="n"/>
      <c r="BC358" s="73" t="n"/>
      <c r="BD358" s="73" t="n"/>
      <c r="BE358" s="73" t="n"/>
      <c r="BF358" s="73" t="n"/>
      <c r="BG358" s="73" t="n"/>
      <c r="BH358" s="73" t="n"/>
      <c r="BI358" s="73" t="n"/>
      <c r="BJ358" s="73" t="n"/>
      <c r="BK358" s="73" t="n"/>
      <c r="BL358" s="73" t="n"/>
      <c r="BM358" s="73" t="n"/>
      <c r="BN358" s="73" t="n"/>
      <c r="BO358" s="73" t="n"/>
      <c r="BP358" s="73" t="n"/>
      <c r="BQ358" s="73" t="n"/>
      <c r="BR358" s="73" t="n"/>
      <c r="BS358" s="73" t="n"/>
      <c r="BT358" s="73" t="n"/>
      <c r="BU358" s="73" t="n"/>
      <c r="BV358" s="73" t="n"/>
      <c r="BW358" s="73" t="n"/>
      <c r="BX358" s="73" t="n"/>
      <c r="BY358" s="73" t="n"/>
      <c r="BZ358" s="73" t="n"/>
      <c r="CA358" s="73" t="n"/>
      <c r="CB358" s="73" t="n"/>
      <c r="CC358" s="73" t="n"/>
      <c r="CD358" s="73" t="n"/>
      <c r="CE358" s="73" t="n"/>
      <c r="CF358" s="73" t="n"/>
      <c r="CG358" s="73" t="n"/>
      <c r="CH358" s="73" t="n"/>
      <c r="CI358" s="73" t="n"/>
      <c r="CJ358" s="73" t="n"/>
      <c r="CK358" s="73" t="n"/>
      <c r="CL358" s="73" t="n"/>
      <c r="CM358" s="73" t="n"/>
      <c r="CN358" s="73" t="n"/>
      <c r="CO358" s="73" t="n"/>
      <c r="CP358" s="73" t="n"/>
      <c r="CQ358" s="73" t="n"/>
      <c r="CR358" s="73" t="n"/>
      <c r="CS358" s="73" t="n"/>
      <c r="CT358" s="73" t="n"/>
      <c r="CU358" s="73" t="n"/>
      <c r="CV358" s="73" t="n"/>
      <c r="CW358" s="73" t="n"/>
      <c r="CX358" s="73" t="n"/>
      <c r="CY358" s="73" t="n"/>
    </row>
    <row r="359"/>
    <row r="360"/>
    <row r="361">
      <c r="C361" s="4" t="inlineStr">
        <is>
          <t>Bull case</t>
        </is>
      </c>
    </row>
    <row r="362">
      <c r="C362" s="4" t="inlineStr">
        <is>
          <t>Base case</t>
        </is>
      </c>
    </row>
    <row r="363">
      <c r="C363" s="4" t="inlineStr">
        <is>
          <t>Bear case</t>
        </is>
      </c>
    </row>
    <row r="364"/>
    <row r="365"/>
    <row r="366">
      <c r="C366" s="4" t="inlineStr">
        <is>
          <t>Bull case</t>
        </is>
      </c>
    </row>
    <row r="367">
      <c r="C367" s="4" t="inlineStr">
        <is>
          <t>Base case</t>
        </is>
      </c>
    </row>
    <row r="368">
      <c r="C368" s="4" t="inlineStr">
        <is>
          <t>Bear case</t>
        </is>
      </c>
    </row>
    <row r="369"/>
    <row r="370"/>
    <row r="371">
      <c r="C371" s="4" t="inlineStr">
        <is>
          <t>% Gross Margin</t>
        </is>
      </c>
    </row>
    <row r="372">
      <c r="C372" s="4" t="inlineStr">
        <is>
          <t>Bull case</t>
        </is>
      </c>
    </row>
    <row r="373">
      <c r="C373" s="4" t="inlineStr">
        <is>
          <t>Base case</t>
        </is>
      </c>
    </row>
    <row r="374">
      <c r="C374" s="4" t="inlineStr">
        <is>
          <t>Bear case</t>
        </is>
      </c>
    </row>
    <row r="375"/>
    <row r="376"/>
    <row r="377">
      <c r="C377" s="4" t="inlineStr">
        <is>
          <t>Capital expenditures</t>
        </is>
      </c>
    </row>
    <row r="378">
      <c r="C378" s="4" t="inlineStr">
        <is>
          <t>Bull case</t>
        </is>
      </c>
    </row>
    <row r="379">
      <c r="C379" s="4" t="inlineStr">
        <is>
          <t>Base case</t>
        </is>
      </c>
    </row>
    <row r="380">
      <c r="C380" s="4" t="inlineStr">
        <is>
          <t>Bear case</t>
        </is>
      </c>
    </row>
  </sheetData>
  <conditionalFormatting sqref="B1:B4 B13:B1048576">
    <cfRule type="expression" priority="25" dxfId="23">
      <formula>B1&lt;&gt;""</formula>
    </cfRule>
  </conditionalFormatting>
  <conditionalFormatting sqref="D1:CY3">
    <cfRule type="cellIs" priority="18" operator="greaterThan" dxfId="22">
      <formula>1</formula>
    </cfRule>
  </conditionalFormatting>
  <conditionalFormatting sqref="E303:G303">
    <cfRule type="cellIs" priority="16" operator="notEqual" dxfId="0">
      <formula>0</formula>
    </cfRule>
  </conditionalFormatting>
  <conditionalFormatting sqref="E5:H5">
    <cfRule type="cellIs" priority="17" operator="greaterThan" dxfId="18">
      <formula>$B$5</formula>
    </cfRule>
  </conditionalFormatting>
  <conditionalFormatting sqref="I303:L303">
    <cfRule type="cellIs" priority="23" operator="notEqual" dxfId="0">
      <formula>0</formula>
    </cfRule>
  </conditionalFormatting>
  <conditionalFormatting sqref="J5:CY5">
    <cfRule type="cellIs" priority="24" operator="greaterThan" dxfId="18">
      <formula>$B$5</formula>
    </cfRule>
  </conditionalFormatting>
  <conditionalFormatting sqref="N303:Q303">
    <cfRule type="cellIs" priority="22" operator="notEqual" dxfId="0">
      <formula>0</formula>
    </cfRule>
  </conditionalFormatting>
  <conditionalFormatting sqref="S303:V303">
    <cfRule type="cellIs" priority="21" operator="notEqual" dxfId="0">
      <formula>0</formula>
    </cfRule>
  </conditionalFormatting>
  <conditionalFormatting sqref="X303:AA303">
    <cfRule type="cellIs" priority="20" operator="notEqual" dxfId="0">
      <formula>0</formula>
    </cfRule>
  </conditionalFormatting>
  <conditionalFormatting sqref="AC303:AF303">
    <cfRule type="cellIs" priority="19" operator="notEqual" dxfId="0">
      <formula>0</formula>
    </cfRule>
  </conditionalFormatting>
  <conditionalFormatting sqref="AH303:AK303">
    <cfRule type="cellIs" priority="15" operator="notEqual" dxfId="0">
      <formula>0</formula>
    </cfRule>
  </conditionalFormatting>
  <conditionalFormatting sqref="AM303:AP303">
    <cfRule type="cellIs" priority="14" operator="notEqual" dxfId="0">
      <formula>0</formula>
    </cfRule>
  </conditionalFormatting>
  <conditionalFormatting sqref="AR303:AU303">
    <cfRule type="cellIs" priority="13" operator="notEqual" dxfId="0">
      <formula>0</formula>
    </cfRule>
  </conditionalFormatting>
  <conditionalFormatting sqref="AW303:AZ303">
    <cfRule type="cellIs" priority="12" operator="notEqual" dxfId="0">
      <formula>0</formula>
    </cfRule>
  </conditionalFormatting>
  <conditionalFormatting sqref="BB303:BE303">
    <cfRule type="cellIs" priority="11" operator="notEqual" dxfId="0">
      <formula>0</formula>
    </cfRule>
  </conditionalFormatting>
  <conditionalFormatting sqref="BG303:BJ303">
    <cfRule type="cellIs" priority="10" operator="notEqual" dxfId="0">
      <formula>0</formula>
    </cfRule>
  </conditionalFormatting>
  <conditionalFormatting sqref="BL303:BO303">
    <cfRule type="cellIs" priority="9" operator="notEqual" dxfId="0">
      <formula>0</formula>
    </cfRule>
  </conditionalFormatting>
  <conditionalFormatting sqref="BQ303:BT303">
    <cfRule type="cellIs" priority="8" operator="notEqual" dxfId="0">
      <formula>0</formula>
    </cfRule>
  </conditionalFormatting>
  <conditionalFormatting sqref="BV303:BY303">
    <cfRule type="cellIs" priority="7" operator="notEqual" dxfId="0">
      <formula>0</formula>
    </cfRule>
  </conditionalFormatting>
  <conditionalFormatting sqref="CA303:CD303">
    <cfRule type="cellIs" priority="6" operator="notEqual" dxfId="0">
      <formula>0</formula>
    </cfRule>
  </conditionalFormatting>
  <conditionalFormatting sqref="CF303:CI303">
    <cfRule type="cellIs" priority="5" operator="notEqual" dxfId="0">
      <formula>0</formula>
    </cfRule>
  </conditionalFormatting>
  <conditionalFormatting sqref="CK303:CN303">
    <cfRule type="cellIs" priority="4" operator="notEqual" dxfId="0">
      <formula>0</formula>
    </cfRule>
  </conditionalFormatting>
  <conditionalFormatting sqref="CP303:CS303">
    <cfRule type="cellIs" priority="3" operator="notEqual" dxfId="0">
      <formula>0</formula>
    </cfRule>
  </conditionalFormatting>
  <conditionalFormatting sqref="CU303:CX303">
    <cfRule type="cellIs" priority="2" operator="notEqual" dxfId="0">
      <formula>0</formula>
    </cfRule>
  </conditionalFormatting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02"/>
  <sheetViews>
    <sheetView zoomScaleNormal="100" workbookViewId="0">
      <selection activeCell="A1" sqref="A1"/>
    </sheetView>
  </sheetViews>
  <sheetFormatPr baseColWidth="8" defaultColWidth="10.42578125" defaultRowHeight="12.75"/>
  <cols>
    <col width="2.28515625" customWidth="1" style="251" min="1" max="1"/>
    <col width="4.85546875" customWidth="1" style="251" min="2" max="2"/>
    <col width="62" customWidth="1" style="251" min="3" max="3"/>
    <col width="14.5703125" customWidth="1" style="251" min="4" max="4"/>
    <col width="12.85546875" customWidth="1" style="251" min="5" max="6"/>
    <col width="13.42578125" customWidth="1" style="251" min="7" max="7"/>
    <col width="16" customWidth="1" style="251" min="8" max="8"/>
    <col width="15.5703125" customWidth="1" style="251" min="9" max="9"/>
    <col width="12.85546875" customWidth="1" style="251" min="10" max="12"/>
    <col width="13.28515625" customWidth="1" style="251" min="13" max="13"/>
    <col width="13.140625" customWidth="1" style="251" min="14" max="14"/>
    <col width="13.28515625" customWidth="1" style="251" min="15" max="15"/>
    <col width="12.28515625" customWidth="1" style="251" min="16" max="20"/>
    <col width="13.28515625" customWidth="1" style="251" min="21" max="22"/>
    <col width="10.5703125" customWidth="1" style="251" min="23" max="23"/>
    <col width="13" customWidth="1" style="251" min="24" max="25"/>
    <col width="11.28515625" customWidth="1" style="251" min="26" max="26"/>
    <col width="10.42578125" customWidth="1" style="251" min="27" max="27"/>
    <col width="21.5703125" customWidth="1" style="251" min="28" max="28"/>
    <col width="10.42578125" customWidth="1" style="251" min="29" max="31"/>
    <col width="9.140625" customWidth="1" style="251" min="32" max="32"/>
    <col width="10.42578125" customWidth="1" style="251" min="33" max="261"/>
    <col width="2.28515625" customWidth="1" style="251" min="262" max="263"/>
    <col width="35.42578125" customWidth="1" style="251" min="264" max="264"/>
    <col width="14.7109375" customWidth="1" style="251" min="265" max="265"/>
    <col width="12.85546875" customWidth="1" style="251" min="266" max="268"/>
    <col width="15.5703125" customWidth="1" style="251" min="269" max="269"/>
    <col width="12.85546875" customWidth="1" style="251" min="270" max="273"/>
    <col width="10.42578125" customWidth="1" style="251" min="274" max="275"/>
    <col width="12.28515625" customWidth="1" style="251" min="276" max="276"/>
    <col width="10.42578125" customWidth="1" style="251" min="277" max="517"/>
    <col width="2.28515625" customWidth="1" style="251" min="518" max="519"/>
    <col width="35.42578125" customWidth="1" style="251" min="520" max="520"/>
    <col width="14.7109375" customWidth="1" style="251" min="521" max="521"/>
    <col width="12.85546875" customWidth="1" style="251" min="522" max="524"/>
    <col width="15.5703125" customWidth="1" style="251" min="525" max="525"/>
    <col width="12.85546875" customWidth="1" style="251" min="526" max="529"/>
    <col width="10.42578125" customWidth="1" style="251" min="530" max="531"/>
    <col width="12.28515625" customWidth="1" style="251" min="532" max="532"/>
    <col width="10.42578125" customWidth="1" style="251" min="533" max="773"/>
    <col width="2.28515625" customWidth="1" style="251" min="774" max="775"/>
    <col width="35.42578125" customWidth="1" style="251" min="776" max="776"/>
    <col width="14.7109375" customWidth="1" style="251" min="777" max="777"/>
    <col width="12.85546875" customWidth="1" style="251" min="778" max="780"/>
    <col width="15.5703125" customWidth="1" style="251" min="781" max="781"/>
    <col width="12.85546875" customWidth="1" style="251" min="782" max="785"/>
    <col width="10.42578125" customWidth="1" style="251" min="786" max="787"/>
    <col width="12.28515625" customWidth="1" style="251" min="788" max="788"/>
    <col width="10.42578125" customWidth="1" style="251" min="789" max="1029"/>
    <col width="2.28515625" customWidth="1" style="251" min="1030" max="1031"/>
    <col width="35.42578125" customWidth="1" style="251" min="1032" max="1032"/>
    <col width="14.7109375" customWidth="1" style="251" min="1033" max="1033"/>
    <col width="12.85546875" customWidth="1" style="251" min="1034" max="1036"/>
    <col width="15.5703125" customWidth="1" style="251" min="1037" max="1037"/>
    <col width="12.85546875" customWidth="1" style="251" min="1038" max="1041"/>
    <col width="10.42578125" customWidth="1" style="251" min="1042" max="1043"/>
    <col width="12.28515625" customWidth="1" style="251" min="1044" max="1044"/>
    <col width="10.42578125" customWidth="1" style="251" min="1045" max="1285"/>
    <col width="2.28515625" customWidth="1" style="251" min="1286" max="1287"/>
    <col width="35.42578125" customWidth="1" style="251" min="1288" max="1288"/>
    <col width="14.7109375" customWidth="1" style="251" min="1289" max="1289"/>
    <col width="12.85546875" customWidth="1" style="251" min="1290" max="1292"/>
    <col width="15.5703125" customWidth="1" style="251" min="1293" max="1293"/>
    <col width="12.85546875" customWidth="1" style="251" min="1294" max="1297"/>
    <col width="10.42578125" customWidth="1" style="251" min="1298" max="1299"/>
    <col width="12.28515625" customWidth="1" style="251" min="1300" max="1300"/>
    <col width="10.42578125" customWidth="1" style="251" min="1301" max="1541"/>
    <col width="2.28515625" customWidth="1" style="251" min="1542" max="1543"/>
    <col width="35.42578125" customWidth="1" style="251" min="1544" max="1544"/>
    <col width="14.7109375" customWidth="1" style="251" min="1545" max="1545"/>
    <col width="12.85546875" customWidth="1" style="251" min="1546" max="1548"/>
    <col width="15.5703125" customWidth="1" style="251" min="1549" max="1549"/>
    <col width="12.85546875" customWidth="1" style="251" min="1550" max="1553"/>
    <col width="10.42578125" customWidth="1" style="251" min="1554" max="1555"/>
    <col width="12.28515625" customWidth="1" style="251" min="1556" max="1556"/>
    <col width="10.42578125" customWidth="1" style="251" min="1557" max="1797"/>
    <col width="2.28515625" customWidth="1" style="251" min="1798" max="1799"/>
    <col width="35.42578125" customWidth="1" style="251" min="1800" max="1800"/>
    <col width="14.7109375" customWidth="1" style="251" min="1801" max="1801"/>
    <col width="12.85546875" customWidth="1" style="251" min="1802" max="1804"/>
    <col width="15.5703125" customWidth="1" style="251" min="1805" max="1805"/>
    <col width="12.85546875" customWidth="1" style="251" min="1806" max="1809"/>
    <col width="10.42578125" customWidth="1" style="251" min="1810" max="1811"/>
    <col width="12.28515625" customWidth="1" style="251" min="1812" max="1812"/>
    <col width="10.42578125" customWidth="1" style="251" min="1813" max="2053"/>
    <col width="2.28515625" customWidth="1" style="251" min="2054" max="2055"/>
    <col width="35.42578125" customWidth="1" style="251" min="2056" max="2056"/>
    <col width="14.7109375" customWidth="1" style="251" min="2057" max="2057"/>
    <col width="12.85546875" customWidth="1" style="251" min="2058" max="2060"/>
    <col width="15.5703125" customWidth="1" style="251" min="2061" max="2061"/>
    <col width="12.85546875" customWidth="1" style="251" min="2062" max="2065"/>
    <col width="10.42578125" customWidth="1" style="251" min="2066" max="2067"/>
    <col width="12.28515625" customWidth="1" style="251" min="2068" max="2068"/>
    <col width="10.42578125" customWidth="1" style="251" min="2069" max="2309"/>
    <col width="2.28515625" customWidth="1" style="251" min="2310" max="2311"/>
    <col width="35.42578125" customWidth="1" style="251" min="2312" max="2312"/>
    <col width="14.7109375" customWidth="1" style="251" min="2313" max="2313"/>
    <col width="12.85546875" customWidth="1" style="251" min="2314" max="2316"/>
    <col width="15.5703125" customWidth="1" style="251" min="2317" max="2317"/>
    <col width="12.85546875" customWidth="1" style="251" min="2318" max="2321"/>
    <col width="10.42578125" customWidth="1" style="251" min="2322" max="2323"/>
    <col width="12.28515625" customWidth="1" style="251" min="2324" max="2324"/>
    <col width="10.42578125" customWidth="1" style="251" min="2325" max="2565"/>
    <col width="2.28515625" customWidth="1" style="251" min="2566" max="2567"/>
    <col width="35.42578125" customWidth="1" style="251" min="2568" max="2568"/>
    <col width="14.7109375" customWidth="1" style="251" min="2569" max="2569"/>
    <col width="12.85546875" customWidth="1" style="251" min="2570" max="2572"/>
    <col width="15.5703125" customWidth="1" style="251" min="2573" max="2573"/>
    <col width="12.85546875" customWidth="1" style="251" min="2574" max="2577"/>
    <col width="10.42578125" customWidth="1" style="251" min="2578" max="2579"/>
    <col width="12.28515625" customWidth="1" style="251" min="2580" max="2580"/>
    <col width="10.42578125" customWidth="1" style="251" min="2581" max="2821"/>
    <col width="2.28515625" customWidth="1" style="251" min="2822" max="2823"/>
    <col width="35.42578125" customWidth="1" style="251" min="2824" max="2824"/>
    <col width="14.7109375" customWidth="1" style="251" min="2825" max="2825"/>
    <col width="12.85546875" customWidth="1" style="251" min="2826" max="2828"/>
    <col width="15.5703125" customWidth="1" style="251" min="2829" max="2829"/>
    <col width="12.85546875" customWidth="1" style="251" min="2830" max="2833"/>
    <col width="10.42578125" customWidth="1" style="251" min="2834" max="2835"/>
    <col width="12.28515625" customWidth="1" style="251" min="2836" max="2836"/>
    <col width="10.42578125" customWidth="1" style="251" min="2837" max="3077"/>
    <col width="2.28515625" customWidth="1" style="251" min="3078" max="3079"/>
    <col width="35.42578125" customWidth="1" style="251" min="3080" max="3080"/>
    <col width="14.7109375" customWidth="1" style="251" min="3081" max="3081"/>
    <col width="12.85546875" customWidth="1" style="251" min="3082" max="3084"/>
    <col width="15.5703125" customWidth="1" style="251" min="3085" max="3085"/>
    <col width="12.85546875" customWidth="1" style="251" min="3086" max="3089"/>
    <col width="10.42578125" customWidth="1" style="251" min="3090" max="3091"/>
    <col width="12.28515625" customWidth="1" style="251" min="3092" max="3092"/>
    <col width="10.42578125" customWidth="1" style="251" min="3093" max="3333"/>
    <col width="2.28515625" customWidth="1" style="251" min="3334" max="3335"/>
    <col width="35.42578125" customWidth="1" style="251" min="3336" max="3336"/>
    <col width="14.7109375" customWidth="1" style="251" min="3337" max="3337"/>
    <col width="12.85546875" customWidth="1" style="251" min="3338" max="3340"/>
    <col width="15.5703125" customWidth="1" style="251" min="3341" max="3341"/>
    <col width="12.85546875" customWidth="1" style="251" min="3342" max="3345"/>
    <col width="10.42578125" customWidth="1" style="251" min="3346" max="3347"/>
    <col width="12.28515625" customWidth="1" style="251" min="3348" max="3348"/>
    <col width="10.42578125" customWidth="1" style="251" min="3349" max="3589"/>
    <col width="2.28515625" customWidth="1" style="251" min="3590" max="3591"/>
    <col width="35.42578125" customWidth="1" style="251" min="3592" max="3592"/>
    <col width="14.7109375" customWidth="1" style="251" min="3593" max="3593"/>
    <col width="12.85546875" customWidth="1" style="251" min="3594" max="3596"/>
    <col width="15.5703125" customWidth="1" style="251" min="3597" max="3597"/>
    <col width="12.85546875" customWidth="1" style="251" min="3598" max="3601"/>
    <col width="10.42578125" customWidth="1" style="251" min="3602" max="3603"/>
    <col width="12.28515625" customWidth="1" style="251" min="3604" max="3604"/>
    <col width="10.42578125" customWidth="1" style="251" min="3605" max="3845"/>
    <col width="2.28515625" customWidth="1" style="251" min="3846" max="3847"/>
    <col width="35.42578125" customWidth="1" style="251" min="3848" max="3848"/>
    <col width="14.7109375" customWidth="1" style="251" min="3849" max="3849"/>
    <col width="12.85546875" customWidth="1" style="251" min="3850" max="3852"/>
    <col width="15.5703125" customWidth="1" style="251" min="3853" max="3853"/>
    <col width="12.85546875" customWidth="1" style="251" min="3854" max="3857"/>
    <col width="10.42578125" customWidth="1" style="251" min="3858" max="3859"/>
    <col width="12.28515625" customWidth="1" style="251" min="3860" max="3860"/>
    <col width="10.42578125" customWidth="1" style="251" min="3861" max="4101"/>
    <col width="2.28515625" customWidth="1" style="251" min="4102" max="4103"/>
    <col width="35.42578125" customWidth="1" style="251" min="4104" max="4104"/>
    <col width="14.7109375" customWidth="1" style="251" min="4105" max="4105"/>
    <col width="12.85546875" customWidth="1" style="251" min="4106" max="4108"/>
    <col width="15.5703125" customWidth="1" style="251" min="4109" max="4109"/>
    <col width="12.85546875" customWidth="1" style="251" min="4110" max="4113"/>
    <col width="10.42578125" customWidth="1" style="251" min="4114" max="4115"/>
    <col width="12.28515625" customWidth="1" style="251" min="4116" max="4116"/>
    <col width="10.42578125" customWidth="1" style="251" min="4117" max="4357"/>
    <col width="2.28515625" customWidth="1" style="251" min="4358" max="4359"/>
    <col width="35.42578125" customWidth="1" style="251" min="4360" max="4360"/>
    <col width="14.7109375" customWidth="1" style="251" min="4361" max="4361"/>
    <col width="12.85546875" customWidth="1" style="251" min="4362" max="4364"/>
    <col width="15.5703125" customWidth="1" style="251" min="4365" max="4365"/>
    <col width="12.85546875" customWidth="1" style="251" min="4366" max="4369"/>
    <col width="10.42578125" customWidth="1" style="251" min="4370" max="4371"/>
    <col width="12.28515625" customWidth="1" style="251" min="4372" max="4372"/>
    <col width="10.42578125" customWidth="1" style="251" min="4373" max="4613"/>
    <col width="2.28515625" customWidth="1" style="251" min="4614" max="4615"/>
    <col width="35.42578125" customWidth="1" style="251" min="4616" max="4616"/>
    <col width="14.7109375" customWidth="1" style="251" min="4617" max="4617"/>
    <col width="12.85546875" customWidth="1" style="251" min="4618" max="4620"/>
    <col width="15.5703125" customWidth="1" style="251" min="4621" max="4621"/>
    <col width="12.85546875" customWidth="1" style="251" min="4622" max="4625"/>
    <col width="10.42578125" customWidth="1" style="251" min="4626" max="4627"/>
    <col width="12.28515625" customWidth="1" style="251" min="4628" max="4628"/>
    <col width="10.42578125" customWidth="1" style="251" min="4629" max="4869"/>
    <col width="2.28515625" customWidth="1" style="251" min="4870" max="4871"/>
    <col width="35.42578125" customWidth="1" style="251" min="4872" max="4872"/>
    <col width="14.7109375" customWidth="1" style="251" min="4873" max="4873"/>
    <col width="12.85546875" customWidth="1" style="251" min="4874" max="4876"/>
    <col width="15.5703125" customWidth="1" style="251" min="4877" max="4877"/>
    <col width="12.85546875" customWidth="1" style="251" min="4878" max="4881"/>
    <col width="10.42578125" customWidth="1" style="251" min="4882" max="4883"/>
    <col width="12.28515625" customWidth="1" style="251" min="4884" max="4884"/>
    <col width="10.42578125" customWidth="1" style="251" min="4885" max="5125"/>
    <col width="2.28515625" customWidth="1" style="251" min="5126" max="5127"/>
    <col width="35.42578125" customWidth="1" style="251" min="5128" max="5128"/>
    <col width="14.7109375" customWidth="1" style="251" min="5129" max="5129"/>
    <col width="12.85546875" customWidth="1" style="251" min="5130" max="5132"/>
    <col width="15.5703125" customWidth="1" style="251" min="5133" max="5133"/>
    <col width="12.85546875" customWidth="1" style="251" min="5134" max="5137"/>
    <col width="10.42578125" customWidth="1" style="251" min="5138" max="5139"/>
    <col width="12.28515625" customWidth="1" style="251" min="5140" max="5140"/>
    <col width="10.42578125" customWidth="1" style="251" min="5141" max="5381"/>
    <col width="2.28515625" customWidth="1" style="251" min="5382" max="5383"/>
    <col width="35.42578125" customWidth="1" style="251" min="5384" max="5384"/>
    <col width="14.7109375" customWidth="1" style="251" min="5385" max="5385"/>
    <col width="12.85546875" customWidth="1" style="251" min="5386" max="5388"/>
    <col width="15.5703125" customWidth="1" style="251" min="5389" max="5389"/>
    <col width="12.85546875" customWidth="1" style="251" min="5390" max="5393"/>
    <col width="10.42578125" customWidth="1" style="251" min="5394" max="5395"/>
    <col width="12.28515625" customWidth="1" style="251" min="5396" max="5396"/>
    <col width="10.42578125" customWidth="1" style="251" min="5397" max="5637"/>
    <col width="2.28515625" customWidth="1" style="251" min="5638" max="5639"/>
    <col width="35.42578125" customWidth="1" style="251" min="5640" max="5640"/>
    <col width="14.7109375" customWidth="1" style="251" min="5641" max="5641"/>
    <col width="12.85546875" customWidth="1" style="251" min="5642" max="5644"/>
    <col width="15.5703125" customWidth="1" style="251" min="5645" max="5645"/>
    <col width="12.85546875" customWidth="1" style="251" min="5646" max="5649"/>
    <col width="10.42578125" customWidth="1" style="251" min="5650" max="5651"/>
    <col width="12.28515625" customWidth="1" style="251" min="5652" max="5652"/>
    <col width="10.42578125" customWidth="1" style="251" min="5653" max="5893"/>
    <col width="2.28515625" customWidth="1" style="251" min="5894" max="5895"/>
    <col width="35.42578125" customWidth="1" style="251" min="5896" max="5896"/>
    <col width="14.7109375" customWidth="1" style="251" min="5897" max="5897"/>
    <col width="12.85546875" customWidth="1" style="251" min="5898" max="5900"/>
    <col width="15.5703125" customWidth="1" style="251" min="5901" max="5901"/>
    <col width="12.85546875" customWidth="1" style="251" min="5902" max="5905"/>
    <col width="10.42578125" customWidth="1" style="251" min="5906" max="5907"/>
    <col width="12.28515625" customWidth="1" style="251" min="5908" max="5908"/>
    <col width="10.42578125" customWidth="1" style="251" min="5909" max="6149"/>
    <col width="2.28515625" customWidth="1" style="251" min="6150" max="6151"/>
    <col width="35.42578125" customWidth="1" style="251" min="6152" max="6152"/>
    <col width="14.7109375" customWidth="1" style="251" min="6153" max="6153"/>
    <col width="12.85546875" customWidth="1" style="251" min="6154" max="6156"/>
    <col width="15.5703125" customWidth="1" style="251" min="6157" max="6157"/>
    <col width="12.85546875" customWidth="1" style="251" min="6158" max="6161"/>
    <col width="10.42578125" customWidth="1" style="251" min="6162" max="6163"/>
    <col width="12.28515625" customWidth="1" style="251" min="6164" max="6164"/>
    <col width="10.42578125" customWidth="1" style="251" min="6165" max="6405"/>
    <col width="2.28515625" customWidth="1" style="251" min="6406" max="6407"/>
    <col width="35.42578125" customWidth="1" style="251" min="6408" max="6408"/>
    <col width="14.7109375" customWidth="1" style="251" min="6409" max="6409"/>
    <col width="12.85546875" customWidth="1" style="251" min="6410" max="6412"/>
    <col width="15.5703125" customWidth="1" style="251" min="6413" max="6413"/>
    <col width="12.85546875" customWidth="1" style="251" min="6414" max="6417"/>
    <col width="10.42578125" customWidth="1" style="251" min="6418" max="6419"/>
    <col width="12.28515625" customWidth="1" style="251" min="6420" max="6420"/>
    <col width="10.42578125" customWidth="1" style="251" min="6421" max="6661"/>
    <col width="2.28515625" customWidth="1" style="251" min="6662" max="6663"/>
    <col width="35.42578125" customWidth="1" style="251" min="6664" max="6664"/>
    <col width="14.7109375" customWidth="1" style="251" min="6665" max="6665"/>
    <col width="12.85546875" customWidth="1" style="251" min="6666" max="6668"/>
    <col width="15.5703125" customWidth="1" style="251" min="6669" max="6669"/>
    <col width="12.85546875" customWidth="1" style="251" min="6670" max="6673"/>
    <col width="10.42578125" customWidth="1" style="251" min="6674" max="6675"/>
    <col width="12.28515625" customWidth="1" style="251" min="6676" max="6676"/>
    <col width="10.42578125" customWidth="1" style="251" min="6677" max="6917"/>
    <col width="2.28515625" customWidth="1" style="251" min="6918" max="6919"/>
    <col width="35.42578125" customWidth="1" style="251" min="6920" max="6920"/>
    <col width="14.7109375" customWidth="1" style="251" min="6921" max="6921"/>
    <col width="12.85546875" customWidth="1" style="251" min="6922" max="6924"/>
    <col width="15.5703125" customWidth="1" style="251" min="6925" max="6925"/>
    <col width="12.85546875" customWidth="1" style="251" min="6926" max="6929"/>
    <col width="10.42578125" customWidth="1" style="251" min="6930" max="6931"/>
    <col width="12.28515625" customWidth="1" style="251" min="6932" max="6932"/>
    <col width="10.42578125" customWidth="1" style="251" min="6933" max="7173"/>
    <col width="2.28515625" customWidth="1" style="251" min="7174" max="7175"/>
    <col width="35.42578125" customWidth="1" style="251" min="7176" max="7176"/>
    <col width="14.7109375" customWidth="1" style="251" min="7177" max="7177"/>
    <col width="12.85546875" customWidth="1" style="251" min="7178" max="7180"/>
    <col width="15.5703125" customWidth="1" style="251" min="7181" max="7181"/>
    <col width="12.85546875" customWidth="1" style="251" min="7182" max="7185"/>
    <col width="10.42578125" customWidth="1" style="251" min="7186" max="7187"/>
    <col width="12.28515625" customWidth="1" style="251" min="7188" max="7188"/>
    <col width="10.42578125" customWidth="1" style="251" min="7189" max="7429"/>
    <col width="2.28515625" customWidth="1" style="251" min="7430" max="7431"/>
    <col width="35.42578125" customWidth="1" style="251" min="7432" max="7432"/>
    <col width="14.7109375" customWidth="1" style="251" min="7433" max="7433"/>
    <col width="12.85546875" customWidth="1" style="251" min="7434" max="7436"/>
    <col width="15.5703125" customWidth="1" style="251" min="7437" max="7437"/>
    <col width="12.85546875" customWidth="1" style="251" min="7438" max="7441"/>
    <col width="10.42578125" customWidth="1" style="251" min="7442" max="7443"/>
    <col width="12.28515625" customWidth="1" style="251" min="7444" max="7444"/>
    <col width="10.42578125" customWidth="1" style="251" min="7445" max="7685"/>
    <col width="2.28515625" customWidth="1" style="251" min="7686" max="7687"/>
    <col width="35.42578125" customWidth="1" style="251" min="7688" max="7688"/>
    <col width="14.7109375" customWidth="1" style="251" min="7689" max="7689"/>
    <col width="12.85546875" customWidth="1" style="251" min="7690" max="7692"/>
    <col width="15.5703125" customWidth="1" style="251" min="7693" max="7693"/>
    <col width="12.85546875" customWidth="1" style="251" min="7694" max="7697"/>
    <col width="10.42578125" customWidth="1" style="251" min="7698" max="7699"/>
    <col width="12.28515625" customWidth="1" style="251" min="7700" max="7700"/>
    <col width="10.42578125" customWidth="1" style="251" min="7701" max="7941"/>
    <col width="2.28515625" customWidth="1" style="251" min="7942" max="7943"/>
    <col width="35.42578125" customWidth="1" style="251" min="7944" max="7944"/>
    <col width="14.7109375" customWidth="1" style="251" min="7945" max="7945"/>
    <col width="12.85546875" customWidth="1" style="251" min="7946" max="7948"/>
    <col width="15.5703125" customWidth="1" style="251" min="7949" max="7949"/>
    <col width="12.85546875" customWidth="1" style="251" min="7950" max="7953"/>
    <col width="10.42578125" customWidth="1" style="251" min="7954" max="7955"/>
    <col width="12.28515625" customWidth="1" style="251" min="7956" max="7956"/>
    <col width="10.42578125" customWidth="1" style="251" min="7957" max="8197"/>
    <col width="2.28515625" customWidth="1" style="251" min="8198" max="8199"/>
    <col width="35.42578125" customWidth="1" style="251" min="8200" max="8200"/>
    <col width="14.7109375" customWidth="1" style="251" min="8201" max="8201"/>
    <col width="12.85546875" customWidth="1" style="251" min="8202" max="8204"/>
    <col width="15.5703125" customWidth="1" style="251" min="8205" max="8205"/>
    <col width="12.85546875" customWidth="1" style="251" min="8206" max="8209"/>
    <col width="10.42578125" customWidth="1" style="251" min="8210" max="8211"/>
    <col width="12.28515625" customWidth="1" style="251" min="8212" max="8212"/>
    <col width="10.42578125" customWidth="1" style="251" min="8213" max="8453"/>
    <col width="2.28515625" customWidth="1" style="251" min="8454" max="8455"/>
    <col width="35.42578125" customWidth="1" style="251" min="8456" max="8456"/>
    <col width="14.7109375" customWidth="1" style="251" min="8457" max="8457"/>
    <col width="12.85546875" customWidth="1" style="251" min="8458" max="8460"/>
    <col width="15.5703125" customWidth="1" style="251" min="8461" max="8461"/>
    <col width="12.85546875" customWidth="1" style="251" min="8462" max="8465"/>
    <col width="10.42578125" customWidth="1" style="251" min="8466" max="8467"/>
    <col width="12.28515625" customWidth="1" style="251" min="8468" max="8468"/>
    <col width="10.42578125" customWidth="1" style="251" min="8469" max="8709"/>
    <col width="2.28515625" customWidth="1" style="251" min="8710" max="8711"/>
    <col width="35.42578125" customWidth="1" style="251" min="8712" max="8712"/>
    <col width="14.7109375" customWidth="1" style="251" min="8713" max="8713"/>
    <col width="12.85546875" customWidth="1" style="251" min="8714" max="8716"/>
    <col width="15.5703125" customWidth="1" style="251" min="8717" max="8717"/>
    <col width="12.85546875" customWidth="1" style="251" min="8718" max="8721"/>
    <col width="10.42578125" customWidth="1" style="251" min="8722" max="8723"/>
    <col width="12.28515625" customWidth="1" style="251" min="8724" max="8724"/>
    <col width="10.42578125" customWidth="1" style="251" min="8725" max="8965"/>
    <col width="2.28515625" customWidth="1" style="251" min="8966" max="8967"/>
    <col width="35.42578125" customWidth="1" style="251" min="8968" max="8968"/>
    <col width="14.7109375" customWidth="1" style="251" min="8969" max="8969"/>
    <col width="12.85546875" customWidth="1" style="251" min="8970" max="8972"/>
    <col width="15.5703125" customWidth="1" style="251" min="8973" max="8973"/>
    <col width="12.85546875" customWidth="1" style="251" min="8974" max="8977"/>
    <col width="10.42578125" customWidth="1" style="251" min="8978" max="8979"/>
    <col width="12.28515625" customWidth="1" style="251" min="8980" max="8980"/>
    <col width="10.42578125" customWidth="1" style="251" min="8981" max="9221"/>
    <col width="2.28515625" customWidth="1" style="251" min="9222" max="9223"/>
    <col width="35.42578125" customWidth="1" style="251" min="9224" max="9224"/>
    <col width="14.7109375" customWidth="1" style="251" min="9225" max="9225"/>
    <col width="12.85546875" customWidth="1" style="251" min="9226" max="9228"/>
    <col width="15.5703125" customWidth="1" style="251" min="9229" max="9229"/>
    <col width="12.85546875" customWidth="1" style="251" min="9230" max="9233"/>
    <col width="10.42578125" customWidth="1" style="251" min="9234" max="9235"/>
    <col width="12.28515625" customWidth="1" style="251" min="9236" max="9236"/>
    <col width="10.42578125" customWidth="1" style="251" min="9237" max="9477"/>
    <col width="2.28515625" customWidth="1" style="251" min="9478" max="9479"/>
    <col width="35.42578125" customWidth="1" style="251" min="9480" max="9480"/>
    <col width="14.7109375" customWidth="1" style="251" min="9481" max="9481"/>
    <col width="12.85546875" customWidth="1" style="251" min="9482" max="9484"/>
    <col width="15.5703125" customWidth="1" style="251" min="9485" max="9485"/>
    <col width="12.85546875" customWidth="1" style="251" min="9486" max="9489"/>
    <col width="10.42578125" customWidth="1" style="251" min="9490" max="9491"/>
    <col width="12.28515625" customWidth="1" style="251" min="9492" max="9492"/>
    <col width="10.42578125" customWidth="1" style="251" min="9493" max="9733"/>
    <col width="2.28515625" customWidth="1" style="251" min="9734" max="9735"/>
    <col width="35.42578125" customWidth="1" style="251" min="9736" max="9736"/>
    <col width="14.7109375" customWidth="1" style="251" min="9737" max="9737"/>
    <col width="12.85546875" customWidth="1" style="251" min="9738" max="9740"/>
    <col width="15.5703125" customWidth="1" style="251" min="9741" max="9741"/>
    <col width="12.85546875" customWidth="1" style="251" min="9742" max="9745"/>
    <col width="10.42578125" customWidth="1" style="251" min="9746" max="9747"/>
    <col width="12.28515625" customWidth="1" style="251" min="9748" max="9748"/>
    <col width="10.42578125" customWidth="1" style="251" min="9749" max="9989"/>
    <col width="2.28515625" customWidth="1" style="251" min="9990" max="9991"/>
    <col width="35.42578125" customWidth="1" style="251" min="9992" max="9992"/>
    <col width="14.7109375" customWidth="1" style="251" min="9993" max="9993"/>
    <col width="12.85546875" customWidth="1" style="251" min="9994" max="9996"/>
    <col width="15.5703125" customWidth="1" style="251" min="9997" max="9997"/>
    <col width="12.85546875" customWidth="1" style="251" min="9998" max="10001"/>
    <col width="10.42578125" customWidth="1" style="251" min="10002" max="10003"/>
    <col width="12.28515625" customWidth="1" style="251" min="10004" max="10004"/>
    <col width="10.42578125" customWidth="1" style="251" min="10005" max="10245"/>
    <col width="2.28515625" customWidth="1" style="251" min="10246" max="10247"/>
    <col width="35.42578125" customWidth="1" style="251" min="10248" max="10248"/>
    <col width="14.7109375" customWidth="1" style="251" min="10249" max="10249"/>
    <col width="12.85546875" customWidth="1" style="251" min="10250" max="10252"/>
    <col width="15.5703125" customWidth="1" style="251" min="10253" max="10253"/>
    <col width="12.85546875" customWidth="1" style="251" min="10254" max="10257"/>
    <col width="10.42578125" customWidth="1" style="251" min="10258" max="10259"/>
    <col width="12.28515625" customWidth="1" style="251" min="10260" max="10260"/>
    <col width="10.42578125" customWidth="1" style="251" min="10261" max="10501"/>
    <col width="2.28515625" customWidth="1" style="251" min="10502" max="10503"/>
    <col width="35.42578125" customWidth="1" style="251" min="10504" max="10504"/>
    <col width="14.7109375" customWidth="1" style="251" min="10505" max="10505"/>
    <col width="12.85546875" customWidth="1" style="251" min="10506" max="10508"/>
    <col width="15.5703125" customWidth="1" style="251" min="10509" max="10509"/>
    <col width="12.85546875" customWidth="1" style="251" min="10510" max="10513"/>
    <col width="10.42578125" customWidth="1" style="251" min="10514" max="10515"/>
    <col width="12.28515625" customWidth="1" style="251" min="10516" max="10516"/>
    <col width="10.42578125" customWidth="1" style="251" min="10517" max="10757"/>
    <col width="2.28515625" customWidth="1" style="251" min="10758" max="10759"/>
    <col width="35.42578125" customWidth="1" style="251" min="10760" max="10760"/>
    <col width="14.7109375" customWidth="1" style="251" min="10761" max="10761"/>
    <col width="12.85546875" customWidth="1" style="251" min="10762" max="10764"/>
    <col width="15.5703125" customWidth="1" style="251" min="10765" max="10765"/>
    <col width="12.85546875" customWidth="1" style="251" min="10766" max="10769"/>
    <col width="10.42578125" customWidth="1" style="251" min="10770" max="10771"/>
    <col width="12.28515625" customWidth="1" style="251" min="10772" max="10772"/>
    <col width="10.42578125" customWidth="1" style="251" min="10773" max="11013"/>
    <col width="2.28515625" customWidth="1" style="251" min="11014" max="11015"/>
    <col width="35.42578125" customWidth="1" style="251" min="11016" max="11016"/>
    <col width="14.7109375" customWidth="1" style="251" min="11017" max="11017"/>
    <col width="12.85546875" customWidth="1" style="251" min="11018" max="11020"/>
    <col width="15.5703125" customWidth="1" style="251" min="11021" max="11021"/>
    <col width="12.85546875" customWidth="1" style="251" min="11022" max="11025"/>
    <col width="10.42578125" customWidth="1" style="251" min="11026" max="11027"/>
    <col width="12.28515625" customWidth="1" style="251" min="11028" max="11028"/>
    <col width="10.42578125" customWidth="1" style="251" min="11029" max="11269"/>
    <col width="2.28515625" customWidth="1" style="251" min="11270" max="11271"/>
    <col width="35.42578125" customWidth="1" style="251" min="11272" max="11272"/>
    <col width="14.7109375" customWidth="1" style="251" min="11273" max="11273"/>
    <col width="12.85546875" customWidth="1" style="251" min="11274" max="11276"/>
    <col width="15.5703125" customWidth="1" style="251" min="11277" max="11277"/>
    <col width="12.85546875" customWidth="1" style="251" min="11278" max="11281"/>
    <col width="10.42578125" customWidth="1" style="251" min="11282" max="11283"/>
    <col width="12.28515625" customWidth="1" style="251" min="11284" max="11284"/>
    <col width="10.42578125" customWidth="1" style="251" min="11285" max="11525"/>
    <col width="2.28515625" customWidth="1" style="251" min="11526" max="11527"/>
    <col width="35.42578125" customWidth="1" style="251" min="11528" max="11528"/>
    <col width="14.7109375" customWidth="1" style="251" min="11529" max="11529"/>
    <col width="12.85546875" customWidth="1" style="251" min="11530" max="11532"/>
    <col width="15.5703125" customWidth="1" style="251" min="11533" max="11533"/>
    <col width="12.85546875" customWidth="1" style="251" min="11534" max="11537"/>
    <col width="10.42578125" customWidth="1" style="251" min="11538" max="11539"/>
    <col width="12.28515625" customWidth="1" style="251" min="11540" max="11540"/>
    <col width="10.42578125" customWidth="1" style="251" min="11541" max="11781"/>
    <col width="2.28515625" customWidth="1" style="251" min="11782" max="11783"/>
    <col width="35.42578125" customWidth="1" style="251" min="11784" max="11784"/>
    <col width="14.7109375" customWidth="1" style="251" min="11785" max="11785"/>
    <col width="12.85546875" customWidth="1" style="251" min="11786" max="11788"/>
    <col width="15.5703125" customWidth="1" style="251" min="11789" max="11789"/>
    <col width="12.85546875" customWidth="1" style="251" min="11790" max="11793"/>
    <col width="10.42578125" customWidth="1" style="251" min="11794" max="11795"/>
    <col width="12.28515625" customWidth="1" style="251" min="11796" max="11796"/>
    <col width="10.42578125" customWidth="1" style="251" min="11797" max="12037"/>
    <col width="2.28515625" customWidth="1" style="251" min="12038" max="12039"/>
    <col width="35.42578125" customWidth="1" style="251" min="12040" max="12040"/>
    <col width="14.7109375" customWidth="1" style="251" min="12041" max="12041"/>
    <col width="12.85546875" customWidth="1" style="251" min="12042" max="12044"/>
    <col width="15.5703125" customWidth="1" style="251" min="12045" max="12045"/>
    <col width="12.85546875" customWidth="1" style="251" min="12046" max="12049"/>
    <col width="10.42578125" customWidth="1" style="251" min="12050" max="12051"/>
    <col width="12.28515625" customWidth="1" style="251" min="12052" max="12052"/>
    <col width="10.42578125" customWidth="1" style="251" min="12053" max="12293"/>
    <col width="2.28515625" customWidth="1" style="251" min="12294" max="12295"/>
    <col width="35.42578125" customWidth="1" style="251" min="12296" max="12296"/>
    <col width="14.7109375" customWidth="1" style="251" min="12297" max="12297"/>
    <col width="12.85546875" customWidth="1" style="251" min="12298" max="12300"/>
    <col width="15.5703125" customWidth="1" style="251" min="12301" max="12301"/>
    <col width="12.85546875" customWidth="1" style="251" min="12302" max="12305"/>
    <col width="10.42578125" customWidth="1" style="251" min="12306" max="12307"/>
    <col width="12.28515625" customWidth="1" style="251" min="12308" max="12308"/>
    <col width="10.42578125" customWidth="1" style="251" min="12309" max="12549"/>
    <col width="2.28515625" customWidth="1" style="251" min="12550" max="12551"/>
    <col width="35.42578125" customWidth="1" style="251" min="12552" max="12552"/>
    <col width="14.7109375" customWidth="1" style="251" min="12553" max="12553"/>
    <col width="12.85546875" customWidth="1" style="251" min="12554" max="12556"/>
    <col width="15.5703125" customWidth="1" style="251" min="12557" max="12557"/>
    <col width="12.85546875" customWidth="1" style="251" min="12558" max="12561"/>
    <col width="10.42578125" customWidth="1" style="251" min="12562" max="12563"/>
    <col width="12.28515625" customWidth="1" style="251" min="12564" max="12564"/>
    <col width="10.42578125" customWidth="1" style="251" min="12565" max="12805"/>
    <col width="2.28515625" customWidth="1" style="251" min="12806" max="12807"/>
    <col width="35.42578125" customWidth="1" style="251" min="12808" max="12808"/>
    <col width="14.7109375" customWidth="1" style="251" min="12809" max="12809"/>
    <col width="12.85546875" customWidth="1" style="251" min="12810" max="12812"/>
    <col width="15.5703125" customWidth="1" style="251" min="12813" max="12813"/>
    <col width="12.85546875" customWidth="1" style="251" min="12814" max="12817"/>
    <col width="10.42578125" customWidth="1" style="251" min="12818" max="12819"/>
    <col width="12.28515625" customWidth="1" style="251" min="12820" max="12820"/>
    <col width="10.42578125" customWidth="1" style="251" min="12821" max="13061"/>
    <col width="2.28515625" customWidth="1" style="251" min="13062" max="13063"/>
    <col width="35.42578125" customWidth="1" style="251" min="13064" max="13064"/>
    <col width="14.7109375" customWidth="1" style="251" min="13065" max="13065"/>
    <col width="12.85546875" customWidth="1" style="251" min="13066" max="13068"/>
    <col width="15.5703125" customWidth="1" style="251" min="13069" max="13069"/>
    <col width="12.85546875" customWidth="1" style="251" min="13070" max="13073"/>
    <col width="10.42578125" customWidth="1" style="251" min="13074" max="13075"/>
    <col width="12.28515625" customWidth="1" style="251" min="13076" max="13076"/>
    <col width="10.42578125" customWidth="1" style="251" min="13077" max="13317"/>
    <col width="2.28515625" customWidth="1" style="251" min="13318" max="13319"/>
    <col width="35.42578125" customWidth="1" style="251" min="13320" max="13320"/>
    <col width="14.7109375" customWidth="1" style="251" min="13321" max="13321"/>
    <col width="12.85546875" customWidth="1" style="251" min="13322" max="13324"/>
    <col width="15.5703125" customWidth="1" style="251" min="13325" max="13325"/>
    <col width="12.85546875" customWidth="1" style="251" min="13326" max="13329"/>
    <col width="10.42578125" customWidth="1" style="251" min="13330" max="13331"/>
    <col width="12.28515625" customWidth="1" style="251" min="13332" max="13332"/>
    <col width="10.42578125" customWidth="1" style="251" min="13333" max="13573"/>
    <col width="2.28515625" customWidth="1" style="251" min="13574" max="13575"/>
    <col width="35.42578125" customWidth="1" style="251" min="13576" max="13576"/>
    <col width="14.7109375" customWidth="1" style="251" min="13577" max="13577"/>
    <col width="12.85546875" customWidth="1" style="251" min="13578" max="13580"/>
    <col width="15.5703125" customWidth="1" style="251" min="13581" max="13581"/>
    <col width="12.85546875" customWidth="1" style="251" min="13582" max="13585"/>
    <col width="10.42578125" customWidth="1" style="251" min="13586" max="13587"/>
    <col width="12.28515625" customWidth="1" style="251" min="13588" max="13588"/>
    <col width="10.42578125" customWidth="1" style="251" min="13589" max="13829"/>
    <col width="2.28515625" customWidth="1" style="251" min="13830" max="13831"/>
    <col width="35.42578125" customWidth="1" style="251" min="13832" max="13832"/>
    <col width="14.7109375" customWidth="1" style="251" min="13833" max="13833"/>
    <col width="12.85546875" customWidth="1" style="251" min="13834" max="13836"/>
    <col width="15.5703125" customWidth="1" style="251" min="13837" max="13837"/>
    <col width="12.85546875" customWidth="1" style="251" min="13838" max="13841"/>
    <col width="10.42578125" customWidth="1" style="251" min="13842" max="13843"/>
    <col width="12.28515625" customWidth="1" style="251" min="13844" max="13844"/>
    <col width="10.42578125" customWidth="1" style="251" min="13845" max="14085"/>
    <col width="2.28515625" customWidth="1" style="251" min="14086" max="14087"/>
    <col width="35.42578125" customWidth="1" style="251" min="14088" max="14088"/>
    <col width="14.7109375" customWidth="1" style="251" min="14089" max="14089"/>
    <col width="12.85546875" customWidth="1" style="251" min="14090" max="14092"/>
    <col width="15.5703125" customWidth="1" style="251" min="14093" max="14093"/>
    <col width="12.85546875" customWidth="1" style="251" min="14094" max="14097"/>
    <col width="10.42578125" customWidth="1" style="251" min="14098" max="14099"/>
    <col width="12.28515625" customWidth="1" style="251" min="14100" max="14100"/>
    <col width="10.42578125" customWidth="1" style="251" min="14101" max="14341"/>
    <col width="2.28515625" customWidth="1" style="251" min="14342" max="14343"/>
    <col width="35.42578125" customWidth="1" style="251" min="14344" max="14344"/>
    <col width="14.7109375" customWidth="1" style="251" min="14345" max="14345"/>
    <col width="12.85546875" customWidth="1" style="251" min="14346" max="14348"/>
    <col width="15.5703125" customWidth="1" style="251" min="14349" max="14349"/>
    <col width="12.85546875" customWidth="1" style="251" min="14350" max="14353"/>
    <col width="10.42578125" customWidth="1" style="251" min="14354" max="14355"/>
    <col width="12.28515625" customWidth="1" style="251" min="14356" max="14356"/>
    <col width="10.42578125" customWidth="1" style="251" min="14357" max="14597"/>
    <col width="2.28515625" customWidth="1" style="251" min="14598" max="14599"/>
    <col width="35.42578125" customWidth="1" style="251" min="14600" max="14600"/>
    <col width="14.7109375" customWidth="1" style="251" min="14601" max="14601"/>
    <col width="12.85546875" customWidth="1" style="251" min="14602" max="14604"/>
    <col width="15.5703125" customWidth="1" style="251" min="14605" max="14605"/>
    <col width="12.85546875" customWidth="1" style="251" min="14606" max="14609"/>
    <col width="10.42578125" customWidth="1" style="251" min="14610" max="14611"/>
    <col width="12.28515625" customWidth="1" style="251" min="14612" max="14612"/>
    <col width="10.42578125" customWidth="1" style="251" min="14613" max="14853"/>
    <col width="2.28515625" customWidth="1" style="251" min="14854" max="14855"/>
    <col width="35.42578125" customWidth="1" style="251" min="14856" max="14856"/>
    <col width="14.7109375" customWidth="1" style="251" min="14857" max="14857"/>
    <col width="12.85546875" customWidth="1" style="251" min="14858" max="14860"/>
    <col width="15.5703125" customWidth="1" style="251" min="14861" max="14861"/>
    <col width="12.85546875" customWidth="1" style="251" min="14862" max="14865"/>
    <col width="10.42578125" customWidth="1" style="251" min="14866" max="14867"/>
    <col width="12.28515625" customWidth="1" style="251" min="14868" max="14868"/>
    <col width="10.42578125" customWidth="1" style="251" min="14869" max="15109"/>
    <col width="2.28515625" customWidth="1" style="251" min="15110" max="15111"/>
    <col width="35.42578125" customWidth="1" style="251" min="15112" max="15112"/>
    <col width="14.7109375" customWidth="1" style="251" min="15113" max="15113"/>
    <col width="12.85546875" customWidth="1" style="251" min="15114" max="15116"/>
    <col width="15.5703125" customWidth="1" style="251" min="15117" max="15117"/>
    <col width="12.85546875" customWidth="1" style="251" min="15118" max="15121"/>
    <col width="10.42578125" customWidth="1" style="251" min="15122" max="15123"/>
    <col width="12.28515625" customWidth="1" style="251" min="15124" max="15124"/>
    <col width="10.42578125" customWidth="1" style="251" min="15125" max="15365"/>
    <col width="2.28515625" customWidth="1" style="251" min="15366" max="15367"/>
    <col width="35.42578125" customWidth="1" style="251" min="15368" max="15368"/>
    <col width="14.7109375" customWidth="1" style="251" min="15369" max="15369"/>
    <col width="12.85546875" customWidth="1" style="251" min="15370" max="15372"/>
    <col width="15.5703125" customWidth="1" style="251" min="15373" max="15373"/>
    <col width="12.85546875" customWidth="1" style="251" min="15374" max="15377"/>
    <col width="10.42578125" customWidth="1" style="251" min="15378" max="15379"/>
    <col width="12.28515625" customWidth="1" style="251" min="15380" max="15380"/>
    <col width="10.42578125" customWidth="1" style="251" min="15381" max="15621"/>
    <col width="2.28515625" customWidth="1" style="251" min="15622" max="15623"/>
    <col width="35.42578125" customWidth="1" style="251" min="15624" max="15624"/>
    <col width="14.7109375" customWidth="1" style="251" min="15625" max="15625"/>
    <col width="12.85546875" customWidth="1" style="251" min="15626" max="15628"/>
    <col width="15.5703125" customWidth="1" style="251" min="15629" max="15629"/>
    <col width="12.85546875" customWidth="1" style="251" min="15630" max="15633"/>
    <col width="10.42578125" customWidth="1" style="251" min="15634" max="15635"/>
    <col width="12.28515625" customWidth="1" style="251" min="15636" max="15636"/>
    <col width="10.42578125" customWidth="1" style="251" min="15637" max="15877"/>
    <col width="2.28515625" customWidth="1" style="251" min="15878" max="15879"/>
    <col width="35.42578125" customWidth="1" style="251" min="15880" max="15880"/>
    <col width="14.7109375" customWidth="1" style="251" min="15881" max="15881"/>
    <col width="12.85546875" customWidth="1" style="251" min="15882" max="15884"/>
    <col width="15.5703125" customWidth="1" style="251" min="15885" max="15885"/>
    <col width="12.85546875" customWidth="1" style="251" min="15886" max="15889"/>
    <col width="10.42578125" customWidth="1" style="251" min="15890" max="15891"/>
    <col width="12.28515625" customWidth="1" style="251" min="15892" max="15892"/>
    <col width="10.42578125" customWidth="1" style="251" min="15893" max="16133"/>
    <col width="2.28515625" customWidth="1" style="251" min="16134" max="16135"/>
    <col width="35.42578125" customWidth="1" style="251" min="16136" max="16136"/>
    <col width="14.7109375" customWidth="1" style="251" min="16137" max="16137"/>
    <col width="12.85546875" customWidth="1" style="251" min="16138" max="16140"/>
    <col width="15.5703125" customWidth="1" style="251" min="16141" max="16141"/>
    <col width="12.85546875" customWidth="1" style="251" min="16142" max="16145"/>
    <col width="10.42578125" customWidth="1" style="251" min="16146" max="16147"/>
    <col width="12.28515625" customWidth="1" style="251" min="16148" max="16148"/>
    <col width="10.42578125" customWidth="1" style="251" min="16149" max="16384"/>
  </cols>
  <sheetData>
    <row r="1" ht="6.75" customFormat="1" customHeight="1" s="93"/>
    <row r="2" ht="6.75" customFormat="1" customHeight="1" s="93"/>
    <row r="3">
      <c r="C3" s="251" t="inlineStr">
        <is>
          <t>Discounted Cash Flow Model</t>
        </is>
      </c>
    </row>
    <row r="4" ht="13.5" customHeight="1">
      <c r="C4" s="94" t="inlineStr">
        <is>
          <t>All figures in millions, except per share data</t>
        </is>
      </c>
      <c r="D4" s="94" t="n"/>
      <c r="E4" s="94" t="n"/>
      <c r="F4" s="94" t="n"/>
      <c r="G4" s="94" t="n"/>
      <c r="H4" s="94" t="n"/>
      <c r="I4" s="94" t="n"/>
      <c r="J4" s="94" t="n"/>
      <c r="K4" s="94" t="n"/>
      <c r="L4" s="94" t="n"/>
      <c r="M4" s="94" t="n"/>
      <c r="N4" s="94" t="n"/>
      <c r="O4" s="94" t="n"/>
      <c r="P4" s="94" t="n"/>
      <c r="Q4" s="94" t="n"/>
      <c r="R4" s="94" t="n"/>
      <c r="S4" s="94" t="n"/>
      <c r="T4" s="94" t="n"/>
      <c r="U4" s="94" t="n"/>
      <c r="V4" s="94" t="n"/>
    </row>
    <row r="5"/>
    <row r="6"/>
    <row r="7">
      <c r="C7" s="251" t="inlineStr">
        <is>
          <t>Ticker</t>
        </is>
      </c>
      <c r="D7" s="95" t="str">
        <f>IFERROR(IF(Control!B4="","",Control!B4),"")</f>
        <v>CEG</v>
      </c>
      <c r="F7" s="251" t="inlineStr">
        <is>
          <t>Last close</t>
        </is>
      </c>
      <c r="G7" s="96" t="str">
        <f>IFERROR(IF(Control!E4="","",Control!E4),"")</f>
        <v/>
      </c>
    </row>
    <row r="8">
      <c r="C8" s="251" t="inlineStr">
        <is>
          <t>Operating scenario:</t>
        </is>
      </c>
      <c r="D8" s="97" t="str">
        <f>IFERROR(IF(Control!B10=1,"Bull Case",IF(Control!B10=2,"Base Case","Bear Case")),"")</f>
        <v>Base Case</v>
      </c>
    </row>
    <row r="9">
      <c r="C9" s="251" t="inlineStr">
        <is>
          <t>Last fiscal year end date:</t>
        </is>
      </c>
      <c r="D9" s="98" t="str">
        <f>IFERROR(IF(Control!B12="","",DATE(YEAR(Control!B12)-1,12,31)),"")</f>
        <v/>
      </c>
    </row>
    <row r="10">
      <c r="C10" s="251" t="inlineStr">
        <is>
          <t>Valuation / deal date:</t>
        </is>
      </c>
      <c r="D10" s="98" t="str">
        <f>IFERROR(IF(Control!B12="","",Control!B12),"")</f>
        <v/>
      </c>
    </row>
    <row r="11">
      <c r="C11" s="251" t="inlineStr">
        <is>
          <t>Stub year fraction:</t>
        </is>
      </c>
      <c r="D11" s="99" t="str">
        <f>IFERROR(IF(Control!B12="","",Control!B13),"")</f>
        <v/>
      </c>
      <c r="E11" s="100" t="n"/>
      <c r="I11" s="101" t="n"/>
      <c r="O11" s="102" t="n"/>
      <c r="Z11" s="103" t="n"/>
    </row>
    <row r="12">
      <c r="C12" s="251" t="inlineStr">
        <is>
          <t>Weighted average cost of capital:</t>
        </is>
      </c>
      <c r="D12" s="99" t="str">
        <f>IFERROR(IF(Control!E12="","",Control!E12),"")</f>
        <v/>
      </c>
      <c r="I12" s="101" t="n"/>
    </row>
    <row r="13">
      <c r="D13" s="99" t="n"/>
      <c r="E13" s="99" t="n"/>
    </row>
    <row r="14" ht="14.85" customHeight="1">
      <c r="C14" s="104" t="inlineStr">
        <is>
          <t>Historicals</t>
        </is>
      </c>
      <c r="D14" s="104" t="n"/>
      <c r="E14" s="104" t="n"/>
      <c r="F14" s="104" t="n"/>
      <c r="G14" s="250" t="inlineStr">
        <is>
          <t>Projected Annual Forecast</t>
        </is>
      </c>
    </row>
    <row r="15">
      <c r="C15" s="105" t="n"/>
      <c r="D15" s="105" t="n"/>
      <c r="E15" s="105" t="n"/>
      <c r="F15" s="105" t="n"/>
      <c r="G15" s="256" t="inlineStr">
        <is>
          <t>Granular</t>
        </is>
      </c>
      <c r="H15" s="253" t="n"/>
      <c r="I15" s="253" t="n"/>
      <c r="J15" s="253" t="n"/>
      <c r="K15" s="253" t="n"/>
      <c r="L15" s="253" t="n"/>
      <c r="M15" s="253" t="n"/>
      <c r="N15" s="253" t="n"/>
      <c r="O15" s="253" t="n"/>
      <c r="P15" s="253" t="n"/>
      <c r="Q15" s="253" t="n"/>
      <c r="R15" s="253" t="n"/>
      <c r="S15" s="253" t="n"/>
      <c r="T15" s="253" t="n"/>
      <c r="U15" s="253" t="n"/>
      <c r="V15" s="253" t="n"/>
      <c r="X15" s="106" t="n"/>
      <c r="Y15" s="107" t="n"/>
      <c r="Z15" s="107" t="n"/>
    </row>
    <row r="16">
      <c r="D16" s="108" t="n">
        <v>2023</v>
      </c>
      <c r="E16" s="108" t="n">
        <v>2024</v>
      </c>
      <c r="F16" s="108" t="n">
        <v>2025</v>
      </c>
      <c r="G16" s="108" t="n">
        <v>2026</v>
      </c>
      <c r="H16" s="108" t="n">
        <v>2027</v>
      </c>
      <c r="I16" s="108" t="n">
        <v>2028</v>
      </c>
      <c r="J16" s="108" t="n">
        <v>2029</v>
      </c>
      <c r="K16" s="108" t="n">
        <v>2030</v>
      </c>
      <c r="L16" s="108" t="n"/>
      <c r="M16" s="108" t="n"/>
      <c r="N16" s="108" t="n"/>
      <c r="O16" s="108" t="n"/>
      <c r="P16" s="108" t="n"/>
      <c r="Q16" s="108" t="n"/>
      <c r="R16" s="108" t="n"/>
      <c r="S16" s="108" t="n"/>
      <c r="T16" s="108" t="n"/>
      <c r="U16" s="108" t="n"/>
      <c r="V16" s="108" t="n"/>
      <c r="W16" s="108" t="n"/>
      <c r="X16" s="107" t="n"/>
      <c r="Y16" s="107" t="n"/>
      <c r="Z16" s="107" t="n"/>
    </row>
    <row r="17">
      <c r="C17" s="109" t="n"/>
      <c r="D17" s="110" t="n">
        <v>45291</v>
      </c>
      <c r="E17" s="110" t="n">
        <v>45657</v>
      </c>
      <c r="F17" s="110" t="n">
        <v>46022</v>
      </c>
      <c r="G17" s="110" t="n">
        <v>46387</v>
      </c>
      <c r="H17" s="110" t="n">
        <v>46752</v>
      </c>
      <c r="I17" s="110" t="n">
        <v>47118</v>
      </c>
      <c r="J17" s="110" t="n">
        <v>47483</v>
      </c>
      <c r="K17" s="110" t="n">
        <v>47848</v>
      </c>
      <c r="L17" s="110" t="n"/>
      <c r="M17" s="110" t="n"/>
      <c r="N17" s="110" t="n"/>
      <c r="O17" s="110" t="n"/>
      <c r="P17" s="110" t="n"/>
      <c r="Q17" s="110" t="n"/>
      <c r="R17" s="110" t="n"/>
      <c r="S17" s="110" t="n"/>
      <c r="T17" s="110" t="n"/>
      <c r="U17" s="110" t="n"/>
      <c r="V17" s="110" t="n"/>
      <c r="W17" s="111" t="n"/>
      <c r="X17" s="107" t="n"/>
      <c r="Y17" s="107" t="n"/>
      <c r="Z17" s="107" t="n"/>
    </row>
    <row r="18">
      <c r="C18" s="112" t="inlineStr">
        <is>
          <t>Net Revenues</t>
        </is>
      </c>
      <c r="D18" s="113">
        <f>IFERROR(Model!W15,"")</f>
        <v>24918</v>
      </c>
      <c r="E18" s="113">
        <f>IFERROR(Model!AB15,"")</f>
        <v>23568</v>
      </c>
      <c r="F18" s="113">
        <f>IFERROR(Model!AG15,"")</f>
        <v>25533</v>
      </c>
      <c r="G18" s="113">
        <f>IFERROR(Model!AL15,"")</f>
        <v>33832.8950444076</v>
      </c>
      <c r="H18" s="113">
        <f>IFERROR(Model!AQ15,"")</f>
        <v>40690.7057884185</v>
      </c>
      <c r="I18" s="113">
        <f>IFERROR(Model!AV15,"")</f>
        <v>48735.1175092853</v>
      </c>
      <c r="J18" s="113">
        <f>IFERROR(Model!BA15,"")</f>
        <v>58126.2060014787</v>
      </c>
      <c r="K18" s="113">
        <f>IFERROR(Model!BF15,"")</f>
        <v>69036.2937174834</v>
      </c>
      <c r="L18" s="113" t="n"/>
      <c r="M18" s="113" t="n"/>
      <c r="N18" s="113" t="n"/>
      <c r="O18" s="113" t="n"/>
      <c r="P18" s="113" t="n"/>
      <c r="Q18" s="113" t="n"/>
      <c r="R18" s="113" t="n"/>
      <c r="S18" s="113" t="n"/>
      <c r="T18" s="113" t="n"/>
      <c r="U18" s="113" t="n"/>
      <c r="V18" s="114" t="n"/>
      <c r="X18" s="115" t="n"/>
      <c r="Y18" s="115" t="n"/>
      <c r="Z18" s="107" t="n"/>
    </row>
    <row r="19">
      <c r="C19" s="116" t="n"/>
      <c r="D19" s="109" t="str">
        <f>IFERROR("","")</f>
        <v/>
      </c>
      <c r="E19" s="117">
        <f>IFERROR(IF(D18=0,"",E18/D18-1),"")</f>
        <v>-0.0541777028653985</v>
      </c>
      <c r="F19" s="117">
        <f>IFERROR(IF(E18=0,"",F18/E18-1),"")</f>
        <v>0.0833757637474542</v>
      </c>
      <c r="G19" s="117">
        <f>IFERROR(IF(F18=0,"",G18/F18-1),"")</f>
        <v>0.32506540729282</v>
      </c>
      <c r="H19" s="117">
        <f>IFERROR(IF(G18=0,"",H18/G18-1),"")</f>
        <v>0.202696539418505</v>
      </c>
      <c r="I19" s="117">
        <f>IFERROR(IF(H18=0,"",I18/H18-1),"")</f>
        <v>0.197696539418504</v>
      </c>
      <c r="J19" s="117">
        <f>IFERROR(IF(I18=0,"",J18/I18-1),"")</f>
        <v>0.192696539418505</v>
      </c>
      <c r="K19" s="117">
        <f>IFERROR(IF(J18=0,"",K18/J18-1),"")</f>
        <v>0.187696539418504</v>
      </c>
      <c r="L19" s="117" t="n"/>
      <c r="M19" s="117" t="n"/>
      <c r="N19" s="117" t="n"/>
      <c r="O19" s="117" t="n"/>
      <c r="P19" s="117" t="n"/>
      <c r="Q19" s="117" t="n"/>
      <c r="R19" s="117" t="n"/>
      <c r="S19" s="117" t="n"/>
      <c r="T19" s="117" t="n"/>
      <c r="U19" s="117" t="n"/>
      <c r="V19" s="118" t="n"/>
      <c r="X19" s="107" t="n"/>
      <c r="Y19" s="107" t="n"/>
      <c r="Z19" s="107" t="n"/>
    </row>
    <row r="20">
      <c r="C20" s="119" t="inlineStr">
        <is>
          <t>EBITDA</t>
        </is>
      </c>
      <c r="D20" s="113">
        <f>IFERROR(Model!W57,"")</f>
        <v>4124</v>
      </c>
      <c r="E20" s="113">
        <f>IFERROR(Model!AB57,"")</f>
        <v>7052</v>
      </c>
      <c r="F20" s="113">
        <f>IFERROR(Model!AG57,"")</f>
        <v>5687</v>
      </c>
      <c r="G20" s="113">
        <f>IFERROR(Model!AL57,"")</f>
        <v>8942.65277962457</v>
      </c>
      <c r="H20" s="113">
        <f>IFERROR(Model!AQ57,"")</f>
        <v>9800.54943666131</v>
      </c>
      <c r="I20" s="113">
        <f>IFERROR(Model!AV57,"")</f>
        <v>11738.0841446892</v>
      </c>
      <c r="J20" s="113">
        <f>IFERROR(Model!BA57,"")</f>
        <v>13999.9723387741</v>
      </c>
      <c r="K20" s="113">
        <f>IFERROR(Model!BF57,"")</f>
        <v>16627.7186987167</v>
      </c>
      <c r="L20" s="113" t="n"/>
      <c r="M20" s="120" t="n"/>
      <c r="N20" s="120" t="n"/>
      <c r="O20" s="120" t="n"/>
      <c r="P20" s="120" t="n"/>
      <c r="Q20" s="120" t="n"/>
      <c r="R20" s="120" t="n"/>
      <c r="S20" s="120" t="n"/>
      <c r="T20" s="120" t="n"/>
      <c r="U20" s="120" t="n"/>
      <c r="V20" s="121" t="n"/>
      <c r="X20" s="107" t="n"/>
      <c r="Y20" s="107" t="n"/>
      <c r="Z20" s="107" t="n"/>
    </row>
    <row r="21">
      <c r="C21" s="116" t="n"/>
      <c r="D21" s="122">
        <f>IFERROR(IF(D18=0,"",D20/D18),"")</f>
        <v>0.165502849345854</v>
      </c>
      <c r="E21" s="122">
        <f>IFERROR(IF(E18=0,"",E20/E18),"")</f>
        <v>0.299219280380177</v>
      </c>
      <c r="F21" s="122">
        <f>IFERROR(IF(F18=0,"",F20/F18),"")</f>
        <v>0.222731367250225</v>
      </c>
      <c r="G21" s="122">
        <f>IFERROR(IF(G18=0,"",G20/G18),"")</f>
        <v>0.264318284553741</v>
      </c>
      <c r="H21" s="122">
        <f>IFERROR(IF(H18=0,"",H20/H18),"")</f>
        <v>0.240854741808159</v>
      </c>
      <c r="I21" s="122">
        <f>IFERROR(IF(I18=0,"",I20/I18),"")</f>
        <v>0.240854741808159</v>
      </c>
      <c r="J21" s="122">
        <f>IFERROR(IF(J18=0,"",J20/J18),"")</f>
        <v>0.240854741808159</v>
      </c>
      <c r="K21" s="122">
        <f>IFERROR(IF(K18=0,"",K20/K18),"")</f>
        <v>0.24085474180816</v>
      </c>
      <c r="L21" s="122" t="n"/>
      <c r="M21" s="109" t="n"/>
      <c r="N21" s="109" t="n"/>
      <c r="O21" s="109" t="n"/>
      <c r="P21" s="109" t="n"/>
      <c r="Q21" s="109" t="n"/>
      <c r="R21" s="109" t="n"/>
      <c r="S21" s="109" t="n"/>
      <c r="T21" s="109" t="n"/>
      <c r="U21" s="109" t="n"/>
      <c r="V21" s="123" t="n"/>
      <c r="X21" s="115" t="n"/>
      <c r="Y21" s="115" t="n"/>
      <c r="Z21" s="107" t="n"/>
    </row>
    <row r="22">
      <c r="C22" s="112" t="inlineStr">
        <is>
          <t>EBIT</t>
        </is>
      </c>
      <c r="D22" s="113">
        <f>IFERROR(Model!W61,"")</f>
        <v>1610</v>
      </c>
      <c r="E22" s="113">
        <f>IFERROR(Model!AB61,"")</f>
        <v>4352</v>
      </c>
      <c r="F22" s="113">
        <f>IFERROR(Model!AG61,"")</f>
        <v>3086</v>
      </c>
      <c r="G22" s="113">
        <f>IFERROR(Model!AL61,"")</f>
        <v>4871.23789985064</v>
      </c>
      <c r="H22" s="113">
        <f>IFERROR(Model!AQ61,"")</f>
        <v>5242.54114462766</v>
      </c>
      <c r="I22" s="113">
        <f>IFERROR(Model!AV61,"")</f>
        <v>6278.97338667967</v>
      </c>
      <c r="J22" s="113">
        <f>IFERROR(Model!BA61,"")</f>
        <v>7488.90982939374</v>
      </c>
      <c r="K22" s="113">
        <f>IFERROR(Model!BF61,"")</f>
        <v>8894.55228838816</v>
      </c>
      <c r="L22" s="113" t="n"/>
      <c r="M22" s="113" t="n"/>
      <c r="N22" s="113" t="n"/>
      <c r="O22" s="113" t="n"/>
      <c r="P22" s="113" t="n"/>
      <c r="Q22" s="113" t="n"/>
      <c r="R22" s="113" t="n"/>
      <c r="S22" s="113" t="n"/>
      <c r="T22" s="113" t="n"/>
      <c r="U22" s="113" t="n"/>
      <c r="V22" s="114" t="n"/>
      <c r="X22" s="115" t="n"/>
      <c r="Y22" s="115" t="n"/>
      <c r="Z22" s="107" t="n"/>
    </row>
    <row r="23">
      <c r="C23" s="116" t="n"/>
      <c r="D23" s="122">
        <f>IFERROR(IF(D18=0,"",D22/D18),"")</f>
        <v>0.0646119271209567</v>
      </c>
      <c r="E23" s="122">
        <f>IFERROR(IF(E18=0,"",E22/E18),"")</f>
        <v>0.184657162253904</v>
      </c>
      <c r="F23" s="122">
        <f>IFERROR(IF(F18=0,"",F22/F18),"")</f>
        <v>0.120863196647476</v>
      </c>
      <c r="G23" s="122">
        <f>IFERROR(IF(G18=0,"",G22/G18),"")</f>
        <v>0.143979340031554</v>
      </c>
      <c r="H23" s="122">
        <f>IFERROR(IF(H18=0,"",H22/H18),"")</f>
        <v>0.128838786230142</v>
      </c>
      <c r="I23" s="122">
        <f>IFERROR(IF(I18=0,"",I22/I18),"")</f>
        <v>0.128838786230142</v>
      </c>
      <c r="J23" s="122">
        <f>IFERROR(IF(J18=0,"",J22/J18),"")</f>
        <v>0.128838786230142</v>
      </c>
      <c r="K23" s="122">
        <f>IFERROR(IF(K18=0,"",K22/K18),"")</f>
        <v>0.128838786230142</v>
      </c>
      <c r="L23" s="122" t="n"/>
      <c r="M23" s="122" t="n"/>
      <c r="N23" s="122" t="n"/>
      <c r="O23" s="122" t="n"/>
      <c r="P23" s="122" t="n"/>
      <c r="Q23" s="122" t="n"/>
      <c r="R23" s="122" t="n"/>
      <c r="S23" s="122" t="n"/>
      <c r="T23" s="122" t="n"/>
      <c r="U23" s="122" t="n"/>
      <c r="V23" s="124" t="n"/>
      <c r="X23" s="107" t="n"/>
      <c r="Y23" s="107" t="n"/>
      <c r="Z23" s="107" t="n"/>
    </row>
    <row r="24">
      <c r="C24" s="112" t="inlineStr">
        <is>
          <t>Tax rate</t>
        </is>
      </c>
      <c r="D24" s="125">
        <f>IFERROR(Model!W120,"")</f>
        <v>0.351450756027789</v>
      </c>
      <c r="E24" s="125">
        <f>IFERROR(Model!AB120,"")</f>
        <v>0.171390611160319</v>
      </c>
      <c r="F24" s="125">
        <f>IFERROR(Model!AG120,"")</f>
        <v>0.338080318997437</v>
      </c>
      <c r="G24" s="125">
        <f>IFERROR(Model!AL120,"")</f>
        <v>0.310599793456878</v>
      </c>
      <c r="H24" s="125">
        <f>IFERROR(Model!AQ120,"")</f>
        <v>0.315216201163042</v>
      </c>
      <c r="I24" s="125">
        <f>IFERROR(Model!AV120,"")</f>
        <v>0.315216201163042</v>
      </c>
      <c r="J24" s="125">
        <f>IFERROR(Model!BA120,"")</f>
        <v>0.315216201163042</v>
      </c>
      <c r="K24" s="125">
        <f>IFERROR(Model!BF120,"")</f>
        <v>0.315216201163042</v>
      </c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6" t="n"/>
      <c r="X24" s="107" t="n"/>
      <c r="Y24" s="107" t="n"/>
      <c r="Z24" s="107" t="n"/>
    </row>
    <row r="25">
      <c r="C25" s="116" t="inlineStr">
        <is>
          <t>NOPLAT</t>
        </is>
      </c>
      <c r="D25" s="127">
        <f>IFERROR(D22*(1-D24),"")</f>
        <v>1044.16428279526</v>
      </c>
      <c r="E25" s="127">
        <f>IFERROR(E22*(1-E24),"")</f>
        <v>3606.10806023029</v>
      </c>
      <c r="F25" s="127">
        <f>IFERROR(F22*(1-F24),"")</f>
        <v>2042.68413557391</v>
      </c>
      <c r="G25" s="127">
        <f>IFERROR(G22*(1-G24),"")</f>
        <v>3358.23241427771</v>
      </c>
      <c r="H25" s="127">
        <f>IFERROR(H22*(1-H24),"")</f>
        <v>3590.00724057719</v>
      </c>
      <c r="I25" s="127">
        <f>IFERROR(I22*(1-I24),"")</f>
        <v>4299.73924852667</v>
      </c>
      <c r="J25" s="127">
        <f>IFERROR(J22*(1-J24),"")</f>
        <v>5128.28412211968</v>
      </c>
      <c r="K25" s="127">
        <f>IFERROR(K22*(1-K24),"")</f>
        <v>6090.84530499641</v>
      </c>
      <c r="L25" s="127" t="n"/>
      <c r="M25" s="127" t="n"/>
      <c r="N25" s="127" t="n"/>
      <c r="O25" s="127" t="n"/>
      <c r="P25" s="127" t="n"/>
      <c r="Q25" s="127" t="n"/>
      <c r="R25" s="127" t="n"/>
      <c r="S25" s="127" t="n"/>
      <c r="T25" s="127" t="n"/>
      <c r="U25" s="127" t="n"/>
      <c r="V25" s="128" t="n"/>
      <c r="X25" s="115" t="n"/>
      <c r="Y25" s="115" t="n"/>
      <c r="Z25" s="107" t="n"/>
    </row>
    <row r="26">
      <c r="C26" s="129" t="inlineStr">
        <is>
          <t>Depreciation &amp; Amortization</t>
        </is>
      </c>
      <c r="D26" s="130">
        <f>IFERROR(-Model!W58,"")</f>
        <v>2514</v>
      </c>
      <c r="E26" s="130">
        <f>IFERROR(-Model!AB58,"")</f>
        <v>2700</v>
      </c>
      <c r="F26" s="130">
        <f>IFERROR(-Model!AG58,"")</f>
        <v>2601</v>
      </c>
      <c r="G26" s="130">
        <f>IFERROR(-Model!AL58,"")</f>
        <v>4071.41487977393</v>
      </c>
      <c r="H26" s="130">
        <f>IFERROR(-Model!AQ58,"")</f>
        <v>4558.00829203365</v>
      </c>
      <c r="I26" s="130">
        <f>IFERROR(-Model!AV58,"")</f>
        <v>5459.11075800955</v>
      </c>
      <c r="J26" s="130">
        <f>IFERROR(-Model!BA58,"")</f>
        <v>6511.06250938032</v>
      </c>
      <c r="K26" s="130">
        <f>IFERROR(-Model!BF58,"")</f>
        <v>7733.16641032857</v>
      </c>
      <c r="L26" s="131" t="n"/>
      <c r="X26" s="107" t="n"/>
      <c r="Y26" s="107" t="n"/>
      <c r="Z26" s="107" t="n"/>
    </row>
    <row r="27">
      <c r="C27" s="132" t="inlineStr">
        <is>
          <t>Cash from working capital</t>
        </is>
      </c>
      <c r="D27" s="133">
        <f>IFERROR(Model!W267,"")</f>
        <v>-1058</v>
      </c>
      <c r="E27" s="133">
        <f>IFERROR(Model!AB267,"")</f>
        <v>4168</v>
      </c>
      <c r="F27" s="133">
        <f>IFERROR(Model!AG267,"")</f>
        <v>279</v>
      </c>
      <c r="G27" s="133">
        <f>IFERROR(Model!AL267,"")</f>
        <v>-11427.9087333981</v>
      </c>
      <c r="H27" s="133">
        <f>IFERROR(Model!AQ267,"")</f>
        <v>-771.241833063047</v>
      </c>
      <c r="I27" s="133">
        <f>IFERROR(Model!AV267,"")</f>
        <v>-904.689130847405</v>
      </c>
      <c r="J27" s="133">
        <f>IFERROR(Model!BA267,"")</f>
        <v>-1056.13884277893</v>
      </c>
      <c r="K27" s="133">
        <f>IFERROR(Model!BF267,"")</f>
        <v>-1226.96825022745</v>
      </c>
      <c r="L27" s="134" t="n"/>
      <c r="X27" s="107" t="n"/>
      <c r="Y27" s="107" t="n"/>
      <c r="Z27" s="107" t="n"/>
    </row>
    <row r="28">
      <c r="C28" s="135" t="inlineStr">
        <is>
          <t>Accounts receivable</t>
        </is>
      </c>
      <c r="D28" s="136">
        <f>IFERROR(Model!W268,"")</f>
        <v>651</v>
      </c>
      <c r="E28" s="136">
        <f>IFERROR(Model!AB268,"")</f>
        <v>-1182</v>
      </c>
      <c r="F28" s="136">
        <f>IFERROR(Model!AG268,"")</f>
        <v>-1150</v>
      </c>
      <c r="G28" s="136">
        <f>IFERROR(Model!AL268,"")</f>
        <v>461.091266601866</v>
      </c>
      <c r="H28" s="136">
        <f>IFERROR(Model!AQ268,"")</f>
        <v>-771.241833063047</v>
      </c>
      <c r="I28" s="136">
        <f>IFERROR(Model!AV268,"")</f>
        <v>-904.689130847405</v>
      </c>
      <c r="J28" s="136">
        <f>IFERROR(Model!BA268,"")</f>
        <v>-1056.13884277893</v>
      </c>
      <c r="K28" s="136">
        <f>IFERROR(Model!BF268,"")</f>
        <v>-1226.96825022745</v>
      </c>
      <c r="L28" s="137" t="n"/>
      <c r="X28" s="107" t="n"/>
      <c r="Y28" s="107" t="n"/>
      <c r="Z28" s="107" t="n"/>
    </row>
    <row r="29">
      <c r="C29" s="135" t="inlineStr">
        <is>
          <t>Inventories</t>
        </is>
      </c>
      <c r="D29" s="136">
        <f>IFERROR(Model!W269,"")</f>
        <v>0</v>
      </c>
      <c r="E29" s="136">
        <f>IFERROR(Model!AB269,"")</f>
        <v>0</v>
      </c>
      <c r="F29" s="136">
        <f>IFERROR(Model!AG269,"")</f>
        <v>-1736</v>
      </c>
      <c r="G29" s="136">
        <f>IFERROR(Model!AL269,"")</f>
        <v>1736</v>
      </c>
      <c r="H29" s="136">
        <f>IFERROR(Model!AQ269,"")</f>
        <v>0</v>
      </c>
      <c r="I29" s="136">
        <f>IFERROR(Model!AV269,"")</f>
        <v>0</v>
      </c>
      <c r="J29" s="136">
        <f>IFERROR(Model!BA269,"")</f>
        <v>0</v>
      </c>
      <c r="K29" s="136">
        <f>IFERROR(Model!BF269,"")</f>
        <v>0</v>
      </c>
      <c r="L29" s="137" t="n"/>
      <c r="X29" s="107" t="n"/>
      <c r="Y29" s="107" t="n"/>
      <c r="Z29" s="107" t="n"/>
    </row>
    <row r="30">
      <c r="C30" s="135" t="inlineStr">
        <is>
          <t>Deferred income taxes (assets)</t>
        </is>
      </c>
      <c r="D30" s="136">
        <f>IFERROR(Model!W270,"")</f>
        <v>-8</v>
      </c>
      <c r="E30" s="136">
        <f>IFERROR(Model!AB270,"")</f>
        <v>52</v>
      </c>
      <c r="F30" s="136">
        <f>IFERROR(Model!AG270,"")</f>
        <v>0</v>
      </c>
      <c r="G30" s="136">
        <f>IFERROR(Model!AL270,"")</f>
        <v>0</v>
      </c>
      <c r="H30" s="136">
        <f>IFERROR(Model!AQ270,"")</f>
        <v>0</v>
      </c>
      <c r="I30" s="136">
        <f>IFERROR(Model!AV270,"")</f>
        <v>0</v>
      </c>
      <c r="J30" s="136">
        <f>IFERROR(Model!BA270,"")</f>
        <v>0</v>
      </c>
      <c r="K30" s="136">
        <f>IFERROR(Model!BF270,"")</f>
        <v>0</v>
      </c>
      <c r="L30" s="137" t="n"/>
      <c r="X30" s="107" t="n"/>
      <c r="Y30" s="107" t="n"/>
      <c r="Z30" s="107" t="n"/>
    </row>
    <row r="31">
      <c r="C31" s="135" t="inlineStr">
        <is>
          <t>Prepaid expenses</t>
        </is>
      </c>
      <c r="D31" s="136">
        <f>IFERROR(Model!W271,"")</f>
        <v>0</v>
      </c>
      <c r="E31" s="136">
        <f>IFERROR(Model!AB271,"")</f>
        <v>0</v>
      </c>
      <c r="F31" s="136">
        <f>IFERROR(Model!AG271,"")</f>
        <v>0</v>
      </c>
      <c r="G31" s="136">
        <f>IFERROR(Model!AL271,"")</f>
        <v>0</v>
      </c>
      <c r="H31" s="136">
        <f>IFERROR(Model!AQ271,"")</f>
        <v>0</v>
      </c>
      <c r="I31" s="136">
        <f>IFERROR(Model!AV271,"")</f>
        <v>0</v>
      </c>
      <c r="J31" s="136">
        <f>IFERROR(Model!BA271,"")</f>
        <v>0</v>
      </c>
      <c r="K31" s="136">
        <f>IFERROR(Model!BF271,"")</f>
        <v>0</v>
      </c>
      <c r="L31" s="137" t="n"/>
      <c r="X31" s="107" t="n"/>
      <c r="Y31" s="107" t="n"/>
      <c r="Z31" s="107" t="n"/>
    </row>
    <row r="32">
      <c r="C32" s="135" t="inlineStr">
        <is>
          <t>Other current assets</t>
        </is>
      </c>
      <c r="D32" s="136">
        <f>IFERROR(Model!W272,"")</f>
        <v>282</v>
      </c>
      <c r="E32" s="136">
        <f>IFERROR(Model!AB272,"")</f>
        <v>4034</v>
      </c>
      <c r="F32" s="136">
        <f>IFERROR(Model!AG272,"")</f>
        <v>2781</v>
      </c>
      <c r="G32" s="136">
        <f>IFERROR(Model!AL272,"")</f>
        <v>-10434</v>
      </c>
      <c r="H32" s="136">
        <f>IFERROR(Model!AQ272,"")</f>
        <v>0</v>
      </c>
      <c r="I32" s="136">
        <f>IFERROR(Model!AV272,"")</f>
        <v>0</v>
      </c>
      <c r="J32" s="136">
        <f>IFERROR(Model!BA272,"")</f>
        <v>0</v>
      </c>
      <c r="K32" s="136">
        <f>IFERROR(Model!BF272,"")</f>
        <v>0</v>
      </c>
      <c r="L32" s="137" t="n"/>
      <c r="X32" s="107" t="n"/>
      <c r="Y32" s="107" t="n"/>
      <c r="Z32" s="107" t="n"/>
    </row>
    <row r="33">
      <c r="C33" s="135" t="inlineStr">
        <is>
          <t>Accounts payable</t>
        </is>
      </c>
      <c r="D33" s="136">
        <f>IFERROR(Model!W273,"")</f>
        <v>-216</v>
      </c>
      <c r="E33" s="136">
        <f>IFERROR(Model!AB273,"")</f>
        <v>1331</v>
      </c>
      <c r="F33" s="136">
        <f>IFERROR(Model!AG273,"")</f>
        <v>351</v>
      </c>
      <c r="G33" s="136">
        <f>IFERROR(Model!AL273,"")</f>
        <v>-4294</v>
      </c>
      <c r="H33" s="136">
        <f>IFERROR(Model!AQ273,"")</f>
        <v>0</v>
      </c>
      <c r="I33" s="136">
        <f>IFERROR(Model!AV273,"")</f>
        <v>0</v>
      </c>
      <c r="J33" s="136">
        <f>IFERROR(Model!BA273,"")</f>
        <v>0</v>
      </c>
      <c r="K33" s="136">
        <f>IFERROR(Model!BF273,"")</f>
        <v>0</v>
      </c>
      <c r="L33" s="137" t="n"/>
      <c r="X33" s="107" t="n"/>
      <c r="Y33" s="107" t="n"/>
      <c r="Z33" s="107" t="n"/>
    </row>
    <row r="34">
      <c r="C34" s="135" t="inlineStr">
        <is>
          <t>Accrued expenses</t>
        </is>
      </c>
      <c r="D34" s="136">
        <f>IFERROR(Model!W274,"")</f>
        <v>-906</v>
      </c>
      <c r="E34" s="136">
        <f>IFERROR(Model!AB274,"")</f>
        <v>0</v>
      </c>
      <c r="F34" s="136">
        <f>IFERROR(Model!AG274,"")</f>
        <v>0</v>
      </c>
      <c r="G34" s="136">
        <f>IFERROR(Model!AL274,"")</f>
        <v>0</v>
      </c>
      <c r="H34" s="136">
        <f>IFERROR(Model!AQ274,"")</f>
        <v>0</v>
      </c>
      <c r="I34" s="136">
        <f>IFERROR(Model!AV274,"")</f>
        <v>0</v>
      </c>
      <c r="J34" s="136">
        <f>IFERROR(Model!BA274,"")</f>
        <v>0</v>
      </c>
      <c r="K34" s="136">
        <f>IFERROR(Model!BF274,"")</f>
        <v>0</v>
      </c>
      <c r="L34" s="137" t="n"/>
      <c r="X34" s="107" t="n"/>
      <c r="Y34" s="107" t="n"/>
      <c r="Z34" s="107" t="n"/>
    </row>
    <row r="35">
      <c r="C35" s="135" t="inlineStr">
        <is>
          <t>Taxes payable</t>
        </is>
      </c>
      <c r="D35" s="136">
        <f>IFERROR(Model!W275,"")</f>
        <v>0</v>
      </c>
      <c r="E35" s="136">
        <f>IFERROR(Model!AB275,"")</f>
        <v>0</v>
      </c>
      <c r="F35" s="136">
        <f>IFERROR(Model!AG275,"")</f>
        <v>0</v>
      </c>
      <c r="G35" s="136">
        <f>IFERROR(Model!AL275,"")</f>
        <v>0</v>
      </c>
      <c r="H35" s="136">
        <f>IFERROR(Model!AQ275,"")</f>
        <v>0</v>
      </c>
      <c r="I35" s="136">
        <f>IFERROR(Model!AV275,"")</f>
        <v>0</v>
      </c>
      <c r="J35" s="136">
        <f>IFERROR(Model!BA275,"")</f>
        <v>0</v>
      </c>
      <c r="K35" s="136">
        <f>IFERROR(Model!BF275,"")</f>
        <v>0</v>
      </c>
      <c r="L35" s="137" t="n"/>
      <c r="X35" s="107" t="n"/>
      <c r="Y35" s="107" t="n"/>
      <c r="Z35" s="107" t="n"/>
    </row>
    <row r="36">
      <c r="C36" s="135" t="inlineStr">
        <is>
          <t>Other current liabilities</t>
        </is>
      </c>
      <c r="D36" s="136">
        <f>IFERROR(Model!W276,"")</f>
        <v>-861</v>
      </c>
      <c r="E36" s="136">
        <f>IFERROR(Model!AB276,"")</f>
        <v>-67</v>
      </c>
      <c r="F36" s="136">
        <f>IFERROR(Model!AG276,"")</f>
        <v>33</v>
      </c>
      <c r="G36" s="136">
        <f>IFERROR(Model!AL276,"")</f>
        <v>1103</v>
      </c>
      <c r="H36" s="136">
        <f>IFERROR(Model!AQ276,"")</f>
        <v>0</v>
      </c>
      <c r="I36" s="136">
        <f>IFERROR(Model!AV276,"")</f>
        <v>0</v>
      </c>
      <c r="J36" s="136">
        <f>IFERROR(Model!BA276,"")</f>
        <v>0</v>
      </c>
      <c r="K36" s="136">
        <f>IFERROR(Model!BF276,"")</f>
        <v>0</v>
      </c>
      <c r="L36" s="137" t="n"/>
      <c r="X36" s="107" t="n"/>
      <c r="Y36" s="107" t="n"/>
      <c r="Z36" s="107" t="n"/>
    </row>
    <row r="37">
      <c r="C37" s="135" t="inlineStr">
        <is>
          <t>Deferred tax (liabilities)</t>
        </is>
      </c>
      <c r="D37" s="136">
        <f>IFERROR(Model!W277,"")</f>
        <v>0</v>
      </c>
      <c r="E37" s="136">
        <f>IFERROR(Model!AB277,"")</f>
        <v>0</v>
      </c>
      <c r="F37" s="136">
        <f>IFERROR(Model!AG277,"")</f>
        <v>0</v>
      </c>
      <c r="G37" s="136">
        <f>IFERROR(Model!AL277,"")</f>
        <v>0</v>
      </c>
      <c r="H37" s="136">
        <f>IFERROR(Model!AQ277,"")</f>
        <v>0</v>
      </c>
      <c r="I37" s="136">
        <f>IFERROR(Model!AV277,"")</f>
        <v>0</v>
      </c>
      <c r="J37" s="136">
        <f>IFERROR(Model!BA277,"")</f>
        <v>0</v>
      </c>
      <c r="K37" s="136">
        <f>IFERROR(Model!BF277,"")</f>
        <v>0</v>
      </c>
      <c r="L37" s="137" t="n"/>
      <c r="X37" s="107" t="n"/>
      <c r="Y37" s="107" t="n"/>
      <c r="Z37" s="107" t="n"/>
    </row>
    <row r="38">
      <c r="C38" s="135" t="inlineStr">
        <is>
          <t>Other non-current assets</t>
        </is>
      </c>
      <c r="D38" s="136">
        <f>IFERROR((Model!W177-Model!R177)*-1,"")</f>
        <v>-2183</v>
      </c>
      <c r="E38" s="136">
        <f>IFERROR((Model!AB177-Model!W177)*-1,"")</f>
        <v>-629</v>
      </c>
      <c r="F38" s="136">
        <f>IFERROR((Model!AG177-Model!AB177)*-1,"")</f>
        <v>-1741</v>
      </c>
      <c r="G38" s="136">
        <f>IFERROR((Model!AL177-Model!AG177)*-1,"")</f>
        <v>-4297</v>
      </c>
      <c r="H38" s="136">
        <f>IFERROR((Model!AQ177-Model!AL177)*-1,"")</f>
        <v>0</v>
      </c>
      <c r="I38" s="136">
        <f>IFERROR((Model!AV177-Model!AQ177)*-1,"")</f>
        <v>0</v>
      </c>
      <c r="J38" s="136">
        <f>IFERROR((Model!BA177-Model!AV177)*-1,"")</f>
        <v>0</v>
      </c>
      <c r="K38" s="136">
        <f>IFERROR((Model!BF177-Model!BA177)*-1,"")</f>
        <v>0</v>
      </c>
      <c r="L38" s="137" t="n"/>
      <c r="X38" s="107" t="n"/>
      <c r="Y38" s="107" t="n"/>
      <c r="Z38" s="107" t="n"/>
    </row>
    <row r="39">
      <c r="C39" s="135" t="inlineStr">
        <is>
          <t>Other non-current liabilities</t>
        </is>
      </c>
      <c r="D39" s="136">
        <f>IFERROR(Model!W228-Model!R228,"")</f>
        <v>2425</v>
      </c>
      <c r="E39" s="136">
        <f>IFERROR(Model!AB228-Model!W228,"")</f>
        <v>-500</v>
      </c>
      <c r="F39" s="136">
        <f>IFERROR(Model!AG228-Model!AB228,"")</f>
        <v>2045</v>
      </c>
      <c r="G39" s="136">
        <f>IFERROR(Model!AL228-Model!AG228,"")</f>
        <v>6586</v>
      </c>
      <c r="H39" s="136">
        <f>IFERROR(Model!AQ228-Model!AL228,"")</f>
        <v>0</v>
      </c>
      <c r="I39" s="136">
        <f>IFERROR(Model!AV228-Model!AQ228,"")</f>
        <v>0</v>
      </c>
      <c r="J39" s="136">
        <f>IFERROR(Model!BA228-Model!AV228,"")</f>
        <v>0</v>
      </c>
      <c r="K39" s="136">
        <f>IFERROR(Model!BF228-Model!BA228,"")</f>
        <v>0</v>
      </c>
      <c r="L39" s="137" t="n"/>
      <c r="X39" s="107" t="n"/>
      <c r="Y39" s="107" t="n"/>
      <c r="Z39" s="107" t="n"/>
    </row>
    <row r="40">
      <c r="C40" s="135" t="inlineStr">
        <is>
          <t>Capital expenditures</t>
        </is>
      </c>
      <c r="D40" s="136">
        <f>IFERROR(Model!W283,"")</f>
        <v>-4808</v>
      </c>
      <c r="E40" s="136">
        <f>IFERROR(Model!AB283,"")</f>
        <v>-1819</v>
      </c>
      <c r="F40" s="136">
        <f>IFERROR(Model!AG283,"")</f>
        <v>-3840</v>
      </c>
      <c r="G40" s="136">
        <f>IFERROR(Model!AL283,"")</f>
        <v>-29718.0849226319</v>
      </c>
      <c r="H40" s="136">
        <f>IFERROR(Model!AQ283,"")</f>
        <v>-23001.4583185874</v>
      </c>
      <c r="I40" s="136">
        <f>IFERROR(Model!AV283,"")</f>
        <v>-27548.7670297511</v>
      </c>
      <c r="J40" s="136">
        <f>IFERROR(Model!BA283,"")</f>
        <v>-32857.3191016308</v>
      </c>
      <c r="K40" s="136">
        <f>IFERROR(Model!BF283,"")</f>
        <v>-39024.5241915764</v>
      </c>
      <c r="L40" s="137" t="n"/>
      <c r="X40" s="107" t="n"/>
      <c r="Y40" s="107" t="n"/>
      <c r="Z40" s="107" t="n"/>
    </row>
    <row r="41">
      <c r="C41" s="135" t="inlineStr">
        <is>
          <t>Capital expenditures [IFRS16 - implied lease payments]</t>
        </is>
      </c>
      <c r="D41" s="251">
        <f>IFERROR(0,"")</f>
        <v>0</v>
      </c>
      <c r="E41" s="251">
        <f>IFERROR(0,"")</f>
        <v>0</v>
      </c>
      <c r="F41" s="136">
        <f>IFERROR(0,"")</f>
        <v>0</v>
      </c>
      <c r="G41" s="136">
        <f>IFERROR(0,"")</f>
        <v>0</v>
      </c>
      <c r="H41" s="136">
        <f>IFERROR(0,"")</f>
        <v>0</v>
      </c>
      <c r="I41" s="136">
        <f>IFERROR(0,"")</f>
        <v>0</v>
      </c>
      <c r="J41" s="136">
        <f>IFERROR(0,"")</f>
        <v>0</v>
      </c>
      <c r="K41" s="136">
        <f>IFERROR(0,"")</f>
        <v>0</v>
      </c>
      <c r="L41" s="137" t="n"/>
      <c r="X41" s="107" t="n"/>
      <c r="Y41" s="107" t="n"/>
      <c r="Z41" s="107" t="n"/>
    </row>
    <row r="42">
      <c r="C42" s="138" t="inlineStr">
        <is>
          <t>Purchase of intangible assets</t>
        </is>
      </c>
      <c r="D42" s="139">
        <f>IFERROR(0,"")</f>
        <v>0</v>
      </c>
      <c r="E42" s="139">
        <f>IFERROR(0,"")</f>
        <v>0</v>
      </c>
      <c r="F42" s="139">
        <f>IFERROR(0,"")</f>
        <v>0</v>
      </c>
      <c r="G42" s="139">
        <f>IFERROR(0,"")</f>
        <v>0</v>
      </c>
      <c r="H42" s="139">
        <f>IFERROR(0,"")</f>
        <v>0</v>
      </c>
      <c r="I42" s="139">
        <f>IFERROR(0,"")</f>
        <v>0</v>
      </c>
      <c r="J42" s="139">
        <f>IFERROR(0,"")</f>
        <v>0</v>
      </c>
      <c r="K42" s="139">
        <f>IFERROR(0,"")</f>
        <v>0</v>
      </c>
      <c r="L42" s="140" t="n"/>
      <c r="M42" s="141" t="n"/>
      <c r="X42" s="107" t="n"/>
      <c r="Y42" s="107" t="n"/>
      <c r="Z42" s="107" t="n"/>
      <c r="AB42" s="102" t="n"/>
    </row>
    <row r="43">
      <c r="X43" s="107" t="n"/>
      <c r="Y43" s="107" t="n"/>
      <c r="Z43" s="107" t="n"/>
    </row>
    <row r="44">
      <c r="C44" s="112" t="inlineStr">
        <is>
          <t>Net Investments</t>
        </is>
      </c>
      <c r="D44" s="133">
        <f>IFERROR(SUM(D27,D40:D42,D26),"")</f>
        <v>-3352</v>
      </c>
      <c r="E44" s="133">
        <f>IFERROR(SUM(E27,E40:E42,E26),"")</f>
        <v>5049</v>
      </c>
      <c r="F44" s="133">
        <f>IFERROR(SUM(F27,F40:F42,F26),"")</f>
        <v>-960</v>
      </c>
      <c r="G44" s="133">
        <f>IFERROR(SUM(G27,G40:G42,G26),"")</f>
        <v>-37074.5787762561</v>
      </c>
      <c r="H44" s="133">
        <f>IFERROR(SUM(H27,H40:H42,H26),"")</f>
        <v>-19214.6918596168</v>
      </c>
      <c r="I44" s="133">
        <f>IFERROR(SUM(I27,I40:I42,I26),"")</f>
        <v>-22994.345402589</v>
      </c>
      <c r="J44" s="133">
        <f>IFERROR(SUM(J27,J40:J42,J26),"")</f>
        <v>-27402.3954350294</v>
      </c>
      <c r="K44" s="133">
        <f>IFERROR(SUM(K27,K40:K42,K26),"")</f>
        <v>-32518.3260314753</v>
      </c>
      <c r="L44" s="133" t="n"/>
      <c r="M44" s="142" t="n"/>
      <c r="N44" s="133" t="n"/>
      <c r="O44" s="133" t="n"/>
      <c r="P44" s="133" t="n"/>
      <c r="Q44" s="133" t="n"/>
      <c r="R44" s="133" t="n"/>
      <c r="S44" s="133" t="n"/>
      <c r="T44" s="133" t="n"/>
      <c r="U44" s="133" t="n"/>
      <c r="V44" s="134" t="n"/>
      <c r="X44" s="107" t="n"/>
      <c r="Y44" s="141" t="n"/>
      <c r="Z44" s="107" t="n"/>
    </row>
    <row r="45">
      <c r="C45" s="143" t="n"/>
      <c r="D45" s="141" t="n"/>
      <c r="E45" s="141" t="n"/>
      <c r="F45" s="141" t="n"/>
      <c r="G45" s="141" t="n"/>
      <c r="H45" s="141" t="n"/>
      <c r="I45" s="141" t="n"/>
      <c r="J45" s="141" t="n"/>
      <c r="K45" s="141" t="n"/>
      <c r="L45" s="141" t="n"/>
      <c r="V45" s="144" t="n"/>
      <c r="X45" s="107" t="n"/>
      <c r="Y45" s="107" t="n"/>
      <c r="Z45" s="107" t="n"/>
    </row>
    <row r="46">
      <c r="C46" s="143" t="inlineStr">
        <is>
          <t>Invested Capital</t>
        </is>
      </c>
      <c r="D46" s="136">
        <f>IFERROR(Model!W338,"")</f>
        <v>19725</v>
      </c>
      <c r="E46" s="136">
        <f>IFERROR(Model!AB338,"")</f>
        <v>15800</v>
      </c>
      <c r="F46" s="136">
        <f>IFERROR(Model!AG338,"")</f>
        <v>16456</v>
      </c>
      <c r="G46" s="136">
        <f>IFERROR(Model!AL338,"")</f>
        <v>62348.5787762561</v>
      </c>
      <c r="H46" s="136">
        <f>IFERROR(Model!AQ338,"")</f>
        <v>81563.2706358729</v>
      </c>
      <c r="I46" s="136">
        <f>IFERROR(Model!AV338,"")</f>
        <v>104557.616038462</v>
      </c>
      <c r="J46" s="136">
        <f>IFERROR(Model!BA338,"")</f>
        <v>131960.011473491</v>
      </c>
      <c r="K46" s="136">
        <f>IFERROR(Model!BF338,"")</f>
        <v>164478.337504967</v>
      </c>
      <c r="L46" s="136" t="n"/>
      <c r="M46" s="145" t="n"/>
      <c r="N46" s="145" t="n"/>
      <c r="O46" s="145" t="n"/>
      <c r="P46" s="145" t="n"/>
      <c r="Q46" s="145" t="n"/>
      <c r="R46" s="145" t="n"/>
      <c r="S46" s="145" t="n"/>
      <c r="T46" s="145" t="n"/>
      <c r="U46" s="145" t="n"/>
      <c r="V46" s="146" t="n"/>
      <c r="X46" s="141" t="n"/>
      <c r="Y46" s="141" t="n"/>
      <c r="Z46" s="107" t="n"/>
    </row>
    <row r="47">
      <c r="C47" s="143" t="inlineStr">
        <is>
          <t>Invested Capital (ex Goodwill)</t>
        </is>
      </c>
      <c r="D47" s="136">
        <f>IFERROR(Model!W339,"")</f>
        <v>19300</v>
      </c>
      <c r="E47" s="136">
        <f>IFERROR(Model!AB339,"")</f>
        <v>15380</v>
      </c>
      <c r="F47" s="136">
        <f>IFERROR(Model!AG339,"")</f>
        <v>16036</v>
      </c>
      <c r="G47" s="136">
        <f>IFERROR(Model!AL339,"")</f>
        <v>50821.5787762561</v>
      </c>
      <c r="H47" s="136">
        <f>IFERROR(Model!AQ339,"")</f>
        <v>70036.2706358729</v>
      </c>
      <c r="I47" s="136">
        <f>IFERROR(Model!AV339,"")</f>
        <v>93030.6160384619</v>
      </c>
      <c r="J47" s="136">
        <f>IFERROR(Model!BA339,"")</f>
        <v>120433.011473491</v>
      </c>
      <c r="K47" s="136">
        <f>IFERROR(Model!BF339,"")</f>
        <v>152951.337504967</v>
      </c>
      <c r="L47" s="136" t="n"/>
      <c r="V47" s="144" t="n"/>
      <c r="X47" s="107" t="n"/>
      <c r="Y47" s="107" t="n"/>
      <c r="Z47" s="107" t="n"/>
    </row>
    <row r="48">
      <c r="C48" s="116" t="inlineStr">
        <is>
          <t>Invested Capital / Net Revenues</t>
        </is>
      </c>
      <c r="D48" s="122">
        <f>IFERROR(IF(D18=0,"",D46/D18),"")</f>
        <v>0.7915964363111</v>
      </c>
      <c r="E48" s="122">
        <f>IFERROR(IF(E18=0,"",E46/E18),"")</f>
        <v>0.670400543109301</v>
      </c>
      <c r="F48" s="122">
        <f>IFERROR(IF(F18=0,"",F46/F18),"")</f>
        <v>0.64449927544746</v>
      </c>
      <c r="G48" s="122">
        <f>IFERROR(IF(G18=0,"",G46/G18),"")</f>
        <v>1.84283900903012</v>
      </c>
      <c r="H48" s="122">
        <f>IFERROR(IF(H18=0,"",H46/H18),"")</f>
        <v>2.0044693021542</v>
      </c>
      <c r="I48" s="122">
        <f>IFERROR(IF(I18=0,"",I46/I18),"")</f>
        <v>2.14542657086117</v>
      </c>
      <c r="J48" s="122">
        <f>IFERROR(IF(J18=0,"",J46/J18),"")</f>
        <v>2.27023266356201</v>
      </c>
      <c r="K48" s="122">
        <f>IFERROR(IF(K18=0,"",K46/K18),"")</f>
        <v>2.38249084138352</v>
      </c>
      <c r="L48" s="122" t="n"/>
      <c r="M48" s="147" t="n"/>
      <c r="N48" s="147" t="n"/>
      <c r="O48" s="147" t="n"/>
      <c r="P48" s="147" t="n"/>
      <c r="Q48" s="147" t="n"/>
      <c r="R48" s="147" t="n"/>
      <c r="S48" s="147" t="n"/>
      <c r="T48" s="147" t="n"/>
      <c r="U48" s="147" t="n"/>
      <c r="V48" s="148" t="n"/>
      <c r="X48" s="106" t="n"/>
      <c r="Y48" s="107" t="n"/>
      <c r="Z48" s="107" t="n"/>
    </row>
    <row r="49">
      <c r="X49" s="107" t="n"/>
      <c r="Y49" s="107" t="n"/>
      <c r="Z49" s="107" t="n"/>
    </row>
    <row r="50">
      <c r="C50" s="149" t="inlineStr">
        <is>
          <t>ROIC</t>
        </is>
      </c>
      <c r="D50" s="150">
        <f>IFERROR(IF(D46=0,"",D25/D46),"")</f>
        <v>0.0529360853128142</v>
      </c>
      <c r="E50" s="150">
        <f>IFERROR(IF(E46=0,"",E25/E46),"")</f>
        <v>0.228234687356348</v>
      </c>
      <c r="F50" s="150">
        <f>IFERROR(IF(F46=0,"",F25/F46),"")</f>
        <v>0.124130051991609</v>
      </c>
      <c r="G50" s="150">
        <f>IFERROR(IF(G46=0,"",G25/G46),"")</f>
        <v>0.0538622127431173</v>
      </c>
      <c r="H50" s="150">
        <f>IFERROR(IF(H46=0,"",H25/H46),"")</f>
        <v>0.0440149985721421</v>
      </c>
      <c r="I50" s="150">
        <f>IFERROR(IF(I46=0,"",I25/I46),"")</f>
        <v>0.0411231568912684</v>
      </c>
      <c r="J50" s="150">
        <f>IFERROR(IF(J46=0,"",J25/J46),"")</f>
        <v>0.0388624103988493</v>
      </c>
      <c r="K50" s="150">
        <f>IFERROR(IF(K46=0,"",K25/K46),"")</f>
        <v>0.0370312917639534</v>
      </c>
      <c r="L50" s="150" t="n"/>
      <c r="M50" s="151" t="n"/>
      <c r="N50" s="151" t="n"/>
      <c r="O50" s="151" t="n"/>
      <c r="P50" s="151" t="n"/>
      <c r="Q50" s="151" t="n"/>
      <c r="R50" s="151" t="n"/>
      <c r="S50" s="151" t="n"/>
      <c r="T50" s="151" t="n"/>
      <c r="U50" s="151" t="n"/>
      <c r="V50" s="152" t="n"/>
      <c r="X50" s="115" t="n"/>
      <c r="Y50" s="115" t="n"/>
      <c r="Z50" s="153" t="n"/>
    </row>
    <row r="51">
      <c r="C51" s="102" t="inlineStr">
        <is>
          <t>Capital Turnover</t>
        </is>
      </c>
      <c r="D51" s="154">
        <f>IFERROR(IF(D46=0,"",D18/D46),"")</f>
        <v>1.26326996197719</v>
      </c>
      <c r="E51" s="154">
        <f>IFERROR(IF(E46=0,"",E18/E46),"")</f>
        <v>1.49164556962025</v>
      </c>
      <c r="F51" s="154">
        <f>IFERROR(IF(F46=0,"",F18/F46),"")</f>
        <v>1.55159212445309</v>
      </c>
      <c r="G51" s="154">
        <f>IFERROR(IF(G46=0,"",G18/G46),"")</f>
        <v>0.542640998535351</v>
      </c>
      <c r="H51" s="154">
        <f>IFERROR(IF(H46=0,"",H18/H46),"")</f>
        <v>0.49888516572706</v>
      </c>
      <c r="I51" s="154">
        <f>IFERROR(IF(I46=0,"",I18/I46),"")</f>
        <v>0.466107772497012</v>
      </c>
      <c r="J51" s="154">
        <f>IFERROR(IF(J46=0,"",J18/J46),"")</f>
        <v>0.440483487023305</v>
      </c>
      <c r="K51" s="154">
        <f>IFERROR(IF(K46=0,"",K18/K46),"")</f>
        <v>0.419728790822675</v>
      </c>
      <c r="L51" s="154" t="n"/>
      <c r="M51" s="154" t="n"/>
      <c r="N51" s="154" t="n"/>
      <c r="O51" s="154" t="n"/>
      <c r="P51" s="154" t="n"/>
      <c r="Q51" s="154" t="n"/>
      <c r="R51" s="154" t="n"/>
      <c r="S51" s="154" t="n"/>
      <c r="T51" s="154" t="n"/>
      <c r="U51" s="154" t="n"/>
      <c r="V51" s="154" t="n"/>
    </row>
    <row r="52"/>
    <row r="53" customFormat="1" s="102">
      <c r="A53" s="251" t="n"/>
      <c r="B53" s="251" t="n"/>
      <c r="C53" s="102" t="inlineStr">
        <is>
          <t>Unlevered free cash flows = FCFF</t>
        </is>
      </c>
      <c r="D53" s="155">
        <f>IFERROR(D25+D44,"")</f>
        <v>-2307.83571720474</v>
      </c>
      <c r="E53" s="155">
        <f>IFERROR(E25+E44,"")</f>
        <v>8655.10806023029</v>
      </c>
      <c r="F53" s="155">
        <f>IFERROR(F25+F44,"")</f>
        <v>1082.68413557391</v>
      </c>
      <c r="G53" s="156">
        <f>IFERROR(G25+G44,"")</f>
        <v>-33716.3463619784</v>
      </c>
      <c r="H53" s="155">
        <f>IFERROR(H25+H44,"")</f>
        <v>-15624.6846190396</v>
      </c>
      <c r="I53" s="155">
        <f>IFERROR(I25+I44,"")</f>
        <v>-18694.6061540623</v>
      </c>
      <c r="J53" s="155">
        <f>IFERROR(J25+J44,"")</f>
        <v>-22274.1113129097</v>
      </c>
      <c r="K53" s="155">
        <f>IFERROR(K25+K44,"")</f>
        <v>-26427.4807264788</v>
      </c>
      <c r="L53" s="155" t="n"/>
      <c r="M53" s="155" t="n"/>
      <c r="N53" s="155" t="n"/>
      <c r="O53" s="155" t="n"/>
      <c r="P53" s="155" t="n"/>
      <c r="Q53" s="155" t="n"/>
      <c r="R53" s="155" t="n"/>
      <c r="S53" s="155" t="n"/>
      <c r="T53" s="155" t="n"/>
      <c r="U53" s="155" t="n"/>
      <c r="V53" s="155" t="n"/>
    </row>
    <row r="54">
      <c r="C54" s="157" t="inlineStr">
        <is>
          <t>Discount factor</t>
        </is>
      </c>
      <c r="G54" s="158" t="str">
        <f>IFERROR(IF(Control!E12="","",1/(1+Control!E12)^Control!B13),"")</f>
        <v/>
      </c>
      <c r="H54" s="158" t="str">
        <f>IFERROR(IF(G54="","",G54/(1+Control!E12)),"")</f>
        <v/>
      </c>
      <c r="I54" s="158" t="str">
        <f>IFERROR(IF(H54="","",H54/(1+Control!E12)),"")</f>
        <v/>
      </c>
      <c r="J54" s="158" t="str">
        <f>IFERROR(IF(I54="","",I54/(1+Control!E12)),"")</f>
        <v/>
      </c>
      <c r="K54" s="158" t="str">
        <f>IFERROR(IF(J54="","",J54/(1+Control!E12)),"")</f>
        <v/>
      </c>
      <c r="L54" s="158" t="n"/>
      <c r="M54" s="158" t="n"/>
      <c r="N54" s="158" t="n"/>
      <c r="O54" s="158" t="n"/>
      <c r="P54" s="158" t="n"/>
      <c r="Q54" s="158" t="n"/>
      <c r="R54" s="158" t="n"/>
      <c r="S54" s="158" t="n"/>
      <c r="T54" s="158" t="n"/>
      <c r="U54" s="158" t="n"/>
      <c r="V54" s="158" t="n"/>
    </row>
    <row r="55">
      <c r="C55" s="157" t="inlineStr">
        <is>
          <t>Midyear adjustment factor</t>
        </is>
      </c>
      <c r="G55" s="159" t="str">
        <f>IFERROR(IF(Control!E12="","",(1+Control!E12)^0.5),"")</f>
        <v/>
      </c>
      <c r="H55" s="158" t="str">
        <f>IFERROR(G55,"")</f>
        <v/>
      </c>
      <c r="I55" s="158" t="str">
        <f>IFERROR(H55,"")</f>
        <v/>
      </c>
      <c r="J55" s="158" t="str">
        <f>IFERROR(I55,"")</f>
        <v/>
      </c>
      <c r="K55" s="158" t="str">
        <f>IFERROR(J55,"")</f>
        <v/>
      </c>
      <c r="L55" s="158" t="n"/>
      <c r="M55" s="158" t="n"/>
      <c r="N55" s="158" t="n"/>
      <c r="O55" s="158" t="n"/>
      <c r="P55" s="158" t="n"/>
      <c r="Q55" s="158" t="n"/>
      <c r="R55" s="158" t="n"/>
      <c r="S55" s="158" t="n"/>
      <c r="T55" s="158" t="n"/>
      <c r="U55" s="158" t="n"/>
      <c r="V55" s="158" t="n"/>
    </row>
    <row r="56">
      <c r="C56" s="157" t="inlineStr">
        <is>
          <t>Present value of free cash flows</t>
        </is>
      </c>
      <c r="G56" s="141" t="str">
        <f>IFERROR(IF(G54="","",G53*G54*G55),"")</f>
        <v/>
      </c>
      <c r="H56" s="141" t="str">
        <f>IFERROR(IF(H54="","",H53*H54*H55),"")</f>
        <v/>
      </c>
      <c r="I56" s="141" t="str">
        <f>IFERROR(IF(I54="","",I53*I54*I55),"")</f>
        <v/>
      </c>
      <c r="J56" s="141" t="str">
        <f>IFERROR(IF(J54="","",J53*J54*J55),"")</f>
        <v/>
      </c>
      <c r="K56" s="141" t="str">
        <f>IFERROR(IF(K54="","",K53*K54*K55),"")</f>
        <v/>
      </c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41" t="n"/>
      <c r="U56" s="141" t="n"/>
      <c r="V56" s="141" t="n"/>
    </row>
    <row r="57">
      <c r="C57" s="102" t="inlineStr">
        <is>
          <t>Sum of present values of FCFs</t>
        </is>
      </c>
      <c r="G57" s="155" t="str">
        <f>IFERROR(IF(COUNT(G56:K56)=0,"",SUM(G56:K56)),"")</f>
        <v/>
      </c>
      <c r="H57" s="141" t="n"/>
      <c r="N57" s="160" t="n"/>
    </row>
    <row r="58"/>
    <row r="59">
      <c r="C59" s="102" t="n"/>
      <c r="D59" s="95">
        <f>IFERROR(IF(Control!B9="","",Control!B9),"")</f>
        <v>47848.0</v>
      </c>
      <c r="E59" s="161" t="n"/>
      <c r="F59" s="162" t="n"/>
      <c r="G59" s="162" t="n"/>
      <c r="H59" s="95">
        <f>IFERROR(IF(Control!B7="","",Control!B7),"")</f>
        <v>46203.0</v>
      </c>
      <c r="I59" s="162" t="n"/>
      <c r="J59" s="162" t="n"/>
      <c r="K59" s="162" t="n"/>
      <c r="L59" s="162" t="n"/>
    </row>
    <row r="60" ht="13.5" customHeight="1">
      <c r="C60" s="163" t="inlineStr">
        <is>
          <t>Terminal value</t>
        </is>
      </c>
      <c r="D60" s="164" t="n"/>
      <c r="E60" s="165" t="inlineStr">
        <is>
          <t>Equity value calculations</t>
        </is>
      </c>
      <c r="F60" s="166" t="n"/>
      <c r="G60" s="166" t="n"/>
      <c r="H60" s="166" t="n"/>
      <c r="I60" s="167" t="inlineStr">
        <is>
          <t xml:space="preserve"> Shares Outstanding Worksheet</t>
        </is>
      </c>
      <c r="J60" s="168" t="n"/>
      <c r="K60" s="169" t="n"/>
      <c r="L60" s="170" t="n"/>
    </row>
    <row r="61">
      <c r="C61" s="143" t="n"/>
      <c r="D61" s="144" t="n"/>
      <c r="I61" s="143" t="n"/>
      <c r="L61" s="144" t="n"/>
    </row>
    <row r="62">
      <c r="C62" s="171" t="inlineStr">
        <is>
          <t>Key value driver method</t>
        </is>
      </c>
      <c r="D62" s="172" t="n"/>
      <c r="E62" s="173" t="inlineStr">
        <is>
          <t>Enterprise value</t>
        </is>
      </c>
      <c r="H62" s="155" t="str">
        <f>IFERROR(D80,"")</f>
        <v/>
      </c>
      <c r="I62" s="174" t="inlineStr">
        <is>
          <t>Basic Shares Outanding :</t>
        </is>
      </c>
      <c r="J62" s="97" t="n"/>
      <c r="L62" s="175" t="n"/>
    </row>
    <row r="63" ht="13.5" customHeight="1">
      <c r="C63" s="171" t="inlineStr">
        <is>
          <t>g</t>
        </is>
      </c>
      <c r="D63" s="176" t="str">
        <f>IFERROR(IF(Control!E13="","",Control!E13),"")</f>
        <v/>
      </c>
      <c r="E63" s="157" t="inlineStr">
        <is>
          <t>Calculation of net debt:</t>
        </is>
      </c>
      <c r="H63" s="141" t="n"/>
      <c r="I63" s="174" t="inlineStr">
        <is>
          <t>Current Share Price:</t>
        </is>
      </c>
      <c r="L63" s="177" t="n"/>
    </row>
    <row r="64" ht="13.5" customHeight="1">
      <c r="C64" s="171" t="inlineStr">
        <is>
          <t>RONIC</t>
        </is>
      </c>
      <c r="D64" s="178">
        <f>IFERROR(K50,"")</f>
        <v>0.0370312917639534</v>
      </c>
      <c r="E64" s="157" t="inlineStr">
        <is>
          <t>Current portion of long-term debt</t>
        </is>
      </c>
      <c r="H64" s="137">
        <f>IFERROR(INDEX(Model!$I$200:$BF$200,1,MATCH(Control!$B$7,Model!$I$5:$BF$5,0)),"")</f>
        <v>5589</v>
      </c>
      <c r="I64" s="179" t="inlineStr">
        <is>
          <t>Options / Warrants Data</t>
        </is>
      </c>
      <c r="J64" s="109" t="n"/>
      <c r="K64" s="109" t="n"/>
      <c r="L64" s="180" t="n"/>
    </row>
    <row r="65">
      <c r="C65" s="171" t="inlineStr">
        <is>
          <t>NOPLAT (t+1)</t>
        </is>
      </c>
      <c r="D65" s="181" t="str">
        <f>IFERROR(K25*(1+D63),"")</f>
        <v/>
      </c>
      <c r="E65" s="157" t="inlineStr">
        <is>
          <t>Short term debt</t>
        </is>
      </c>
      <c r="H65" s="137">
        <f>IFERROR(INDEX(Model!$I$201:$BF$201,1,MATCH(Control!$B$7,Model!$I$5:$BF$5,0)),"")</f>
        <v>0</v>
      </c>
      <c r="I65" s="179" t="n"/>
      <c r="J65" s="182" t="inlineStr">
        <is>
          <t># of options</t>
        </is>
      </c>
      <c r="K65" s="182" t="inlineStr">
        <is>
          <t xml:space="preserve">$ strike </t>
        </is>
      </c>
      <c r="L65" s="180" t="n"/>
    </row>
    <row r="66">
      <c r="C66" s="171" t="inlineStr">
        <is>
          <t>Terminal value</t>
        </is>
      </c>
      <c r="D66" s="181" t="str">
        <f>IFERROR(IF(OR(Control!E12="",D64="",D64&lt;=D63,Control!E12&lt;=D63),"",(D65*(1-D63/D64))/(Control!E12-D63)),"")</f>
        <v/>
      </c>
      <c r="E66" s="157" t="inlineStr">
        <is>
          <t>Long term debt</t>
        </is>
      </c>
      <c r="H66" s="137">
        <f>IFERROR(INDEX(Model!$I$205:$BF$205,1,MATCH(Control!$B$7,Model!$I$5:$BF$5,0)),"")</f>
        <v>19111</v>
      </c>
      <c r="I66" s="157" t="inlineStr">
        <is>
          <t>Batch 1</t>
        </is>
      </c>
      <c r="J66" s="183" t="n"/>
      <c r="K66" s="184" t="n"/>
      <c r="L66" s="185" t="n"/>
    </row>
    <row r="67">
      <c r="C67" s="171" t="inlineStr">
        <is>
          <t>Midyear adjusted terminal value</t>
        </is>
      </c>
      <c r="D67" s="181" t="str">
        <f>IFERROR(IF(D66="","",D66*K55),"")</f>
        <v/>
      </c>
      <c r="E67" s="157" t="inlineStr">
        <is>
          <t>Convertible debt</t>
        </is>
      </c>
      <c r="H67" s="137">
        <f>IFERROR(INDEX(Model!$I$226:$BF$226,1,MATCH(Control!$B$7,Model!$I$5:$BF$5,0)),"")</f>
        <v>0</v>
      </c>
      <c r="I67" s="157" t="inlineStr">
        <is>
          <t>Batch 2</t>
        </is>
      </c>
      <c r="J67" s="186" t="n"/>
      <c r="K67" s="187" t="n"/>
      <c r="L67" s="185" t="n"/>
    </row>
    <row r="68">
      <c r="C68" s="171" t="inlineStr">
        <is>
          <t>Present value of terminal value</t>
        </is>
      </c>
      <c r="D68" s="181" t="str">
        <f>IFERROR(IF(D67="","",D67*K54),"")</f>
        <v/>
      </c>
      <c r="E68" s="157" t="inlineStr">
        <is>
          <t>Minority interest</t>
        </is>
      </c>
      <c r="H68" s="137">
        <f>IFERROR(INDEX(Model!$I$236:$BF$236,1,MATCH(Control!$B$7,Model!$I$5:$BF$5,0)),"")</f>
        <v>345</v>
      </c>
      <c r="I68" s="157" t="inlineStr">
        <is>
          <t>Batch 3</t>
        </is>
      </c>
      <c r="J68" s="186" t="n"/>
      <c r="K68" s="187" t="n"/>
      <c r="L68" s="185" t="n"/>
    </row>
    <row r="69">
      <c r="C69" s="174" t="inlineStr">
        <is>
          <t>Enterprise value</t>
        </is>
      </c>
      <c r="D69" s="188" t="str">
        <f>IFERROR(IF(OR(D68="",G57=""),"",D68+G57),"")</f>
        <v/>
      </c>
      <c r="E69" s="157" t="inlineStr">
        <is>
          <t>Convertible preferred stock</t>
        </is>
      </c>
      <c r="H69" s="137">
        <f>IFERROR(INDEX(Model!$I$241:$BF$241,1,MATCH(Control!$B$7,Model!$I$5:$BF$5,0)),"")</f>
        <v>0</v>
      </c>
      <c r="I69" s="157" t="inlineStr">
        <is>
          <t>Batch 4</t>
        </is>
      </c>
      <c r="J69" s="186" t="n"/>
      <c r="K69" s="187" t="n"/>
      <c r="L69" s="185" t="n"/>
    </row>
    <row r="70">
      <c r="C70" s="143" t="n"/>
      <c r="D70" s="144" t="n"/>
      <c r="E70" s="157" t="inlineStr">
        <is>
          <t>Short term operating leases</t>
        </is>
      </c>
      <c r="H70" s="137">
        <f>IFERROR(INDEX(Model!$I$202:$BF$202,1,MATCH(Control!$B$7,Model!$I$5:$BF$5,0)),"")</f>
        <v>0</v>
      </c>
      <c r="I70" s="157" t="inlineStr">
        <is>
          <t>Batch 5</t>
        </is>
      </c>
      <c r="J70" s="186" t="n"/>
      <c r="K70" s="187" t="n"/>
      <c r="L70" s="185" t="n"/>
    </row>
    <row r="71">
      <c r="C71" s="171" t="inlineStr">
        <is>
          <t>Exit multiple method</t>
        </is>
      </c>
      <c r="D71" s="172" t="n"/>
      <c r="E71" s="157" t="inlineStr">
        <is>
          <t>Long term operating leases</t>
        </is>
      </c>
      <c r="H71" s="137">
        <f>IFERROR(INDEX(Model!$I$223:$BF$223,1,MATCH(Control!$B$7,Model!$I$5:$BF$5,0)),"")</f>
        <v>0</v>
      </c>
      <c r="I71" s="179" t="inlineStr">
        <is>
          <t>Batch 6</t>
        </is>
      </c>
      <c r="J71" s="189" t="n"/>
      <c r="K71" s="190" t="n"/>
      <c r="L71" s="191" t="n"/>
    </row>
    <row r="72">
      <c r="C72" s="174" t="inlineStr">
        <is>
          <t>Exit EV / EBITDA multiple</t>
        </is>
      </c>
      <c r="D72" s="192" t="str">
        <f>IFERROR(IF(Control!E14="","",Control!E14),"")</f>
        <v/>
      </c>
      <c r="E72" s="157" t="inlineStr">
        <is>
          <t>Less: Excess cash</t>
        </is>
      </c>
      <c r="H72" s="137">
        <f>IFERROR(-INDEX(Model!$I$132:$BF$132,1,MATCH(Control!$B$7,Model!$I$5:$BF$5,0)),"")</f>
        <v>-1774</v>
      </c>
      <c r="J72" s="162" t="n"/>
      <c r="K72" s="193" t="inlineStr">
        <is>
          <t>Total in-the-$ options:</t>
        </is>
      </c>
      <c r="L72" s="185" t="n"/>
    </row>
    <row r="73">
      <c r="C73" s="174" t="inlineStr">
        <is>
          <t>LTM EBITDA at end of projection</t>
        </is>
      </c>
      <c r="D73" s="188">
        <f>IFERROR(K20,"")</f>
        <v>16627.7186987167</v>
      </c>
      <c r="E73" s="157" t="inlineStr">
        <is>
          <t>Less: Equity investments</t>
        </is>
      </c>
      <c r="H73" s="137">
        <f>IFERROR(-INDEX(Model!$I$149:$BF$149,1,MATCH(Control!$B$7,Model!$I$5:$BF$5,0)),"")</f>
        <v>0</v>
      </c>
      <c r="J73" s="162" t="n"/>
      <c r="K73" s="193" t="inlineStr">
        <is>
          <t>Total $ proceeds:</t>
        </is>
      </c>
      <c r="L73" s="194" t="n"/>
    </row>
    <row r="74">
      <c r="C74" s="174" t="inlineStr">
        <is>
          <t>Terminal value</t>
        </is>
      </c>
      <c r="D74" s="188" t="str">
        <f>IFERROR(IF(OR(D72="",D73=""),"",D73*D72),"")</f>
        <v/>
      </c>
      <c r="E74" s="157" t="inlineStr">
        <is>
          <t>Net debt</t>
        </is>
      </c>
      <c r="H74" s="188">
        <f>IFERROR(SUM(H64:H73),"")</f>
        <v>23271</v>
      </c>
      <c r="J74" s="162" t="n"/>
      <c r="K74" s="193" t="inlineStr">
        <is>
          <t>Total shares repurchased:</t>
        </is>
      </c>
      <c r="L74" s="185" t="n"/>
    </row>
    <row r="75">
      <c r="C75" s="174" t="inlineStr">
        <is>
          <t>Present value of terminal value</t>
        </is>
      </c>
      <c r="D75" s="188" t="str">
        <f>IFERROR(IF(OR(D74="",K54="",K55=""),"",D74*K54*K55),"")</f>
        <v/>
      </c>
      <c r="E75" s="173" t="inlineStr">
        <is>
          <t>Equity value</t>
        </is>
      </c>
      <c r="H75" s="181" t="str">
        <f>IFERROR(IF(H62="","",H62-H74),"")</f>
        <v/>
      </c>
      <c r="J75" s="162" t="n"/>
      <c r="K75" s="195" t="inlineStr">
        <is>
          <t>Basic shares outstanding</t>
        </is>
      </c>
      <c r="L75" s="172" t="n"/>
    </row>
    <row r="76" ht="13.5" customHeight="1">
      <c r="C76" s="174" t="inlineStr">
        <is>
          <t>Enterprise value</t>
        </is>
      </c>
      <c r="D76" s="188" t="str">
        <f>IFERROR(IF(OR(D75="",G57=""),"",G57+D75),"")</f>
        <v/>
      </c>
      <c r="E76" s="157" t="inlineStr">
        <is>
          <t>Shares outstanding</t>
        </is>
      </c>
      <c r="H76" s="188" t="str">
        <f>IFERROR(IF(Control!E5="","",Control!E5),"")</f>
        <v/>
      </c>
      <c r="J76" s="196" t="n"/>
      <c r="K76" s="195" t="inlineStr">
        <is>
          <t>New shares from options:</t>
        </is>
      </c>
      <c r="L76" s="172" t="n"/>
    </row>
    <row r="77" ht="13.5" customHeight="1">
      <c r="C77" s="143" t="n"/>
      <c r="D77" s="197" t="n"/>
      <c r="E77" s="173" t="inlineStr">
        <is>
          <t>Equity value / share</t>
        </is>
      </c>
      <c r="H77" s="198" t="str">
        <f>IFERROR(IF(OR(H75="",H76="",H76=0),"",H75/H76),"")</f>
        <v/>
      </c>
      <c r="K77" s="195" t="inlineStr">
        <is>
          <t>New shares from convert. pref. stock:</t>
        </is>
      </c>
      <c r="L77" s="199" t="n"/>
    </row>
    <row r="78">
      <c r="C78" s="171" t="inlineStr">
        <is>
          <t>Select a terminal value method</t>
        </is>
      </c>
      <c r="D78" s="200" t="n"/>
      <c r="F78" s="160" t="n"/>
      <c r="H78" s="201" t="n"/>
      <c r="K78" s="195" t="inlineStr">
        <is>
          <t>New shares from convertible debt:</t>
        </is>
      </c>
      <c r="L78" s="202" t="n"/>
    </row>
    <row r="79">
      <c r="C79" s="174" t="inlineStr">
        <is>
          <t>Perpetual growth = 1 / Exit multiple = 2</t>
        </is>
      </c>
      <c r="D79" s="203">
        <f>IFERROR(Control!B11,"")</f>
        <v>1</v>
      </c>
      <c r="H79" s="201" t="n"/>
      <c r="K79" s="204" t="inlineStr">
        <is>
          <t>Total Shares Outstanding:</t>
        </is>
      </c>
      <c r="L79" s="205" t="n"/>
    </row>
    <row r="80">
      <c r="C80" s="174" t="inlineStr">
        <is>
          <t>Enterprise value</t>
        </is>
      </c>
      <c r="D80" s="172" t="str">
        <f>IFERROR(IF(D79=1,D69,D76),"")</f>
        <v/>
      </c>
      <c r="H80" s="144" t="n"/>
      <c r="K80" s="204" t="n"/>
      <c r="L80" s="205" t="n"/>
    </row>
    <row r="81">
      <c r="C81" s="206" t="inlineStr">
        <is>
          <t>Terminal value as percent of total value</t>
        </is>
      </c>
      <c r="D81" s="207" t="str">
        <f>IFERROR(IF(D79=1,D68/D69,D75/D76),"")</f>
        <v/>
      </c>
      <c r="E81" s="109" t="n"/>
      <c r="F81" s="109" t="n"/>
      <c r="G81" s="109" t="n"/>
      <c r="H81" s="123" t="n"/>
      <c r="I81" s="109" t="n"/>
      <c r="J81" s="109" t="n"/>
      <c r="K81" s="109" t="n"/>
      <c r="L81" s="123" t="n"/>
    </row>
    <row r="82"/>
    <row r="83" ht="13.5" customHeight="1">
      <c r="C83" s="208" t="inlineStr">
        <is>
          <t>Analysis of WACC</t>
        </is>
      </c>
      <c r="D83" s="209" t="n"/>
      <c r="E83" s="210" t="n"/>
      <c r="F83" s="210" t="n"/>
      <c r="G83" s="208" t="n"/>
      <c r="H83" s="209" t="n"/>
      <c r="I83" s="210" t="n"/>
      <c r="J83" s="210" t="n"/>
      <c r="K83" s="210" t="n"/>
      <c r="L83" s="210" t="n"/>
    </row>
    <row r="84"/>
    <row r="85">
      <c r="C85" s="211" t="inlineStr">
        <is>
          <t>Cost of debt</t>
        </is>
      </c>
      <c r="D85" s="109" t="n"/>
      <c r="F85" s="211" t="inlineStr">
        <is>
          <t>Capital structure</t>
        </is>
      </c>
      <c r="G85" s="211" t="n"/>
      <c r="H85" s="211" t="n"/>
      <c r="I85" s="211" t="n"/>
      <c r="J85" s="211" t="n"/>
    </row>
    <row r="86">
      <c r="C86" s="157" t="inlineStr">
        <is>
          <t>Cost of debt</t>
        </is>
      </c>
      <c r="D86" s="212" t="str">
        <f>IFERROR(IF(Control!E9="","",Control!E9),"")</f>
        <v/>
      </c>
      <c r="G86" s="252" t="inlineStr">
        <is>
          <t>Current capital structure</t>
        </is>
      </c>
      <c r="H86" s="253" t="n"/>
      <c r="I86" s="254" t="inlineStr">
        <is>
          <t>Target capital structure</t>
        </is>
      </c>
      <c r="J86" s="255" t="n"/>
    </row>
    <row r="87">
      <c r="C87" s="157" t="inlineStr">
        <is>
          <t>Marginal tax rate</t>
        </is>
      </c>
      <c r="D87" s="212" t="str">
        <f>IFERROR(IF(Control!E10="","",Control!E10),"")</f>
        <v/>
      </c>
      <c r="F87" s="109" t="n"/>
      <c r="G87" s="182" t="inlineStr">
        <is>
          <t>Market value</t>
        </is>
      </c>
      <c r="H87" s="182" t="inlineStr">
        <is>
          <t>% Weight</t>
        </is>
      </c>
      <c r="I87" s="182" t="inlineStr">
        <is>
          <t>override</t>
        </is>
      </c>
      <c r="J87" s="213" t="inlineStr">
        <is>
          <t>% Weight</t>
        </is>
      </c>
      <c r="K87" s="214" t="n"/>
      <c r="L87" s="215" t="n"/>
    </row>
    <row r="88">
      <c r="C88" s="251" t="inlineStr">
        <is>
          <t>Cost of debt after tax shield</t>
        </is>
      </c>
      <c r="D88" s="216" t="str">
        <f>IFERROR(IF(D86="","",D86*(1-D87)),"")</f>
        <v/>
      </c>
      <c r="F88" s="251" t="inlineStr">
        <is>
          <t>Net debt</t>
        </is>
      </c>
      <c r="G88" s="217">
        <f>IFERROR(H74,"")</f>
        <v>23271</v>
      </c>
      <c r="H88" s="97">
        <f>IFERROR(debt/totalcap,"")</f>
        <v>1</v>
      </c>
      <c r="I88" s="212" t="n"/>
      <c r="J88" s="97">
        <f>IFERROR(IF(I88,I88,H88),"")</f>
        <v>1</v>
      </c>
      <c r="L88" s="218" t="n"/>
    </row>
    <row r="89">
      <c r="F89" s="251" t="inlineStr">
        <is>
          <t>Equity</t>
        </is>
      </c>
      <c r="G89" s="217">
        <f>IFERROR(L63*L79,"")</f>
        <v>0</v>
      </c>
      <c r="H89" s="97">
        <f>IFERROR(1-H88,"")</f>
        <v>0</v>
      </c>
      <c r="J89" s="97">
        <f>IFERROR(1-debt_weight,"")</f>
        <v>0</v>
      </c>
    </row>
    <row r="90">
      <c r="C90" s="211" t="inlineStr">
        <is>
          <t>Cost of equity</t>
        </is>
      </c>
      <c r="D90" s="109" t="n"/>
      <c r="F90" s="251" t="inlineStr">
        <is>
          <t>Total</t>
        </is>
      </c>
      <c r="G90" s="214">
        <f>IFERROR(SUM(G88:G89),"")</f>
        <v>23271</v>
      </c>
    </row>
    <row r="91">
      <c r="C91" s="157" t="inlineStr">
        <is>
          <t>Risk-Free Rate (rf)</t>
        </is>
      </c>
      <c r="D91" s="212" t="str">
        <f>IFERROR(IF(Control!E6="","",Control!E6),"")</f>
        <v/>
      </c>
      <c r="E91" s="195" t="n"/>
    </row>
    <row r="92">
      <c r="C92" s="157" t="inlineStr">
        <is>
          <t>Market Risk Premium (rm-rf)</t>
        </is>
      </c>
      <c r="D92" s="212" t="str">
        <f>IFERROR(IF(Control!E7="","",Control!E7),"")</f>
        <v/>
      </c>
      <c r="F92" s="211" t="inlineStr">
        <is>
          <t>Weighted average cost of capital</t>
        </is>
      </c>
      <c r="G92" s="109" t="n"/>
      <c r="H92" s="109" t="n"/>
      <c r="I92" s="109" t="n"/>
      <c r="J92" s="109" t="n"/>
    </row>
    <row r="93">
      <c r="C93" s="157" t="inlineStr">
        <is>
          <t>Raw (observed) beta</t>
        </is>
      </c>
      <c r="D93" s="219" t="str">
        <f>IFERROR(IF(Control!E8="","",Control!E8),"")</f>
        <v/>
      </c>
      <c r="F93" s="251" t="inlineStr">
        <is>
          <t>Weighted average cost of capital:</t>
        </is>
      </c>
      <c r="J93" s="97" t="str">
        <f>IFERROR(IF(Control!E12="","",Control!E12),"")</f>
        <v/>
      </c>
    </row>
    <row r="94">
      <c r="C94" s="157" t="inlineStr">
        <is>
          <t>Cost of equity using relevered industry beta</t>
        </is>
      </c>
      <c r="D94" s="216" t="str">
        <f>IFERROR(IF(COUNT(D91:D93)&lt;3,"",D91+D93*D92),"")</f>
        <v/>
      </c>
      <c r="E94" s="102" t="n"/>
    </row>
    <row r="95">
      <c r="C95" s="157" t="n"/>
      <c r="D95" s="216" t="n"/>
      <c r="E95" s="102" t="n"/>
      <c r="G95" s="214" t="n"/>
    </row>
    <row r="96">
      <c r="C96" s="211" t="inlineStr">
        <is>
          <t>Industry beta calculation</t>
        </is>
      </c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109" t="n"/>
    </row>
    <row r="97" ht="25.5" customHeight="1">
      <c r="C97" s="220" t="inlineStr">
        <is>
          <t xml:space="preserve">Comps </t>
        </is>
      </c>
      <c r="D97" s="221" t="inlineStr">
        <is>
          <t>Raw beta</t>
        </is>
      </c>
      <c r="E97" s="221" t="inlineStr">
        <is>
          <t>Share price</t>
        </is>
      </c>
      <c r="F97" s="221" t="inlineStr">
        <is>
          <t>Shares</t>
        </is>
      </c>
      <c r="G97" s="221" t="inlineStr">
        <is>
          <t>Market cap.</t>
        </is>
      </c>
      <c r="H97" s="221" t="inlineStr">
        <is>
          <t>Debt</t>
        </is>
      </c>
      <c r="I97" s="221" t="inlineStr">
        <is>
          <t>D / E</t>
        </is>
      </c>
      <c r="J97" s="221" t="inlineStr">
        <is>
          <t>Tax rate</t>
        </is>
      </c>
      <c r="K97" s="221" t="inlineStr">
        <is>
          <t>Unl. Beta</t>
        </is>
      </c>
      <c r="L97" s="221" t="n"/>
      <c r="M97" s="221" t="n"/>
    </row>
    <row r="98">
      <c r="C98" s="251" t="str">
        <f>IFERROR(ticker,"")</f>
        <v>CEG</v>
      </c>
      <c r="D98" s="222" t="n"/>
      <c r="E98" s="223" t="n"/>
      <c r="F98" s="141" t="n"/>
      <c r="G98" s="141" t="n"/>
      <c r="H98" s="141" t="n"/>
      <c r="I98" s="224" t="n"/>
      <c r="J98" s="224" t="n"/>
      <c r="K98" s="222" t="n"/>
      <c r="L98" s="225" t="n"/>
    </row>
    <row r="99">
      <c r="C99" s="226" t="inlineStr">
        <is>
          <t>TICKER 2</t>
        </is>
      </c>
      <c r="D99" s="219" t="n"/>
      <c r="E99" s="227" t="n"/>
      <c r="F99" s="228" t="n"/>
      <c r="G99" s="141" t="n"/>
      <c r="H99" s="228" t="n"/>
      <c r="I99" s="224" t="n"/>
      <c r="J99" s="229" t="n"/>
      <c r="K99" s="222" t="n"/>
      <c r="L99" s="225" t="n"/>
    </row>
    <row r="100">
      <c r="C100" s="226" t="inlineStr">
        <is>
          <t>TICKER 3</t>
        </is>
      </c>
      <c r="D100" s="219" t="n"/>
      <c r="E100" s="227" t="n"/>
      <c r="F100" s="228" t="n"/>
      <c r="G100" s="141" t="n"/>
      <c r="H100" s="228" t="n"/>
      <c r="I100" s="224" t="n"/>
      <c r="J100" s="229" t="n"/>
      <c r="K100" s="222" t="n"/>
      <c r="L100" s="225" t="n"/>
    </row>
    <row r="101">
      <c r="C101" s="230" t="inlineStr">
        <is>
          <t>TICKER 4</t>
        </is>
      </c>
      <c r="D101" s="231" t="n"/>
      <c r="E101" s="232" t="n"/>
      <c r="F101" s="233" t="n"/>
      <c r="G101" s="127" t="n"/>
      <c r="H101" s="233" t="n"/>
      <c r="I101" s="234" t="n"/>
      <c r="J101" s="235" t="n"/>
      <c r="K101" s="236" t="n"/>
      <c r="L101" s="225" t="n"/>
      <c r="M101" s="237" t="n"/>
    </row>
    <row r="102">
      <c r="D102" s="222" t="n"/>
      <c r="E102" s="204" t="n"/>
      <c r="F102" s="161" t="n"/>
      <c r="G102" s="141" t="n"/>
      <c r="I102" s="222" t="n"/>
      <c r="J102" s="237" t="n"/>
      <c r="K102" s="238" t="n"/>
      <c r="L102" s="238" t="n"/>
      <c r="M102" s="238" t="n"/>
    </row>
  </sheetData>
  <mergeCells count="4">
    <mergeCell ref="G14:V14"/>
    <mergeCell ref="G86:H86"/>
    <mergeCell ref="I86:J86"/>
    <mergeCell ref="G15:V15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F33"/>
  <sheetViews>
    <sheetView showGridLines="0" zoomScaleNormal="100" workbookViewId="0">
      <pane ySplit="1" topLeftCell="A2" activePane="bottomLeft" state="frozen"/>
      <selection pane="bottomLeft" activeCell="B3" sqref="B3:B12"/>
    </sheetView>
  </sheetViews>
  <sheetFormatPr baseColWidth="8" defaultColWidth="9.7109375" defaultRowHeight="12.75"/>
  <cols>
    <col width="43.140625" customWidth="1" min="1" max="1"/>
    <col width="27.28515625" customWidth="1" min="2" max="2"/>
    <col width="18.140625" customWidth="1" min="3" max="3"/>
    <col width="34" customWidth="1" min="4" max="4"/>
    <col width="18.140625" customWidth="1" min="5" max="6"/>
  </cols>
  <sheetData>
    <row r="1" ht="18" customHeight="1">
      <c r="A1" s="239" t="inlineStr">
        <is>
          <t>CONTROL &amp; ASSUMPTIONS – BASE MODEL</t>
        </is>
      </c>
      <c r="B1" s="239" t="n"/>
      <c r="C1" s="239" t="n"/>
      <c r="D1" s="239" t="n"/>
      <c r="E1" s="239" t="n"/>
      <c r="F1" s="239" t="n"/>
    </row>
    <row r="3" ht="14.25" customHeight="1">
      <c r="A3" t="inlineStr">
        <is>
          <t>Company</t>
        </is>
      </c>
      <c r="B3" s="240" t="inlineStr">
        <is>
          <t>Constellation Energy Corporation</t>
        </is>
      </c>
      <c r="D3" s="241" t="inlineStr">
        <is>
          <t>Valuation assumptions</t>
        </is>
      </c>
      <c r="E3" s="241" t="n"/>
      <c r="F3" s="241" t="n"/>
    </row>
    <row r="4" ht="14.25" customHeight="1">
      <c r="A4" t="inlineStr">
        <is>
          <t>Ticker</t>
        </is>
      </c>
      <c r="B4" s="240" t="inlineStr">
        <is>
          <t>CEG</t>
        </is>
      </c>
      <c r="D4" t="inlineStr">
        <is>
          <t>Last close (US$/share)</t>
        </is>
      </c>
      <c r="E4" s="242" t="n"/>
    </row>
    <row r="5" ht="14.25" customHeight="1">
      <c r="A5" t="inlineStr">
        <is>
          <t>Currency</t>
        </is>
      </c>
      <c r="B5" s="240" t="inlineStr">
        <is>
          <t>USD</t>
        </is>
      </c>
      <c r="D5" t="inlineStr">
        <is>
          <t>Shares outstanding (mm)</t>
        </is>
      </c>
      <c r="E5" s="243" t="n"/>
    </row>
    <row r="6" ht="14.25" customHeight="1">
      <c r="A6" t="inlineStr">
        <is>
          <t>Model unit</t>
        </is>
      </c>
      <c r="B6" s="240" t="inlineStr">
        <is>
          <t>US$ milhões</t>
        </is>
      </c>
      <c r="D6" t="inlineStr">
        <is>
          <t>Risk-free rate</t>
        </is>
      </c>
      <c r="E6" s="244" t="n"/>
    </row>
    <row r="7" ht="14.25" customHeight="1">
      <c r="A7" t="inlineStr">
        <is>
          <t>Last actual period</t>
        </is>
      </c>
      <c r="B7" s="274" t="n">
        <v>46203</v>
      </c>
      <c r="D7" t="inlineStr">
        <is>
          <t>Market risk premium</t>
        </is>
      </c>
      <c r="E7" s="244" t="n"/>
    </row>
    <row r="8" ht="14.25" customHeight="1">
      <c r="A8" t="inlineStr">
        <is>
          <t>Quarterly forecast through</t>
        </is>
      </c>
      <c r="B8" s="245" t="n">
        <v>47118</v>
      </c>
      <c r="D8" t="inlineStr">
        <is>
          <t>Beta</t>
        </is>
      </c>
      <c r="E8" s="246" t="n"/>
    </row>
    <row r="9" ht="15" customHeight="1">
      <c r="A9" t="inlineStr">
        <is>
          <t>Forecast end</t>
        </is>
      </c>
      <c r="B9" s="245" t="n">
        <v>47848</v>
      </c>
      <c r="D9" t="inlineStr">
        <is>
          <t>Pre-tax cost of debt</t>
        </is>
      </c>
      <c r="E9" s="247" t="str">
        <f>IFERROR(-Model!AG62/AVERAGE(Model!AB80,Model!AG80),"")</f>
        <v/>
      </c>
    </row>
    <row r="10" ht="14.25" customHeight="1">
      <c r="A10" t="inlineStr">
        <is>
          <t>Scenario (1 Bull / 2 Base / 3 Bear)</t>
        </is>
      </c>
      <c r="B10" s="240" t="n">
        <v>2</v>
      </c>
      <c r="D10" t="inlineStr">
        <is>
          <t>Marginal tax rate</t>
        </is>
      </c>
      <c r="E10" s="244" t="n"/>
    </row>
    <row r="11" ht="14.25" customHeight="1">
      <c r="A11" t="inlineStr">
        <is>
          <t>Terminal method (1 Perpetuity / 2 Exit)</t>
        </is>
      </c>
      <c r="B11" s="240" t="n">
        <v>1</v>
      </c>
      <c r="D11" t="inlineStr">
        <is>
          <t>Target debt weight</t>
        </is>
      </c>
      <c r="E11" s="244" t="n"/>
    </row>
    <row r="12" ht="15" customHeight="1">
      <c r="A12" t="inlineStr">
        <is>
          <t>Valuation date</t>
        </is>
      </c>
      <c r="B12" s="245" t="n"/>
      <c r="D12" t="inlineStr">
        <is>
          <t>WACC</t>
        </is>
      </c>
      <c r="E12" s="247" t="str">
        <f>IF(COUNT(E6:E11)&lt;6,"",E11*E9*(1-E10)+(1-E11)*(E6+E8*E7))</f>
        <v/>
      </c>
    </row>
    <row r="13" ht="15" customHeight="1">
      <c r="A13" t="inlineStr">
        <is>
          <t>Stub year fraction</t>
        </is>
      </c>
      <c r="B13" s="247">
        <f>IFERROR((DATE(YEAR(B12),12,31)-B12)/365,"")</f>
        <v>0.00273972602739726</v>
      </c>
      <c r="D13" t="inlineStr">
        <is>
          <t>Terminal growth</t>
        </is>
      </c>
      <c r="E13" s="244" t="n"/>
    </row>
    <row r="14" ht="14.25" customHeight="1">
      <c r="D14" t="inlineStr">
        <is>
          <t>Exit EV/EBITDA</t>
        </is>
      </c>
      <c r="E14" s="248" t="n"/>
    </row>
    <row r="15" ht="14.25" customHeight="1">
      <c r="D15" t="inlineStr">
        <is>
          <t>Dividend payout</t>
        </is>
      </c>
      <c r="E15" s="244" t="n"/>
    </row>
    <row r="17" ht="14.25" customHeight="1">
      <c r="A17" s="241" t="inlineStr">
        <is>
          <t>Forecast drivers</t>
        </is>
      </c>
      <c r="B17" s="241" t="inlineStr">
        <is>
          <t>2026E</t>
        </is>
      </c>
      <c r="C17" s="241" t="inlineStr">
        <is>
          <t>2027E</t>
        </is>
      </c>
      <c r="D17" s="241" t="inlineStr">
        <is>
          <t>2028E</t>
        </is>
      </c>
      <c r="E17" s="241" t="inlineStr">
        <is>
          <t>2029E</t>
        </is>
      </c>
      <c r="F17" s="241" t="inlineStr">
        <is>
          <t>2030E</t>
        </is>
      </c>
    </row>
    <row r="18" ht="15" customHeight="1">
      <c r="A18" t="inlineStr">
        <is>
          <t>Revenue growth</t>
        </is>
      </c>
      <c r="B18" s="247">
        <f>IFERROR(AVERAGE(Model!AC16:AF16,Model!AH16:AI16),"")</f>
        <v>0.202696539418505</v>
      </c>
      <c r="C18" s="247">
        <f>IF(B18="","",B18)</f>
        <v>0.202696539418505</v>
      </c>
      <c r="D18" s="247">
        <f>IF(C18="","",MAX(0,C18-0.5%))</f>
        <v>0.197696539418505</v>
      </c>
      <c r="E18" s="247">
        <f>IF(D18="","",MAX(0,D18-0.5%))</f>
        <v>0.192696539418505</v>
      </c>
      <c r="F18" s="247">
        <f>IF(E18="","",MAX(0,E18-0.5%))</f>
        <v>0.187696539418505</v>
      </c>
    </row>
    <row r="19" ht="15" customHeight="1">
      <c r="A19" t="inlineStr">
        <is>
          <t>Gross margin</t>
        </is>
      </c>
      <c r="B19" s="247">
        <f>IFERROR(AVERAGE(Model!AC43:AF43,Model!AH43:AI43),"")</f>
        <v>1</v>
      </c>
      <c r="C19" s="247">
        <f>IF(B19="","",B19)</f>
        <v>1</v>
      </c>
      <c r="D19" s="247">
        <f>IF(C19="","",C19)</f>
        <v>1</v>
      </c>
      <c r="E19" s="247">
        <f>IF(D19="","",D19)</f>
        <v>1</v>
      </c>
      <c r="F19" s="247">
        <f>IF(E19="","",E19)</f>
        <v>1</v>
      </c>
    </row>
    <row r="20" ht="15" customHeight="1">
      <c r="A20" t="inlineStr">
        <is>
          <t>SG&amp;A / Revenue</t>
        </is>
      </c>
      <c r="B20" s="247">
        <f>IFERROR(AVERAGE(Model!AC47:AF47,Model!AH47:AI47),"")</f>
        <v>0.759145258191841</v>
      </c>
      <c r="C20" s="247">
        <f>IF(B20="","",B20)</f>
        <v>0.759145258191841</v>
      </c>
      <c r="D20" s="247">
        <f>IF(C20="","",C20)</f>
        <v>0.759145258191841</v>
      </c>
      <c r="E20" s="247">
        <f>IF(D20="","",D20)</f>
        <v>0.759145258191841</v>
      </c>
      <c r="F20" s="247">
        <f>IF(E20="","",E20)</f>
        <v>0.759145258191841</v>
      </c>
    </row>
    <row r="21" ht="15" customHeight="1">
      <c r="A21" t="inlineStr">
        <is>
          <t>D&amp;A / Revenue</t>
        </is>
      </c>
      <c r="B21" s="247">
        <f>IFERROR(AVERAGE(Model!AC59:AF59,Model!AH59:AI59),"")</f>
        <v>0.112015955578017</v>
      </c>
      <c r="C21" s="247">
        <f>IF(B21="","",B21)</f>
        <v>0.112015955578017</v>
      </c>
      <c r="D21" s="247">
        <f>IF(C21="","",C21)</f>
        <v>0.112015955578017</v>
      </c>
      <c r="E21" s="247">
        <f>IF(D21="","",D21)</f>
        <v>0.112015955578017</v>
      </c>
      <c r="F21" s="247">
        <f>IF(E21="","",E21)</f>
        <v>0.112015955578017</v>
      </c>
    </row>
    <row r="22" ht="15" customHeight="1">
      <c r="A22" t="inlineStr">
        <is>
          <t>Effective tax rate</t>
        </is>
      </c>
      <c r="B22" s="247">
        <f>IFERROR(AVERAGE(Model!AC120:AF120,Model!AH120:AI120),"")</f>
        <v>0.315216201163042</v>
      </c>
      <c r="C22" s="247">
        <f>IF(B22="","",B22)</f>
        <v>0.315216201163042</v>
      </c>
      <c r="D22" s="247">
        <f>IF(C22="","",C22)</f>
        <v>0.315216201163042</v>
      </c>
      <c r="E22" s="247">
        <f>IF(D22="","",D22)</f>
        <v>0.315216201163042</v>
      </c>
      <c r="F22" s="247">
        <f>IF(E22="","",E22)</f>
        <v>0.315216201163042</v>
      </c>
    </row>
    <row r="23" ht="15" customHeight="1">
      <c r="A23" t="inlineStr">
        <is>
          <t>Financial income / Revenue</t>
        </is>
      </c>
      <c r="B23" s="247">
        <f>IFERROR(AVERAGE(Model!AC111:AF111,Model!AH111:AI111)/AVERAGE(Model!AC15:AF15,Model!AH15:AI15),"")</f>
        <v>0.0358930229398311</v>
      </c>
      <c r="C23" s="247">
        <f>IF(B23="","",B23)</f>
        <v>0.0358930229398311</v>
      </c>
      <c r="D23" s="247">
        <f>IF(C23="","",C23)</f>
        <v>0.0358930229398311</v>
      </c>
      <c r="E23" s="247">
        <f>IF(D23="","",D23)</f>
        <v>0.0358930229398311</v>
      </c>
      <c r="F23" s="247">
        <f>IF(E23="","",E23)</f>
        <v>0.0358930229398311</v>
      </c>
    </row>
    <row r="24" ht="15" customHeight="1">
      <c r="A24" t="inlineStr">
        <is>
          <t>Capex / Revenue</t>
        </is>
      </c>
      <c r="B24" s="247">
        <f>IFERROR(-AVERAGE(Model!AC283:AF283,Model!AH283:AI283)/AVERAGE(Model!AC15:AF15,Model!AH15:AI15),"")</f>
        <v>0.565275481781743</v>
      </c>
      <c r="C24" s="247">
        <f>IF(B24="","",B24)</f>
        <v>0.565275481781743</v>
      </c>
      <c r="D24" s="247">
        <f>IF(C24="","",C24)</f>
        <v>0.565275481781743</v>
      </c>
      <c r="E24" s="247">
        <f>IF(D24="","",D24)</f>
        <v>0.565275481781743</v>
      </c>
      <c r="F24" s="247">
        <f>IF(E24="","",E24)</f>
        <v>0.565275481781743</v>
      </c>
    </row>
    <row r="25" ht="15" customHeight="1">
      <c r="A25" t="inlineStr">
        <is>
          <t>DSO</t>
        </is>
      </c>
      <c r="B25" s="249">
        <f>IFERROR(AVERAGE(Model!AC134:AF134,Model!AH134:AI134),0)</f>
        <v>47.9182801672815</v>
      </c>
      <c r="C25" s="249">
        <f>IF(B25="","",B25)</f>
        <v>47.9182801672815</v>
      </c>
      <c r="D25" s="249">
        <f>IF(C25="","",C25)</f>
        <v>47.9182801672815</v>
      </c>
      <c r="E25" s="249">
        <f>IF(D25="","",D25)</f>
        <v>47.9182801672815</v>
      </c>
      <c r="F25" s="249">
        <f>IF(E25="","",E25)</f>
        <v>47.9182801672815</v>
      </c>
    </row>
    <row r="26" ht="15" customHeight="1">
      <c r="A26" t="inlineStr">
        <is>
          <t>DIO</t>
        </is>
      </c>
      <c r="B26" s="249">
        <f>IFERROR(AVERAGE(Model!AC138:AF138,Model!AH138:AI138),0)</f>
        <v>0</v>
      </c>
      <c r="C26" s="249">
        <f>IF(B26="","",B26)</f>
        <v>0</v>
      </c>
      <c r="D26" s="249">
        <f>IF(C26="","",C26)</f>
        <v>0</v>
      </c>
      <c r="E26" s="249">
        <f>IF(D26="","",D26)</f>
        <v>0</v>
      </c>
      <c r="F26" s="249">
        <f>IF(E26="","",E26)</f>
        <v>0</v>
      </c>
    </row>
    <row r="27" ht="15" customHeight="1">
      <c r="A27" t="inlineStr">
        <is>
          <t>DPO</t>
        </is>
      </c>
      <c r="B27" s="249">
        <f>IFERROR(AVERAGE(Model!AC187:AF187,Model!AH187:AI187),0)</f>
        <v>0</v>
      </c>
      <c r="C27" s="249">
        <f>IF(B27="","",B27)</f>
        <v>0</v>
      </c>
      <c r="D27" s="249">
        <f>IF(C27="","",C27)</f>
        <v>0</v>
      </c>
      <c r="E27" s="249">
        <f>IF(D27="","",D27)</f>
        <v>0</v>
      </c>
      <c r="F27" s="249">
        <f>IF(E27="","",E27)</f>
        <v>0</v>
      </c>
    </row>
    <row r="29">
      <c r="A29" t="inlineStr">
        <is>
          <t>Model status</t>
        </is>
      </c>
    </row>
    <row r="30">
      <c r="A30" t="inlineStr">
        <is>
          <t>Source</t>
        </is>
      </c>
      <c r="B30" t="inlineStr">
        <is>
          <t xml:space="preserve">Constellation Energy Corporation (CEG, CIK 1868275) - fonte: SEC EDGAR XBRL (instâncias dos 10-Q/10-K). Moeda: USD. Brutos em USD unidades (fator 0,000001 -&gt; milhões). Colunas = trimestres-CALENDÁRIO (cada fechamento vai para o fim de trimestre mais </t>
        </is>
      </c>
    </row>
    <row r="31">
      <c r="A31" t="inlineStr">
        <is>
          <t>Unit flow</t>
        </is>
      </c>
      <c r="B31" t="inlineStr">
        <is>
          <t>US$ mil na Inputs → US$ milhões via Inputs (2)</t>
        </is>
      </c>
    </row>
    <row r="32">
      <c r="A32" t="inlineStr">
        <is>
          <t>Historical coverage</t>
        </is>
      </c>
      <c r="B32" t="str">
        <f>IF(B7="","","1Q21–"&amp;ROUNDUP(MONTH(B7)/3,0)&amp;"Q"&amp;RIGHT(YEAR(B7),2))</f>
        <v>1Q21–2Q26</v>
      </c>
    </row>
    <row r="33">
      <c r="A33" t="inlineStr">
        <is>
          <t>Valuation readiness</t>
        </is>
      </c>
      <c r="B33" t="str">
        <f>IF(OR(B3="",B4=""),"PENDING COMPANY SETUP",IF(OR(E4="",E5="",E12=""),"PENDING MARKET INPUTS","READY"))</f>
        <v>PENDING MARKET INPUTS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2026-09-23T00:39:42Z</dcterms:created>
  <dcterms:modified xmlns:dcterms="http://purl.org/dc/terms/" xmlns:xsi="http://www.w3.org/2001/XMLSchema-instance" xsi:type="dcterms:W3CDTF">2026-10-16T15:37:00Z</dcterms:modified>
  <cp:lastModifiedBy>Lucas Nascimento</cp:lastModifiedBy>
  <cp:revision>0</cp:revision>
</cp:coreProperties>
</file>