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Control" sheetId="5" state="visible" r:id="rId5"/>
  </sheets>
  <definedNames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BalType" hidden="1">TRUE()</definedName>
    <definedName name="beta_observed">Valuation!$D$93</definedName>
    <definedName name="GrpAcct1" hidden="1">"5611"</definedName>
    <definedName name="GrpAcct2" hidden="1">"5612"</definedName>
    <definedName name="GrpLevel" hidden="1">2</definedName>
    <definedName name="last_close">Valuation!$G$7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owLevel" hidden="1">1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>2</definedName>
    <definedName name="XRefCopyRangeCount" hidden="1">5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#,##0_ ;[Red]\-#,##0\ "/>
    <numFmt numFmtId="165" formatCode="#,##0_);[Red]\(#,##0\)"/>
    <numFmt numFmtId="166" formatCode="#,##0.0_);[Red]\(#,##0.0\)"/>
    <numFmt numFmtId="167" formatCode="#,##0.0_ ;[Red]\-#,##0.0\ "/>
    <numFmt numFmtId="168" formatCode="[$-409]d\-mmm;@"/>
    <numFmt numFmtId="169" formatCode="[$-409]d\-mmm"/>
    <numFmt numFmtId="170" formatCode="[$-416]d\-mmm"/>
    <numFmt numFmtId="171" formatCode="0.0%"/>
    <numFmt numFmtId="172" formatCode="#,##0.0;[Red]#,##0.0"/>
    <numFmt numFmtId="173" formatCode="#,##0.00_);[Red]\(#,##0.00\)"/>
    <numFmt numFmtId="174" formatCode="0.0\x"/>
    <numFmt numFmtId="175" formatCode="0.0"/>
    <numFmt numFmtId="176" formatCode="[$-409]d\-mmm\-yy;@"/>
    <numFmt numFmtId="177" formatCode="[$BRL]\ #,##0.00_);[Red]\([$BRL]\ #,##0.00\)"/>
    <numFmt numFmtId="178" formatCode="#,##0.0_);\(#,##0.0\)"/>
    <numFmt numFmtId="179" formatCode="#,##0.000_);\(#,##0.000\)"/>
    <numFmt numFmtId="180" formatCode="&quot;R$ &quot;#,##0.00"/>
    <numFmt numFmtId="181" formatCode="#,##0.0\x"/>
    <numFmt numFmtId="182" formatCode="\$#,##0.00_);&quot;($&quot;#,##0.00\)"/>
    <numFmt numFmtId="183" formatCode="#,##0.000_);[Red]\(#,##0.000\)"/>
    <numFmt numFmtId="184" formatCode="\$#,##0.00_);[Red]&quot;($&quot;#,##0.00\)"/>
    <numFmt numFmtId="185" formatCode="\$#,##0.0_);&quot;($&quot;#,##0.0\)"/>
    <numFmt numFmtId="186" formatCode="#,##0_);\(#,##0\)"/>
    <numFmt numFmtId="187" formatCode="0.0%;\(0.0%\)"/>
    <numFmt numFmtId="188" formatCode="0.000"/>
    <numFmt numFmtId="189" formatCode="#,##0.00_);\(#,##0.00\)"/>
    <numFmt numFmtId="190" formatCode="#,##0.0"/>
    <numFmt numFmtId="191" formatCode="0.00\x"/>
    <numFmt numFmtId="192" formatCode="0.0&quot;x&quot;"/>
    <numFmt numFmtId="193" formatCode="#,##0.0;\(#,##0.0\)"/>
    <numFmt numFmtId="194" formatCode="_(* #,##0.00_);_(* \(#,##0.00\);_(* \-??_);_(@_)"/>
    <numFmt numFmtId="195" formatCode="_(* #,##0_);_(* \(#,##0\);_(* \-_);_(@_)"/>
    <numFmt numFmtId="196" formatCode="_(\$* #,##0.00_);_(\$* \(#,##0.00\);_(\$* \-??_);_(@_)"/>
    <numFmt numFmtId="197" formatCode="_(\$* #,##0_);_(\$* \(#,##0\);_(\$* \-_);_(@_)"/>
    <numFmt numFmtId="198" formatCode="m/d/yyyy"/>
    <numFmt numFmtId="199" formatCode="0_);\(0\)"/>
    <numFmt numFmtId="200" formatCode="#,##0.0;(#,##0.0)"/>
    <numFmt numFmtId="201" formatCode="dd/mm/yyyy"/>
  </numFmts>
  <fonts count="26">
    <font>
      <name val="Arial"/>
      <family val="2"/>
      <sz val="10"/>
    </font>
    <font>
      <name val="Arial"/>
      <charset val="1"/>
      <sz val="10"/>
    </font>
    <font>
      <name val="Arial"/>
      <charset val="1"/>
      <b val="1"/>
      <sz val="8"/>
    </font>
    <font>
      <name val="Aptos Narrow"/>
      <charset val="1"/>
      <color theme="1"/>
      <sz val="11"/>
    </font>
    <font>
      <name val="Verdana"/>
      <charset val="1"/>
      <color theme="1"/>
      <sz val="10"/>
    </font>
    <font>
      <name val="Arial"/>
      <charset val="1"/>
      <sz val="8"/>
    </font>
    <font>
      <name val="Arial"/>
      <charset val="1"/>
      <b val="1"/>
      <color rgb="FF333333"/>
      <sz val="10"/>
    </font>
    <font>
      <name val="Calibri"/>
      <charset val="1"/>
      <color rgb="FF000000"/>
      <sz val="11"/>
    </font>
    <font>
      <name val="Cambria"/>
      <charset val="1"/>
      <b val="1"/>
      <color rgb="FFFFFFFF"/>
      <sz val="11"/>
    </font>
    <font>
      <name val="Cambria"/>
      <charset val="1"/>
      <b val="1"/>
      <color rgb="FF17365D"/>
      <sz val="11"/>
    </font>
    <font>
      <name val="Verdana"/>
      <charset val="1"/>
      <color rgb="FF0000FF"/>
      <sz val="10"/>
    </font>
    <font>
      <name val="Verdana"/>
      <charset val="1"/>
      <b val="1"/>
      <color theme="1"/>
      <sz val="10"/>
    </font>
    <font>
      <name val="Verdana"/>
      <charset val="1"/>
      <b val="1"/>
      <color rgb="FFFFFFFF"/>
      <sz val="10"/>
    </font>
    <font>
      <name val="Verdana"/>
      <charset val="1"/>
      <i val="1"/>
      <color theme="1"/>
      <sz val="10"/>
    </font>
    <font>
      <name val="Verdana"/>
      <charset val="1"/>
      <sz val="10"/>
    </font>
    <font>
      <name val="Verdana"/>
      <charset val="1"/>
      <b val="1"/>
      <color theme="0"/>
      <sz val="10"/>
    </font>
    <font>
      <name val="Verdana"/>
      <charset val="1"/>
      <b val="1"/>
      <sz val="10"/>
    </font>
    <font>
      <name val="Verdana"/>
      <charset val="1"/>
      <b val="1"/>
      <color theme="0" tint="-0.0499893185216834"/>
      <sz val="10"/>
    </font>
    <font>
      <name val="Verdana"/>
      <charset val="1"/>
      <b val="1"/>
      <color rgb="FF333333"/>
      <sz val="10"/>
    </font>
    <font>
      <name val="Verdana"/>
      <charset val="1"/>
      <b val="1"/>
      <color rgb="FF0000FF"/>
      <sz val="10"/>
    </font>
    <font>
      <name val="Verdana"/>
      <charset val="1"/>
      <color rgb="FF008000"/>
      <sz val="10"/>
    </font>
    <font>
      <name val="Cambria"/>
      <charset val="1"/>
      <b val="1"/>
      <color rgb="FFFFFFFF"/>
      <sz val="14"/>
    </font>
    <font>
      <name val="Cambria"/>
      <charset val="1"/>
      <color rgb="FF0000FF"/>
      <sz val="11"/>
    </font>
    <font>
      <name val="Verdana"/>
      <family val="2"/>
      <b val="1"/>
      <color rgb="FFFFFFFF"/>
      <sz val="10"/>
    </font>
    <font>
      <name val="Verdana"/>
      <family val="2"/>
      <b val="1"/>
      <color theme="1"/>
      <sz val="10"/>
    </font>
    <font>
      <name val="Verdana"/>
      <b val="1"/>
      <sz val="10"/>
    </font>
  </fonts>
  <fills count="18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theme="4" tint="0.3998840296639912"/>
        <bgColor rgb="FF00CCFF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2CC"/>
        <bgColor rgb="FFFFFFCC"/>
      </patternFill>
    </fill>
    <fill>
      <patternFill patternType="solid">
        <fgColor rgb="FF4472C4"/>
        <bgColor rgb="FF666699"/>
      </patternFill>
    </fill>
    <fill>
      <patternFill patternType="solid">
        <fgColor rgb="FF00B050"/>
        <bgColor rgb="FF00B050"/>
      </patternFill>
    </fill>
    <fill>
      <patternFill patternType="solid">
        <fgColor rgb="FFD9D9D9"/>
        <bgColor rgb="FFD9D9D9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>
        <color auto="1"/>
      </bottom>
      <diagonal/>
    </border>
    <border>
      <left style="thin">
        <color rgb="FFFFFF00"/>
      </left>
      <right/>
      <top/>
      <bottom style="thin">
        <color auto="1"/>
      </bottom>
      <diagonal/>
    </border>
    <border>
      <left style="medium">
        <color rgb="FF00B050"/>
      </left>
      <right style="thin">
        <color auto="1"/>
      </right>
      <top style="medium">
        <color rgb="FF00B050"/>
      </top>
      <bottom style="medium">
        <color rgb="FF00B050"/>
      </bottom>
      <diagonal/>
    </border>
    <border>
      <left/>
      <right style="thin">
        <color auto="1"/>
      </right>
      <top style="thin">
        <color rgb="FFFFFF00"/>
      </top>
      <bottom style="thin">
        <color rgb="FFFFFF00"/>
      </bottom>
      <diagonal/>
    </border>
    <border>
      <left/>
      <right style="thin">
        <color auto="1"/>
      </right>
      <top style="thin">
        <color rgb="FFFFFF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5">
    <xf numFmtId="0" fontId="0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5" fontId="1" fillId="0" borderId="0"/>
    <xf numFmtId="195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7" fontId="1" fillId="0" borderId="0"/>
    <xf numFmtId="197" fontId="1" fillId="0" borderId="0"/>
    <xf numFmtId="197" fontId="1" fillId="0" borderId="0"/>
    <xf numFmtId="197" fontId="1" fillId="0" borderId="0"/>
    <xf numFmtId="198" fontId="2" fillId="0" borderId="1"/>
    <xf numFmtId="0" fontId="1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199" fontId="5" fillId="0" borderId="0"/>
    <xf numFmtId="0" fontId="6" fillId="2" borderId="2"/>
    <xf numFmtId="9" fontId="1" fillId="0" borderId="0"/>
    <xf numFmtId="9" fontId="3" fillId="0" borderId="0"/>
    <xf numFmtId="9" fontId="1" fillId="0" borderId="0"/>
    <xf numFmtId="9" fontId="1" fillId="0" borderId="0"/>
    <xf numFmtId="9" fontId="4" fillId="0" borderId="0"/>
    <xf numFmtId="194" fontId="7" fillId="0" borderId="0"/>
  </cellStyleXfs>
  <cellXfs count="275">
    <xf numFmtId="0" fontId="0" fillId="0" borderId="0" pivotButton="0" quotePrefix="0" xfId="0"/>
    <xf numFmtId="0" fontId="8" fillId="3" borderId="0" pivotButton="0" quotePrefix="0" xfId="24"/>
    <xf numFmtId="0" fontId="9" fillId="4" borderId="0" pivotButton="0" quotePrefix="0" xfId="24"/>
    <xf numFmtId="0" fontId="4" fillId="0" borderId="0" applyAlignment="1" pivotButton="0" quotePrefix="0" xfId="24">
      <alignment horizontal="center"/>
    </xf>
    <xf numFmtId="0" fontId="4" fillId="0" borderId="0" pivotButton="0" quotePrefix="0" xfId="24"/>
    <xf numFmtId="0" fontId="8" fillId="3" borderId="0" applyAlignment="1" pivotButton="0" quotePrefix="0" xfId="24">
      <alignment horizontal="center"/>
    </xf>
    <xf numFmtId="0" fontId="8" fillId="3" borderId="0" applyAlignment="1" pivotButton="0" quotePrefix="0" xfId="21">
      <alignment horizontal="center"/>
    </xf>
    <xf numFmtId="164" fontId="8" fillId="3" borderId="0" applyAlignment="1" pivotButton="0" quotePrefix="0" xfId="21">
      <alignment horizontal="center"/>
    </xf>
    <xf numFmtId="0" fontId="3" fillId="5" borderId="0" pivotButton="0" quotePrefix="0" xfId="24"/>
    <xf numFmtId="165" fontId="10" fillId="6" borderId="0" applyAlignment="1" pivotButton="0" quotePrefix="0" xfId="24">
      <alignment horizontal="center"/>
    </xf>
    <xf numFmtId="0" fontId="4" fillId="7" borderId="0" pivotButton="0" quotePrefix="0" xfId="20"/>
    <xf numFmtId="166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/>
    </xf>
    <xf numFmtId="167" fontId="4" fillId="7" borderId="0" applyAlignment="1" pivotButton="0" quotePrefix="0" xfId="20">
      <alignment horizontal="left"/>
    </xf>
    <xf numFmtId="0" fontId="4" fillId="7" borderId="0" applyAlignment="1" pivotButton="0" quotePrefix="0" xfId="20">
      <alignment horizontal="left"/>
    </xf>
    <xf numFmtId="0" fontId="4" fillId="7" borderId="1" applyAlignment="1" pivotButton="0" quotePrefix="0" xfId="20">
      <alignment horizontal="left"/>
    </xf>
    <xf numFmtId="166" fontId="4" fillId="0" borderId="0" pivotButton="0" quotePrefix="0" xfId="24"/>
    <xf numFmtId="0" fontId="11" fillId="0" borderId="0" pivotButton="0" quotePrefix="0" xfId="20"/>
    <xf numFmtId="0" fontId="4" fillId="0" borderId="0" pivotButton="0" quotePrefix="0" xfId="20"/>
    <xf numFmtId="168" fontId="10" fillId="6" borderId="0" applyAlignment="1" pivotButton="0" quotePrefix="0" xfId="24">
      <alignment horizontal="center"/>
    </xf>
    <xf numFmtId="169" fontId="10" fillId="6" borderId="0" applyAlignment="1" pivotButton="0" quotePrefix="0" xfId="21">
      <alignment horizontal="center"/>
    </xf>
    <xf numFmtId="170" fontId="4" fillId="7" borderId="0" applyAlignment="1" pivotButton="0" quotePrefix="0" xfId="21">
      <alignment horizontal="center"/>
    </xf>
    <xf numFmtId="170" fontId="11" fillId="7" borderId="0" applyAlignment="1" pivotButton="0" quotePrefix="0" xfId="21">
      <alignment horizontal="center"/>
    </xf>
    <xf numFmtId="168" fontId="10" fillId="0" borderId="0" applyAlignment="1" pivotButton="0" quotePrefix="0" xfId="24">
      <alignment horizontal="center"/>
    </xf>
    <xf numFmtId="164" fontId="4" fillId="0" borderId="0" applyAlignment="1" pivotButton="0" quotePrefix="0" xfId="21">
      <alignment horizontal="center"/>
    </xf>
    <xf numFmtId="0" fontId="4" fillId="0" borderId="0" applyAlignment="1" pivotButton="0" quotePrefix="0" xfId="21">
      <alignment horizontal="center"/>
    </xf>
    <xf numFmtId="0" fontId="11" fillId="8" borderId="0" applyAlignment="1" pivotButton="0" quotePrefix="0" xfId="21">
      <alignment horizontal="center"/>
    </xf>
    <xf numFmtId="10" fontId="11" fillId="0" borderId="0" applyAlignment="1" pivotButton="0" quotePrefix="0" xfId="30">
      <alignment horizontal="center"/>
    </xf>
    <xf numFmtId="0" fontId="11" fillId="0" borderId="0" applyAlignment="1" pivotButton="0" quotePrefix="0" xfId="21">
      <alignment horizontal="center"/>
    </xf>
    <xf numFmtId="10" fontId="11" fillId="0" borderId="0" applyAlignment="1" pivotButton="0" quotePrefix="0" xfId="21">
      <alignment horizontal="center"/>
    </xf>
    <xf numFmtId="0" fontId="11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left"/>
    </xf>
    <xf numFmtId="0" fontId="11" fillId="0" borderId="0" pivotButton="0" quotePrefix="0" xfId="24"/>
    <xf numFmtId="0" fontId="11" fillId="7" borderId="0" pivotButton="0" quotePrefix="0" xfId="20"/>
    <xf numFmtId="166" fontId="11" fillId="7" borderId="0" applyAlignment="1" pivotButton="0" quotePrefix="0" xfId="24">
      <alignment horizontal="center"/>
    </xf>
    <xf numFmtId="166" fontId="11" fillId="0" borderId="0" applyAlignment="1" pivotButton="0" quotePrefix="0" xfId="24">
      <alignment horizontal="center"/>
    </xf>
    <xf numFmtId="0" fontId="11" fillId="10" borderId="0" applyAlignment="1" pivotButton="0" quotePrefix="0" xfId="24">
      <alignment horizontal="center"/>
    </xf>
    <xf numFmtId="0" fontId="4" fillId="10" borderId="0" applyAlignment="1" pivotButton="0" quotePrefix="0" xfId="24">
      <alignment horizontal="center"/>
    </xf>
    <xf numFmtId="171" fontId="4" fillId="10" borderId="0" pivotButton="0" quotePrefix="0" xfId="20"/>
    <xf numFmtId="166" fontId="11" fillId="10" borderId="0" applyAlignment="1" pivotButton="0" quotePrefix="0" xfId="24">
      <alignment horizontal="center"/>
    </xf>
    <xf numFmtId="9" fontId="4" fillId="10" borderId="0" applyAlignment="1" pivotButton="0" quotePrefix="0" xfId="30">
      <alignment horizontal="center"/>
    </xf>
    <xf numFmtId="10" fontId="10" fillId="6" borderId="0" applyAlignment="1" pivotButton="0" quotePrefix="0" xfId="24">
      <alignment horizontal="center"/>
    </xf>
    <xf numFmtId="166" fontId="4" fillId="10" borderId="0" applyAlignment="1" pivotButton="0" quotePrefix="0" xfId="24">
      <alignment horizontal="center"/>
    </xf>
    <xf numFmtId="0" fontId="11" fillId="10" borderId="0" pivotButton="0" quotePrefix="0" xfId="24"/>
    <xf numFmtId="171" fontId="13" fillId="10" borderId="0" pivotButton="0" quotePrefix="0" xfId="20"/>
    <xf numFmtId="0" fontId="11" fillId="10" borderId="0" pivotButton="0" quotePrefix="0" xfId="20"/>
    <xf numFmtId="166" fontId="4" fillId="7" borderId="0" applyAlignment="1" pivotButton="0" quotePrefix="0" xfId="24">
      <alignment horizontal="center"/>
    </xf>
    <xf numFmtId="171" fontId="4" fillId="10" borderId="0" applyAlignment="1" pivotButton="0" quotePrefix="0" xfId="20">
      <alignment horizontal="left"/>
    </xf>
    <xf numFmtId="171" fontId="4" fillId="10" borderId="0" applyAlignment="1" pivotButton="0" quotePrefix="0" xfId="30">
      <alignment horizontal="center"/>
    </xf>
    <xf numFmtId="171" fontId="10" fillId="6" borderId="0" applyAlignment="1" pivotButton="0" quotePrefix="0" xfId="30">
      <alignment horizontal="center"/>
    </xf>
    <xf numFmtId="167" fontId="4" fillId="0" borderId="0" applyAlignment="1" pivotButton="0" quotePrefix="0" xfId="20">
      <alignment horizontal="left"/>
    </xf>
    <xf numFmtId="171" fontId="4" fillId="0" borderId="0" applyAlignment="1" pivotButton="0" quotePrefix="0" xfId="30">
      <alignment horizontal="center"/>
    </xf>
    <xf numFmtId="171" fontId="10" fillId="6" borderId="0" applyAlignment="1" pivotButton="0" quotePrefix="0" xfId="24">
      <alignment horizontal="center"/>
    </xf>
    <xf numFmtId="9" fontId="4" fillId="0" borderId="0" applyAlignment="1" pivotButton="0" quotePrefix="0" xfId="30">
      <alignment horizontal="center"/>
    </xf>
    <xf numFmtId="9" fontId="4" fillId="0" borderId="0" applyAlignment="1" pivotButton="0" quotePrefix="0" xfId="30">
      <alignment horizontal="left"/>
    </xf>
    <xf numFmtId="9" fontId="10" fillId="6" borderId="0" applyAlignment="1" pivotButton="0" quotePrefix="0" xfId="30">
      <alignment horizontal="center"/>
    </xf>
    <xf numFmtId="9" fontId="4" fillId="0" borderId="0" pivotButton="0" quotePrefix="0" xfId="30"/>
    <xf numFmtId="0" fontId="4" fillId="0" borderId="0" applyAlignment="1" pivotButton="0" quotePrefix="0" xfId="20">
      <alignment horizontal="left"/>
    </xf>
    <xf numFmtId="171" fontId="4" fillId="0" borderId="0" applyAlignment="1" pivotButton="0" quotePrefix="0" xfId="24">
      <alignment horizontal="center"/>
    </xf>
    <xf numFmtId="0" fontId="4" fillId="10" borderId="0" applyAlignment="1" pivotButton="0" quotePrefix="0" xfId="20">
      <alignment horizontal="left"/>
    </xf>
    <xf numFmtId="0" fontId="14" fillId="10" borderId="0" applyAlignment="1" pivotButton="0" quotePrefix="0" xfId="20">
      <alignment horizontal="left"/>
    </xf>
    <xf numFmtId="166" fontId="14" fillId="10" borderId="0" applyAlignment="1" pivotButton="0" quotePrefix="0" xfId="24">
      <alignment horizontal="center"/>
    </xf>
    <xf numFmtId="164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horizontal="center"/>
    </xf>
    <xf numFmtId="0" fontId="11" fillId="7" borderId="0" applyAlignment="1" pivotButton="0" quotePrefix="0" xfId="20">
      <alignment horizontal="left"/>
    </xf>
    <xf numFmtId="0" fontId="4" fillId="10" borderId="0" pivotButton="0" quotePrefix="0" xfId="24"/>
    <xf numFmtId="167" fontId="4" fillId="10" borderId="0" applyAlignment="1" pivotButton="0" quotePrefix="0" xfId="20">
      <alignment horizontal="left"/>
    </xf>
    <xf numFmtId="173" fontId="4" fillId="0" borderId="0" applyAlignment="1" pivotButton="0" quotePrefix="0" xfId="24">
      <alignment horizontal="center"/>
    </xf>
    <xf numFmtId="165" fontId="4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center"/>
    </xf>
    <xf numFmtId="0" fontId="4" fillId="7" borderId="1" pivotButton="0" quotePrefix="0" xfId="20"/>
    <xf numFmtId="172" fontId="4" fillId="0" borderId="0" pivotButton="0" quotePrefix="0" xfId="24"/>
    <xf numFmtId="0" fontId="15" fillId="11" borderId="0" pivotButton="0" quotePrefix="0" xfId="24"/>
    <xf numFmtId="0" fontId="11" fillId="0" borderId="0" applyAlignment="1" pivotButton="0" quotePrefix="0" xfId="24">
      <alignment vertical="center"/>
    </xf>
    <xf numFmtId="0" fontId="11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vertical="center"/>
    </xf>
    <xf numFmtId="9" fontId="4" fillId="0" borderId="0" applyAlignment="1" pivotButton="0" quotePrefix="0" xfId="30">
      <alignment vertical="center"/>
    </xf>
    <xf numFmtId="9" fontId="4" fillId="0" borderId="0" applyAlignment="1" pivotButton="0" quotePrefix="0" xfId="30">
      <alignment horizontal="center" vertical="center"/>
    </xf>
    <xf numFmtId="171" fontId="4" fillId="0" borderId="0" applyAlignment="1" pivotButton="0" quotePrefix="0" xfId="24">
      <alignment horizontal="center" vertical="center"/>
    </xf>
    <xf numFmtId="171" fontId="4" fillId="0" borderId="0" applyAlignment="1" pivotButton="0" quotePrefix="0" xfId="30">
      <alignment horizontal="center" vertical="center"/>
    </xf>
    <xf numFmtId="174" fontId="4" fillId="0" borderId="0" applyAlignment="1" pivotButton="0" quotePrefix="0" xfId="24">
      <alignment horizontal="center" vertical="center"/>
    </xf>
    <xf numFmtId="174" fontId="4" fillId="0" borderId="0" applyAlignment="1" pivotButton="0" quotePrefix="0" xfId="24">
      <alignment vertical="center"/>
    </xf>
    <xf numFmtId="171" fontId="4" fillId="0" borderId="0" applyAlignment="1" pivotButton="0" quotePrefix="0" xfId="30">
      <alignment vertical="center"/>
    </xf>
    <xf numFmtId="175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vertical="center"/>
    </xf>
    <xf numFmtId="172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horizontal="right" vertical="center"/>
    </xf>
    <xf numFmtId="0" fontId="14" fillId="0" borderId="0" pivotButton="0" quotePrefix="0" xfId="22"/>
    <xf numFmtId="0" fontId="12" fillId="0" borderId="0" pivotButton="0" quotePrefix="0" xfId="22"/>
    <xf numFmtId="0" fontId="14" fillId="0" borderId="3" pivotButton="0" quotePrefix="0" xfId="22"/>
    <xf numFmtId="176" fontId="10" fillId="6" borderId="4" applyAlignment="1" pivotButton="0" quotePrefix="0" xfId="18">
      <alignment horizontal="center"/>
    </xf>
    <xf numFmtId="177" fontId="10" fillId="6" borderId="0" applyAlignment="1" pivotButton="0" quotePrefix="0" xfId="22">
      <alignment horizontal="center"/>
    </xf>
    <xf numFmtId="171" fontId="14" fillId="0" borderId="0" applyAlignment="1" pivotButton="0" quotePrefix="0" xfId="22">
      <alignment horizontal="right"/>
    </xf>
    <xf numFmtId="176" fontId="10" fillId="6" borderId="4" applyAlignment="1" pivotButton="0" quotePrefix="0" xfId="18">
      <alignment horizontal="right"/>
    </xf>
    <xf numFmtId="171" fontId="14" fillId="0" borderId="0" applyAlignment="1" pivotButton="0" quotePrefix="0" xfId="22">
      <alignment horizontal="center"/>
    </xf>
    <xf numFmtId="178" fontId="10" fillId="0" borderId="0" applyAlignment="1" pivotButton="0" quotePrefix="0" xfId="22">
      <alignment horizontal="center"/>
    </xf>
    <xf numFmtId="179" fontId="14" fillId="0" borderId="0" applyAlignment="1" pivotButton="0" quotePrefix="0" xfId="22">
      <alignment horizontal="center"/>
    </xf>
    <xf numFmtId="0" fontId="16" fillId="0" borderId="0" pivotButton="0" quotePrefix="0" xfId="22"/>
    <xf numFmtId="180" fontId="14" fillId="0" borderId="0" pivotButton="0" quotePrefix="0" xfId="22"/>
    <xf numFmtId="0" fontId="11" fillId="7" borderId="0" pivotButton="0" quotePrefix="0" xfId="22"/>
    <xf numFmtId="0" fontId="11" fillId="7" borderId="1" pivotButton="0" quotePrefix="0" xfId="22"/>
    <xf numFmtId="0" fontId="16" fillId="0" borderId="0" applyAlignment="1" pivotButton="0" quotePrefix="0" xfId="22">
      <alignment horizontal="center"/>
    </xf>
    <xf numFmtId="0" fontId="14" fillId="0" borderId="0" applyAlignment="1" pivotButton="0" quotePrefix="0" xfId="22">
      <alignment horizontal="center"/>
    </xf>
    <xf numFmtId="1" fontId="16" fillId="0" borderId="0" applyAlignment="1" pivotButton="0" quotePrefix="0" xfId="22">
      <alignment horizontal="center"/>
    </xf>
    <xf numFmtId="0" fontId="14" fillId="0" borderId="1" pivotButton="0" quotePrefix="0" xfId="22"/>
    <xf numFmtId="168" fontId="14" fillId="0" borderId="1" applyAlignment="1" pivotButton="0" quotePrefix="0" xfId="22">
      <alignment horizontal="center"/>
    </xf>
    <xf numFmtId="168" fontId="14" fillId="0" borderId="0" applyAlignment="1" pivotButton="0" quotePrefix="0" xfId="22">
      <alignment horizontal="center"/>
    </xf>
    <xf numFmtId="0" fontId="14" fillId="0" borderId="5" pivotButton="0" quotePrefix="0" xfId="22"/>
    <xf numFmtId="178" fontId="14" fillId="12" borderId="6" applyAlignment="1" pivotButton="0" quotePrefix="0" xfId="22">
      <alignment horizontal="center"/>
    </xf>
    <xf numFmtId="178" fontId="14" fillId="12" borderId="7" applyAlignment="1" pivotButton="0" quotePrefix="0" xfId="22">
      <alignment horizontal="center"/>
    </xf>
    <xf numFmtId="171" fontId="16" fillId="0" borderId="0" applyAlignment="1" pivotButton="0" quotePrefix="0" xfId="33">
      <alignment horizontal="center"/>
    </xf>
    <xf numFmtId="0" fontId="14" fillId="0" borderId="8" pivotButton="0" quotePrefix="0" xfId="22"/>
    <xf numFmtId="171" fontId="16" fillId="0" borderId="1" applyAlignment="1" pivotButton="0" quotePrefix="0" xfId="33">
      <alignment horizontal="center"/>
    </xf>
    <xf numFmtId="171" fontId="16" fillId="0" borderId="9" applyAlignment="1" pivotButton="0" quotePrefix="0" xfId="33">
      <alignment horizontal="center"/>
    </xf>
    <xf numFmtId="178" fontId="14" fillId="0" borderId="5" pivotButton="0" quotePrefix="0" xfId="22"/>
    <xf numFmtId="0" fontId="14" fillId="0" borderId="6" pivotButton="0" quotePrefix="0" xfId="22"/>
    <xf numFmtId="0" fontId="14" fillId="0" borderId="7" pivotButton="0" quotePrefix="0" xfId="22"/>
    <xf numFmtId="171" fontId="14" fillId="0" borderId="1" applyAlignment="1" pivotButton="0" quotePrefix="0" xfId="33">
      <alignment horizontal="center"/>
    </xf>
    <xf numFmtId="0" fontId="14" fillId="0" borderId="9" pivotButton="0" quotePrefix="0" xfId="22"/>
    <xf numFmtId="171" fontId="14" fillId="0" borderId="9" applyAlignment="1" pivotButton="0" quotePrefix="0" xfId="33">
      <alignment horizontal="center"/>
    </xf>
    <xf numFmtId="171" fontId="14" fillId="12" borderId="6" applyAlignment="1" pivotButton="0" quotePrefix="0" xfId="22">
      <alignment horizontal="center"/>
    </xf>
    <xf numFmtId="171" fontId="14" fillId="12" borderId="7" applyAlignment="1" pivotButton="0" quotePrefix="0" xfId="22">
      <alignment horizontal="center"/>
    </xf>
    <xf numFmtId="178" fontId="14" fillId="0" borderId="1" applyAlignment="1" pivotButton="0" quotePrefix="0" xfId="22">
      <alignment horizontal="center"/>
    </xf>
    <xf numFmtId="178" fontId="14" fillId="0" borderId="9" applyAlignment="1" pivotButton="0" quotePrefix="0" xfId="22">
      <alignment horizontal="center"/>
    </xf>
    <xf numFmtId="178" fontId="14" fillId="0" borderId="10" applyAlignment="1" pivotButton="0" quotePrefix="0" xfId="22">
      <alignment horizontal="left"/>
    </xf>
    <xf numFmtId="178" fontId="14" fillId="12" borderId="11" applyAlignment="1" pivotButton="0" quotePrefix="0" xfId="22">
      <alignment horizontal="center"/>
    </xf>
    <xf numFmtId="178" fontId="14" fillId="12" borderId="12" applyAlignment="1" pivotButton="0" quotePrefix="0" xfId="22">
      <alignment horizontal="center"/>
    </xf>
    <xf numFmtId="178" fontId="14" fillId="0" borderId="5" applyAlignment="1" pivotButton="0" quotePrefix="0" xfId="22">
      <alignment horizontal="left"/>
    </xf>
    <xf numFmtId="178" fontId="14" fillId="0" borderId="6" applyAlignment="1" pivotButton="0" quotePrefix="0" xfId="22">
      <alignment horizontal="center"/>
    </xf>
    <xf numFmtId="178" fontId="14" fillId="0" borderId="7" applyAlignment="1" pivotButton="0" quotePrefix="0" xfId="22">
      <alignment horizontal="center"/>
    </xf>
    <xf numFmtId="178" fontId="14" fillId="0" borderId="13" applyAlignment="1" pivotButton="0" quotePrefix="0" xfId="22">
      <alignment horizontal="left"/>
    </xf>
    <xf numFmtId="178" fontId="14" fillId="12" borderId="0" applyAlignment="1" pivotButton="0" quotePrefix="0" xfId="22">
      <alignment horizontal="center"/>
    </xf>
    <xf numFmtId="178" fontId="14" fillId="12" borderId="14" applyAlignment="1" pivotButton="0" quotePrefix="0" xfId="22">
      <alignment horizontal="center"/>
    </xf>
    <xf numFmtId="178" fontId="14" fillId="0" borderId="8" applyAlignment="1" pivotButton="0" quotePrefix="0" xfId="22">
      <alignment horizontal="left"/>
    </xf>
    <xf numFmtId="178" fontId="14" fillId="12" borderId="1" applyAlignment="1" pivotButton="0" quotePrefix="0" xfId="22">
      <alignment horizontal="center"/>
    </xf>
    <xf numFmtId="178" fontId="14" fillId="12" borderId="9" applyAlignment="1" pivotButton="0" quotePrefix="0" xfId="22">
      <alignment horizontal="center"/>
    </xf>
    <xf numFmtId="178" fontId="14" fillId="0" borderId="0" applyAlignment="1" pivotButton="0" quotePrefix="0" xfId="22">
      <alignment horizontal="center"/>
    </xf>
    <xf numFmtId="178" fontId="14" fillId="0" borderId="15" applyAlignment="1" pivotButton="0" quotePrefix="0" xfId="22">
      <alignment horizontal="center"/>
    </xf>
    <xf numFmtId="0" fontId="14" fillId="0" borderId="13" pivotButton="0" quotePrefix="0" xfId="22"/>
    <xf numFmtId="0" fontId="14" fillId="0" borderId="14" pivotButton="0" quotePrefix="0" xfId="22"/>
    <xf numFmtId="178" fontId="4" fillId="0" borderId="0" applyAlignment="1" pivotButton="0" quotePrefix="0" xfId="22">
      <alignment horizontal="center"/>
    </xf>
    <xf numFmtId="178" fontId="4" fillId="0" borderId="14" applyAlignment="1" pivotButton="0" quotePrefix="0" xfId="22">
      <alignment horizontal="center"/>
    </xf>
    <xf numFmtId="171" fontId="10" fillId="6" borderId="1" applyAlignment="1" pivotButton="0" quotePrefix="0" xfId="33">
      <alignment horizontal="center"/>
    </xf>
    <xf numFmtId="171" fontId="10" fillId="6" borderId="9" applyAlignment="1" pivotButton="0" quotePrefix="0" xfId="33">
      <alignment horizontal="center"/>
    </xf>
    <xf numFmtId="0" fontId="16" fillId="0" borderId="10" pivotButton="0" quotePrefix="0" xfId="22"/>
    <xf numFmtId="171" fontId="16" fillId="12" borderId="11" applyAlignment="1" pivotButton="0" quotePrefix="0" xfId="22">
      <alignment horizontal="center"/>
    </xf>
    <xf numFmtId="171" fontId="16" fillId="0" borderId="11" applyAlignment="1" pivotButton="0" quotePrefix="0" xfId="33">
      <alignment horizontal="center"/>
    </xf>
    <xf numFmtId="171" fontId="16" fillId="0" borderId="12" applyAlignment="1" pivotButton="0" quotePrefix="0" xfId="33">
      <alignment horizontal="center"/>
    </xf>
    <xf numFmtId="171" fontId="16" fillId="0" borderId="0" applyAlignment="1" pivotButton="0" quotePrefix="0" xfId="22">
      <alignment horizontal="center"/>
    </xf>
    <xf numFmtId="181" fontId="14" fillId="0" borderId="0" applyAlignment="1" pivotButton="0" quotePrefix="0" xfId="23">
      <alignment horizontal="center" vertical="center"/>
    </xf>
    <xf numFmtId="178" fontId="16" fillId="0" borderId="0" applyAlignment="1" pivotButton="0" quotePrefix="0" xfId="22">
      <alignment horizontal="center"/>
    </xf>
    <xf numFmtId="178" fontId="18" fillId="2" borderId="2" applyAlignment="1" pivotButton="0" quotePrefix="0" xfId="28">
      <alignment horizontal="center"/>
    </xf>
    <xf numFmtId="0" fontId="14" fillId="0" borderId="0" applyAlignment="1" pivotButton="0" quotePrefix="0" xfId="22">
      <alignment horizontal="left"/>
    </xf>
    <xf numFmtId="173" fontId="14" fillId="0" borderId="0" applyAlignment="1" pivotButton="0" quotePrefix="0" xfId="22">
      <alignment horizontal="center"/>
    </xf>
    <xf numFmtId="173" fontId="18" fillId="2" borderId="2" applyAlignment="1" pivotButton="0" quotePrefix="0" xfId="28">
      <alignment horizontal="center"/>
    </xf>
    <xf numFmtId="10" fontId="14" fillId="0" borderId="0" pivotButton="0" quotePrefix="0" xfId="22"/>
    <xf numFmtId="178" fontId="16" fillId="0" borderId="0" pivotButton="0" quotePrefix="0" xfId="22"/>
    <xf numFmtId="179" fontId="14" fillId="0" borderId="0" pivotButton="0" quotePrefix="0" xfId="22"/>
    <xf numFmtId="0" fontId="11" fillId="7" borderId="5" pivotButton="0" quotePrefix="0" xfId="22"/>
    <xf numFmtId="171" fontId="4" fillId="7" borderId="7" applyAlignment="1" pivotButton="0" quotePrefix="0" xfId="22">
      <alignment horizontal="center"/>
    </xf>
    <xf numFmtId="0" fontId="11" fillId="7" borderId="6" pivotButton="0" quotePrefix="0" xfId="22"/>
    <xf numFmtId="0" fontId="4" fillId="7" borderId="6" pivotButton="0" quotePrefix="0" xfId="22"/>
    <xf numFmtId="0" fontId="11" fillId="7" borderId="16" pivotButton="0" quotePrefix="0" xfId="22"/>
    <xf numFmtId="171" fontId="4" fillId="7" borderId="17" applyAlignment="1" pivotButton="0" quotePrefix="0" xfId="22">
      <alignment horizontal="center"/>
    </xf>
    <xf numFmtId="0" fontId="4" fillId="7" borderId="17" pivotButton="0" quotePrefix="0" xfId="22"/>
    <xf numFmtId="0" fontId="4" fillId="7" borderId="18" pivotButton="0" quotePrefix="0" xfId="22"/>
    <xf numFmtId="0" fontId="16" fillId="0" borderId="13" applyAlignment="1" pivotButton="0" quotePrefix="0" xfId="22">
      <alignment horizontal="left"/>
    </xf>
    <xf numFmtId="178" fontId="14" fillId="0" borderId="14" applyAlignment="1" pivotButton="0" quotePrefix="0" xfId="22">
      <alignment horizontal="right"/>
    </xf>
    <xf numFmtId="0" fontId="16" fillId="0" borderId="0" applyAlignment="1" pivotButton="0" quotePrefix="0" xfId="22">
      <alignment horizontal="left"/>
    </xf>
    <xf numFmtId="0" fontId="14" fillId="0" borderId="13" applyAlignment="1" pivotButton="0" quotePrefix="0" xfId="22">
      <alignment horizontal="left"/>
    </xf>
    <xf numFmtId="178" fontId="4" fillId="12" borderId="14" applyAlignment="1" pivotButton="0" quotePrefix="0" xfId="22">
      <alignment horizontal="center"/>
    </xf>
    <xf numFmtId="171" fontId="19" fillId="6" borderId="14" applyAlignment="1" pivotButton="0" quotePrefix="0" xfId="22">
      <alignment horizontal="center"/>
    </xf>
    <xf numFmtId="182" fontId="4" fillId="12" borderId="14" applyAlignment="1" pivotButton="0" quotePrefix="0" xfId="18">
      <alignment horizontal="center"/>
    </xf>
    <xf numFmtId="171" fontId="11" fillId="0" borderId="19" applyAlignment="1" pivotButton="0" quotePrefix="0" xfId="24">
      <alignment horizontal="center"/>
    </xf>
    <xf numFmtId="0" fontId="14" fillId="0" borderId="1" applyAlignment="1" pivotButton="0" quotePrefix="0" xfId="22">
      <alignment horizontal="left"/>
    </xf>
    <xf numFmtId="0" fontId="14" fillId="0" borderId="9" applyAlignment="1" pivotButton="0" quotePrefix="0" xfId="22">
      <alignment horizontal="right"/>
    </xf>
    <xf numFmtId="178" fontId="16" fillId="0" borderId="14" applyAlignment="1" pivotButton="0" quotePrefix="0" xfId="22">
      <alignment horizontal="center"/>
    </xf>
    <xf numFmtId="0" fontId="14" fillId="0" borderId="1" applyAlignment="1" pivotButton="0" quotePrefix="0" xfId="22">
      <alignment horizontal="right"/>
    </xf>
    <xf numFmtId="183" fontId="10" fillId="6" borderId="20" pivotButton="0" quotePrefix="0" xfId="22"/>
    <xf numFmtId="182" fontId="10" fillId="6" borderId="21" pivotButton="0" quotePrefix="0" xfId="10"/>
    <xf numFmtId="179" fontId="14" fillId="0" borderId="14" applyAlignment="1" pivotButton="0" quotePrefix="0" xfId="22">
      <alignment horizontal="right"/>
    </xf>
    <xf numFmtId="183" fontId="10" fillId="6" borderId="22" pivotButton="0" quotePrefix="0" xfId="22"/>
    <xf numFmtId="182" fontId="10" fillId="6" borderId="23" pivotButton="0" quotePrefix="0" xfId="10"/>
    <xf numFmtId="178" fontId="14" fillId="0" borderId="14" applyAlignment="1" pivotButton="0" quotePrefix="0" xfId="22">
      <alignment horizontal="center"/>
    </xf>
    <xf numFmtId="183" fontId="10" fillId="6" borderId="24" pivotButton="0" quotePrefix="0" xfId="22"/>
    <xf numFmtId="182" fontId="10" fillId="6" borderId="25" pivotButton="0" quotePrefix="0" xfId="10"/>
    <xf numFmtId="179" fontId="14" fillId="0" borderId="9" applyAlignment="1" pivotButton="0" quotePrefix="0" xfId="22">
      <alignment horizontal="right"/>
    </xf>
    <xf numFmtId="174" fontId="10" fillId="6" borderId="14" applyAlignment="1" pivotButton="0" quotePrefix="0" xfId="22">
      <alignment horizontal="center"/>
    </xf>
    <xf numFmtId="184" fontId="14" fillId="0" borderId="0" applyAlignment="1" pivotButton="0" quotePrefix="0" xfId="22">
      <alignment horizontal="right"/>
    </xf>
    <xf numFmtId="185" fontId="14" fillId="0" borderId="14" applyAlignment="1" pivotButton="0" quotePrefix="0" xfId="22">
      <alignment horizontal="right"/>
    </xf>
    <xf numFmtId="0" fontId="14" fillId="0" borderId="0" applyAlignment="1" pivotButton="0" quotePrefix="0" xfId="22">
      <alignment horizontal="right"/>
    </xf>
    <xf numFmtId="178" fontId="20" fillId="0" borderId="0" pivotButton="0" quotePrefix="0" xfId="22"/>
    <xf numFmtId="178" fontId="14" fillId="0" borderId="14" pivotButton="0" quotePrefix="0" xfId="22"/>
    <xf numFmtId="182" fontId="16" fillId="0" borderId="26" applyAlignment="1" pivotButton="0" quotePrefix="0" xfId="22">
      <alignment horizontal="center"/>
    </xf>
    <xf numFmtId="183" fontId="10" fillId="6" borderId="27" applyAlignment="1" pivotButton="0" quotePrefix="0" xfId="22">
      <alignment horizontal="right"/>
    </xf>
    <xf numFmtId="0" fontId="14" fillId="0" borderId="14" applyAlignment="1" pivotButton="0" quotePrefix="0" xfId="22">
      <alignment horizontal="right"/>
    </xf>
    <xf numFmtId="182" fontId="16" fillId="0" borderId="14" applyAlignment="1" pivotButton="0" quotePrefix="0" xfId="22">
      <alignment horizontal="center"/>
    </xf>
    <xf numFmtId="183" fontId="10" fillId="6" borderId="28" applyAlignment="1" pivotButton="0" quotePrefix="0" xfId="22">
      <alignment horizontal="right"/>
    </xf>
    <xf numFmtId="186" fontId="10" fillId="6" borderId="14" applyAlignment="1" pivotButton="0" quotePrefix="0" xfId="22">
      <alignment horizontal="right"/>
    </xf>
    <xf numFmtId="0" fontId="16" fillId="0" borderId="0" applyAlignment="1" pivotButton="0" quotePrefix="0" xfId="22">
      <alignment horizontal="right"/>
    </xf>
    <xf numFmtId="178" fontId="16" fillId="0" borderId="14" applyAlignment="1" pivotButton="0" quotePrefix="0" xfId="27">
      <alignment horizontal="right"/>
    </xf>
    <xf numFmtId="0" fontId="14" fillId="0" borderId="8" applyAlignment="1" pivotButton="0" quotePrefix="0" xfId="22">
      <alignment horizontal="left"/>
    </xf>
    <xf numFmtId="171" fontId="14" fillId="0" borderId="9" applyAlignment="1" pivotButton="0" quotePrefix="0" xfId="22">
      <alignment horizontal="right"/>
    </xf>
    <xf numFmtId="0" fontId="11" fillId="7" borderId="3" pivotButton="0" quotePrefix="0" xfId="22"/>
    <xf numFmtId="171" fontId="4" fillId="7" borderId="3" applyAlignment="1" pivotButton="0" quotePrefix="0" xfId="22">
      <alignment horizontal="center"/>
    </xf>
    <xf numFmtId="0" fontId="4" fillId="7" borderId="3" pivotButton="0" quotePrefix="0" xfId="22"/>
    <xf numFmtId="0" fontId="16" fillId="0" borderId="1" pivotButton="0" quotePrefix="0" xfId="22"/>
    <xf numFmtId="171" fontId="10" fillId="6" borderId="0" applyAlignment="1" pivotButton="0" quotePrefix="0" xfId="22">
      <alignment horizontal="center"/>
    </xf>
    <xf numFmtId="0" fontId="14" fillId="0" borderId="11" applyAlignment="1" pivotButton="0" quotePrefix="0" xfId="22">
      <alignment horizontal="right"/>
    </xf>
    <xf numFmtId="178" fontId="14" fillId="0" borderId="0" pivotButton="0" quotePrefix="0" xfId="22"/>
    <xf numFmtId="9" fontId="14" fillId="0" borderId="0" pivotButton="0" quotePrefix="0" xfId="22"/>
    <xf numFmtId="187" fontId="14" fillId="0" borderId="0" applyAlignment="1" pivotButton="0" quotePrefix="0" xfId="22">
      <alignment horizontal="center"/>
    </xf>
    <xf numFmtId="178" fontId="14" fillId="0" borderId="0" applyAlignment="1" pivotButton="0" quotePrefix="0" xfId="22">
      <alignment horizontal="right"/>
    </xf>
    <xf numFmtId="188" fontId="14" fillId="0" borderId="0" pivotButton="0" quotePrefix="0" xfId="22"/>
    <xf numFmtId="189" fontId="10" fillId="6" borderId="0" applyAlignment="1" pivotButton="0" quotePrefix="0" xfId="22">
      <alignment horizontal="center"/>
    </xf>
    <xf numFmtId="0" fontId="16" fillId="0" borderId="1" applyAlignment="1" pivotButton="0" quotePrefix="0" xfId="22">
      <alignment horizontal="left" wrapText="1"/>
    </xf>
    <xf numFmtId="0" fontId="16" fillId="0" borderId="1" applyAlignment="1" pivotButton="0" quotePrefix="0" xfId="22">
      <alignment horizontal="center" wrapText="1"/>
    </xf>
    <xf numFmtId="189" fontId="14" fillId="0" borderId="0" applyAlignment="1" pivotButton="0" quotePrefix="0" xfId="22">
      <alignment horizontal="center"/>
    </xf>
    <xf numFmtId="182" fontId="14" fillId="0" borderId="0" applyAlignment="1" pivotButton="0" quotePrefix="0" xfId="22">
      <alignment horizontal="center"/>
    </xf>
    <xf numFmtId="10" fontId="14" fillId="0" borderId="0" applyAlignment="1" pivotButton="0" quotePrefix="0" xfId="22">
      <alignment horizontal="center"/>
    </xf>
    <xf numFmtId="2" fontId="14" fillId="0" borderId="0" applyAlignment="1" pivotButton="0" quotePrefix="0" xfId="22">
      <alignment horizontal="center"/>
    </xf>
    <xf numFmtId="189" fontId="10" fillId="6" borderId="0" applyAlignment="1" pivotButton="0" quotePrefix="0" xfId="22">
      <alignment horizontal="left"/>
    </xf>
    <xf numFmtId="182" fontId="10" fillId="6" borderId="0" applyAlignment="1" pivotButton="0" quotePrefix="0" xfId="22">
      <alignment horizontal="center"/>
    </xf>
    <xf numFmtId="178" fontId="10" fillId="6" borderId="0" applyAlignment="1" pivotButton="0" quotePrefix="0" xfId="22">
      <alignment horizontal="center"/>
    </xf>
    <xf numFmtId="10" fontId="10" fillId="6" borderId="0" applyAlignment="1" pivotButton="0" quotePrefix="0" xfId="22">
      <alignment horizontal="center"/>
    </xf>
    <xf numFmtId="189" fontId="10" fillId="6" borderId="1" applyAlignment="1" pivotButton="0" quotePrefix="0" xfId="22">
      <alignment horizontal="left"/>
    </xf>
    <xf numFmtId="189" fontId="10" fillId="6" borderId="1" applyAlignment="1" pivotButton="0" quotePrefix="0" xfId="22">
      <alignment horizontal="center"/>
    </xf>
    <xf numFmtId="182" fontId="10" fillId="6" borderId="1" applyAlignment="1" pivotButton="0" quotePrefix="0" xfId="22">
      <alignment horizontal="center"/>
    </xf>
    <xf numFmtId="178" fontId="10" fillId="6" borderId="1" applyAlignment="1" pivotButton="0" quotePrefix="0" xfId="22">
      <alignment horizontal="center"/>
    </xf>
    <xf numFmtId="10" fontId="14" fillId="0" borderId="1" applyAlignment="1" pivotButton="0" quotePrefix="0" xfId="22">
      <alignment horizontal="center"/>
    </xf>
    <xf numFmtId="10" fontId="10" fillId="6" borderId="1" applyAlignment="1" pivotButton="0" quotePrefix="0" xfId="22">
      <alignment horizontal="center"/>
    </xf>
    <xf numFmtId="189" fontId="14" fillId="0" borderId="1" applyAlignment="1" pivotButton="0" quotePrefix="0" xfId="22">
      <alignment horizontal="center"/>
    </xf>
    <xf numFmtId="189" fontId="16" fillId="0" borderId="0" applyAlignment="1" pivotButton="0" quotePrefix="0" xfId="22">
      <alignment horizontal="right"/>
    </xf>
    <xf numFmtId="189" fontId="16" fillId="0" borderId="29" applyAlignment="1" pivotButton="0" quotePrefix="0" xfId="22">
      <alignment horizontal="center"/>
    </xf>
    <xf numFmtId="0" fontId="21" fillId="3" borderId="0" pivotButton="0" quotePrefix="0" xfId="24"/>
    <xf numFmtId="0" fontId="22" fillId="13" borderId="0" pivotButton="0" quotePrefix="0" xfId="24"/>
    <xf numFmtId="0" fontId="8" fillId="14" borderId="0" pivotButton="0" quotePrefix="0" xfId="24"/>
    <xf numFmtId="180" fontId="22" fillId="13" borderId="0" pivotButton="0" quotePrefix="0" xfId="24"/>
    <xf numFmtId="190" fontId="22" fillId="13" borderId="0" pivotButton="0" quotePrefix="0" xfId="24"/>
    <xf numFmtId="171" fontId="22" fillId="13" borderId="0" pivotButton="0" quotePrefix="0" xfId="24"/>
    <xf numFmtId="14" fontId="22" fillId="13" borderId="0" pivotButton="0" quotePrefix="0" xfId="24"/>
    <xf numFmtId="191" fontId="22" fillId="13" borderId="0" pivotButton="0" quotePrefix="0" xfId="24"/>
    <xf numFmtId="171" fontId="3" fillId="0" borderId="0" pivotButton="0" quotePrefix="0" xfId="24"/>
    <xf numFmtId="174" fontId="22" fillId="13" borderId="0" pivotButton="0" quotePrefix="0" xfId="24"/>
    <xf numFmtId="175" fontId="3" fillId="0" borderId="0" pivotButton="0" quotePrefix="0" xfId="24"/>
    <xf numFmtId="0" fontId="17" fillId="9" borderId="0" applyAlignment="1" pivotButton="0" quotePrefix="0" xfId="22">
      <alignment horizontal="center" wrapText="1"/>
    </xf>
    <xf numFmtId="0" fontId="14" fillId="0" borderId="0" pivotButton="0" quotePrefix="0" xfId="22"/>
    <xf numFmtId="0" fontId="16" fillId="0" borderId="1" applyAlignment="1" pivotButton="0" quotePrefix="0" xfId="22">
      <alignment horizontal="center"/>
    </xf>
    <xf numFmtId="0" fontId="0" fillId="0" borderId="1" pivotButton="0" quotePrefix="0" xfId="0"/>
    <xf numFmtId="0" fontId="16" fillId="0" borderId="10" applyAlignment="1" pivotButton="0" quotePrefix="0" xfId="22">
      <alignment horizontal="center"/>
    </xf>
    <xf numFmtId="0" fontId="0" fillId="0" borderId="11" pivotButton="0" quotePrefix="0" xfId="0"/>
    <xf numFmtId="0" fontId="15" fillId="9" borderId="1" applyAlignment="1" pivotButton="0" quotePrefix="0" xfId="22">
      <alignment horizontal="center"/>
    </xf>
    <xf numFmtId="171" fontId="4" fillId="0" borderId="0" applyAlignment="1" pivotButton="0" quotePrefix="0" xfId="30">
      <alignment horizontal="right" vertical="center"/>
    </xf>
    <xf numFmtId="171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200" fontId="0" fillId="0" borderId="0" pivotButton="0" quotePrefix="0" xfId="0"/>
    <xf numFmtId="169" fontId="11" fillId="7" borderId="0" applyAlignment="1" pivotButton="0" quotePrefix="0" xfId="21">
      <alignment horizontal="center"/>
    </xf>
    <xf numFmtId="0" fontId="23" fillId="15" borderId="0" applyAlignment="1" pivotButton="0" quotePrefix="0" xfId="0">
      <alignment horizontal="left"/>
    </xf>
    <xf numFmtId="0" fontId="24" fillId="16" borderId="0" pivotButton="0" quotePrefix="0" xfId="0"/>
    <xf numFmtId="3" fontId="24" fillId="17" borderId="0" applyAlignment="1" pivotButton="0" quotePrefix="0" xfId="0">
      <alignment horizontal="center"/>
    </xf>
    <xf numFmtId="3" fontId="24" fillId="0" borderId="0" applyAlignment="1" pivotButton="0" quotePrefix="0" xfId="0">
      <alignment horizontal="center"/>
    </xf>
    <xf numFmtId="0" fontId="25" fillId="16" borderId="0" pivotButton="0" quotePrefix="0" xfId="0"/>
    <xf numFmtId="171" fontId="24" fillId="17" borderId="0" applyAlignment="1" pivotButton="0" quotePrefix="0" xfId="0">
      <alignment horizontal="center"/>
    </xf>
    <xf numFmtId="171" fontId="24" fillId="0" borderId="0" applyAlignment="1" pivotButton="0" quotePrefix="0" xfId="0">
      <alignment horizontal="center"/>
    </xf>
    <xf numFmtId="201" fontId="22" fillId="13" borderId="0" pivotButton="0" quotePrefix="0" xfId="24"/>
  </cellXfs>
  <cellStyles count="35">
    <cellStyle name="Normal" xfId="0" builtinId="0"/>
    <cellStyle name="Comma" xfId="1"/>
    <cellStyle name="Comma 1" xfId="2"/>
    <cellStyle name="Comma 2" xfId="3"/>
    <cellStyle name="Comma 3" xfId="4"/>
    <cellStyle name="Comma [0]" xfId="5"/>
    <cellStyle name="Comma [0] 2" xfId="6"/>
    <cellStyle name="Comma [0] 3" xfId="7"/>
    <cellStyle name="Comma [0] 4" xfId="8"/>
    <cellStyle name="Currency" xfId="9"/>
    <cellStyle name="Currency 2" xfId="10"/>
    <cellStyle name="Currency 3" xfId="11"/>
    <cellStyle name="Currency 4" xfId="12"/>
    <cellStyle name="Currency 5" xfId="13"/>
    <cellStyle name="Currency [0]" xfId="14"/>
    <cellStyle name="Currency [0] 4" xfId="15"/>
    <cellStyle name="Currency [0] 5" xfId="16"/>
    <cellStyle name="Currency [0] 6" xfId="17"/>
    <cellStyle name="m/d/yy" xfId="18"/>
    <cellStyle name="Normal 3" xfId="19"/>
    <cellStyle name="Normal 2" xfId="20"/>
    <cellStyle name="Normal 2 2" xfId="21"/>
    <cellStyle name="Normal 2 3" xfId="22"/>
    <cellStyle name="Normal 4" xfId="23"/>
    <cellStyle name="Normal 5" xfId="24"/>
    <cellStyle name="Normal 6" xfId="25"/>
    <cellStyle name="Normal 7" xfId="26"/>
    <cellStyle name="Normal [3] 2" xfId="27"/>
    <cellStyle name="Output_dcfmodel" xfId="28"/>
    <cellStyle name="Percent" xfId="29"/>
    <cellStyle name="Percent 6" xfId="30"/>
    <cellStyle name="Percent 7" xfId="31"/>
    <cellStyle name="Percent 8" xfId="32"/>
    <cellStyle name="Porcentagem 3" xfId="33"/>
    <cellStyle name="Separador de milhares 2 17" xfId="34"/>
  </cellStyles>
  <dxfs count="24"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CCFF"/>
      <rgbColor rgb="FFFF99CC"/>
      <rgbColor rgb="FFCC99FF"/>
      <rgbColor rgb="FFD9D9D9"/>
      <rgbColor rgb="FF4472C4"/>
      <rgbColor rgb="FF46B1E1"/>
      <rgbColor rgb="FF99CC00"/>
      <rgbColor rgb="FFFFCC00"/>
      <rgbColor rgb="FFFF9900"/>
      <rgbColor rgb="FFFF6600"/>
      <rgbColor rgb="FF666699"/>
      <rgbColor rgb="FF70AD47"/>
      <rgbColor rgb="FF17365D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96"/>
  <sheetViews>
    <sheetView showGridLines="0" tabSelected="1" zoomScaleNormal="100" workbookViewId="0">
      <pane xSplit="3" ySplit="2" topLeftCell="D3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9.7109375" defaultRowHeight="12.75"/>
  <cols>
    <col width="90" customWidth="1" min="1" max="1"/>
    <col width="10.140625" customWidth="1" min="2" max="2"/>
    <col width="45" customWidth="1" min="3" max="3"/>
    <col width="12.42578125" customWidth="1" min="4" max="33"/>
  </cols>
  <sheetData>
    <row r="1" ht="14.25" customHeight="1">
      <c r="A1" s="1" t="inlineStr">
        <is>
          <t>Base histórica normalizada (US$ mil) — convertida da máscara anterior; linhas de origem auditáveis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14.25" customHeight="1">
      <c r="A2" s="2" t="inlineStr">
        <is>
          <t>Fonte / conta original</t>
        </is>
      </c>
      <c r="B2" s="2" t="inlineStr">
        <is>
          <t>Código</t>
        </is>
      </c>
      <c r="C2" s="2" t="inlineStr">
        <is>
          <t>Conta padronizada</t>
        </is>
      </c>
      <c r="D2" s="2" t="inlineStr">
        <is>
          <t>1Q21</t>
        </is>
      </c>
      <c r="E2" s="2" t="inlineStr">
        <is>
          <t>2Q21</t>
        </is>
      </c>
      <c r="F2" s="2" t="inlineStr">
        <is>
          <t>3Q21</t>
        </is>
      </c>
      <c r="G2" s="2" t="inlineStr">
        <is>
          <t>4Q21</t>
        </is>
      </c>
      <c r="H2" s="2" t="inlineStr">
        <is>
          <t>2021</t>
        </is>
      </c>
      <c r="I2" s="2" t="inlineStr">
        <is>
          <t>1Q22</t>
        </is>
      </c>
      <c r="J2" s="2" t="inlineStr">
        <is>
          <t>2Q22</t>
        </is>
      </c>
      <c r="K2" s="2" t="inlineStr">
        <is>
          <t>3Q22</t>
        </is>
      </c>
      <c r="L2" s="2" t="inlineStr">
        <is>
          <t>4Q22</t>
        </is>
      </c>
      <c r="M2" s="2" t="inlineStr">
        <is>
          <t>2022</t>
        </is>
      </c>
      <c r="N2" s="2" t="inlineStr">
        <is>
          <t>1Q23</t>
        </is>
      </c>
      <c r="O2" s="2" t="inlineStr">
        <is>
          <t>2Q23</t>
        </is>
      </c>
      <c r="P2" s="2" t="inlineStr">
        <is>
          <t>3Q23</t>
        </is>
      </c>
      <c r="Q2" s="2" t="inlineStr">
        <is>
          <t>4Q23</t>
        </is>
      </c>
      <c r="R2" s="2" t="inlineStr">
        <is>
          <t>2023</t>
        </is>
      </c>
      <c r="S2" s="2" t="inlineStr">
        <is>
          <t>1Q24</t>
        </is>
      </c>
      <c r="T2" s="2" t="inlineStr">
        <is>
          <t>2Q24</t>
        </is>
      </c>
      <c r="U2" s="2" t="inlineStr">
        <is>
          <t>3Q24</t>
        </is>
      </c>
      <c r="V2" s="2" t="inlineStr">
        <is>
          <t>4Q24</t>
        </is>
      </c>
      <c r="W2" s="2" t="inlineStr">
        <is>
          <t>2024</t>
        </is>
      </c>
      <c r="X2" s="2" t="inlineStr">
        <is>
          <t>1Q25</t>
        </is>
      </c>
      <c r="Y2" s="2" t="inlineStr">
        <is>
          <t>2Q25</t>
        </is>
      </c>
      <c r="Z2" s="2" t="inlineStr">
        <is>
          <t>3Q25</t>
        </is>
      </c>
      <c r="AA2" s="2" t="inlineStr">
        <is>
          <t>4Q25</t>
        </is>
      </c>
      <c r="AB2" s="2" t="inlineStr">
        <is>
          <t>2025</t>
        </is>
      </c>
      <c r="AC2" s="2" t="inlineStr">
        <is>
          <t>1Q26</t>
        </is>
      </c>
      <c r="AD2" s="2" t="inlineStr">
        <is>
          <t>2Q26</t>
        </is>
      </c>
      <c r="AE2" s="2" t="inlineStr">
        <is>
          <t>3Q26</t>
        </is>
      </c>
      <c r="AF2" s="2" t="inlineStr">
        <is>
          <t>4Q26</t>
        </is>
      </c>
      <c r="AG2" s="2" t="inlineStr">
        <is>
          <t>2026</t>
        </is>
      </c>
    </row>
    <row r="3">
      <c r="A3" t="inlineStr">
        <is>
          <t>Fonte: ver coluna A de cada linha</t>
        </is>
      </c>
      <c r="C3" t="inlineStr">
        <is>
          <t>Unidade: US$ mil (monetário); demais unidades × 1.000</t>
        </is>
      </c>
    </row>
    <row r="4">
      <c r="A4" t="inlineStr">
        <is>
          <t>DRE - trimestre isolado (USD). Brutos SEC XBRL; linhas "derivada" são fórmulas nesta aba</t>
        </is>
      </c>
      <c r="C4" t="inlineStr">
        <is>
          <t>[linha bruta, sem código; lançada nas linhas abaixo]</t>
        </is>
      </c>
      <c r="D4" s="265" t="n"/>
      <c r="E4" s="265" t="n"/>
      <c r="F4" s="265" t="n"/>
      <c r="G4" s="265" t="n"/>
      <c r="I4" s="265" t="n"/>
      <c r="J4" s="265" t="n"/>
      <c r="K4" s="265" t="n"/>
      <c r="L4" s="265" t="n"/>
      <c r="N4" s="265" t="n"/>
      <c r="O4" s="265" t="n"/>
      <c r="P4" s="265" t="n"/>
      <c r="Q4" s="265" t="n"/>
      <c r="S4" s="265" t="n"/>
      <c r="T4" s="265" t="n"/>
      <c r="U4" s="265" t="n"/>
      <c r="V4" s="265" t="n"/>
      <c r="X4" s="265" t="n"/>
      <c r="Y4" s="265" t="n"/>
      <c r="Z4" s="265" t="n"/>
      <c r="AA4" s="265" t="n"/>
      <c r="AC4" s="265" t="n"/>
      <c r="AD4" s="265" t="n"/>
    </row>
    <row r="5">
      <c r="A5" t="inlineStr">
        <is>
          <t>Receita [us-gaap:Revenues/RevenueFromContractWithCustomerExcludingAssessedTax] · fonte · unid. moeda</t>
        </is>
      </c>
      <c r="B5" t="n">
        <v>1</v>
      </c>
      <c r="C5" t="inlineStr">
        <is>
          <t>Net Revenues</t>
        </is>
      </c>
      <c r="D5" s="265" t="n">
        <v>10389000</v>
      </c>
      <c r="E5" s="265" t="n">
        <v>11958000</v>
      </c>
      <c r="F5" s="265" t="n">
        <v>13757000</v>
      </c>
      <c r="G5" s="265" t="n">
        <v>17719000</v>
      </c>
      <c r="I5" s="265" t="n">
        <v>18756000</v>
      </c>
      <c r="J5" s="265" t="n">
        <v>16934000</v>
      </c>
      <c r="K5" s="265" t="n">
        <v>21454000</v>
      </c>
      <c r="L5" s="265" t="n">
        <v>24318000</v>
      </c>
      <c r="N5" s="265" t="n">
        <v>23329000</v>
      </c>
      <c r="O5" s="265" t="n">
        <v>24927000</v>
      </c>
      <c r="P5" s="265" t="n">
        <v>23350000</v>
      </c>
      <c r="Q5" s="265" t="n">
        <v>25167000</v>
      </c>
      <c r="S5" s="265" t="n">
        <v>21301000</v>
      </c>
      <c r="T5" s="265" t="n">
        <v>25500000</v>
      </c>
      <c r="U5" s="265" t="n">
        <v>25182000</v>
      </c>
      <c r="V5" s="265" t="n">
        <v>25707000</v>
      </c>
      <c r="X5" s="265" t="n">
        <v>19335000</v>
      </c>
      <c r="Y5" s="265" t="n">
        <v>22496000</v>
      </c>
      <c r="Z5" s="265" t="n">
        <v>28095000</v>
      </c>
      <c r="AA5" s="265" t="n">
        <v>24901000</v>
      </c>
      <c r="AC5" s="265" t="n">
        <v>22387000</v>
      </c>
      <c r="AD5" s="265" t="n">
        <v>28236000</v>
      </c>
    </row>
    <row r="6">
      <c r="A6" t="inlineStr">
        <is>
          <t>Custo da receita (divulgado positivo) [us-gaap:CostOfRevenue/CostOfGoodsAndServicesSold] · fonte · unid. moeda</t>
        </is>
      </c>
      <c r="C6" t="inlineStr">
        <is>
          <t>[linha bruta, sem código; lançada nas linhas abaixo]</t>
        </is>
      </c>
      <c r="D6" s="265" t="n">
        <v>8174000</v>
      </c>
      <c r="E6" s="265" t="n">
        <v>9074000</v>
      </c>
      <c r="F6" s="265" t="n">
        <v>10097000</v>
      </c>
      <c r="G6" s="265" t="n">
        <v>12872000</v>
      </c>
      <c r="I6" s="265" t="n">
        <v>13296000</v>
      </c>
      <c r="J6" s="265" t="n">
        <v>12700000</v>
      </c>
      <c r="K6" s="265" t="n">
        <v>16072000</v>
      </c>
      <c r="L6" s="265" t="n">
        <v>18541000</v>
      </c>
      <c r="N6" s="265" t="n">
        <v>18818000</v>
      </c>
      <c r="O6" s="265" t="n">
        <v>20394000</v>
      </c>
      <c r="P6" s="265" t="n">
        <v>19172000</v>
      </c>
      <c r="Q6" s="265" t="n">
        <v>20729000</v>
      </c>
      <c r="S6" s="265" t="n">
        <v>17605000</v>
      </c>
      <c r="T6" s="265" t="n">
        <v>20922000</v>
      </c>
      <c r="U6" s="265" t="n">
        <v>20185000</v>
      </c>
      <c r="V6" s="265" t="n">
        <v>21528000</v>
      </c>
      <c r="X6" s="265" t="n">
        <v>16182000</v>
      </c>
      <c r="Y6" s="265" t="n">
        <v>18618000</v>
      </c>
      <c r="Z6" s="265" t="n">
        <v>23041000</v>
      </c>
      <c r="AA6" s="265" t="n">
        <v>19892000</v>
      </c>
      <c r="AC6" s="265" t="n">
        <v>17667000</v>
      </c>
      <c r="AD6" s="265" t="n">
        <v>23485000</v>
      </c>
    </row>
    <row r="7">
      <c r="A7" t="inlineStr">
        <is>
          <t>(lançamento) código 2, sinal -1 sobre a linha bruta 6: Custo da receita (divulgado positivo) [us-gaap:CostOfRevenue/CostOfGoodsAndServicesSold]</t>
        </is>
      </c>
      <c r="B7" t="n">
        <v>2</v>
      </c>
      <c r="C7" t="inlineStr">
        <is>
          <t>COGS (cash)</t>
        </is>
      </c>
      <c r="D7" s="265">
        <f>IF(D6="","",-1*D6)</f>
        <v>-8174000</v>
      </c>
      <c r="E7" s="265">
        <f>IF(E6="","",-1*E6)</f>
        <v>-9074000</v>
      </c>
      <c r="F7" s="265">
        <f>IF(F6="","",-1*F6)</f>
        <v>-10097000</v>
      </c>
      <c r="G7" s="265">
        <f>IF(G6="","",-1*G6)</f>
        <v>-12872000</v>
      </c>
      <c r="I7" s="265">
        <f>IF(I6="","",-1*I6)</f>
        <v>-13296000</v>
      </c>
      <c r="J7" s="265">
        <f>IF(J6="","",-1*J6)</f>
        <v>-12700000</v>
      </c>
      <c r="K7" s="265">
        <f>IF(K6="","",-1*K6)</f>
        <v>-16072000</v>
      </c>
      <c r="L7" s="265">
        <f>IF(L6="","",-1*L6)</f>
        <v>-18541000</v>
      </c>
      <c r="N7" s="265">
        <f>IF(N6="","",-1*N6)</f>
        <v>-18818000</v>
      </c>
      <c r="O7" s="265">
        <f>IF(O6="","",-1*O6)</f>
        <v>-20394000</v>
      </c>
      <c r="P7" s="265">
        <f>IF(P6="","",-1*P6)</f>
        <v>-19172000</v>
      </c>
      <c r="Q7" s="265">
        <f>IF(Q6="","",-1*Q6)</f>
        <v>-20729000</v>
      </c>
      <c r="S7" s="265">
        <f>IF(S6="","",-1*S6)</f>
        <v>-17605000</v>
      </c>
      <c r="T7" s="265">
        <f>IF(T6="","",-1*T6)</f>
        <v>-20922000</v>
      </c>
      <c r="U7" s="265">
        <f>IF(U6="","",-1*U6)</f>
        <v>-20185000</v>
      </c>
      <c r="V7" s="265">
        <f>IF(V6="","",-1*V6)</f>
        <v>-21528000</v>
      </c>
      <c r="X7" s="265">
        <f>IF(X6="","",-1*X6)</f>
        <v>-16182000</v>
      </c>
      <c r="Y7" s="265">
        <f>IF(Y6="","",-1*Y6)</f>
        <v>-18618000</v>
      </c>
      <c r="Z7" s="265">
        <f>IF(Z6="","",-1*Z6)</f>
        <v>-23041000</v>
      </c>
      <c r="AA7" s="265">
        <f>IF(AA6="","",-1*AA6)</f>
        <v>-19892000</v>
      </c>
      <c r="AC7" s="265">
        <f>IF(AC6="","",-1*AC6)</f>
        <v>-17667000</v>
      </c>
      <c r="AD7" s="265">
        <f>IF(AD6="","",-1*AD6)</f>
        <v>-23485000</v>
      </c>
    </row>
    <row r="8">
      <c r="A8" t="inlineStr">
        <is>
          <t>Lucro operacional [us-gaap:OperatingIncomeLoss] · memoria · unid. moeda</t>
        </is>
      </c>
      <c r="C8" t="inlineStr">
        <is>
          <t>[linha bruta, sem código; lançada nas linhas abaixo]</t>
        </is>
      </c>
      <c r="D8" s="265" t="n">
        <v>594000</v>
      </c>
      <c r="E8" s="265" t="n">
        <v>1312000</v>
      </c>
      <c r="F8" s="265" t="n">
        <v>2004000</v>
      </c>
      <c r="G8" s="265" t="n">
        <v>2613000</v>
      </c>
      <c r="I8" s="265" t="n">
        <v>3603000</v>
      </c>
      <c r="J8" s="265" t="n">
        <v>2464000</v>
      </c>
      <c r="K8" s="265" t="n">
        <v>3688000</v>
      </c>
      <c r="L8" s="265" t="n">
        <v>3901000</v>
      </c>
      <c r="N8" s="265" t="n">
        <v>2664000</v>
      </c>
      <c r="O8" s="265" t="n">
        <v>2399000</v>
      </c>
      <c r="P8" s="265" t="n">
        <v>1764000</v>
      </c>
      <c r="Q8" s="265" t="n">
        <v>2064000</v>
      </c>
      <c r="S8" s="265" t="n">
        <v>1171000</v>
      </c>
      <c r="T8" s="265" t="n">
        <v>1605000</v>
      </c>
      <c r="U8" s="265" t="n">
        <v>2717000</v>
      </c>
      <c r="V8" s="265" t="n">
        <v>1583000</v>
      </c>
      <c r="X8" s="265" t="n">
        <v>399000</v>
      </c>
      <c r="Y8" s="265" t="n">
        <v>923000</v>
      </c>
      <c r="Z8" s="265" t="n">
        <v>1624000</v>
      </c>
      <c r="AA8" s="265" t="n">
        <v>1409000</v>
      </c>
      <c r="AC8" s="265" t="n">
        <v>941000</v>
      </c>
      <c r="AD8" s="265" t="n">
        <v>398000</v>
      </c>
    </row>
    <row r="9">
      <c r="A9" t="inlineStr">
        <is>
          <t>Despesas operacionais = receita - custo - lucro operacional (P&amp;D + SG&amp;A + outras operacionais) · derivada · unid. moeda</t>
        </is>
      </c>
      <c r="C9" t="inlineStr">
        <is>
          <t>[linha bruta, sem código; lançada nas linhas abaixo]</t>
        </is>
      </c>
      <c r="D9" s="265">
        <f>N(D5)-N(D6)-N(D8)</f>
        <v>1621000</v>
      </c>
      <c r="E9" s="265">
        <f>N(E5)-N(E6)-N(E8)</f>
        <v>1572000</v>
      </c>
      <c r="F9" s="265">
        <f>N(F5)-N(F6)-N(F8)</f>
        <v>1656000</v>
      </c>
      <c r="G9" s="265">
        <f>N(G5)-N(G6)-N(G8)</f>
        <v>2234000</v>
      </c>
      <c r="I9" s="265">
        <f>N(I5)-N(I6)-N(I8)</f>
        <v>1857000</v>
      </c>
      <c r="J9" s="265">
        <f>N(J5)-N(J6)-N(J8)</f>
        <v>1770000</v>
      </c>
      <c r="K9" s="265">
        <f>N(K5)-N(K6)-N(K8)</f>
        <v>1694000</v>
      </c>
      <c r="L9" s="265">
        <f>N(L5)-N(L6)-N(L8)</f>
        <v>1876000</v>
      </c>
      <c r="N9" s="265">
        <f>N(N5)-N(N6)-N(N8)</f>
        <v>1847000</v>
      </c>
      <c r="O9" s="265">
        <f>N(O5)-N(O6)-N(O8)</f>
        <v>2134000</v>
      </c>
      <c r="P9" s="265">
        <f>N(P5)-N(P6)-N(P8)</f>
        <v>2414000</v>
      </c>
      <c r="Q9" s="265">
        <f>N(Q5)-N(Q6)-N(Q8)</f>
        <v>2374000</v>
      </c>
      <c r="S9" s="265">
        <f>N(S5)-N(S6)-N(S8)</f>
        <v>2525000</v>
      </c>
      <c r="T9" s="265">
        <f>N(T5)-N(T6)-N(T8)</f>
        <v>2973000</v>
      </c>
      <c r="U9" s="265">
        <f>N(U5)-N(U6)-N(U8)</f>
        <v>2280000</v>
      </c>
      <c r="V9" s="265">
        <f>N(V5)-N(V6)-N(V8)</f>
        <v>2596000</v>
      </c>
      <c r="X9" s="265">
        <f>N(X5)-N(X6)-N(X8)</f>
        <v>2754000</v>
      </c>
      <c r="Y9" s="265">
        <f>N(Y5)-N(Y6)-N(Y8)</f>
        <v>2955000</v>
      </c>
      <c r="Z9" s="265">
        <f>N(Z5)-N(Z6)-N(Z8)</f>
        <v>3430000</v>
      </c>
      <c r="AA9" s="265">
        <f>N(AA5)-N(AA6)-N(AA8)</f>
        <v>3600000</v>
      </c>
      <c r="AC9" s="265">
        <f>N(AC5)-N(AC6)-N(AC8)</f>
        <v>3779000</v>
      </c>
      <c r="AD9" s="265">
        <f>N(AD5)-N(AD6)-N(AD8)</f>
        <v>4353000</v>
      </c>
    </row>
    <row r="10">
      <c r="A10" t="inlineStr">
        <is>
          <t>(lançamento) código 3, sinal -1 sobre a linha bruta 9: Despesas operacionais = receita - custo - lucro operacional (P&amp;D + SG&amp;A + outras operacion</t>
        </is>
      </c>
      <c r="B10" t="n">
        <v>3</v>
      </c>
      <c r="C10" t="inlineStr">
        <is>
          <t>SG&amp;A and Other (cash)</t>
        </is>
      </c>
      <c r="D10" s="265">
        <f>IF(D9="","",-1*D9)</f>
        <v>-1621000</v>
      </c>
      <c r="E10" s="265">
        <f>IF(E9="","",-1*E9)</f>
        <v>-1572000</v>
      </c>
      <c r="F10" s="265">
        <f>IF(F9="","",-1*F9)</f>
        <v>-1656000</v>
      </c>
      <c r="G10" s="265">
        <f>IF(G9="","",-1*G9)</f>
        <v>-2234000</v>
      </c>
      <c r="I10" s="265">
        <f>IF(I9="","",-1*I9)</f>
        <v>-1857000</v>
      </c>
      <c r="J10" s="265">
        <f>IF(J9="","",-1*J9)</f>
        <v>-1770000</v>
      </c>
      <c r="K10" s="265">
        <f>IF(K9="","",-1*K9)</f>
        <v>-1694000</v>
      </c>
      <c r="L10" s="265">
        <f>IF(L9="","",-1*L9)</f>
        <v>-1876000</v>
      </c>
      <c r="N10" s="265">
        <f>IF(N9="","",-1*N9)</f>
        <v>-1847000</v>
      </c>
      <c r="O10" s="265">
        <f>IF(O9="","",-1*O9)</f>
        <v>-2134000</v>
      </c>
      <c r="P10" s="265">
        <f>IF(P9="","",-1*P9)</f>
        <v>-2414000</v>
      </c>
      <c r="Q10" s="265">
        <f>IF(Q9="","",-1*Q9)</f>
        <v>-2374000</v>
      </c>
      <c r="S10" s="265">
        <f>IF(S9="","",-1*S9)</f>
        <v>-2525000</v>
      </c>
      <c r="T10" s="265">
        <f>IF(T9="","",-1*T9)</f>
        <v>-2973000</v>
      </c>
      <c r="U10" s="265">
        <f>IF(U9="","",-1*U9)</f>
        <v>-2280000</v>
      </c>
      <c r="V10" s="265">
        <f>IF(V9="","",-1*V9)</f>
        <v>-2596000</v>
      </c>
      <c r="X10" s="265">
        <f>IF(X9="","",-1*X9)</f>
        <v>-2754000</v>
      </c>
      <c r="Y10" s="265">
        <f>IF(Y9="","",-1*Y9)</f>
        <v>-2955000</v>
      </c>
      <c r="Z10" s="265">
        <f>IF(Z9="","",-1*Z9)</f>
        <v>-3430000</v>
      </c>
      <c r="AA10" s="265">
        <f>IF(AA9="","",-1*AA9)</f>
        <v>-3600000</v>
      </c>
      <c r="AC10" s="265">
        <f>IF(AC9="","",-1*AC9)</f>
        <v>-3779000</v>
      </c>
      <c r="AD10" s="265">
        <f>IF(AD9="","",-1*AD9)</f>
        <v>-4353000</v>
      </c>
    </row>
    <row r="11">
      <c r="A11" t="inlineStr">
        <is>
          <t>Lucro antes do IR [us-gaap:IncomeLossFromContinuingOperationsBeforeIncomeTaxesExtraordi] · memoria · unid. moeda</t>
        </is>
      </c>
      <c r="C11" t="inlineStr">
        <is>
          <t>[linha bruta, sem código; lançada nas linhas abaixo]</t>
        </is>
      </c>
      <c r="D11" s="265" t="n">
        <v>533000</v>
      </c>
      <c r="E11" s="265" t="n">
        <v>1293000</v>
      </c>
      <c r="F11" s="265" t="n">
        <v>1882000</v>
      </c>
      <c r="G11" s="265" t="n">
        <v>2635000</v>
      </c>
      <c r="I11" s="265" t="n">
        <v>3626000</v>
      </c>
      <c r="J11" s="265" t="n">
        <v>2474000</v>
      </c>
      <c r="K11" s="265" t="n">
        <v>3636000</v>
      </c>
      <c r="L11" s="265" t="n">
        <v>3983000</v>
      </c>
      <c r="N11" s="265" t="n">
        <v>2800000</v>
      </c>
      <c r="O11" s="265" t="n">
        <v>2937000</v>
      </c>
      <c r="P11" s="265" t="n">
        <v>2045000</v>
      </c>
      <c r="Q11" s="265" t="n">
        <v>2191000</v>
      </c>
      <c r="S11" s="265" t="n">
        <v>1888000</v>
      </c>
      <c r="T11" s="265" t="n">
        <v>1787000</v>
      </c>
      <c r="U11" s="265" t="n">
        <v>2791000</v>
      </c>
      <c r="V11" s="265" t="n">
        <v>2524000</v>
      </c>
      <c r="X11" s="265" t="n">
        <v>589000</v>
      </c>
      <c r="Y11" s="265" t="n">
        <v>1549000</v>
      </c>
      <c r="Z11" s="265" t="n">
        <v>1959000</v>
      </c>
      <c r="AA11" s="265" t="n">
        <v>1181000</v>
      </c>
      <c r="AC11" s="265" t="n">
        <v>748000</v>
      </c>
      <c r="AD11" s="265" t="n">
        <v>1329000</v>
      </c>
    </row>
    <row r="12">
      <c r="A12" t="inlineStr">
        <is>
          <t>Resultado não operacional total = lucro antes do IR - lucro operacional · derivada · unid. moeda</t>
        </is>
      </c>
      <c r="B12" t="n">
        <v>6</v>
      </c>
      <c r="C12" t="inlineStr">
        <is>
          <t>Nonoperating Income / (Loss)</t>
        </is>
      </c>
      <c r="D12" s="265">
        <f>N(D11)-N(D8)</f>
        <v>-61000</v>
      </c>
      <c r="E12" s="265">
        <f>N(E11)-N(E8)</f>
        <v>-19000</v>
      </c>
      <c r="F12" s="265">
        <f>N(F11)-N(F8)</f>
        <v>-122000</v>
      </c>
      <c r="G12" s="265">
        <f>N(G11)-N(G8)</f>
        <v>22000</v>
      </c>
      <c r="I12" s="265">
        <f>N(I11)-N(I8)</f>
        <v>23000</v>
      </c>
      <c r="J12" s="265">
        <f>N(J11)-N(J8)</f>
        <v>10000</v>
      </c>
      <c r="K12" s="265">
        <f>N(K11)-N(K8)</f>
        <v>-52000</v>
      </c>
      <c r="L12" s="265">
        <f>N(L11)-N(L8)</f>
        <v>82000</v>
      </c>
      <c r="N12" s="265">
        <f>N(N11)-N(N8)</f>
        <v>136000</v>
      </c>
      <c r="O12" s="265">
        <f>N(O11)-N(O8)</f>
        <v>538000</v>
      </c>
      <c r="P12" s="265">
        <f>N(P11)-N(P8)</f>
        <v>281000</v>
      </c>
      <c r="Q12" s="265">
        <f>N(Q11)-N(Q8)</f>
        <v>127000</v>
      </c>
      <c r="S12" s="265">
        <f>N(S11)-N(S8)</f>
        <v>717000</v>
      </c>
      <c r="T12" s="265">
        <f>N(T11)-N(T8)</f>
        <v>182000</v>
      </c>
      <c r="U12" s="265">
        <f>N(U11)-N(U8)</f>
        <v>74000</v>
      </c>
      <c r="V12" s="265">
        <f>N(V11)-N(V8)</f>
        <v>941000</v>
      </c>
      <c r="X12" s="265">
        <f>N(X11)-N(X8)</f>
        <v>190000</v>
      </c>
      <c r="Y12" s="265">
        <f>N(Y11)-N(Y8)</f>
        <v>626000</v>
      </c>
      <c r="Z12" s="265">
        <f>N(Z11)-N(Z8)</f>
        <v>335000</v>
      </c>
      <c r="AA12" s="265">
        <f>N(AA11)-N(AA8)</f>
        <v>-228000</v>
      </c>
      <c r="AC12" s="265">
        <f>N(AC11)-N(AC8)</f>
        <v>-193000</v>
      </c>
      <c r="AD12" s="265">
        <f>N(AD11)-N(AD8)</f>
        <v>931000</v>
      </c>
    </row>
    <row r="13">
      <c r="A13" t="inlineStr">
        <is>
          <t>Despesa de juros (divulgado positivo): COD1=5 lança; COD2=6 devolve ao não operacional, que já a contém [us-gaap:InterestExpense/InterestExpenseNonoperating] · fonte · unid. moeda</t>
        </is>
      </c>
      <c r="C13" t="inlineStr">
        <is>
          <t>[linha bruta, sem código; lançada nas linhas abaixo]</t>
        </is>
      </c>
      <c r="D13" s="265" t="n">
        <v>99000</v>
      </c>
      <c r="E13" s="265" t="n">
        <v>75000</v>
      </c>
      <c r="F13" s="265" t="n">
        <v>126000</v>
      </c>
      <c r="G13" s="265" t="n">
        <v>71000</v>
      </c>
      <c r="I13" s="265" t="n">
        <v>61000</v>
      </c>
      <c r="J13" s="265" t="n">
        <v>44000</v>
      </c>
      <c r="K13" s="265" t="n">
        <v>53000</v>
      </c>
      <c r="L13" s="265" t="n">
        <v>33000</v>
      </c>
      <c r="N13" s="265" t="n">
        <v>29000</v>
      </c>
      <c r="O13" s="265" t="n">
        <v>28000</v>
      </c>
      <c r="P13" s="265" t="n">
        <v>38000</v>
      </c>
      <c r="Q13" s="265" t="n">
        <v>61000</v>
      </c>
      <c r="S13" s="265" t="n">
        <v>76000</v>
      </c>
      <c r="T13" s="265" t="n">
        <v>86000</v>
      </c>
      <c r="U13" s="265" t="n">
        <v>92000</v>
      </c>
      <c r="V13" s="265" t="n">
        <v>96000</v>
      </c>
      <c r="X13" s="265" t="n">
        <v>91000</v>
      </c>
      <c r="Y13" s="265" t="n">
        <v>86000</v>
      </c>
      <c r="Z13" s="265" t="n">
        <v>76000</v>
      </c>
      <c r="AA13" s="265" t="n">
        <v>85000</v>
      </c>
      <c r="AC13" s="265" t="n">
        <v>92000</v>
      </c>
      <c r="AD13" s="265" t="n">
        <v>81000</v>
      </c>
    </row>
    <row r="14">
      <c r="A14" t="inlineStr">
        <is>
          <t>(lançamento) código 5, sinal -1 sobre a linha bruta 13: Despesa de juros (divulgado positivo): COD1=5 lança; COD2=6 devolve ao não operacional, qu</t>
        </is>
      </c>
      <c r="B14" t="n">
        <v>5</v>
      </c>
      <c r="C14" t="inlineStr">
        <is>
          <t>Interest Expense</t>
        </is>
      </c>
      <c r="D14" s="265">
        <f>IF(D13="","",-1*D13)</f>
        <v>-99000</v>
      </c>
      <c r="E14" s="265">
        <f>IF(E13="","",-1*E13)</f>
        <v>-75000</v>
      </c>
      <c r="F14" s="265">
        <f>IF(F13="","",-1*F13)</f>
        <v>-126000</v>
      </c>
      <c r="G14" s="265">
        <f>IF(G13="","",-1*G13)</f>
        <v>-71000</v>
      </c>
      <c r="I14" s="265">
        <f>IF(I13="","",-1*I13)</f>
        <v>-61000</v>
      </c>
      <c r="J14" s="265">
        <f>IF(J13="","",-1*J13)</f>
        <v>-44000</v>
      </c>
      <c r="K14" s="265">
        <f>IF(K13="","",-1*K13)</f>
        <v>-53000</v>
      </c>
      <c r="L14" s="265">
        <f>IF(L13="","",-1*L13)</f>
        <v>-33000</v>
      </c>
      <c r="N14" s="265">
        <f>IF(N13="","",-1*N13)</f>
        <v>-29000</v>
      </c>
      <c r="O14" s="265">
        <f>IF(O13="","",-1*O13)</f>
        <v>-28000</v>
      </c>
      <c r="P14" s="265">
        <f>IF(P13="","",-1*P13)</f>
        <v>-38000</v>
      </c>
      <c r="Q14" s="265">
        <f>IF(Q13="","",-1*Q13)</f>
        <v>-61000</v>
      </c>
      <c r="S14" s="265">
        <f>IF(S13="","",-1*S13)</f>
        <v>-76000</v>
      </c>
      <c r="T14" s="265">
        <f>IF(T13="","",-1*T13)</f>
        <v>-86000</v>
      </c>
      <c r="U14" s="265">
        <f>IF(U13="","",-1*U13)</f>
        <v>-92000</v>
      </c>
      <c r="V14" s="265">
        <f>IF(V13="","",-1*V13)</f>
        <v>-96000</v>
      </c>
      <c r="X14" s="265">
        <f>IF(X13="","",-1*X13)</f>
        <v>-91000</v>
      </c>
      <c r="Y14" s="265">
        <f>IF(Y13="","",-1*Y13)</f>
        <v>-86000</v>
      </c>
      <c r="Z14" s="265">
        <f>IF(Z13="","",-1*Z13)</f>
        <v>-76000</v>
      </c>
      <c r="AA14" s="265">
        <f>IF(AA13="","",-1*AA13)</f>
        <v>-85000</v>
      </c>
      <c r="AC14" s="265">
        <f>IF(AC13="","",-1*AC13)</f>
        <v>-92000</v>
      </c>
      <c r="AD14" s="265">
        <f>IF(AD13="","",-1*AD13)</f>
        <v>-81000</v>
      </c>
    </row>
    <row r="15">
      <c r="A15" t="inlineStr">
        <is>
          <t>(lançamento) código 6, sinal +1 sobre a linha bruta 13: Despesa de juros (divulgado positivo): COD1=5 lança; COD2=6 devolve ao não operacional, qu</t>
        </is>
      </c>
      <c r="B15" t="n">
        <v>6</v>
      </c>
      <c r="C15" t="inlineStr">
        <is>
          <t>Nonoperating Income / (Loss)</t>
        </is>
      </c>
      <c r="D15" s="265">
        <f>IF(D13="","",D13)</f>
        <v>99000</v>
      </c>
      <c r="E15" s="265">
        <f>IF(E13="","",E13)</f>
        <v>75000</v>
      </c>
      <c r="F15" s="265">
        <f>IF(F13="","",F13)</f>
        <v>126000</v>
      </c>
      <c r="G15" s="265">
        <f>IF(G13="","",G13)</f>
        <v>71000</v>
      </c>
      <c r="I15" s="265">
        <f>IF(I13="","",I13)</f>
        <v>61000</v>
      </c>
      <c r="J15" s="265">
        <f>IF(J13="","",J13)</f>
        <v>44000</v>
      </c>
      <c r="K15" s="265">
        <f>IF(K13="","",K13)</f>
        <v>53000</v>
      </c>
      <c r="L15" s="265">
        <f>IF(L13="","",L13)</f>
        <v>33000</v>
      </c>
      <c r="N15" s="265">
        <f>IF(N13="","",N13)</f>
        <v>29000</v>
      </c>
      <c r="O15" s="265">
        <f>IF(O13="","",O13)</f>
        <v>28000</v>
      </c>
      <c r="P15" s="265">
        <f>IF(P13="","",P13)</f>
        <v>38000</v>
      </c>
      <c r="Q15" s="265">
        <f>IF(Q13="","",Q13)</f>
        <v>61000</v>
      </c>
      <c r="S15" s="265">
        <f>IF(S13="","",S13)</f>
        <v>76000</v>
      </c>
      <c r="T15" s="265">
        <f>IF(T13="","",T13)</f>
        <v>86000</v>
      </c>
      <c r="U15" s="265">
        <f>IF(U13="","",U13)</f>
        <v>92000</v>
      </c>
      <c r="V15" s="265">
        <f>IF(V13="","",V13)</f>
        <v>96000</v>
      </c>
      <c r="X15" s="265">
        <f>IF(X13="","",X13)</f>
        <v>91000</v>
      </c>
      <c r="Y15" s="265">
        <f>IF(Y13="","",Y13)</f>
        <v>86000</v>
      </c>
      <c r="Z15" s="265">
        <f>IF(Z13="","",Z13)</f>
        <v>76000</v>
      </c>
      <c r="AA15" s="265">
        <f>IF(AA13="","",AA13)</f>
        <v>85000</v>
      </c>
      <c r="AC15" s="265">
        <f>IF(AC13="","",AC13)</f>
        <v>92000</v>
      </c>
      <c r="AD15" s="265">
        <f>IF(AD13="","",AD13)</f>
        <v>81000</v>
      </c>
    </row>
    <row r="16">
      <c r="A16" t="inlineStr">
        <is>
          <t>Imposto de renda (divulgado positivo) [us-gaap:IncomeTaxExpenseBenefit] · fonte · unid. moeda</t>
        </is>
      </c>
      <c r="C16" t="inlineStr">
        <is>
          <t>[linha bruta, sem código; lançada nas linhas abaixo]</t>
        </is>
      </c>
      <c r="D16" s="265" t="n">
        <v>69000</v>
      </c>
      <c r="E16" s="265" t="n">
        <v>115000</v>
      </c>
      <c r="F16" s="265" t="n">
        <v>223000</v>
      </c>
      <c r="G16" s="265" t="n">
        <v>292000</v>
      </c>
      <c r="I16" s="265" t="n">
        <v>346000</v>
      </c>
      <c r="J16" s="265" t="n">
        <v>205000</v>
      </c>
      <c r="K16" s="265" t="n">
        <v>305000</v>
      </c>
      <c r="L16" s="265" t="n">
        <v>276000</v>
      </c>
      <c r="N16" s="265" t="n">
        <v>261000</v>
      </c>
      <c r="O16" s="265" t="n">
        <v>323000</v>
      </c>
      <c r="P16" s="265" t="n">
        <v>167000</v>
      </c>
      <c r="Q16" s="265" t="n">
        <v>-5752000</v>
      </c>
      <c r="S16" s="265" t="n">
        <v>483000</v>
      </c>
      <c r="T16" s="265" t="n">
        <v>371000</v>
      </c>
      <c r="U16" s="265" t="n">
        <v>602000</v>
      </c>
      <c r="V16" s="265" t="n">
        <v>381000</v>
      </c>
      <c r="X16" s="265" t="n">
        <v>169000</v>
      </c>
      <c r="Y16" s="265" t="n">
        <v>359000</v>
      </c>
      <c r="Z16" s="265" t="n">
        <v>570000</v>
      </c>
      <c r="AA16" s="265" t="n">
        <v>325000</v>
      </c>
      <c r="AC16" s="265" t="n">
        <v>257000</v>
      </c>
      <c r="AD16" s="265" t="n">
        <v>201000</v>
      </c>
    </row>
    <row r="17">
      <c r="A17" t="inlineStr">
        <is>
          <t>(lançamento) código 7, sinal -1 sobre a linha bruta 16: Imposto de renda (divulgado positivo) [us-gaap:IncomeTaxExpenseBenefit]</t>
        </is>
      </c>
      <c r="B17" t="n">
        <v>7</v>
      </c>
      <c r="C17" t="inlineStr">
        <is>
          <t>Taxes</t>
        </is>
      </c>
      <c r="D17" s="265">
        <f>IF(D16="","",-1*D16)</f>
        <v>-69000</v>
      </c>
      <c r="E17" s="265">
        <f>IF(E16="","",-1*E16)</f>
        <v>-115000</v>
      </c>
      <c r="F17" s="265">
        <f>IF(F16="","",-1*F16)</f>
        <v>-223000</v>
      </c>
      <c r="G17" s="265">
        <f>IF(G16="","",-1*G16)</f>
        <v>-292000</v>
      </c>
      <c r="I17" s="265">
        <f>IF(I16="","",-1*I16)</f>
        <v>-346000</v>
      </c>
      <c r="J17" s="265">
        <f>IF(J16="","",-1*J16)</f>
        <v>-205000</v>
      </c>
      <c r="K17" s="265">
        <f>IF(K16="","",-1*K16)</f>
        <v>-305000</v>
      </c>
      <c r="L17" s="265">
        <f>IF(L16="","",-1*L16)</f>
        <v>-276000</v>
      </c>
      <c r="N17" s="265">
        <f>IF(N16="","",-1*N16)</f>
        <v>-261000</v>
      </c>
      <c r="O17" s="265">
        <f>IF(O16="","",-1*O16)</f>
        <v>-323000</v>
      </c>
      <c r="P17" s="265">
        <f>IF(P16="","",-1*P16)</f>
        <v>-167000</v>
      </c>
      <c r="Q17" s="265">
        <f>IF(Q16="","",-1*Q16)</f>
        <v>5752000</v>
      </c>
      <c r="S17" s="265">
        <f>IF(S16="","",-1*S16)</f>
        <v>-483000</v>
      </c>
      <c r="T17" s="265">
        <f>IF(T16="","",-1*T16)</f>
        <v>-371000</v>
      </c>
      <c r="U17" s="265">
        <f>IF(U16="","",-1*U16)</f>
        <v>-602000</v>
      </c>
      <c r="V17" s="265">
        <f>IF(V16="","",-1*V16)</f>
        <v>-381000</v>
      </c>
      <c r="X17" s="265">
        <f>IF(X16="","",-1*X16)</f>
        <v>-169000</v>
      </c>
      <c r="Y17" s="265">
        <f>IF(Y16="","",-1*Y16)</f>
        <v>-359000</v>
      </c>
      <c r="Z17" s="265">
        <f>IF(Z16="","",-1*Z16)</f>
        <v>-570000</v>
      </c>
      <c r="AA17" s="265">
        <f>IF(AA16="","",-1*AA16)</f>
        <v>-325000</v>
      </c>
      <c r="AC17" s="265">
        <f>IF(AC16="","",-1*AC16)</f>
        <v>-257000</v>
      </c>
      <c r="AD17" s="265">
        <f>IF(AD16="","",-1*AD16)</f>
        <v>-201000</v>
      </c>
    </row>
    <row r="18">
      <c r="A18" t="inlineStr">
        <is>
          <t>Lucro atribuído a não controladores (divulgado positivo) [us-gaap:NetIncomeLossAttributableToNoncontrollingInterest] · fonte · unid. moeda</t>
        </is>
      </c>
      <c r="C18" t="inlineStr">
        <is>
          <t>[linha bruta, sem código; lançada nas linhas abaixo]</t>
        </is>
      </c>
      <c r="D18" s="265" t="n">
        <v>26000</v>
      </c>
      <c r="E18" s="265" t="n">
        <v>36000</v>
      </c>
      <c r="F18" s="265" t="n">
        <v>41000</v>
      </c>
      <c r="G18" s="265" t="n">
        <v>22000</v>
      </c>
      <c r="I18" s="265" t="n">
        <v>-38000</v>
      </c>
      <c r="J18" s="265" t="n">
        <v>10000</v>
      </c>
      <c r="K18" s="265" t="n">
        <v>39000</v>
      </c>
      <c r="L18" s="265" t="n">
        <v>20000</v>
      </c>
      <c r="N18" s="265" t="n">
        <v>26000</v>
      </c>
      <c r="O18" s="265" t="n">
        <v>-89000</v>
      </c>
      <c r="P18" s="265" t="n">
        <v>25000</v>
      </c>
      <c r="Q18" s="265" t="n">
        <v>15000</v>
      </c>
      <c r="S18" s="265" t="n">
        <v>15000</v>
      </c>
      <c r="T18" s="265" t="n">
        <v>16000</v>
      </c>
      <c r="U18" s="265" t="n">
        <v>16000</v>
      </c>
      <c r="V18" s="265" t="n">
        <v>15000</v>
      </c>
      <c r="X18" s="265" t="n">
        <v>11000</v>
      </c>
      <c r="Y18" s="265" t="n">
        <v>18000</v>
      </c>
      <c r="Z18" s="265" t="n">
        <v>16000</v>
      </c>
      <c r="AA18" s="265" t="n">
        <v>16000</v>
      </c>
      <c r="AC18" s="265" t="n">
        <v>14000</v>
      </c>
      <c r="AD18" s="265" t="n">
        <v>14000</v>
      </c>
    </row>
    <row r="19">
      <c r="A19" t="inlineStr">
        <is>
          <t>(lançamento) código 9, sinal -1 sobre a linha bruta 18: Lucro atribuído a não controladores (divulgado positivo) [us-gaap:NetIncomeLossAttributabl</t>
        </is>
      </c>
      <c r="B19" t="n">
        <v>9</v>
      </c>
      <c r="C19" t="inlineStr">
        <is>
          <t>Minority Interest Expense, after tax (enter as - )</t>
        </is>
      </c>
      <c r="D19" s="265">
        <f>IF(D18="","",-1*D18)</f>
        <v>-26000</v>
      </c>
      <c r="E19" s="265">
        <f>IF(E18="","",-1*E18)</f>
        <v>-36000</v>
      </c>
      <c r="F19" s="265">
        <f>IF(F18="","",-1*F18)</f>
        <v>-41000</v>
      </c>
      <c r="G19" s="265">
        <f>IF(G18="","",-1*G18)</f>
        <v>-22000</v>
      </c>
      <c r="I19" s="265">
        <f>IF(I18="","",-1*I18)</f>
        <v>38000</v>
      </c>
      <c r="J19" s="265">
        <f>IF(J18="","",-1*J18)</f>
        <v>-10000</v>
      </c>
      <c r="K19" s="265">
        <f>IF(K18="","",-1*K18)</f>
        <v>-39000</v>
      </c>
      <c r="L19" s="265">
        <f>IF(L18="","",-1*L18)</f>
        <v>-20000</v>
      </c>
      <c r="N19" s="265">
        <f>IF(N18="","",-1*N18)</f>
        <v>-26000</v>
      </c>
      <c r="O19" s="265">
        <f>IF(O18="","",-1*O18)</f>
        <v>89000</v>
      </c>
      <c r="P19" s="265">
        <f>IF(P18="","",-1*P18)</f>
        <v>-25000</v>
      </c>
      <c r="Q19" s="265">
        <f>IF(Q18="","",-1*Q18)</f>
        <v>-15000</v>
      </c>
      <c r="S19" s="265">
        <f>IF(S18="","",-1*S18)</f>
        <v>-15000</v>
      </c>
      <c r="T19" s="265">
        <f>IF(T18="","",-1*T18)</f>
        <v>-16000</v>
      </c>
      <c r="U19" s="265">
        <f>IF(U18="","",-1*U18)</f>
        <v>-16000</v>
      </c>
      <c r="V19" s="265">
        <f>IF(V18="","",-1*V18)</f>
        <v>-15000</v>
      </c>
      <c r="X19" s="265">
        <f>IF(X18="","",-1*X18)</f>
        <v>-11000</v>
      </c>
      <c r="Y19" s="265">
        <f>IF(Y18="","",-1*Y18)</f>
        <v>-18000</v>
      </c>
      <c r="Z19" s="265">
        <f>IF(Z18="","",-1*Z18)</f>
        <v>-16000</v>
      </c>
      <c r="AA19" s="265">
        <f>IF(AA18="","",-1*AA18)</f>
        <v>-16000</v>
      </c>
      <c r="AC19" s="265">
        <f>IF(AC18="","",-1*AC18)</f>
        <v>-14000</v>
      </c>
      <c r="AD19" s="265">
        <f>IF(AD18="","",-1*AD18)</f>
        <v>-14000</v>
      </c>
    </row>
    <row r="20">
      <c r="A20" t="inlineStr">
        <is>
          <t>Lucro líquido atribuído à companhia [us-gaap:NetIncomeLoss] · memoria · unid. moeda</t>
        </is>
      </c>
      <c r="C20" t="inlineStr">
        <is>
          <t>[linha bruta, sem código; lançada nas linhas abaixo]</t>
        </is>
      </c>
      <c r="D20" s="265" t="n">
        <v>438000</v>
      </c>
      <c r="E20" s="265" t="n">
        <v>1142000</v>
      </c>
      <c r="F20" s="265" t="n">
        <v>1618000</v>
      </c>
      <c r="G20" s="265" t="n">
        <v>2321000</v>
      </c>
      <c r="I20" s="265" t="n">
        <v>3318000</v>
      </c>
      <c r="J20" s="265" t="n">
        <v>2259000</v>
      </c>
      <c r="K20" s="265" t="n">
        <v>3292000</v>
      </c>
      <c r="L20" s="265" t="n">
        <v>3687000</v>
      </c>
      <c r="N20" s="265" t="n">
        <v>2513000</v>
      </c>
      <c r="O20" s="265" t="n">
        <v>2703000</v>
      </c>
      <c r="P20" s="265" t="n">
        <v>1853000</v>
      </c>
      <c r="Q20" s="265" t="n">
        <v>7928000</v>
      </c>
      <c r="S20" s="265" t="n">
        <v>1390000</v>
      </c>
      <c r="T20" s="265" t="n">
        <v>1400000</v>
      </c>
      <c r="U20" s="265" t="n">
        <v>2173000</v>
      </c>
      <c r="V20" s="265" t="n">
        <v>2128000</v>
      </c>
      <c r="X20" s="265" t="n">
        <v>409000</v>
      </c>
      <c r="Y20" s="265" t="n">
        <v>1172000</v>
      </c>
      <c r="Z20" s="265" t="n">
        <v>1373000</v>
      </c>
      <c r="AA20" s="265" t="n">
        <v>840000</v>
      </c>
      <c r="AC20" s="265" t="n">
        <v>477000</v>
      </c>
      <c r="AD20" s="265" t="n">
        <v>1114000</v>
      </c>
    </row>
    <row r="21">
      <c r="A21" t="inlineStr">
        <is>
          <t>Resultado após IR não classificado acima (equivalência patrimonial, operações descontinuadas): lucro - (LAIR - IR - minoritários); zero quando não há · derivada · unid. moeda</t>
        </is>
      </c>
      <c r="B21" t="n">
        <v>8</v>
      </c>
      <c r="C21" t="inlineStr">
        <is>
          <t>Equity in Income of Affiliates, after tax (enter as +)</t>
        </is>
      </c>
      <c r="D21" s="265">
        <f>N(D20)-(N(D11)-N(D16)-N(D18))</f>
        <v>0</v>
      </c>
      <c r="E21" s="265">
        <f>N(E20)-(N(E11)-N(E16)-N(E18))</f>
        <v>0</v>
      </c>
      <c r="F21" s="265">
        <f>N(F20)-(N(F11)-N(F16)-N(F18))</f>
        <v>0</v>
      </c>
      <c r="G21" s="265">
        <f>N(G20)-(N(G11)-N(G16)-N(G18))</f>
        <v>0</v>
      </c>
      <c r="I21" s="265">
        <f>N(I20)-(N(I11)-N(I16)-N(I18))</f>
        <v>0</v>
      </c>
      <c r="J21" s="265">
        <f>N(J20)-(N(J11)-N(J16)-N(J18))</f>
        <v>0</v>
      </c>
      <c r="K21" s="265">
        <f>N(K20)-(N(K11)-N(K16)-N(K18))</f>
        <v>0</v>
      </c>
      <c r="L21" s="265">
        <f>N(L20)-(N(L11)-N(L16)-N(L18))</f>
        <v>0</v>
      </c>
      <c r="N21" s="265">
        <f>N(N20)-(N(N11)-N(N16)-N(N18))</f>
        <v>0</v>
      </c>
      <c r="O21" s="265">
        <f>N(O20)-(N(O11)-N(O16)-N(O18))</f>
        <v>0</v>
      </c>
      <c r="P21" s="265">
        <f>N(P20)-(N(P11)-N(P16)-N(P18))</f>
        <v>0</v>
      </c>
      <c r="Q21" s="265">
        <f>N(Q20)-(N(Q11)-N(Q16)-N(Q18))</f>
        <v>0</v>
      </c>
      <c r="S21" s="265">
        <f>N(S20)-(N(S11)-N(S16)-N(S18))</f>
        <v>0</v>
      </c>
      <c r="T21" s="265">
        <f>N(T20)-(N(T11)-N(T16)-N(T18))</f>
        <v>0</v>
      </c>
      <c r="U21" s="265">
        <f>N(U20)-(N(U11)-N(U16)-N(U18))</f>
        <v>0</v>
      </c>
      <c r="V21" s="265">
        <f>N(V20)-(N(V11)-N(V16)-N(V18))</f>
        <v>0</v>
      </c>
      <c r="X21" s="265">
        <f>N(X20)-(N(X11)-N(X16)-N(X18))</f>
        <v>0</v>
      </c>
      <c r="Y21" s="265">
        <f>N(Y20)-(N(Y11)-N(Y16)-N(Y18))</f>
        <v>0</v>
      </c>
      <c r="Z21" s="265">
        <f>N(Z20)-(N(Z11)-N(Z16)-N(Z18))</f>
        <v>0</v>
      </c>
      <c r="AA21" s="265">
        <f>N(AA20)-(N(AA11)-N(AA16)-N(AA18))</f>
        <v>0</v>
      </c>
      <c r="AC21" s="265">
        <f>N(AC20)-(N(AC11)-N(AC16)-N(AC18))</f>
        <v>0</v>
      </c>
      <c r="AD21" s="265">
        <f>N(AD20)-(N(AD11)-N(AD16)-N(AD18))</f>
        <v>0</v>
      </c>
    </row>
    <row r="22">
      <c r="A22" t="inlineStr">
        <is>
          <t>Lucro líquido (check IS, código 44) · derivada · unid. moeda</t>
        </is>
      </c>
      <c r="B22" t="n">
        <v>44</v>
      </c>
      <c r="C22" t="inlineStr">
        <is>
          <t>Lucro líquido (check IS, código 44)</t>
        </is>
      </c>
      <c r="D22" s="265">
        <f>N(D20)</f>
        <v>438000</v>
      </c>
      <c r="E22" s="265">
        <f>N(E20)</f>
        <v>1142000</v>
      </c>
      <c r="F22" s="265">
        <f>N(F20)</f>
        <v>1618000</v>
      </c>
      <c r="G22" s="265">
        <f>N(G20)</f>
        <v>2321000</v>
      </c>
      <c r="I22" s="265">
        <f>N(I20)</f>
        <v>3318000</v>
      </c>
      <c r="J22" s="265">
        <f>N(J20)</f>
        <v>2259000</v>
      </c>
      <c r="K22" s="265">
        <f>N(K20)</f>
        <v>3292000</v>
      </c>
      <c r="L22" s="265">
        <f>N(L20)</f>
        <v>3687000</v>
      </c>
      <c r="N22" s="265">
        <f>N(N20)</f>
        <v>2513000</v>
      </c>
      <c r="O22" s="265">
        <f>N(O20)</f>
        <v>2703000</v>
      </c>
      <c r="P22" s="265">
        <f>N(P20)</f>
        <v>1853000</v>
      </c>
      <c r="Q22" s="265">
        <f>N(Q20)</f>
        <v>7928000</v>
      </c>
      <c r="S22" s="265">
        <f>N(S20)</f>
        <v>1390000</v>
      </c>
      <c r="T22" s="265">
        <f>N(T20)</f>
        <v>1400000</v>
      </c>
      <c r="U22" s="265">
        <f>N(U20)</f>
        <v>2173000</v>
      </c>
      <c r="V22" s="265">
        <f>N(V20)</f>
        <v>2128000</v>
      </c>
      <c r="X22" s="265">
        <f>N(X20)</f>
        <v>409000</v>
      </c>
      <c r="Y22" s="265">
        <f>N(Y20)</f>
        <v>1172000</v>
      </c>
      <c r="Z22" s="265">
        <f>N(Z20)</f>
        <v>1373000</v>
      </c>
      <c r="AA22" s="265">
        <f>N(AA20)</f>
        <v>840000</v>
      </c>
      <c r="AC22" s="265">
        <f>N(AC20)</f>
        <v>477000</v>
      </c>
      <c r="AD22" s="265">
        <f>N(AD20)</f>
        <v>1114000</v>
      </c>
    </row>
    <row r="23">
      <c r="A23" t="inlineStr">
        <is>
          <t>DFC - trimestre isolado (desacumulado na extração)</t>
        </is>
      </c>
      <c r="C23" t="inlineStr">
        <is>
          <t>[linha bruta, sem código; lançada nas linhas abaixo]</t>
        </is>
      </c>
      <c r="D23" s="265" t="n"/>
      <c r="E23" s="265" t="n"/>
      <c r="F23" s="265" t="n"/>
      <c r="G23" s="265" t="n"/>
      <c r="I23" s="265" t="n"/>
      <c r="J23" s="265" t="n"/>
      <c r="K23" s="265" t="n"/>
      <c r="L23" s="265" t="n"/>
      <c r="N23" s="265" t="n"/>
      <c r="O23" s="265" t="n"/>
      <c r="P23" s="265" t="n"/>
      <c r="Q23" s="265" t="n"/>
      <c r="S23" s="265" t="n"/>
      <c r="T23" s="265" t="n"/>
      <c r="U23" s="265" t="n"/>
      <c r="V23" s="265" t="n"/>
      <c r="X23" s="265" t="n"/>
      <c r="Y23" s="265" t="n"/>
      <c r="Z23" s="265" t="n"/>
      <c r="AA23" s="265" t="n"/>
      <c r="AC23" s="265" t="n"/>
      <c r="AD23" s="265" t="n"/>
    </row>
    <row r="24">
      <c r="A24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 · fonte · unid. moeda</t>
        </is>
      </c>
      <c r="C24" t="inlineStr">
        <is>
          <t>[linha bruta, sem código; lançada nas linhas abaixo]</t>
        </is>
      </c>
      <c r="D24" s="265" t="n">
        <v>621000</v>
      </c>
      <c r="E24" s="265" t="n">
        <v>681000</v>
      </c>
      <c r="F24" s="265" t="n">
        <v>761000</v>
      </c>
      <c r="G24" s="265" t="n">
        <v>848000</v>
      </c>
      <c r="I24" s="265" t="n">
        <v>880000</v>
      </c>
      <c r="J24" s="265" t="n">
        <v>922000</v>
      </c>
      <c r="K24" s="265" t="n">
        <v>956000</v>
      </c>
      <c r="L24" s="265" t="n">
        <v>989000</v>
      </c>
      <c r="N24" s="265" t="n">
        <v>1046000</v>
      </c>
      <c r="O24" s="265" t="n">
        <v>1154000</v>
      </c>
      <c r="P24" s="265" t="n">
        <v>1235000</v>
      </c>
      <c r="Q24" s="265" t="n">
        <v>1232000</v>
      </c>
      <c r="S24" s="265" t="n">
        <v>1246000</v>
      </c>
      <c r="T24" s="265" t="n">
        <v>1278000</v>
      </c>
      <c r="U24" s="265" t="n">
        <v>1348000</v>
      </c>
      <c r="V24" s="265" t="n">
        <v>1496000</v>
      </c>
      <c r="X24" s="265" t="n">
        <v>1447000</v>
      </c>
      <c r="Y24" s="265" t="n">
        <v>1433000</v>
      </c>
      <c r="Z24" s="265" t="n">
        <v>1625000</v>
      </c>
      <c r="AA24" s="265" t="n">
        <v>1643000</v>
      </c>
      <c r="AC24" s="265" t="n">
        <v>1590000</v>
      </c>
      <c r="AD24" s="265" t="n">
        <v>1619000</v>
      </c>
    </row>
    <row r="25">
      <c r="A25" t="inlineStr">
        <is>
          <t>(lançamento) código 4, sinal -1 sobre a linha bruta 24: D&amp;A (fluxo de caixa). COD1=4 lança (positivo -&gt; -1); COD2=3 devolve às despesas operaciona</t>
        </is>
      </c>
      <c r="B25" t="n">
        <v>4</v>
      </c>
      <c r="C25" t="inlineStr">
        <is>
          <t>D&amp;A</t>
        </is>
      </c>
      <c r="D25" s="265">
        <f>IF(D24="","",-1*D24)</f>
        <v>-621000</v>
      </c>
      <c r="E25" s="265">
        <f>IF(E24="","",-1*E24)</f>
        <v>-681000</v>
      </c>
      <c r="F25" s="265">
        <f>IF(F24="","",-1*F24)</f>
        <v>-761000</v>
      </c>
      <c r="G25" s="265">
        <f>IF(G24="","",-1*G24)</f>
        <v>-848000</v>
      </c>
      <c r="I25" s="265">
        <f>IF(I24="","",-1*I24)</f>
        <v>-880000</v>
      </c>
      <c r="J25" s="265">
        <f>IF(J24="","",-1*J24)</f>
        <v>-922000</v>
      </c>
      <c r="K25" s="265">
        <f>IF(K24="","",-1*K24)</f>
        <v>-956000</v>
      </c>
      <c r="L25" s="265">
        <f>IF(L24="","",-1*L24)</f>
        <v>-989000</v>
      </c>
      <c r="N25" s="265">
        <f>IF(N24="","",-1*N24)</f>
        <v>-1046000</v>
      </c>
      <c r="O25" s="265">
        <f>IF(O24="","",-1*O24)</f>
        <v>-1154000</v>
      </c>
      <c r="P25" s="265">
        <f>IF(P24="","",-1*P24)</f>
        <v>-1235000</v>
      </c>
      <c r="Q25" s="265">
        <f>IF(Q24="","",-1*Q24)</f>
        <v>-1232000</v>
      </c>
      <c r="S25" s="265">
        <f>IF(S24="","",-1*S24)</f>
        <v>-1246000</v>
      </c>
      <c r="T25" s="265">
        <f>IF(T24="","",-1*T24)</f>
        <v>-1278000</v>
      </c>
      <c r="U25" s="265">
        <f>IF(U24="","",-1*U24)</f>
        <v>-1348000</v>
      </c>
      <c r="V25" s="265">
        <f>IF(V24="","",-1*V24)</f>
        <v>-1496000</v>
      </c>
      <c r="X25" s="265">
        <f>IF(X24="","",-1*X24)</f>
        <v>-1447000</v>
      </c>
      <c r="Y25" s="265">
        <f>IF(Y24="","",-1*Y24)</f>
        <v>-1433000</v>
      </c>
      <c r="Z25" s="265">
        <f>IF(Z24="","",-1*Z24)</f>
        <v>-1625000</v>
      </c>
      <c r="AA25" s="265">
        <f>IF(AA24="","",-1*AA24)</f>
        <v>-1643000</v>
      </c>
      <c r="AC25" s="265">
        <f>IF(AC24="","",-1*AC24)</f>
        <v>-1590000</v>
      </c>
      <c r="AD25" s="265">
        <f>IF(AD24="","",-1*AD24)</f>
        <v>-1619000</v>
      </c>
    </row>
    <row r="26">
      <c r="A26" t="inlineStr">
        <is>
          <t>(lançamento) código 3, sinal +1 sobre a linha bruta 24: D&amp;A (fluxo de caixa). COD1=4 lança (positivo -&gt; -1); COD2=3 devolve às despesas operaciona</t>
        </is>
      </c>
      <c r="B26" t="n">
        <v>3</v>
      </c>
      <c r="C26" t="inlineStr">
        <is>
          <t>SG&amp;A and Other (cash)</t>
        </is>
      </c>
      <c r="D26" s="265">
        <f>IF(D24="","",D24)</f>
        <v>621000</v>
      </c>
      <c r="E26" s="265">
        <f>IF(E24="","",E24)</f>
        <v>681000</v>
      </c>
      <c r="F26" s="265">
        <f>IF(F24="","",F24)</f>
        <v>761000</v>
      </c>
      <c r="G26" s="265">
        <f>IF(G24="","",G24)</f>
        <v>848000</v>
      </c>
      <c r="I26" s="265">
        <f>IF(I24="","",I24)</f>
        <v>880000</v>
      </c>
      <c r="J26" s="265">
        <f>IF(J24="","",J24)</f>
        <v>922000</v>
      </c>
      <c r="K26" s="265">
        <f>IF(K24="","",K24)</f>
        <v>956000</v>
      </c>
      <c r="L26" s="265">
        <f>IF(L24="","",L24)</f>
        <v>989000</v>
      </c>
      <c r="N26" s="265">
        <f>IF(N24="","",N24)</f>
        <v>1046000</v>
      </c>
      <c r="O26" s="265">
        <f>IF(O24="","",O24)</f>
        <v>1154000</v>
      </c>
      <c r="P26" s="265">
        <f>IF(P24="","",P24)</f>
        <v>1235000</v>
      </c>
      <c r="Q26" s="265">
        <f>IF(Q24="","",Q24)</f>
        <v>1232000</v>
      </c>
      <c r="S26" s="265">
        <f>IF(S24="","",S24)</f>
        <v>1246000</v>
      </c>
      <c r="T26" s="265">
        <f>IF(T24="","",T24)</f>
        <v>1278000</v>
      </c>
      <c r="U26" s="265">
        <f>IF(U24="","",U24)</f>
        <v>1348000</v>
      </c>
      <c r="V26" s="265">
        <f>IF(V24="","",V24)</f>
        <v>1496000</v>
      </c>
      <c r="X26" s="265">
        <f>IF(X24="","",X24)</f>
        <v>1447000</v>
      </c>
      <c r="Y26" s="265">
        <f>IF(Y24="","",Y24)</f>
        <v>1433000</v>
      </c>
      <c r="Z26" s="265">
        <f>IF(Z24="","",Z24)</f>
        <v>1625000</v>
      </c>
      <c r="AA26" s="265">
        <f>IF(AA24="","",AA24)</f>
        <v>1643000</v>
      </c>
      <c r="AC26" s="265">
        <f>IF(AC24="","",AC24)</f>
        <v>1590000</v>
      </c>
      <c r="AD26" s="265">
        <f>IF(AD24="","",AD24)</f>
        <v>1619000</v>
      </c>
    </row>
    <row r="27">
      <c r="A27" t="inlineStr">
        <is>
          <t>Dividendos pagos [us-gaap:PaymentsOfDividends] · fonte · unid. moeda</t>
        </is>
      </c>
      <c r="C27" t="inlineStr">
        <is>
          <t>[linha bruta, sem código; lançada nas linhas abaixo]</t>
        </is>
      </c>
      <c r="D27" s="265" t="n">
        <v>0</v>
      </c>
      <c r="E27" s="265" t="n">
        <v>0</v>
      </c>
      <c r="F27" s="265" t="n">
        <v>0</v>
      </c>
      <c r="G27" s="265" t="n">
        <v>0</v>
      </c>
      <c r="I27" s="265" t="n">
        <v>0</v>
      </c>
      <c r="J27" s="265" t="n">
        <v>0</v>
      </c>
      <c r="K27" s="265" t="n">
        <v>0</v>
      </c>
      <c r="L27" s="265" t="n">
        <v>0</v>
      </c>
      <c r="N27" s="265" t="n">
        <v>0</v>
      </c>
      <c r="O27" s="265" t="n">
        <v>0</v>
      </c>
      <c r="P27" s="265" t="n">
        <v>0</v>
      </c>
      <c r="Q27" s="265" t="n">
        <v>0</v>
      </c>
      <c r="S27" s="265" t="n">
        <v>0</v>
      </c>
      <c r="T27" s="265" t="n">
        <v>0</v>
      </c>
      <c r="U27" s="265" t="n">
        <v>0</v>
      </c>
      <c r="V27" s="265" t="n">
        <v>0</v>
      </c>
      <c r="X27" s="265" t="n">
        <v>0</v>
      </c>
      <c r="Y27" s="265" t="n">
        <v>0</v>
      </c>
      <c r="Z27" s="265" t="n">
        <v>0</v>
      </c>
      <c r="AA27" s="265" t="n">
        <v>0</v>
      </c>
      <c r="AC27" s="265" t="n">
        <v>0</v>
      </c>
      <c r="AD27" s="265" t="n">
        <v>0</v>
      </c>
    </row>
    <row r="28">
      <c r="A28" t="inlineStr">
        <is>
          <t>(lançamento) código 10, sinal -1 sobre a linha bruta 27: Dividendos pagos [us-gaap:PaymentsOfDividends]</t>
        </is>
      </c>
      <c r="B28" t="n">
        <v>10</v>
      </c>
      <c r="C28" t="inlineStr">
        <is>
          <t>Common Dividends</t>
        </is>
      </c>
      <c r="D28" s="265">
        <f>IF(D27="","",-1*D27)</f>
        <v>0</v>
      </c>
      <c r="E28" s="265">
        <f>IF(E27="","",-1*E27)</f>
        <v>0</v>
      </c>
      <c r="F28" s="265">
        <f>IF(F27="","",-1*F27)</f>
        <v>0</v>
      </c>
      <c r="G28" s="265">
        <f>IF(G27="","",-1*G27)</f>
        <v>0</v>
      </c>
      <c r="I28" s="265">
        <f>IF(I27="","",-1*I27)</f>
        <v>0</v>
      </c>
      <c r="J28" s="265">
        <f>IF(J27="","",-1*J27)</f>
        <v>0</v>
      </c>
      <c r="K28" s="265">
        <f>IF(K27="","",-1*K27)</f>
        <v>0</v>
      </c>
      <c r="L28" s="265">
        <f>IF(L27="","",-1*L27)</f>
        <v>0</v>
      </c>
      <c r="N28" s="265">
        <f>IF(N27="","",-1*N27)</f>
        <v>0</v>
      </c>
      <c r="O28" s="265">
        <f>IF(O27="","",-1*O27)</f>
        <v>0</v>
      </c>
      <c r="P28" s="265">
        <f>IF(P27="","",-1*P27)</f>
        <v>0</v>
      </c>
      <c r="Q28" s="265">
        <f>IF(Q27="","",-1*Q27)</f>
        <v>0</v>
      </c>
      <c r="S28" s="265">
        <f>IF(S27="","",-1*S27)</f>
        <v>0</v>
      </c>
      <c r="T28" s="265">
        <f>IF(T27="","",-1*T27)</f>
        <v>0</v>
      </c>
      <c r="U28" s="265">
        <f>IF(U27="","",-1*U27)</f>
        <v>0</v>
      </c>
      <c r="V28" s="265">
        <f>IF(V27="","",-1*V27)</f>
        <v>0</v>
      </c>
      <c r="X28" s="265">
        <f>IF(X27="","",-1*X27)</f>
        <v>0</v>
      </c>
      <c r="Y28" s="265">
        <f>IF(Y27="","",-1*Y27)</f>
        <v>0</v>
      </c>
      <c r="Z28" s="265">
        <f>IF(Z27="","",-1*Z27)</f>
        <v>0</v>
      </c>
      <c r="AA28" s="265">
        <f>IF(AA27="","",-1*AA27)</f>
        <v>0</v>
      </c>
      <c r="AC28" s="265">
        <f>IF(AC27="","",-1*AC27)</f>
        <v>0</v>
      </c>
      <c r="AD28" s="265">
        <f>IF(AD27="","",-1*AD27)</f>
        <v>0</v>
      </c>
    </row>
    <row r="29">
      <c r="A29" t="inlineStr">
        <is>
          <t>BALANÇO DE FACE (USD, saldo no fim do trimestre; cada trimestre lido da instância do próprio 10-Q/10-K)</t>
        </is>
      </c>
      <c r="C29" t="inlineStr">
        <is>
          <t>[linha bruta, sem código; lançada nas linhas abaixo]</t>
        </is>
      </c>
      <c r="D29" s="265" t="n"/>
      <c r="E29" s="265" t="n"/>
      <c r="F29" s="265" t="n"/>
      <c r="G29" s="265" t="n"/>
      <c r="I29" s="265" t="n"/>
      <c r="J29" s="265" t="n"/>
      <c r="K29" s="265" t="n"/>
      <c r="L29" s="265" t="n"/>
      <c r="N29" s="265" t="n"/>
      <c r="O29" s="265" t="n"/>
      <c r="P29" s="265" t="n"/>
      <c r="Q29" s="265" t="n"/>
      <c r="S29" s="265" t="n"/>
      <c r="T29" s="265" t="n"/>
      <c r="U29" s="265" t="n"/>
      <c r="V29" s="265" t="n"/>
      <c r="X29" s="265" t="n"/>
      <c r="Y29" s="265" t="n"/>
      <c r="Z29" s="265" t="n"/>
      <c r="AA29" s="265" t="n"/>
      <c r="AC29" s="265" t="n"/>
      <c r="AD29" s="265" t="n"/>
    </row>
    <row r="30">
      <c r="A30" t="inlineStr">
        <is>
          <t>CashAndCashEquivalentsAtCarryingValue · fonte · unid. moeda</t>
        </is>
      </c>
      <c r="B30" t="n">
        <v>11</v>
      </c>
      <c r="C30" t="inlineStr">
        <is>
          <t>Cash and equivalents (inc. investment securities)</t>
        </is>
      </c>
      <c r="D30" s="265" t="n">
        <v>17141000</v>
      </c>
      <c r="E30" s="265" t="n">
        <v>16229000</v>
      </c>
      <c r="F30" s="265" t="n">
        <v>16065000</v>
      </c>
      <c r="G30" s="265" t="n">
        <v>17576000</v>
      </c>
      <c r="I30" s="265" t="n">
        <v>17505000</v>
      </c>
      <c r="J30" s="265" t="n">
        <v>18324000</v>
      </c>
      <c r="K30" s="265" t="n">
        <v>19532000</v>
      </c>
      <c r="L30" s="265" t="n">
        <v>16253000</v>
      </c>
      <c r="N30" s="265" t="n">
        <v>16048000</v>
      </c>
      <c r="O30" s="265" t="n">
        <v>15296000</v>
      </c>
      <c r="P30" s="265" t="n">
        <v>15932000</v>
      </c>
      <c r="Q30" s="265" t="n">
        <v>16398000</v>
      </c>
      <c r="S30" s="265" t="n">
        <v>11805000</v>
      </c>
      <c r="T30" s="265" t="n">
        <v>14635000</v>
      </c>
      <c r="U30" s="265" t="n">
        <v>18111000</v>
      </c>
      <c r="V30" s="265" t="n">
        <v>16139000</v>
      </c>
      <c r="X30" s="265" t="n">
        <v>16352000</v>
      </c>
      <c r="Y30" s="265" t="n">
        <v>15587000</v>
      </c>
      <c r="Z30" s="265" t="n">
        <v>18289000</v>
      </c>
      <c r="AA30" s="265" t="n">
        <v>16513000</v>
      </c>
      <c r="AC30" s="265" t="n">
        <v>16603000</v>
      </c>
      <c r="AD30" s="265" t="n">
        <v>15219000</v>
      </c>
    </row>
    <row r="31">
      <c r="A31" t="inlineStr">
        <is>
          <t>MarketableSecuritiesCurrent · fonte · unid. moeda</t>
        </is>
      </c>
      <c r="B31" t="n">
        <v>11</v>
      </c>
      <c r="C31" t="inlineStr">
        <is>
          <t>Cash and equivalents (inc. investment securities)</t>
        </is>
      </c>
      <c r="D31" s="265" t="n">
        <v>0</v>
      </c>
      <c r="E31" s="265" t="n">
        <v>0</v>
      </c>
      <c r="F31" s="265" t="n">
        <v>30000</v>
      </c>
      <c r="G31" s="265" t="n">
        <v>131000</v>
      </c>
      <c r="I31" s="265" t="n">
        <v>508000</v>
      </c>
      <c r="J31" s="265" t="n">
        <v>591000</v>
      </c>
      <c r="K31" s="265" t="n">
        <v>1575000</v>
      </c>
      <c r="L31" s="265" t="n">
        <v>0</v>
      </c>
      <c r="N31" s="265" t="n">
        <v>0</v>
      </c>
      <c r="O31" s="265" t="n">
        <v>0</v>
      </c>
      <c r="P31" s="265" t="n">
        <v>0</v>
      </c>
      <c r="Q31" s="265" t="n">
        <v>0</v>
      </c>
      <c r="S31" s="265" t="n">
        <v>0</v>
      </c>
      <c r="T31" s="265" t="n">
        <v>0</v>
      </c>
      <c r="U31" s="265" t="n">
        <v>0</v>
      </c>
      <c r="V31" s="265" t="n">
        <v>0</v>
      </c>
      <c r="X31" s="265" t="n">
        <v>0</v>
      </c>
      <c r="Y31" s="265" t="n">
        <v>0</v>
      </c>
      <c r="Z31" s="265" t="n">
        <v>0</v>
      </c>
      <c r="AA31" s="265" t="n">
        <v>0</v>
      </c>
      <c r="AC31" s="265" t="n">
        <v>0</v>
      </c>
      <c r="AD31" s="265" t="n">
        <v>0</v>
      </c>
    </row>
    <row r="32">
      <c r="A32" t="inlineStr">
        <is>
          <t>ShortTermInvestments · fonte · unid. moeda</t>
        </is>
      </c>
      <c r="B32" t="n">
        <v>11</v>
      </c>
      <c r="C32" t="inlineStr">
        <is>
          <t>Cash and equivalents (inc. investment securities)</t>
        </is>
      </c>
      <c r="D32" s="265" t="n">
        <v>0</v>
      </c>
      <c r="E32" s="265" t="n">
        <v>0</v>
      </c>
      <c r="F32" s="265" t="n">
        <v>0</v>
      </c>
      <c r="G32" s="265" t="n">
        <v>0</v>
      </c>
      <c r="I32" s="265" t="n">
        <v>0</v>
      </c>
      <c r="J32" s="265" t="n">
        <v>0</v>
      </c>
      <c r="K32" s="265" t="n">
        <v>0</v>
      </c>
      <c r="L32" s="265" t="n">
        <v>5932000</v>
      </c>
      <c r="N32" s="265" t="n">
        <v>6354000</v>
      </c>
      <c r="O32" s="265" t="n">
        <v>7779000</v>
      </c>
      <c r="P32" s="265" t="n">
        <v>10145000</v>
      </c>
      <c r="Q32" s="265" t="n">
        <v>12696000</v>
      </c>
      <c r="S32" s="265" t="n">
        <v>15058000</v>
      </c>
      <c r="T32" s="265" t="n">
        <v>16085000</v>
      </c>
      <c r="U32" s="265" t="n">
        <v>15537000</v>
      </c>
      <c r="V32" s="265" t="n">
        <v>20424000</v>
      </c>
      <c r="X32" s="265" t="n">
        <v>20644000</v>
      </c>
      <c r="Y32" s="265" t="n">
        <v>21195000</v>
      </c>
      <c r="Z32" s="265" t="n">
        <v>23358000</v>
      </c>
      <c r="AA32" s="265" t="n">
        <v>27546000</v>
      </c>
      <c r="AC32" s="265" t="n">
        <v>28140000</v>
      </c>
      <c r="AD32" s="265" t="n">
        <v>28305000</v>
      </c>
    </row>
    <row r="33">
      <c r="A33" t="inlineStr">
        <is>
          <t>AccountsReceivableNetCurrent · fonte · unid. moeda</t>
        </is>
      </c>
      <c r="B33" t="n">
        <v>12</v>
      </c>
      <c r="C33" t="inlineStr">
        <is>
          <t>Accounts receivable</t>
        </is>
      </c>
      <c r="D33" s="265" t="n">
        <v>1890000</v>
      </c>
      <c r="E33" s="265" t="n">
        <v>2129000</v>
      </c>
      <c r="F33" s="265" t="n">
        <v>1962000</v>
      </c>
      <c r="G33" s="265" t="n">
        <v>1913000</v>
      </c>
      <c r="I33" s="265" t="n">
        <v>2311000</v>
      </c>
      <c r="J33" s="265" t="n">
        <v>2081000</v>
      </c>
      <c r="K33" s="265" t="n">
        <v>2192000</v>
      </c>
      <c r="L33" s="265" t="n">
        <v>2952000</v>
      </c>
      <c r="N33" s="265" t="n">
        <v>2993000</v>
      </c>
      <c r="O33" s="265" t="n">
        <v>3447000</v>
      </c>
      <c r="P33" s="265" t="n">
        <v>2520000</v>
      </c>
      <c r="Q33" s="265" t="n">
        <v>3508000</v>
      </c>
      <c r="S33" s="265" t="n">
        <v>3887000</v>
      </c>
      <c r="T33" s="265" t="n">
        <v>3737000</v>
      </c>
      <c r="U33" s="265" t="n">
        <v>3313000</v>
      </c>
      <c r="V33" s="265" t="n">
        <v>4418000</v>
      </c>
      <c r="X33" s="265" t="n">
        <v>3782000</v>
      </c>
      <c r="Y33" s="265" t="n">
        <v>3838000</v>
      </c>
      <c r="Z33" s="265" t="n">
        <v>4703000</v>
      </c>
      <c r="AA33" s="265" t="n">
        <v>4576000</v>
      </c>
      <c r="AC33" s="265" t="n">
        <v>3959000</v>
      </c>
      <c r="AD33" s="265" t="n">
        <v>4087000</v>
      </c>
    </row>
    <row r="34">
      <c r="A34" t="inlineStr">
        <is>
          <t>InventoryNet · fonte · unid. moeda</t>
        </is>
      </c>
      <c r="B34" t="n">
        <v>13</v>
      </c>
      <c r="C34" t="inlineStr">
        <is>
          <t>Inventories</t>
        </is>
      </c>
      <c r="D34" s="265" t="n">
        <v>4132000</v>
      </c>
      <c r="E34" s="265" t="n">
        <v>4733000</v>
      </c>
      <c r="F34" s="265" t="n">
        <v>5199000</v>
      </c>
      <c r="G34" s="265" t="n">
        <v>5757000</v>
      </c>
      <c r="I34" s="265" t="n">
        <v>6691000</v>
      </c>
      <c r="J34" s="265" t="n">
        <v>8108000</v>
      </c>
      <c r="K34" s="265" t="n">
        <v>10327000</v>
      </c>
      <c r="L34" s="265" t="n">
        <v>12839000</v>
      </c>
      <c r="N34" s="265" t="n">
        <v>14375000</v>
      </c>
      <c r="O34" s="265" t="n">
        <v>14356000</v>
      </c>
      <c r="P34" s="265" t="n">
        <v>13721000</v>
      </c>
      <c r="Q34" s="265" t="n">
        <v>13626000</v>
      </c>
      <c r="S34" s="265" t="n">
        <v>16033000</v>
      </c>
      <c r="T34" s="265" t="n">
        <v>14195000</v>
      </c>
      <c r="U34" s="265" t="n">
        <v>14530000</v>
      </c>
      <c r="V34" s="265" t="n">
        <v>12017000</v>
      </c>
      <c r="X34" s="265" t="n">
        <v>13706000</v>
      </c>
      <c r="Y34" s="265" t="n">
        <v>14570000</v>
      </c>
      <c r="Z34" s="265" t="n">
        <v>12276000</v>
      </c>
      <c r="AA34" s="265" t="n">
        <v>12392000</v>
      </c>
      <c r="AC34" s="265" t="n">
        <v>14434000</v>
      </c>
      <c r="AD34" s="265" t="n">
        <v>13752000</v>
      </c>
    </row>
    <row r="35">
      <c r="A35" t="inlineStr">
        <is>
          <t>DeferredIncomeTaxAssetsNet · fonte · unid. moeda</t>
        </is>
      </c>
      <c r="B35" t="n">
        <v>14</v>
      </c>
      <c r="C35" t="inlineStr">
        <is>
          <t>Deferred income taxes</t>
        </is>
      </c>
      <c r="D35" s="265" t="n">
        <v>0</v>
      </c>
      <c r="E35" s="265" t="n">
        <v>0</v>
      </c>
      <c r="F35" s="265" t="n">
        <v>0</v>
      </c>
      <c r="G35" s="265" t="n">
        <v>0</v>
      </c>
      <c r="I35" s="265" t="n">
        <v>0</v>
      </c>
      <c r="J35" s="265" t="n">
        <v>0</v>
      </c>
      <c r="K35" s="265" t="n">
        <v>0</v>
      </c>
      <c r="L35" s="265" t="n">
        <v>0</v>
      </c>
      <c r="N35" s="265" t="n">
        <v>0</v>
      </c>
      <c r="O35" s="265" t="n">
        <v>0</v>
      </c>
      <c r="P35" s="265" t="n">
        <v>0</v>
      </c>
      <c r="Q35" s="265" t="n">
        <v>6733000</v>
      </c>
      <c r="S35" s="265" t="n">
        <v>6769000</v>
      </c>
      <c r="T35" s="265" t="n">
        <v>6692000</v>
      </c>
      <c r="U35" s="265" t="n">
        <v>6486000</v>
      </c>
      <c r="V35" s="265" t="n">
        <v>6524000</v>
      </c>
      <c r="X35" s="265" t="n">
        <v>6687000</v>
      </c>
      <c r="Y35" s="265" t="n">
        <v>6721000</v>
      </c>
      <c r="Z35" s="265" t="n">
        <v>6637000</v>
      </c>
      <c r="AA35" s="265" t="n">
        <v>6925000</v>
      </c>
      <c r="AC35" s="265" t="n">
        <v>7060000</v>
      </c>
      <c r="AD35" s="265" t="n">
        <v>7235000</v>
      </c>
    </row>
    <row r="36">
      <c r="A36" t="inlineStr">
        <is>
          <t>PrepaidExpenseAndOtherAssetsCurrent · fonte · unid. moeda</t>
        </is>
      </c>
      <c r="B36" t="n">
        <v>16</v>
      </c>
      <c r="C36" t="inlineStr">
        <is>
          <t>Other current assets</t>
        </is>
      </c>
      <c r="D36" s="265" t="n">
        <v>1542000</v>
      </c>
      <c r="E36" s="265" t="n">
        <v>1602000</v>
      </c>
      <c r="F36" s="265" t="n">
        <v>1746000</v>
      </c>
      <c r="G36" s="265" t="n">
        <v>1723000</v>
      </c>
      <c r="I36" s="265" t="n">
        <v>2035000</v>
      </c>
      <c r="J36" s="265" t="n">
        <v>2118000</v>
      </c>
      <c r="K36" s="265" t="n">
        <v>2364000</v>
      </c>
      <c r="L36" s="265" t="n">
        <v>2941000</v>
      </c>
      <c r="N36" s="265" t="n">
        <v>3227000</v>
      </c>
      <c r="O36" s="265" t="n">
        <v>2997000</v>
      </c>
      <c r="P36" s="265" t="n">
        <v>2708000</v>
      </c>
      <c r="Q36" s="265" t="n">
        <v>3388000</v>
      </c>
      <c r="S36" s="265" t="n">
        <v>3752000</v>
      </c>
      <c r="T36" s="265" t="n">
        <v>4325000</v>
      </c>
      <c r="U36" s="265" t="n">
        <v>4888000</v>
      </c>
      <c r="V36" s="265" t="n">
        <v>5362000</v>
      </c>
      <c r="X36" s="265" t="n">
        <v>4905000</v>
      </c>
      <c r="Y36" s="265" t="n">
        <v>5943000</v>
      </c>
      <c r="Z36" s="265" t="n">
        <v>6027000</v>
      </c>
      <c r="AA36" s="265" t="n">
        <v>7615000</v>
      </c>
      <c r="AC36" s="265" t="n">
        <v>6612000</v>
      </c>
      <c r="AD36" s="265" t="n">
        <v>7395000</v>
      </c>
    </row>
    <row r="37">
      <c r="A37" t="inlineStr">
        <is>
          <t>PropertyPlantAndEquipmentNet · fonte · unid. moeda</t>
        </is>
      </c>
      <c r="B37" t="n">
        <v>18</v>
      </c>
      <c r="C37" t="inlineStr">
        <is>
          <t>PP&amp;E</t>
        </is>
      </c>
      <c r="D37" s="265" t="n">
        <v>13868000</v>
      </c>
      <c r="E37" s="265" t="n">
        <v>15665000</v>
      </c>
      <c r="F37" s="265" t="n">
        <v>17298000</v>
      </c>
      <c r="G37" s="265" t="n">
        <v>18884000</v>
      </c>
      <c r="I37" s="265" t="n">
        <v>20027000</v>
      </c>
      <c r="J37" s="265" t="n">
        <v>21093000</v>
      </c>
      <c r="K37" s="265" t="n">
        <v>21926000</v>
      </c>
      <c r="L37" s="265" t="n">
        <v>23548000</v>
      </c>
      <c r="N37" s="265" t="n">
        <v>24969000</v>
      </c>
      <c r="O37" s="265" t="n">
        <v>26389000</v>
      </c>
      <c r="P37" s="265" t="n">
        <v>27744000</v>
      </c>
      <c r="Q37" s="265" t="n">
        <v>29725000</v>
      </c>
      <c r="S37" s="265" t="n">
        <v>31436000</v>
      </c>
      <c r="T37" s="265" t="n">
        <v>32902000</v>
      </c>
      <c r="U37" s="265" t="n">
        <v>36116000</v>
      </c>
      <c r="V37" s="265" t="n">
        <v>35836000</v>
      </c>
      <c r="X37" s="265" t="n">
        <v>37088000</v>
      </c>
      <c r="Y37" s="265" t="n">
        <v>38574000</v>
      </c>
      <c r="Z37" s="265" t="n">
        <v>39407000</v>
      </c>
      <c r="AA37" s="265" t="n">
        <v>0</v>
      </c>
      <c r="AC37" s="265" t="n">
        <v>0</v>
      </c>
      <c r="AD37" s="265" t="n">
        <v>0</v>
      </c>
    </row>
    <row r="38">
      <c r="A38" t="inlineStr">
        <is>
          <t>PropertyPlantAndEquipmentAndFinanceLeaseRightOfUseAssetAfterAccumulatedDepreciationAndAmortization · fonte · unid. moeda</t>
        </is>
      </c>
      <c r="B38" t="n">
        <v>18</v>
      </c>
      <c r="C38" t="inlineStr">
        <is>
          <t>PP&amp;E</t>
        </is>
      </c>
      <c r="D38" s="265" t="n">
        <v>0</v>
      </c>
      <c r="E38" s="265" t="n">
        <v>0</v>
      </c>
      <c r="F38" s="265" t="n">
        <v>0</v>
      </c>
      <c r="G38" s="265" t="n">
        <v>0</v>
      </c>
      <c r="I38" s="265" t="n">
        <v>0</v>
      </c>
      <c r="J38" s="265" t="n">
        <v>0</v>
      </c>
      <c r="K38" s="265" t="n">
        <v>0</v>
      </c>
      <c r="L38" s="265" t="n">
        <v>0</v>
      </c>
      <c r="N38" s="265" t="n">
        <v>0</v>
      </c>
      <c r="O38" s="265" t="n">
        <v>0</v>
      </c>
      <c r="P38" s="265" t="n">
        <v>0</v>
      </c>
      <c r="Q38" s="265" t="n">
        <v>0</v>
      </c>
      <c r="S38" s="265" t="n">
        <v>0</v>
      </c>
      <c r="T38" s="265" t="n">
        <v>0</v>
      </c>
      <c r="U38" s="265" t="n">
        <v>0</v>
      </c>
      <c r="V38" s="265" t="n">
        <v>0</v>
      </c>
      <c r="X38" s="265" t="n">
        <v>0</v>
      </c>
      <c r="Y38" s="265" t="n">
        <v>0</v>
      </c>
      <c r="Z38" s="265" t="n">
        <v>0</v>
      </c>
      <c r="AA38" s="265" t="n">
        <v>40643000</v>
      </c>
      <c r="AC38" s="265" t="n">
        <v>43213000</v>
      </c>
      <c r="AD38" s="265" t="n">
        <v>47255000</v>
      </c>
    </row>
    <row r="39">
      <c r="A39" t="inlineStr">
        <is>
          <t>OperatingLeaseRightOfUseAsset · fonte · unid. moeda</t>
        </is>
      </c>
      <c r="B39" t="n">
        <v>19</v>
      </c>
      <c r="C39" t="inlineStr">
        <is>
          <t>Right-of-use-assets</t>
        </is>
      </c>
      <c r="D39" s="265" t="n">
        <v>1647000</v>
      </c>
      <c r="E39" s="265" t="n">
        <v>1734000</v>
      </c>
      <c r="F39" s="265" t="n">
        <v>1962000</v>
      </c>
      <c r="G39" s="265" t="n">
        <v>2016000</v>
      </c>
      <c r="I39" s="265" t="n">
        <v>2181000</v>
      </c>
      <c r="J39" s="265" t="n">
        <v>2185000</v>
      </c>
      <c r="K39" s="265" t="n">
        <v>2251000</v>
      </c>
      <c r="L39" s="265" t="n">
        <v>2563000</v>
      </c>
      <c r="N39" s="265" t="n">
        <v>2800000</v>
      </c>
      <c r="O39" s="265" t="n">
        <v>3352000</v>
      </c>
      <c r="P39" s="265" t="n">
        <v>3637000</v>
      </c>
      <c r="Q39" s="265" t="n">
        <v>4180000</v>
      </c>
      <c r="S39" s="265" t="n">
        <v>4367000</v>
      </c>
      <c r="T39" s="265" t="n">
        <v>4563000</v>
      </c>
      <c r="U39" s="265" t="n">
        <v>4867000</v>
      </c>
      <c r="V39" s="265" t="n">
        <v>5160000</v>
      </c>
      <c r="X39" s="265" t="n">
        <v>5330000</v>
      </c>
      <c r="Y39" s="265" t="n">
        <v>5633000</v>
      </c>
      <c r="Z39" s="265" t="n">
        <v>5783000</v>
      </c>
      <c r="AA39" s="265" t="n">
        <v>6027000</v>
      </c>
      <c r="AC39" s="265" t="n">
        <v>6332000</v>
      </c>
      <c r="AD39" s="265" t="n">
        <v>6386000</v>
      </c>
    </row>
    <row r="40">
      <c r="A40" t="inlineStr">
        <is>
          <t>Goodwill · fonte · unid. moeda</t>
        </is>
      </c>
      <c r="B40" t="n">
        <v>20</v>
      </c>
      <c r="C40" t="inlineStr">
        <is>
          <t>Goodwill</t>
        </is>
      </c>
      <c r="D40" s="265" t="n">
        <v>206000</v>
      </c>
      <c r="E40" s="265" t="n">
        <v>203000</v>
      </c>
      <c r="F40" s="265" t="n">
        <v>201000</v>
      </c>
      <c r="G40" s="265" t="n">
        <v>200000</v>
      </c>
      <c r="I40" s="265" t="n">
        <v>200000</v>
      </c>
      <c r="J40" s="265" t="n">
        <v>196000</v>
      </c>
      <c r="K40" s="265" t="n">
        <v>191000</v>
      </c>
      <c r="L40" s="265" t="n">
        <v>194000</v>
      </c>
      <c r="N40" s="265" t="n">
        <v>195000</v>
      </c>
      <c r="O40" s="265" t="n">
        <v>263000</v>
      </c>
      <c r="P40" s="265" t="n">
        <v>250000</v>
      </c>
      <c r="Q40" s="265" t="n">
        <v>253000</v>
      </c>
      <c r="S40" s="265" t="n">
        <v>250000</v>
      </c>
      <c r="T40" s="265" t="n">
        <v>249000</v>
      </c>
      <c r="U40" s="265" t="n">
        <v>253000</v>
      </c>
      <c r="V40" s="265" t="n">
        <v>244000</v>
      </c>
      <c r="X40" s="265" t="n">
        <v>248000</v>
      </c>
      <c r="Y40" s="265" t="n">
        <v>258000</v>
      </c>
      <c r="Z40" s="265" t="n">
        <v>257000</v>
      </c>
      <c r="AA40" s="265" t="n">
        <v>0</v>
      </c>
      <c r="AC40" s="265" t="n">
        <v>0</v>
      </c>
      <c r="AD40" s="265" t="n">
        <v>0</v>
      </c>
    </row>
    <row r="41">
      <c r="A41" t="inlineStr">
        <is>
          <t>IntangibleAssetsNetExcludingGoodwill · fonte · unid. moeda</t>
        </is>
      </c>
      <c r="B41" t="n">
        <v>21</v>
      </c>
      <c r="C41" t="inlineStr">
        <is>
          <t>Intangibles</t>
        </is>
      </c>
      <c r="D41" s="265" t="n">
        <v>299000</v>
      </c>
      <c r="E41" s="265" t="n">
        <v>283000</v>
      </c>
      <c r="F41" s="265" t="n">
        <v>269000</v>
      </c>
      <c r="G41" s="265" t="n">
        <v>257000</v>
      </c>
      <c r="I41" s="265" t="n">
        <v>254000</v>
      </c>
      <c r="J41" s="265" t="n">
        <v>241000</v>
      </c>
      <c r="K41" s="265" t="n">
        <v>228000</v>
      </c>
      <c r="L41" s="265" t="n">
        <v>215000</v>
      </c>
      <c r="N41" s="265" t="n">
        <v>204000</v>
      </c>
      <c r="O41" s="265" t="n">
        <v>202000</v>
      </c>
      <c r="P41" s="265" t="n">
        <v>191000</v>
      </c>
      <c r="Q41" s="265" t="n">
        <v>178000</v>
      </c>
      <c r="S41" s="265" t="n">
        <v>171000</v>
      </c>
      <c r="T41" s="265" t="n">
        <v>164000</v>
      </c>
      <c r="U41" s="265" t="n">
        <v>158000</v>
      </c>
      <c r="V41" s="265" t="n">
        <v>150000</v>
      </c>
      <c r="X41" s="265" t="n">
        <v>144000</v>
      </c>
      <c r="Y41" s="265" t="n">
        <v>138000</v>
      </c>
      <c r="Z41" s="265" t="n">
        <v>131000</v>
      </c>
      <c r="AA41" s="265" t="n">
        <v>0</v>
      </c>
      <c r="AC41" s="265" t="n">
        <v>0</v>
      </c>
      <c r="AD41" s="265" t="n">
        <v>0</v>
      </c>
    </row>
    <row r="42">
      <c r="A42" t="inlineStr">
        <is>
          <t>DeferredCostsLeasingNetNoncurrent[OperatingLeaseVehiclesMember] · fonte · unid. moeda</t>
        </is>
      </c>
      <c r="B42" t="n">
        <v>22</v>
      </c>
      <c r="C42" t="inlineStr">
        <is>
          <t>Other non-current assets</t>
        </is>
      </c>
      <c r="D42" s="265" t="n">
        <v>3396000</v>
      </c>
      <c r="E42" s="265" t="n">
        <v>3748000</v>
      </c>
      <c r="F42" s="265" t="n">
        <v>4167000</v>
      </c>
      <c r="G42" s="265" t="n">
        <v>4511000</v>
      </c>
      <c r="I42" s="265" t="n">
        <v>4745000</v>
      </c>
      <c r="J42" s="265" t="n">
        <v>4782000</v>
      </c>
      <c r="K42" s="265" t="n">
        <v>4824000</v>
      </c>
      <c r="L42" s="265" t="n">
        <v>5035000</v>
      </c>
      <c r="N42" s="265" t="n">
        <v>5473000</v>
      </c>
      <c r="O42" s="265" t="n">
        <v>5935000</v>
      </c>
      <c r="P42" s="265" t="n">
        <v>6119000</v>
      </c>
      <c r="Q42" s="265" t="n">
        <v>5989000</v>
      </c>
      <c r="S42" s="265" t="n">
        <v>5736000</v>
      </c>
      <c r="T42" s="265" t="n">
        <v>5541000</v>
      </c>
      <c r="U42" s="265" t="n">
        <v>5380000</v>
      </c>
      <c r="V42" s="265" t="n">
        <v>5581000</v>
      </c>
      <c r="X42" s="265" t="n">
        <v>5477000</v>
      </c>
      <c r="Y42" s="265" t="n">
        <v>5230000</v>
      </c>
      <c r="Z42" s="265" t="n">
        <v>5019000</v>
      </c>
      <c r="AA42" s="265" t="n">
        <v>4912000</v>
      </c>
      <c r="AC42" s="265" t="n">
        <v>4530000</v>
      </c>
      <c r="AD42" s="265" t="n">
        <v>4253000</v>
      </c>
    </row>
    <row r="43">
      <c r="A43" t="inlineStr">
        <is>
          <t>LeasedAssetsNet[SolarEnergySystemsMember] · fonte · unid. moeda</t>
        </is>
      </c>
      <c r="B43" t="n">
        <v>22</v>
      </c>
      <c r="C43" t="inlineStr">
        <is>
          <t>Other non-current assets</t>
        </is>
      </c>
      <c r="D43" s="265" t="n">
        <v>5933000</v>
      </c>
      <c r="E43" s="265" t="n">
        <v>5883000</v>
      </c>
      <c r="F43" s="265" t="n">
        <v>5821000</v>
      </c>
      <c r="G43" s="265" t="n">
        <v>5765000</v>
      </c>
      <c r="I43" s="265" t="n">
        <v>5686000</v>
      </c>
      <c r="J43" s="265" t="n">
        <v>5624000</v>
      </c>
      <c r="K43" s="265" t="n">
        <v>5562000</v>
      </c>
      <c r="L43" s="265" t="n">
        <v>5489000</v>
      </c>
      <c r="N43" s="265" t="n">
        <v>5427000</v>
      </c>
      <c r="O43" s="265" t="n">
        <v>5365000</v>
      </c>
      <c r="P43" s="265" t="n">
        <v>5293000</v>
      </c>
      <c r="Q43" s="265" t="n">
        <v>5229000</v>
      </c>
      <c r="S43" s="265" t="n">
        <v>5162000</v>
      </c>
      <c r="T43" s="265" t="n">
        <v>5102000</v>
      </c>
      <c r="U43" s="265" t="n">
        <v>5040000</v>
      </c>
      <c r="V43" s="265" t="n">
        <v>4924000</v>
      </c>
      <c r="X43" s="265" t="n">
        <v>4855000</v>
      </c>
      <c r="Y43" s="265" t="n">
        <v>4788000</v>
      </c>
      <c r="Z43" s="265" t="n">
        <v>4673000</v>
      </c>
      <c r="AA43" s="265" t="n">
        <v>0</v>
      </c>
      <c r="AC43" s="265" t="n">
        <v>0</v>
      </c>
      <c r="AD43" s="265" t="n">
        <v>0</v>
      </c>
    </row>
    <row r="44">
      <c r="A44" t="inlineStr">
        <is>
          <t>OtherAssetsNoncurrent · fonte · unid. moeda</t>
        </is>
      </c>
      <c r="B44" t="n">
        <v>22</v>
      </c>
      <c r="C44" t="inlineStr">
        <is>
          <t>Other non-current assets</t>
        </is>
      </c>
      <c r="D44" s="265" t="n">
        <v>1587000</v>
      </c>
      <c r="E44" s="265" t="n">
        <v>1626000</v>
      </c>
      <c r="F44" s="265" t="n">
        <v>1854000</v>
      </c>
      <c r="G44" s="265" t="n">
        <v>2138000</v>
      </c>
      <c r="I44" s="265" t="n">
        <v>2634000</v>
      </c>
      <c r="J44" s="265" t="n">
        <v>2952000</v>
      </c>
      <c r="K44" s="265" t="n">
        <v>3236000</v>
      </c>
      <c r="L44" s="265" t="n">
        <v>4193000</v>
      </c>
      <c r="N44" s="265" t="n">
        <v>4584000</v>
      </c>
      <c r="O44" s="265" t="n">
        <v>5026000</v>
      </c>
      <c r="P44" s="265" t="n">
        <v>5497000</v>
      </c>
      <c r="Q44" s="265" t="n">
        <v>4531000</v>
      </c>
      <c r="S44" s="265" t="n">
        <v>4616000</v>
      </c>
      <c r="T44" s="265" t="n">
        <v>4458000</v>
      </c>
      <c r="U44" s="265" t="n">
        <v>4989000</v>
      </c>
      <c r="V44" s="265" t="n">
        <v>4215000</v>
      </c>
      <c r="X44" s="265" t="n">
        <v>4942000</v>
      </c>
      <c r="Y44" s="265" t="n">
        <v>4857000</v>
      </c>
      <c r="Z44" s="265" t="n">
        <v>5860000</v>
      </c>
      <c r="AA44" s="265" t="n">
        <v>5045000</v>
      </c>
      <c r="AC44" s="265" t="n">
        <v>7490000</v>
      </c>
      <c r="AD44" s="265" t="n">
        <v>9453000</v>
      </c>
    </row>
    <row r="45">
      <c r="A45" t="inlineStr">
        <is>
          <t>DigitalAssetsNetNonCurrent · fonte · unid. moeda</t>
        </is>
      </c>
      <c r="B45" t="n">
        <v>22</v>
      </c>
      <c r="C45" t="inlineStr">
        <is>
          <t>Other non-current assets</t>
        </is>
      </c>
      <c r="D45" s="265" t="n">
        <v>1331000</v>
      </c>
      <c r="E45" s="265" t="n">
        <v>1311000</v>
      </c>
      <c r="F45" s="265" t="n">
        <v>1260000</v>
      </c>
      <c r="G45" s="265" t="n">
        <v>1260000</v>
      </c>
      <c r="I45" s="265" t="n">
        <v>1261000</v>
      </c>
      <c r="J45" s="265" t="n">
        <v>218000</v>
      </c>
      <c r="K45" s="265" t="n">
        <v>218000</v>
      </c>
      <c r="L45" s="265" t="n">
        <v>184000</v>
      </c>
      <c r="N45" s="265" t="n">
        <v>184000</v>
      </c>
      <c r="O45" s="265" t="n">
        <v>184000</v>
      </c>
      <c r="P45" s="265" t="n">
        <v>184000</v>
      </c>
      <c r="Q45" s="265" t="n">
        <v>184000</v>
      </c>
      <c r="S45" s="265" t="n">
        <v>184000</v>
      </c>
      <c r="T45" s="265" t="n">
        <v>184000</v>
      </c>
      <c r="U45" s="265" t="n">
        <v>184000</v>
      </c>
      <c r="V45" s="265" t="n">
        <v>1076000</v>
      </c>
      <c r="X45" s="265" t="n">
        <v>0</v>
      </c>
      <c r="Y45" s="265" t="n">
        <v>0</v>
      </c>
      <c r="Z45" s="265" t="n">
        <v>0</v>
      </c>
      <c r="AA45" s="265" t="n">
        <v>0</v>
      </c>
      <c r="AC45" s="265" t="n">
        <v>0</v>
      </c>
      <c r="AD45" s="265" t="n">
        <v>0</v>
      </c>
    </row>
    <row r="46">
      <c r="A46" t="inlineStr">
        <is>
          <t>CryptoAssetFairValueNoncurrent · fonte · unid. moeda</t>
        </is>
      </c>
      <c r="B46" t="n">
        <v>22</v>
      </c>
      <c r="C46" t="inlineStr">
        <is>
          <t>Other non-current assets</t>
        </is>
      </c>
      <c r="D46" s="265" t="n">
        <v>0</v>
      </c>
      <c r="E46" s="265" t="n">
        <v>0</v>
      </c>
      <c r="F46" s="265" t="n">
        <v>0</v>
      </c>
      <c r="G46" s="265" t="n">
        <v>0</v>
      </c>
      <c r="I46" s="265" t="n">
        <v>0</v>
      </c>
      <c r="J46" s="265" t="n">
        <v>0</v>
      </c>
      <c r="K46" s="265" t="n">
        <v>0</v>
      </c>
      <c r="L46" s="265" t="n">
        <v>0</v>
      </c>
      <c r="N46" s="265" t="n">
        <v>0</v>
      </c>
      <c r="O46" s="265" t="n">
        <v>0</v>
      </c>
      <c r="P46" s="265" t="n">
        <v>0</v>
      </c>
      <c r="Q46" s="265" t="n">
        <v>0</v>
      </c>
      <c r="S46" s="265" t="n">
        <v>0</v>
      </c>
      <c r="T46" s="265" t="n">
        <v>0</v>
      </c>
      <c r="U46" s="265" t="n">
        <v>0</v>
      </c>
      <c r="V46" s="265" t="n">
        <v>0</v>
      </c>
      <c r="X46" s="265" t="n">
        <v>951000</v>
      </c>
      <c r="Y46" s="265" t="n">
        <v>1235000</v>
      </c>
      <c r="Z46" s="265" t="n">
        <v>1315000</v>
      </c>
      <c r="AA46" s="265" t="n">
        <v>1008000</v>
      </c>
      <c r="AC46" s="265" t="n">
        <v>786000</v>
      </c>
      <c r="AD46" s="265" t="n">
        <v>674000</v>
      </c>
    </row>
    <row r="47">
      <c r="A47" t="inlineStr">
        <is>
          <t>LeasedAssetsNet[EnergyGenerationAndStorageSystemsMember] · fonte · unid. moeda</t>
        </is>
      </c>
      <c r="B47" t="n">
        <v>22</v>
      </c>
      <c r="C47" t="inlineStr">
        <is>
          <t>Other non-current assets</t>
        </is>
      </c>
      <c r="D47" s="265" t="n">
        <v>0</v>
      </c>
      <c r="E47" s="265" t="n">
        <v>0</v>
      </c>
      <c r="F47" s="265" t="n">
        <v>0</v>
      </c>
      <c r="G47" s="265" t="n">
        <v>0</v>
      </c>
      <c r="I47" s="265" t="n">
        <v>0</v>
      </c>
      <c r="J47" s="265" t="n">
        <v>0</v>
      </c>
      <c r="K47" s="265" t="n">
        <v>0</v>
      </c>
      <c r="L47" s="265" t="n">
        <v>0</v>
      </c>
      <c r="N47" s="265" t="n">
        <v>0</v>
      </c>
      <c r="O47" s="265" t="n">
        <v>0</v>
      </c>
      <c r="P47" s="265" t="n">
        <v>0</v>
      </c>
      <c r="Q47" s="265" t="n">
        <v>0</v>
      </c>
      <c r="S47" s="265" t="n">
        <v>0</v>
      </c>
      <c r="T47" s="265" t="n">
        <v>0</v>
      </c>
      <c r="U47" s="265" t="n">
        <v>0</v>
      </c>
      <c r="V47" s="265" t="n">
        <v>0</v>
      </c>
      <c r="X47" s="265" t="n">
        <v>0</v>
      </c>
      <c r="Y47" s="265" t="n">
        <v>0</v>
      </c>
      <c r="Z47" s="265" t="n">
        <v>0</v>
      </c>
      <c r="AA47" s="265" t="n">
        <v>4604000</v>
      </c>
      <c r="AC47" s="265" t="n">
        <v>4565000</v>
      </c>
      <c r="AD47" s="265" t="n">
        <v>4510000</v>
      </c>
    </row>
    <row r="48">
      <c r="A48" t="inlineStr">
        <is>
          <t>AccountsPayableCurrent · fonte · unid. moeda</t>
        </is>
      </c>
      <c r="B48" t="n">
        <v>23</v>
      </c>
      <c r="C48" t="inlineStr">
        <is>
          <t>Accounts payable</t>
        </is>
      </c>
      <c r="D48" s="265" t="n">
        <v>6648000</v>
      </c>
      <c r="E48" s="265" t="n">
        <v>7558000</v>
      </c>
      <c r="F48" s="265" t="n">
        <v>8260000</v>
      </c>
      <c r="G48" s="265" t="n">
        <v>10025000</v>
      </c>
      <c r="I48" s="265" t="n">
        <v>11171000</v>
      </c>
      <c r="J48" s="265" t="n">
        <v>11212000</v>
      </c>
      <c r="K48" s="265" t="n">
        <v>13897000</v>
      </c>
      <c r="L48" s="265" t="n">
        <v>15255000</v>
      </c>
      <c r="N48" s="265" t="n">
        <v>15904000</v>
      </c>
      <c r="O48" s="265" t="n">
        <v>15273000</v>
      </c>
      <c r="P48" s="265" t="n">
        <v>13937000</v>
      </c>
      <c r="Q48" s="265" t="n">
        <v>14431000</v>
      </c>
      <c r="S48" s="265" t="n">
        <v>14725000</v>
      </c>
      <c r="T48" s="265" t="n">
        <v>13056000</v>
      </c>
      <c r="U48" s="265" t="n">
        <v>14654000</v>
      </c>
      <c r="V48" s="265" t="n">
        <v>12474000</v>
      </c>
      <c r="X48" s="265" t="n">
        <v>13471000</v>
      </c>
      <c r="Y48" s="265" t="n">
        <v>13212000</v>
      </c>
      <c r="Z48" s="265" t="n">
        <v>12819000</v>
      </c>
      <c r="AA48" s="265" t="n">
        <v>13371000</v>
      </c>
      <c r="AC48" s="265" t="n">
        <v>14696000</v>
      </c>
      <c r="AD48" s="265" t="n">
        <v>15324000</v>
      </c>
    </row>
    <row r="49">
      <c r="A49" t="inlineStr">
        <is>
          <t>AccruedAndOtherCurrentLiabilities · fonte · unid. moeda</t>
        </is>
      </c>
      <c r="B49" t="n">
        <v>26</v>
      </c>
      <c r="C49" t="inlineStr">
        <is>
          <t>Other current liabilities (non-debt)</t>
        </is>
      </c>
      <c r="D49" s="265" t="n">
        <v>4073000</v>
      </c>
      <c r="E49" s="265" t="n">
        <v>4778000</v>
      </c>
      <c r="F49" s="265" t="n">
        <v>5443000</v>
      </c>
      <c r="G49" s="265" t="n">
        <v>5719000</v>
      </c>
      <c r="I49" s="265" t="n">
        <v>5906000</v>
      </c>
      <c r="J49" s="265" t="n">
        <v>6037000</v>
      </c>
      <c r="K49" s="265" t="n">
        <v>6246000</v>
      </c>
      <c r="L49" s="265" t="n">
        <v>7142000</v>
      </c>
      <c r="N49" s="265" t="n">
        <v>7321000</v>
      </c>
      <c r="O49" s="265" t="n">
        <v>7658000</v>
      </c>
      <c r="P49" s="265" t="n">
        <v>7636000</v>
      </c>
      <c r="Q49" s="265" t="n">
        <v>9080000</v>
      </c>
      <c r="S49" s="265" t="n">
        <v>9243000</v>
      </c>
      <c r="T49" s="265" t="n">
        <v>9616000</v>
      </c>
      <c r="U49" s="265" t="n">
        <v>10601000</v>
      </c>
      <c r="V49" s="265" t="n">
        <v>10723000</v>
      </c>
      <c r="X49" s="265" t="n">
        <v>10802000</v>
      </c>
      <c r="Y49" s="265" t="n">
        <v>11519000</v>
      </c>
      <c r="Z49" s="265" t="n">
        <v>12791000</v>
      </c>
      <c r="AA49" s="265" t="n">
        <v>13279000</v>
      </c>
      <c r="AC49" s="265" t="n">
        <v>14554000</v>
      </c>
      <c r="AD49" s="265" t="n">
        <v>15256000</v>
      </c>
    </row>
    <row r="50">
      <c r="A50" t="inlineStr">
        <is>
          <t>ContractWithCustomerLiabilityCurrent · fonte · unid. moeda</t>
        </is>
      </c>
      <c r="B50" t="n">
        <v>26</v>
      </c>
      <c r="C50" t="inlineStr">
        <is>
          <t>Other current liabilities (non-debt)</t>
        </is>
      </c>
      <c r="D50" s="265" t="n">
        <v>1592000</v>
      </c>
      <c r="E50" s="265" t="n">
        <v>1693000</v>
      </c>
      <c r="F50" s="265" t="n">
        <v>1801000</v>
      </c>
      <c r="G50" s="265" t="n">
        <v>1447000</v>
      </c>
      <c r="I50" s="265" t="n">
        <v>1594000</v>
      </c>
      <c r="J50" s="265" t="n">
        <v>1858000</v>
      </c>
      <c r="K50" s="265" t="n">
        <v>1928000</v>
      </c>
      <c r="L50" s="265" t="n">
        <v>1747000</v>
      </c>
      <c r="N50" s="265" t="n">
        <v>1750000</v>
      </c>
      <c r="O50" s="265" t="n">
        <v>2176000</v>
      </c>
      <c r="P50" s="265" t="n">
        <v>2206000</v>
      </c>
      <c r="Q50" s="265" t="n">
        <v>2864000</v>
      </c>
      <c r="S50" s="265" t="n">
        <v>3024000</v>
      </c>
      <c r="T50" s="265" t="n">
        <v>2793000</v>
      </c>
      <c r="U50" s="265" t="n">
        <v>3031000</v>
      </c>
      <c r="V50" s="265" t="n">
        <v>3168000</v>
      </c>
      <c r="X50" s="265" t="n">
        <v>3243000</v>
      </c>
      <c r="Y50" s="265" t="n">
        <v>3237000</v>
      </c>
      <c r="Z50" s="265" t="n">
        <v>3756000</v>
      </c>
      <c r="AA50" s="265" t="n">
        <v>3424000</v>
      </c>
      <c r="AC50" s="265" t="n">
        <v>3441000</v>
      </c>
      <c r="AD50" s="265" t="n">
        <v>3427000</v>
      </c>
    </row>
    <row r="51">
      <c r="A51" t="inlineStr">
        <is>
          <t>CustomerDepositsLiabilitiesCurrent · fonte · unid. moeda</t>
        </is>
      </c>
      <c r="B51" t="n">
        <v>26</v>
      </c>
      <c r="C51" t="inlineStr">
        <is>
          <t>Other current liabilities (non-debt)</t>
        </is>
      </c>
      <c r="D51" s="265" t="n">
        <v>745000</v>
      </c>
      <c r="E51" s="265" t="n">
        <v>812000</v>
      </c>
      <c r="F51" s="265" t="n">
        <v>831000</v>
      </c>
      <c r="G51" s="265" t="n">
        <v>925000</v>
      </c>
      <c r="I51" s="265" t="n">
        <v>1125000</v>
      </c>
      <c r="J51" s="265" t="n">
        <v>1182000</v>
      </c>
      <c r="K51" s="265" t="n">
        <v>1083000</v>
      </c>
      <c r="L51" s="265" t="n">
        <v>1063000</v>
      </c>
      <c r="N51" s="265" t="n">
        <v>1057000</v>
      </c>
      <c r="O51" s="265" t="n">
        <v>1026000</v>
      </c>
      <c r="P51" s="265" t="n">
        <v>894000</v>
      </c>
      <c r="Q51" s="265" t="n">
        <v>0</v>
      </c>
      <c r="S51" s="265" t="n">
        <v>0</v>
      </c>
      <c r="T51" s="265" t="n">
        <v>0</v>
      </c>
      <c r="U51" s="265" t="n">
        <v>0</v>
      </c>
      <c r="V51" s="265" t="n">
        <v>0</v>
      </c>
      <c r="X51" s="265" t="n">
        <v>0</v>
      </c>
      <c r="Y51" s="265" t="n">
        <v>0</v>
      </c>
      <c r="Z51" s="265" t="n">
        <v>0</v>
      </c>
      <c r="AA51" s="265" t="n">
        <v>0</v>
      </c>
      <c r="AC51" s="265" t="n">
        <v>0</v>
      </c>
      <c r="AD51" s="265" t="n">
        <v>0</v>
      </c>
    </row>
    <row r="52">
      <c r="A52" t="inlineStr">
        <is>
          <t>LongTermDebtAndFinanceLeasesCurrent · fonte · unid. moeda</t>
        </is>
      </c>
      <c r="B52" t="n">
        <v>26</v>
      </c>
      <c r="C52" t="inlineStr">
        <is>
          <t>Other current liabilities (non-debt)</t>
        </is>
      </c>
      <c r="D52" s="265" t="n">
        <v>1819000</v>
      </c>
      <c r="E52" s="265" t="n">
        <v>1530000</v>
      </c>
      <c r="F52" s="265" t="n">
        <v>1716000</v>
      </c>
      <c r="G52" s="265" t="n">
        <v>1589000</v>
      </c>
      <c r="I52" s="265" t="n">
        <v>1659000</v>
      </c>
      <c r="J52" s="265" t="n">
        <v>1532000</v>
      </c>
      <c r="K52" s="265" t="n">
        <v>1457000</v>
      </c>
      <c r="L52" s="265" t="n">
        <v>1502000</v>
      </c>
      <c r="N52" s="265" t="n">
        <v>1404000</v>
      </c>
      <c r="O52" s="265" t="n">
        <v>1459000</v>
      </c>
      <c r="P52" s="265" t="n">
        <v>1967000</v>
      </c>
      <c r="Q52" s="265" t="n">
        <v>2373000</v>
      </c>
      <c r="S52" s="265" t="n">
        <v>2461000</v>
      </c>
      <c r="T52" s="265" t="n">
        <v>2264000</v>
      </c>
      <c r="U52" s="265" t="n">
        <v>2291000</v>
      </c>
      <c r="V52" s="265" t="n">
        <v>2456000</v>
      </c>
      <c r="X52" s="265" t="n">
        <v>2237000</v>
      </c>
      <c r="Y52" s="265" t="n">
        <v>2040000</v>
      </c>
      <c r="Z52" s="265" t="n">
        <v>1924000</v>
      </c>
      <c r="AA52" s="265" t="n">
        <v>1640000</v>
      </c>
      <c r="AC52" s="265" t="n">
        <v>1447000</v>
      </c>
      <c r="AD52" s="265" t="n">
        <v>1418000</v>
      </c>
    </row>
    <row r="53">
      <c r="A53" t="inlineStr">
        <is>
          <t>LongTermDebtAndFinanceLeasesNoncurrent · fonte · unid. moeda</t>
        </is>
      </c>
      <c r="B53" t="n">
        <v>34</v>
      </c>
      <c r="C53" t="inlineStr">
        <is>
          <t>Other non-current liabilities</t>
        </is>
      </c>
      <c r="D53" s="265" t="n">
        <v>9053000</v>
      </c>
      <c r="E53" s="265" t="n">
        <v>7871000</v>
      </c>
      <c r="F53" s="265" t="n">
        <v>6438000</v>
      </c>
      <c r="G53" s="265" t="n">
        <v>5245000</v>
      </c>
      <c r="I53" s="265" t="n">
        <v>3153000</v>
      </c>
      <c r="J53" s="265" t="n">
        <v>2898000</v>
      </c>
      <c r="K53" s="265" t="n">
        <v>2096000</v>
      </c>
      <c r="L53" s="265" t="n">
        <v>1597000</v>
      </c>
      <c r="N53" s="265" t="n">
        <v>1272000</v>
      </c>
      <c r="O53" s="265" t="n">
        <v>872000</v>
      </c>
      <c r="P53" s="265" t="n">
        <v>2426000</v>
      </c>
      <c r="Q53" s="265" t="n">
        <v>2857000</v>
      </c>
      <c r="S53" s="265" t="n">
        <v>2899000</v>
      </c>
      <c r="T53" s="265" t="n">
        <v>5481000</v>
      </c>
      <c r="U53" s="265" t="n">
        <v>5405000</v>
      </c>
      <c r="V53" s="265" t="n">
        <v>5757000</v>
      </c>
      <c r="X53" s="265" t="n">
        <v>5292000</v>
      </c>
      <c r="Y53" s="265" t="n">
        <v>5180000</v>
      </c>
      <c r="Z53" s="265" t="n">
        <v>5778000</v>
      </c>
      <c r="AA53" s="265" t="n">
        <v>6736000</v>
      </c>
      <c r="AC53" s="265" t="n">
        <v>7782000</v>
      </c>
      <c r="AD53" s="265" t="n">
        <v>7924000</v>
      </c>
    </row>
    <row r="54">
      <c r="A54" t="inlineStr">
        <is>
          <t>ContractWithCustomerLiabilityNoncurrent · fonte · unid. moeda</t>
        </is>
      </c>
      <c r="B54" t="n">
        <v>34</v>
      </c>
      <c r="C54" t="inlineStr">
        <is>
          <t>Other non-current liabilities</t>
        </is>
      </c>
      <c r="D54" s="265" t="n">
        <v>1294000</v>
      </c>
      <c r="E54" s="265" t="n">
        <v>1318000</v>
      </c>
      <c r="F54" s="265" t="n">
        <v>1365000</v>
      </c>
      <c r="G54" s="265" t="n">
        <v>2052000</v>
      </c>
      <c r="I54" s="265" t="n">
        <v>2185000</v>
      </c>
      <c r="J54" s="265" t="n">
        <v>2210000</v>
      </c>
      <c r="K54" s="265" t="n">
        <v>2265000</v>
      </c>
      <c r="L54" s="265" t="n">
        <v>2804000</v>
      </c>
      <c r="N54" s="265" t="n">
        <v>2911000</v>
      </c>
      <c r="O54" s="265" t="n">
        <v>3021000</v>
      </c>
      <c r="P54" s="265" t="n">
        <v>3059000</v>
      </c>
      <c r="Q54" s="265" t="n">
        <v>3251000</v>
      </c>
      <c r="S54" s="265" t="n">
        <v>3214000</v>
      </c>
      <c r="T54" s="265" t="n">
        <v>3357000</v>
      </c>
      <c r="U54" s="265" t="n">
        <v>3350000</v>
      </c>
      <c r="V54" s="265" t="n">
        <v>3317000</v>
      </c>
      <c r="X54" s="265" t="n">
        <v>3610000</v>
      </c>
      <c r="Y54" s="265" t="n">
        <v>3764000</v>
      </c>
      <c r="Z54" s="265" t="n">
        <v>3746000</v>
      </c>
      <c r="AA54" s="265" t="n">
        <v>3631000</v>
      </c>
      <c r="AC54" s="265" t="n">
        <v>3847000</v>
      </c>
      <c r="AD54" s="265" t="n">
        <v>4073000</v>
      </c>
    </row>
    <row r="55">
      <c r="A55" t="inlineStr">
        <is>
          <t>OtherLiabilitiesNoncurrent · fonte · unid. moeda</t>
        </is>
      </c>
      <c r="B55" t="n">
        <v>34</v>
      </c>
      <c r="C55" t="inlineStr">
        <is>
          <t>Other non-current liabilities</t>
        </is>
      </c>
      <c r="D55" s="265" t="n">
        <v>3283000</v>
      </c>
      <c r="E55" s="265" t="n">
        <v>3336000</v>
      </c>
      <c r="F55" s="265" t="n">
        <v>3486000</v>
      </c>
      <c r="G55" s="265" t="n">
        <v>3546000</v>
      </c>
      <c r="I55" s="265" t="n">
        <v>3839000</v>
      </c>
      <c r="J55" s="265" t="n">
        <v>3926000</v>
      </c>
      <c r="K55" s="265" t="n">
        <v>4330000</v>
      </c>
      <c r="L55" s="265" t="n">
        <v>5330000</v>
      </c>
      <c r="N55" s="265" t="n">
        <v>5979000</v>
      </c>
      <c r="O55" s="265" t="n">
        <v>6924000</v>
      </c>
      <c r="P55" s="265" t="n">
        <v>7321000</v>
      </c>
      <c r="Q55" s="265" t="n">
        <v>8153000</v>
      </c>
      <c r="S55" s="265" t="n">
        <v>8480000</v>
      </c>
      <c r="T55" s="265" t="n">
        <v>9002000</v>
      </c>
      <c r="U55" s="265" t="n">
        <v>9810000</v>
      </c>
      <c r="V55" s="265" t="n">
        <v>10495000</v>
      </c>
      <c r="X55" s="265" t="n">
        <v>11038000</v>
      </c>
      <c r="Y55" s="265" t="n">
        <v>11543000</v>
      </c>
      <c r="Z55" s="265" t="n">
        <v>12205000</v>
      </c>
      <c r="AA55" s="265" t="n">
        <v>12860000</v>
      </c>
      <c r="AC55" s="265" t="n">
        <v>13155000</v>
      </c>
      <c r="AD55" s="265" t="n">
        <v>13583000</v>
      </c>
    </row>
    <row r="56">
      <c r="A56" t="inlineStr">
        <is>
          <t>RedeemableNoncontrollingInterestEquityCarryingAmount · fonte · unid. moeda</t>
        </is>
      </c>
      <c r="B56" t="n">
        <v>35</v>
      </c>
      <c r="C56" t="inlineStr">
        <is>
          <t>Minority interest</t>
        </is>
      </c>
      <c r="D56" s="265" t="n">
        <v>601000</v>
      </c>
      <c r="E56" s="265" t="n">
        <v>605000</v>
      </c>
      <c r="F56" s="265" t="n">
        <v>605000</v>
      </c>
      <c r="G56" s="265" t="n">
        <v>568000</v>
      </c>
      <c r="I56" s="265" t="n">
        <v>459000</v>
      </c>
      <c r="J56" s="265" t="n">
        <v>421000</v>
      </c>
      <c r="K56" s="265" t="n">
        <v>421000</v>
      </c>
      <c r="L56" s="265" t="n">
        <v>409000</v>
      </c>
      <c r="N56" s="265" t="n">
        <v>407000</v>
      </c>
      <c r="O56" s="265" t="n">
        <v>288000</v>
      </c>
      <c r="P56" s="265" t="n">
        <v>277000</v>
      </c>
      <c r="Q56" s="265" t="n">
        <v>242000</v>
      </c>
      <c r="S56" s="265" t="n">
        <v>73000</v>
      </c>
      <c r="T56" s="265" t="n">
        <v>72000</v>
      </c>
      <c r="U56" s="265" t="n">
        <v>70000</v>
      </c>
      <c r="V56" s="265" t="n">
        <v>63000</v>
      </c>
      <c r="X56" s="265" t="n">
        <v>62000</v>
      </c>
      <c r="Y56" s="265" t="n">
        <v>61000</v>
      </c>
      <c r="Z56" s="265" t="n">
        <v>59000</v>
      </c>
      <c r="AA56" s="265" t="n">
        <v>58000</v>
      </c>
      <c r="AC56" s="265" t="n">
        <v>57000</v>
      </c>
      <c r="AD56" s="265" t="n">
        <v>54000</v>
      </c>
    </row>
    <row r="57">
      <c r="A57" t="inlineStr">
        <is>
          <t>MinorityInterest · fonte · unid. moeda</t>
        </is>
      </c>
      <c r="B57" t="n">
        <v>35</v>
      </c>
      <c r="C57" t="inlineStr">
        <is>
          <t>Minority interest</t>
        </is>
      </c>
      <c r="D57" s="265" t="n">
        <v>847000</v>
      </c>
      <c r="E57" s="265" t="n">
        <v>841000</v>
      </c>
      <c r="F57" s="265" t="n">
        <v>836000</v>
      </c>
      <c r="G57" s="265" t="n">
        <v>826000</v>
      </c>
      <c r="I57" s="265" t="n">
        <v>862000</v>
      </c>
      <c r="J57" s="265" t="n">
        <v>861000</v>
      </c>
      <c r="K57" s="265" t="n">
        <v>852000</v>
      </c>
      <c r="L57" s="265" t="n">
        <v>785000</v>
      </c>
      <c r="N57" s="265" t="n">
        <v>774000</v>
      </c>
      <c r="O57" s="265" t="n">
        <v>764000</v>
      </c>
      <c r="P57" s="265" t="n">
        <v>752000</v>
      </c>
      <c r="Q57" s="265" t="n">
        <v>733000</v>
      </c>
      <c r="S57" s="265" t="n">
        <v>729000</v>
      </c>
      <c r="T57" s="265" t="n">
        <v>723000</v>
      </c>
      <c r="U57" s="265" t="n">
        <v>709000</v>
      </c>
      <c r="V57" s="265" t="n">
        <v>704000</v>
      </c>
      <c r="X57" s="265" t="n">
        <v>703000</v>
      </c>
      <c r="Y57" s="265" t="n">
        <v>697000</v>
      </c>
      <c r="Z57" s="265" t="n">
        <v>687000</v>
      </c>
      <c r="AA57" s="265" t="n">
        <v>670000</v>
      </c>
      <c r="AC57" s="265" t="n">
        <v>629000</v>
      </c>
      <c r="AD57" s="265" t="n">
        <v>607000</v>
      </c>
    </row>
    <row r="58">
      <c r="A58" t="inlineStr">
        <is>
          <t>CommonStockValue · fonte · unid. moeda</t>
        </is>
      </c>
      <c r="B58" t="n">
        <v>37</v>
      </c>
      <c r="C58" t="inlineStr">
        <is>
          <t>Common Stock and APIC</t>
        </is>
      </c>
      <c r="D58" s="265" t="n">
        <v>1000</v>
      </c>
      <c r="E58" s="265" t="n">
        <v>1000</v>
      </c>
      <c r="F58" s="265" t="n">
        <v>1000</v>
      </c>
      <c r="G58" s="265" t="n">
        <v>1000</v>
      </c>
      <c r="I58" s="265" t="n">
        <v>1000</v>
      </c>
      <c r="J58" s="265" t="n">
        <v>1000</v>
      </c>
      <c r="K58" s="265" t="n">
        <v>3000</v>
      </c>
      <c r="L58" s="265" t="n">
        <v>3000</v>
      </c>
      <c r="N58" s="265" t="n">
        <v>3000</v>
      </c>
      <c r="O58" s="265" t="n">
        <v>3000</v>
      </c>
      <c r="P58" s="265" t="n">
        <v>3000</v>
      </c>
      <c r="Q58" s="265" t="n">
        <v>3000</v>
      </c>
      <c r="S58" s="265" t="n">
        <v>3000</v>
      </c>
      <c r="T58" s="265" t="n">
        <v>3000</v>
      </c>
      <c r="U58" s="265" t="n">
        <v>3000</v>
      </c>
      <c r="V58" s="265" t="n">
        <v>3000</v>
      </c>
      <c r="X58" s="265" t="n">
        <v>3000</v>
      </c>
      <c r="Y58" s="265" t="n">
        <v>3000</v>
      </c>
      <c r="Z58" s="265" t="n">
        <v>3000</v>
      </c>
      <c r="AA58" s="265" t="n">
        <v>3000</v>
      </c>
      <c r="AC58" s="265" t="n">
        <v>3000</v>
      </c>
      <c r="AD58" s="265" t="n">
        <v>4000</v>
      </c>
    </row>
    <row r="59">
      <c r="A59" t="inlineStr">
        <is>
          <t>AdditionalPaidInCapitalCommonStock · fonte · unid. moeda</t>
        </is>
      </c>
      <c r="B59" t="n">
        <v>37</v>
      </c>
      <c r="C59" t="inlineStr">
        <is>
          <t>Common Stock and APIC</t>
        </is>
      </c>
      <c r="D59" s="265" t="n">
        <v>27623000</v>
      </c>
      <c r="E59" s="265" t="n">
        <v>28205000</v>
      </c>
      <c r="F59" s="265" t="n">
        <v>28922000</v>
      </c>
      <c r="G59" s="265" t="n">
        <v>29803000</v>
      </c>
      <c r="I59" s="265" t="n">
        <v>30485000</v>
      </c>
      <c r="J59" s="265" t="n">
        <v>30944000</v>
      </c>
      <c r="K59" s="265" t="n">
        <v>31592000</v>
      </c>
      <c r="L59" s="265" t="n">
        <v>32177000</v>
      </c>
      <c r="N59" s="265" t="n">
        <v>32878000</v>
      </c>
      <c r="O59" s="265" t="n">
        <v>33436000</v>
      </c>
      <c r="P59" s="265" t="n">
        <v>34201000</v>
      </c>
      <c r="Q59" s="265" t="n">
        <v>34892000</v>
      </c>
      <c r="S59" s="265" t="n">
        <v>35763000</v>
      </c>
      <c r="T59" s="265" t="n">
        <v>36443000</v>
      </c>
      <c r="U59" s="265" t="n">
        <v>37286000</v>
      </c>
      <c r="V59" s="265" t="n">
        <v>38371000</v>
      </c>
      <c r="X59" s="265" t="n">
        <v>39456000</v>
      </c>
      <c r="Y59" s="265" t="n">
        <v>40363000</v>
      </c>
      <c r="Z59" s="265" t="n">
        <v>41597000</v>
      </c>
      <c r="AA59" s="265" t="n">
        <v>42770000</v>
      </c>
      <c r="AC59" s="265" t="n">
        <v>44299000</v>
      </c>
      <c r="AD59" s="265" t="n">
        <v>45859000</v>
      </c>
    </row>
    <row r="60">
      <c r="A60" t="inlineStr">
        <is>
          <t>AccumulatedOtherComprehensiveIncomeLossNetOfTax · fonte · unid. moeda</t>
        </is>
      </c>
      <c r="B60" t="n">
        <v>39</v>
      </c>
      <c r="C60" t="inlineStr">
        <is>
          <t>Comprehensive (accumulated) loss</t>
        </is>
      </c>
      <c r="D60" s="265" t="n">
        <v>143000</v>
      </c>
      <c r="E60" s="265" t="n">
        <v>206000</v>
      </c>
      <c r="F60" s="265" t="n">
        <v>120000</v>
      </c>
      <c r="G60" s="265" t="n">
        <v>54000</v>
      </c>
      <c r="I60" s="265" t="n">
        <v>-50000</v>
      </c>
      <c r="J60" s="265" t="n">
        <v>-477000</v>
      </c>
      <c r="K60" s="265" t="n">
        <v>-942000</v>
      </c>
      <c r="L60" s="265" t="n">
        <v>-361000</v>
      </c>
      <c r="N60" s="265" t="n">
        <v>-225000</v>
      </c>
      <c r="O60" s="265" t="n">
        <v>-410000</v>
      </c>
      <c r="P60" s="265" t="n">
        <v>-692000</v>
      </c>
      <c r="Q60" s="265" t="n">
        <v>-143000</v>
      </c>
      <c r="S60" s="265" t="n">
        <v>-399000</v>
      </c>
      <c r="T60" s="265" t="n">
        <v>-467000</v>
      </c>
      <c r="U60" s="265" t="n">
        <v>-14000</v>
      </c>
      <c r="V60" s="265" t="n">
        <v>-670000</v>
      </c>
      <c r="X60" s="265" t="n">
        <v>-424000</v>
      </c>
      <c r="Y60" s="265" t="n">
        <v>158000</v>
      </c>
      <c r="Z60" s="265" t="n">
        <v>207000</v>
      </c>
      <c r="AA60" s="265" t="n">
        <v>361000</v>
      </c>
      <c r="AC60" s="265" t="n">
        <v>334000</v>
      </c>
      <c r="AD60" s="265" t="n">
        <v>401000</v>
      </c>
    </row>
    <row r="61">
      <c r="A61" t="inlineStr">
        <is>
          <t>TemporaryEquityCarryingAmountAttributableToParent · fonte · unid. moeda</t>
        </is>
      </c>
      <c r="B61" t="n">
        <v>40</v>
      </c>
      <c r="C61" t="inlineStr">
        <is>
          <t>Other equity account</t>
        </is>
      </c>
      <c r="D61" s="265" t="n">
        <v>0</v>
      </c>
      <c r="E61" s="265" t="n">
        <v>0</v>
      </c>
      <c r="F61" s="265" t="n">
        <v>0</v>
      </c>
      <c r="G61" s="265" t="n">
        <v>0</v>
      </c>
      <c r="I61" s="265" t="n">
        <v>0</v>
      </c>
      <c r="J61" s="265" t="n">
        <v>0</v>
      </c>
      <c r="K61" s="265" t="n">
        <v>0</v>
      </c>
      <c r="L61" s="265" t="n">
        <v>0</v>
      </c>
      <c r="N61" s="265" t="n">
        <v>0</v>
      </c>
      <c r="O61" s="265" t="n">
        <v>0</v>
      </c>
      <c r="P61" s="265" t="n">
        <v>0</v>
      </c>
      <c r="Q61" s="265" t="n">
        <v>0</v>
      </c>
      <c r="S61" s="265" t="n">
        <v>0</v>
      </c>
      <c r="T61" s="265" t="n">
        <v>0</v>
      </c>
      <c r="U61" s="265" t="n">
        <v>0</v>
      </c>
      <c r="V61" s="265" t="n">
        <v>0</v>
      </c>
      <c r="X61" s="265" t="n">
        <v>0</v>
      </c>
      <c r="Y61" s="265" t="n">
        <v>0</v>
      </c>
      <c r="Z61" s="265" t="n">
        <v>0</v>
      </c>
      <c r="AA61" s="265" t="n">
        <v>0</v>
      </c>
      <c r="AC61" s="265" t="n">
        <v>0</v>
      </c>
      <c r="AD61" s="265" t="n">
        <v>0</v>
      </c>
    </row>
    <row r="62">
      <c r="A62" t="inlineStr">
        <is>
          <t>RetainedEarningsAccumulatedDeficit · fonte · unid. moeda</t>
        </is>
      </c>
      <c r="B62" t="n">
        <v>41</v>
      </c>
      <c r="C62" t="inlineStr">
        <is>
          <t>Retained earnings</t>
        </is>
      </c>
      <c r="D62" s="265" t="n">
        <v>-4750000</v>
      </c>
      <c r="E62" s="265" t="n">
        <v>-3608000</v>
      </c>
      <c r="F62" s="265" t="n">
        <v>-1990000</v>
      </c>
      <c r="G62" s="265" t="n">
        <v>331000</v>
      </c>
      <c r="I62" s="265" t="n">
        <v>3649000</v>
      </c>
      <c r="J62" s="265" t="n">
        <v>5908000</v>
      </c>
      <c r="K62" s="265" t="n">
        <v>9198000</v>
      </c>
      <c r="L62" s="265" t="n">
        <v>12885000</v>
      </c>
      <c r="N62" s="265" t="n">
        <v>15398000</v>
      </c>
      <c r="O62" s="265" t="n">
        <v>18101000</v>
      </c>
      <c r="P62" s="265" t="n">
        <v>19954000</v>
      </c>
      <c r="Q62" s="265" t="n">
        <v>27882000</v>
      </c>
      <c r="S62" s="265" t="n">
        <v>29011000</v>
      </c>
      <c r="T62" s="265" t="n">
        <v>30489000</v>
      </c>
      <c r="U62" s="265" t="n">
        <v>32656000</v>
      </c>
      <c r="V62" s="265" t="n">
        <v>35209000</v>
      </c>
      <c r="X62" s="265" t="n">
        <v>35618000</v>
      </c>
      <c r="Y62" s="265" t="n">
        <v>36790000</v>
      </c>
      <c r="Z62" s="265" t="n">
        <v>38163000</v>
      </c>
      <c r="AA62" s="265" t="n">
        <v>39003000</v>
      </c>
      <c r="AC62" s="265" t="n">
        <v>39480000</v>
      </c>
      <c r="AD62" s="265" t="n">
        <v>40594000</v>
      </c>
    </row>
    <row r="63">
      <c r="A63" t="inlineStr">
        <is>
          <t>[vazio] Despesas antecipadas: não aparece como linha própria nas demonstrações (zero) · derivada · unid. moeda</t>
        </is>
      </c>
      <c r="B63" t="n">
        <v>15</v>
      </c>
      <c r="C63" t="inlineStr">
        <is>
          <t>Prepaid expenses</t>
        </is>
      </c>
      <c r="D63" s="265" t="n">
        <v>0</v>
      </c>
      <c r="E63" s="265" t="n">
        <v>0</v>
      </c>
      <c r="F63" s="265" t="n">
        <v>0</v>
      </c>
      <c r="G63" s="265" t="n">
        <v>0</v>
      </c>
      <c r="I63" s="265" t="n">
        <v>0</v>
      </c>
      <c r="J63" s="265" t="n">
        <v>0</v>
      </c>
      <c r="K63" s="265" t="n">
        <v>0</v>
      </c>
      <c r="L63" s="265" t="n">
        <v>0</v>
      </c>
      <c r="N63" s="265" t="n">
        <v>0</v>
      </c>
      <c r="O63" s="265" t="n">
        <v>0</v>
      </c>
      <c r="P63" s="265" t="n">
        <v>0</v>
      </c>
      <c r="Q63" s="265" t="n">
        <v>0</v>
      </c>
      <c r="S63" s="265" t="n">
        <v>0</v>
      </c>
      <c r="T63" s="265" t="n">
        <v>0</v>
      </c>
      <c r="U63" s="265" t="n">
        <v>0</v>
      </c>
      <c r="V63" s="265" t="n">
        <v>0</v>
      </c>
      <c r="X63" s="265" t="n">
        <v>0</v>
      </c>
      <c r="Y63" s="265" t="n">
        <v>0</v>
      </c>
      <c r="Z63" s="265" t="n">
        <v>0</v>
      </c>
      <c r="AA63" s="265" t="n">
        <v>0</v>
      </c>
      <c r="AC63" s="265" t="n">
        <v>0</v>
      </c>
      <c r="AD63" s="265" t="n">
        <v>0</v>
      </c>
    </row>
    <row r="64">
      <c r="A64" t="inlineStr">
        <is>
          <t>[vazio] Investimentos em coligadas: não aparece como linha própria nas demonstrações (zero) · derivada · unid. moeda</t>
        </is>
      </c>
      <c r="B64" t="n">
        <v>17</v>
      </c>
      <c r="C64" t="inlineStr">
        <is>
          <t>Equity in affiliates</t>
        </is>
      </c>
      <c r="D64" s="265" t="n">
        <v>0</v>
      </c>
      <c r="E64" s="265" t="n">
        <v>0</v>
      </c>
      <c r="F64" s="265" t="n">
        <v>0</v>
      </c>
      <c r="G64" s="265" t="n">
        <v>0</v>
      </c>
      <c r="I64" s="265" t="n">
        <v>0</v>
      </c>
      <c r="J64" s="265" t="n">
        <v>0</v>
      </c>
      <c r="K64" s="265" t="n">
        <v>0</v>
      </c>
      <c r="L64" s="265" t="n">
        <v>0</v>
      </c>
      <c r="N64" s="265" t="n">
        <v>0</v>
      </c>
      <c r="O64" s="265" t="n">
        <v>0</v>
      </c>
      <c r="P64" s="265" t="n">
        <v>0</v>
      </c>
      <c r="Q64" s="265" t="n">
        <v>0</v>
      </c>
      <c r="S64" s="265" t="n">
        <v>0</v>
      </c>
      <c r="T64" s="265" t="n">
        <v>0</v>
      </c>
      <c r="U64" s="265" t="n">
        <v>0</v>
      </c>
      <c r="V64" s="265" t="n">
        <v>0</v>
      </c>
      <c r="X64" s="265" t="n">
        <v>0</v>
      </c>
      <c r="Y64" s="265" t="n">
        <v>0</v>
      </c>
      <c r="Z64" s="265" t="n">
        <v>0</v>
      </c>
      <c r="AA64" s="265" t="n">
        <v>0</v>
      </c>
      <c r="AC64" s="265" t="n">
        <v>0</v>
      </c>
      <c r="AD64" s="265" t="n">
        <v>0</v>
      </c>
    </row>
    <row r="65">
      <c r="A65" t="inlineStr">
        <is>
          <t>[vazio] Despesas provisionadas: não aparece como linha própria nas demonstrações (zero) · derivada · unid. moeda</t>
        </is>
      </c>
      <c r="B65" t="n">
        <v>24</v>
      </c>
      <c r="C65" t="inlineStr">
        <is>
          <t>Accrued expenses</t>
        </is>
      </c>
      <c r="D65" s="265" t="n">
        <v>0</v>
      </c>
      <c r="E65" s="265" t="n">
        <v>0</v>
      </c>
      <c r="F65" s="265" t="n">
        <v>0</v>
      </c>
      <c r="G65" s="265" t="n">
        <v>0</v>
      </c>
      <c r="I65" s="265" t="n">
        <v>0</v>
      </c>
      <c r="J65" s="265" t="n">
        <v>0</v>
      </c>
      <c r="K65" s="265" t="n">
        <v>0</v>
      </c>
      <c r="L65" s="265" t="n">
        <v>0</v>
      </c>
      <c r="N65" s="265" t="n">
        <v>0</v>
      </c>
      <c r="O65" s="265" t="n">
        <v>0</v>
      </c>
      <c r="P65" s="265" t="n">
        <v>0</v>
      </c>
      <c r="Q65" s="265" t="n">
        <v>0</v>
      </c>
      <c r="S65" s="265" t="n">
        <v>0</v>
      </c>
      <c r="T65" s="265" t="n">
        <v>0</v>
      </c>
      <c r="U65" s="265" t="n">
        <v>0</v>
      </c>
      <c r="V65" s="265" t="n">
        <v>0</v>
      </c>
      <c r="X65" s="265" t="n">
        <v>0</v>
      </c>
      <c r="Y65" s="265" t="n">
        <v>0</v>
      </c>
      <c r="Z65" s="265" t="n">
        <v>0</v>
      </c>
      <c r="AA65" s="265" t="n">
        <v>0</v>
      </c>
      <c r="AC65" s="265" t="n">
        <v>0</v>
      </c>
      <c r="AD65" s="265" t="n">
        <v>0</v>
      </c>
    </row>
    <row r="66">
      <c r="A66" t="inlineStr">
        <is>
          <t>[vazio] Impostos a pagar: não aparece como linha própria nas demonstrações (zero) · derivada · unid. moeda</t>
        </is>
      </c>
      <c r="B66" t="n">
        <v>25</v>
      </c>
      <c r="C66" t="inlineStr">
        <is>
          <t>Taxes payable</t>
        </is>
      </c>
      <c r="D66" s="265" t="n">
        <v>0</v>
      </c>
      <c r="E66" s="265" t="n">
        <v>0</v>
      </c>
      <c r="F66" s="265" t="n">
        <v>0</v>
      </c>
      <c r="G66" s="265" t="n">
        <v>0</v>
      </c>
      <c r="I66" s="265" t="n">
        <v>0</v>
      </c>
      <c r="J66" s="265" t="n">
        <v>0</v>
      </c>
      <c r="K66" s="265" t="n">
        <v>0</v>
      </c>
      <c r="L66" s="265" t="n">
        <v>0</v>
      </c>
      <c r="N66" s="265" t="n">
        <v>0</v>
      </c>
      <c r="O66" s="265" t="n">
        <v>0</v>
      </c>
      <c r="P66" s="265" t="n">
        <v>0</v>
      </c>
      <c r="Q66" s="265" t="n">
        <v>0</v>
      </c>
      <c r="S66" s="265" t="n">
        <v>0</v>
      </c>
      <c r="T66" s="265" t="n">
        <v>0</v>
      </c>
      <c r="U66" s="265" t="n">
        <v>0</v>
      </c>
      <c r="V66" s="265" t="n">
        <v>0</v>
      </c>
      <c r="X66" s="265" t="n">
        <v>0</v>
      </c>
      <c r="Y66" s="265" t="n">
        <v>0</v>
      </c>
      <c r="Z66" s="265" t="n">
        <v>0</v>
      </c>
      <c r="AA66" s="265" t="n">
        <v>0</v>
      </c>
      <c r="AC66" s="265" t="n">
        <v>0</v>
      </c>
      <c r="AD66" s="265" t="n">
        <v>0</v>
      </c>
    </row>
    <row r="67">
      <c r="A67" t="inlineStr">
        <is>
          <t>[vazio] Dívida CP: não aparece como linha própria nas demonstrações (zero) · derivada · unid. moeda</t>
        </is>
      </c>
      <c r="B67" t="n">
        <v>27</v>
      </c>
      <c r="C67" t="inlineStr">
        <is>
          <t>Current portion of long-term debt</t>
        </is>
      </c>
      <c r="D67" s="265" t="n">
        <v>0</v>
      </c>
      <c r="E67" s="265" t="n">
        <v>0</v>
      </c>
      <c r="F67" s="265" t="n">
        <v>0</v>
      </c>
      <c r="G67" s="265" t="n">
        <v>0</v>
      </c>
      <c r="I67" s="265" t="n">
        <v>0</v>
      </c>
      <c r="J67" s="265" t="n">
        <v>0</v>
      </c>
      <c r="K67" s="265" t="n">
        <v>0</v>
      </c>
      <c r="L67" s="265" t="n">
        <v>0</v>
      </c>
      <c r="N67" s="265" t="n">
        <v>0</v>
      </c>
      <c r="O67" s="265" t="n">
        <v>0</v>
      </c>
      <c r="P67" s="265" t="n">
        <v>0</v>
      </c>
      <c r="Q67" s="265" t="n">
        <v>0</v>
      </c>
      <c r="S67" s="265" t="n">
        <v>0</v>
      </c>
      <c r="T67" s="265" t="n">
        <v>0</v>
      </c>
      <c r="U67" s="265" t="n">
        <v>0</v>
      </c>
      <c r="V67" s="265" t="n">
        <v>0</v>
      </c>
      <c r="X67" s="265" t="n">
        <v>0</v>
      </c>
      <c r="Y67" s="265" t="n">
        <v>0</v>
      </c>
      <c r="Z67" s="265" t="n">
        <v>0</v>
      </c>
      <c r="AA67" s="265" t="n">
        <v>0</v>
      </c>
      <c r="AC67" s="265" t="n">
        <v>0</v>
      </c>
      <c r="AD67" s="265" t="n">
        <v>0</v>
      </c>
    </row>
    <row r="68">
      <c r="A68" t="inlineStr">
        <is>
          <t>[vazio] Revolving: não aparece como linha própria nas demonstrações (zero) · derivada · unid. moeda</t>
        </is>
      </c>
      <c r="B68" t="n">
        <v>28</v>
      </c>
      <c r="C68" t="inlineStr">
        <is>
          <t>Short term debt (Revolving credit facility)</t>
        </is>
      </c>
      <c r="D68" s="265" t="n">
        <v>0</v>
      </c>
      <c r="E68" s="265" t="n">
        <v>0</v>
      </c>
      <c r="F68" s="265" t="n">
        <v>0</v>
      </c>
      <c r="G68" s="265" t="n">
        <v>0</v>
      </c>
      <c r="I68" s="265" t="n">
        <v>0</v>
      </c>
      <c r="J68" s="265" t="n">
        <v>0</v>
      </c>
      <c r="K68" s="265" t="n">
        <v>0</v>
      </c>
      <c r="L68" s="265" t="n">
        <v>0</v>
      </c>
      <c r="N68" s="265" t="n">
        <v>0</v>
      </c>
      <c r="O68" s="265" t="n">
        <v>0</v>
      </c>
      <c r="P68" s="265" t="n">
        <v>0</v>
      </c>
      <c r="Q68" s="265" t="n">
        <v>0</v>
      </c>
      <c r="S68" s="265" t="n">
        <v>0</v>
      </c>
      <c r="T68" s="265" t="n">
        <v>0</v>
      </c>
      <c r="U68" s="265" t="n">
        <v>0</v>
      </c>
      <c r="V68" s="265" t="n">
        <v>0</v>
      </c>
      <c r="X68" s="265" t="n">
        <v>0</v>
      </c>
      <c r="Y68" s="265" t="n">
        <v>0</v>
      </c>
      <c r="Z68" s="265" t="n">
        <v>0</v>
      </c>
      <c r="AA68" s="265" t="n">
        <v>0</v>
      </c>
      <c r="AC68" s="265" t="n">
        <v>0</v>
      </c>
      <c r="AD68" s="265" t="n">
        <v>0</v>
      </c>
    </row>
    <row r="69">
      <c r="A69" t="inlineStr">
        <is>
          <t>[vazio] Arrendamento CP: não aparece como linha própria nas demonstrações (zero) · derivada · unid. moeda</t>
        </is>
      </c>
      <c r="B69" t="n">
        <v>29</v>
      </c>
      <c r="C69" t="inlineStr">
        <is>
          <t>Short term operating leases</t>
        </is>
      </c>
      <c r="D69" s="265" t="n">
        <v>0</v>
      </c>
      <c r="E69" s="265" t="n">
        <v>0</v>
      </c>
      <c r="F69" s="265" t="n">
        <v>0</v>
      </c>
      <c r="G69" s="265" t="n">
        <v>0</v>
      </c>
      <c r="I69" s="265" t="n">
        <v>0</v>
      </c>
      <c r="J69" s="265" t="n">
        <v>0</v>
      </c>
      <c r="K69" s="265" t="n">
        <v>0</v>
      </c>
      <c r="L69" s="265" t="n">
        <v>0</v>
      </c>
      <c r="N69" s="265" t="n">
        <v>0</v>
      </c>
      <c r="O69" s="265" t="n">
        <v>0</v>
      </c>
      <c r="P69" s="265" t="n">
        <v>0</v>
      </c>
      <c r="Q69" s="265" t="n">
        <v>0</v>
      </c>
      <c r="S69" s="265" t="n">
        <v>0</v>
      </c>
      <c r="T69" s="265" t="n">
        <v>0</v>
      </c>
      <c r="U69" s="265" t="n">
        <v>0</v>
      </c>
      <c r="V69" s="265" t="n">
        <v>0</v>
      </c>
      <c r="X69" s="265" t="n">
        <v>0</v>
      </c>
      <c r="Y69" s="265" t="n">
        <v>0</v>
      </c>
      <c r="Z69" s="265" t="n">
        <v>0</v>
      </c>
      <c r="AA69" s="265" t="n">
        <v>0</v>
      </c>
      <c r="AC69" s="265" t="n">
        <v>0</v>
      </c>
      <c r="AD69" s="265" t="n">
        <v>0</v>
      </c>
    </row>
    <row r="70">
      <c r="A70" t="inlineStr">
        <is>
          <t>[vazio] Dívida LP: não aparece como linha própria nas demonstrações (zero) · derivada · unid. moeda</t>
        </is>
      </c>
      <c r="B70" t="n">
        <v>30</v>
      </c>
      <c r="C70" t="inlineStr">
        <is>
          <t>Long term debt</t>
        </is>
      </c>
      <c r="D70" s="265" t="n">
        <v>0</v>
      </c>
      <c r="E70" s="265" t="n">
        <v>0</v>
      </c>
      <c r="F70" s="265" t="n">
        <v>0</v>
      </c>
      <c r="G70" s="265" t="n">
        <v>0</v>
      </c>
      <c r="I70" s="265" t="n">
        <v>0</v>
      </c>
      <c r="J70" s="265" t="n">
        <v>0</v>
      </c>
      <c r="K70" s="265" t="n">
        <v>0</v>
      </c>
      <c r="L70" s="265" t="n">
        <v>0</v>
      </c>
      <c r="N70" s="265" t="n">
        <v>0</v>
      </c>
      <c r="O70" s="265" t="n">
        <v>0</v>
      </c>
      <c r="P70" s="265" t="n">
        <v>0</v>
      </c>
      <c r="Q70" s="265" t="n">
        <v>0</v>
      </c>
      <c r="S70" s="265" t="n">
        <v>0</v>
      </c>
      <c r="T70" s="265" t="n">
        <v>0</v>
      </c>
      <c r="U70" s="265" t="n">
        <v>0</v>
      </c>
      <c r="V70" s="265" t="n">
        <v>0</v>
      </c>
      <c r="X70" s="265" t="n">
        <v>0</v>
      </c>
      <c r="Y70" s="265" t="n">
        <v>0</v>
      </c>
      <c r="Z70" s="265" t="n">
        <v>0</v>
      </c>
      <c r="AA70" s="265" t="n">
        <v>0</v>
      </c>
      <c r="AC70" s="265" t="n">
        <v>0</v>
      </c>
      <c r="AD70" s="265" t="n">
        <v>0</v>
      </c>
    </row>
    <row r="71">
      <c r="A71" t="inlineStr">
        <is>
          <t>[vazio] Arrendamento LP: não aparece como linha própria nas demonstrações (zero) · derivada · unid. moeda</t>
        </is>
      </c>
      <c r="B71" t="n">
        <v>31</v>
      </c>
      <c r="C71" t="inlineStr">
        <is>
          <t>Long term operating leases</t>
        </is>
      </c>
      <c r="D71" s="265" t="n">
        <v>0</v>
      </c>
      <c r="E71" s="265" t="n">
        <v>0</v>
      </c>
      <c r="F71" s="265" t="n">
        <v>0</v>
      </c>
      <c r="G71" s="265" t="n">
        <v>0</v>
      </c>
      <c r="I71" s="265" t="n">
        <v>0</v>
      </c>
      <c r="J71" s="265" t="n">
        <v>0</v>
      </c>
      <c r="K71" s="265" t="n">
        <v>0</v>
      </c>
      <c r="L71" s="265" t="n">
        <v>0</v>
      </c>
      <c r="N71" s="265" t="n">
        <v>0</v>
      </c>
      <c r="O71" s="265" t="n">
        <v>0</v>
      </c>
      <c r="P71" s="265" t="n">
        <v>0</v>
      </c>
      <c r="Q71" s="265" t="n">
        <v>0</v>
      </c>
      <c r="S71" s="265" t="n">
        <v>0</v>
      </c>
      <c r="T71" s="265" t="n">
        <v>0</v>
      </c>
      <c r="U71" s="265" t="n">
        <v>0</v>
      </c>
      <c r="V71" s="265" t="n">
        <v>0</v>
      </c>
      <c r="X71" s="265" t="n">
        <v>0</v>
      </c>
      <c r="Y71" s="265" t="n">
        <v>0</v>
      </c>
      <c r="Z71" s="265" t="n">
        <v>0</v>
      </c>
      <c r="AA71" s="265" t="n">
        <v>0</v>
      </c>
      <c r="AC71" s="265" t="n">
        <v>0</v>
      </c>
      <c r="AD71" s="265" t="n">
        <v>0</v>
      </c>
    </row>
    <row r="72">
      <c r="A72" t="inlineStr">
        <is>
          <t>[vazio] Dívida conversível: não aparece como linha própria nas demonstrações (zero) · derivada · unid. moeda</t>
        </is>
      </c>
      <c r="B72" t="n">
        <v>32</v>
      </c>
      <c r="C72" t="inlineStr">
        <is>
          <t>Convertible debt</t>
        </is>
      </c>
      <c r="D72" s="265" t="n">
        <v>0</v>
      </c>
      <c r="E72" s="265" t="n">
        <v>0</v>
      </c>
      <c r="F72" s="265" t="n">
        <v>0</v>
      </c>
      <c r="G72" s="265" t="n">
        <v>0</v>
      </c>
      <c r="I72" s="265" t="n">
        <v>0</v>
      </c>
      <c r="J72" s="265" t="n">
        <v>0</v>
      </c>
      <c r="K72" s="265" t="n">
        <v>0</v>
      </c>
      <c r="L72" s="265" t="n">
        <v>0</v>
      </c>
      <c r="N72" s="265" t="n">
        <v>0</v>
      </c>
      <c r="O72" s="265" t="n">
        <v>0</v>
      </c>
      <c r="P72" s="265" t="n">
        <v>0</v>
      </c>
      <c r="Q72" s="265" t="n">
        <v>0</v>
      </c>
      <c r="S72" s="265" t="n">
        <v>0</v>
      </c>
      <c r="T72" s="265" t="n">
        <v>0</v>
      </c>
      <c r="U72" s="265" t="n">
        <v>0</v>
      </c>
      <c r="V72" s="265" t="n">
        <v>0</v>
      </c>
      <c r="X72" s="265" t="n">
        <v>0</v>
      </c>
      <c r="Y72" s="265" t="n">
        <v>0</v>
      </c>
      <c r="Z72" s="265" t="n">
        <v>0</v>
      </c>
      <c r="AA72" s="265" t="n">
        <v>0</v>
      </c>
      <c r="AC72" s="265" t="n">
        <v>0</v>
      </c>
      <c r="AD72" s="265" t="n">
        <v>0</v>
      </c>
    </row>
    <row r="73">
      <c r="A73" t="inlineStr">
        <is>
          <t>[vazio] IR diferido passivo: não aparece como linha própria nas demonstrações (zero) · derivada · unid. moeda</t>
        </is>
      </c>
      <c r="B73" t="n">
        <v>33</v>
      </c>
      <c r="C73" t="inlineStr">
        <is>
          <t>Deferred income taxes</t>
        </is>
      </c>
      <c r="D73" s="265" t="n">
        <v>0</v>
      </c>
      <c r="E73" s="265" t="n">
        <v>0</v>
      </c>
      <c r="F73" s="265" t="n">
        <v>0</v>
      </c>
      <c r="G73" s="265" t="n">
        <v>0</v>
      </c>
      <c r="I73" s="265" t="n">
        <v>0</v>
      </c>
      <c r="J73" s="265" t="n">
        <v>0</v>
      </c>
      <c r="K73" s="265" t="n">
        <v>0</v>
      </c>
      <c r="L73" s="265" t="n">
        <v>0</v>
      </c>
      <c r="N73" s="265" t="n">
        <v>0</v>
      </c>
      <c r="O73" s="265" t="n">
        <v>0</v>
      </c>
      <c r="P73" s="265" t="n">
        <v>0</v>
      </c>
      <c r="Q73" s="265" t="n">
        <v>0</v>
      </c>
      <c r="S73" s="265" t="n">
        <v>0</v>
      </c>
      <c r="T73" s="265" t="n">
        <v>0</v>
      </c>
      <c r="U73" s="265" t="n">
        <v>0</v>
      </c>
      <c r="V73" s="265" t="n">
        <v>0</v>
      </c>
      <c r="X73" s="265" t="n">
        <v>0</v>
      </c>
      <c r="Y73" s="265" t="n">
        <v>0</v>
      </c>
      <c r="Z73" s="265" t="n">
        <v>0</v>
      </c>
      <c r="AA73" s="265" t="n">
        <v>0</v>
      </c>
      <c r="AC73" s="265" t="n">
        <v>0</v>
      </c>
      <c r="AD73" s="265" t="n">
        <v>0</v>
      </c>
    </row>
    <row r="74">
      <c r="A74" t="inlineStr">
        <is>
          <t>[vazio] Tesouraria: não aparece como linha própria nas demonstrações (zero) · derivada · unid. moeda</t>
        </is>
      </c>
      <c r="B74" t="n">
        <v>38</v>
      </c>
      <c r="C74" t="inlineStr">
        <is>
          <t>Treasury stock (contra account)</t>
        </is>
      </c>
      <c r="D74" s="265" t="n">
        <v>0</v>
      </c>
      <c r="E74" s="265" t="n">
        <v>0</v>
      </c>
      <c r="F74" s="265" t="n">
        <v>0</v>
      </c>
      <c r="G74" s="265" t="n">
        <v>0</v>
      </c>
      <c r="I74" s="265" t="n">
        <v>0</v>
      </c>
      <c r="J74" s="265" t="n">
        <v>0</v>
      </c>
      <c r="K74" s="265" t="n">
        <v>0</v>
      </c>
      <c r="L74" s="265" t="n">
        <v>0</v>
      </c>
      <c r="N74" s="265" t="n">
        <v>0</v>
      </c>
      <c r="O74" s="265" t="n">
        <v>0</v>
      </c>
      <c r="P74" s="265" t="n">
        <v>0</v>
      </c>
      <c r="Q74" s="265" t="n">
        <v>0</v>
      </c>
      <c r="S74" s="265" t="n">
        <v>0</v>
      </c>
      <c r="T74" s="265" t="n">
        <v>0</v>
      </c>
      <c r="U74" s="265" t="n">
        <v>0</v>
      </c>
      <c r="V74" s="265" t="n">
        <v>0</v>
      </c>
      <c r="X74" s="265" t="n">
        <v>0</v>
      </c>
      <c r="Y74" s="265" t="n">
        <v>0</v>
      </c>
      <c r="Z74" s="265" t="n">
        <v>0</v>
      </c>
      <c r="AA74" s="265" t="n">
        <v>0</v>
      </c>
      <c r="AC74" s="265" t="n">
        <v>0</v>
      </c>
      <c r="AD74" s="265" t="n">
        <v>0</v>
      </c>
    </row>
    <row r="75">
      <c r="A75" t="inlineStr">
        <is>
          <t>BALANÇO - totais divulgados (memória)</t>
        </is>
      </c>
      <c r="C75" t="inlineStr">
        <is>
          <t>[linha bruta, sem código; lançada nas linhas abaixo]</t>
        </is>
      </c>
      <c r="D75" s="265" t="n"/>
      <c r="E75" s="265" t="n"/>
      <c r="F75" s="265" t="n"/>
      <c r="G75" s="265" t="n"/>
      <c r="I75" s="265" t="n"/>
      <c r="J75" s="265" t="n"/>
      <c r="K75" s="265" t="n"/>
      <c r="L75" s="265" t="n"/>
      <c r="N75" s="265" t="n"/>
      <c r="O75" s="265" t="n"/>
      <c r="P75" s="265" t="n"/>
      <c r="Q75" s="265" t="n"/>
      <c r="S75" s="265" t="n"/>
      <c r="T75" s="265" t="n"/>
      <c r="U75" s="265" t="n"/>
      <c r="V75" s="265" t="n"/>
      <c r="X75" s="265" t="n"/>
      <c r="Y75" s="265" t="n"/>
      <c r="Z75" s="265" t="n"/>
      <c r="AA75" s="265" t="n"/>
      <c r="AC75" s="265" t="n"/>
      <c r="AD75" s="265" t="n"/>
    </row>
    <row r="76">
      <c r="A76" t="inlineStr">
        <is>
          <t>Total do ativo [us-gaap:Assets] · memoria · unid. moeda</t>
        </is>
      </c>
      <c r="C76" t="inlineStr">
        <is>
          <t>[linha bruta, sem código; lançada nas linhas abaixo]</t>
        </is>
      </c>
      <c r="D76" s="265" t="n">
        <v>52972000</v>
      </c>
      <c r="E76" s="265" t="n">
        <v>55146000</v>
      </c>
      <c r="F76" s="265" t="n">
        <v>57834000</v>
      </c>
      <c r="G76" s="265" t="n">
        <v>62131000</v>
      </c>
      <c r="I76" s="265" t="n">
        <v>66038000</v>
      </c>
      <c r="J76" s="265" t="n">
        <v>68513000</v>
      </c>
      <c r="K76" s="265" t="n">
        <v>74426000</v>
      </c>
      <c r="L76" s="265" t="n">
        <v>82338000</v>
      </c>
      <c r="N76" s="265" t="n">
        <v>86833000</v>
      </c>
      <c r="O76" s="265" t="n">
        <v>90591000</v>
      </c>
      <c r="P76" s="265" t="n">
        <v>93941000</v>
      </c>
      <c r="Q76" s="265" t="n">
        <v>106618000</v>
      </c>
      <c r="S76" s="265" t="n">
        <v>109226000</v>
      </c>
      <c r="T76" s="265" t="n">
        <v>112832000</v>
      </c>
      <c r="U76" s="265" t="n">
        <v>119852000</v>
      </c>
      <c r="V76" s="265" t="n">
        <v>122070000</v>
      </c>
      <c r="X76" s="265" t="n">
        <v>125111000</v>
      </c>
      <c r="Y76" s="265" t="n">
        <v>128567000</v>
      </c>
      <c r="Z76" s="265" t="n">
        <v>133735000</v>
      </c>
      <c r="AA76" s="265" t="n">
        <v>137806000</v>
      </c>
      <c r="AC76" s="265" t="n">
        <v>143724000</v>
      </c>
      <c r="AD76" s="265" t="n">
        <v>148524000</v>
      </c>
    </row>
    <row r="77">
      <c r="A77" t="inlineStr">
        <is>
          <t>Total do passivo + PL [us-gaap:LiabilitiesAndStockholdersEquity] · memoria · unid. moeda</t>
        </is>
      </c>
      <c r="C77" t="inlineStr">
        <is>
          <t>[linha bruta, sem código; lançada nas linhas abaixo]</t>
        </is>
      </c>
      <c r="D77" s="265" t="n">
        <v>52972000</v>
      </c>
      <c r="E77" s="265" t="n">
        <v>55146000</v>
      </c>
      <c r="F77" s="265" t="n">
        <v>57834000</v>
      </c>
      <c r="G77" s="265" t="n">
        <v>62131000</v>
      </c>
      <c r="I77" s="265" t="n">
        <v>66038000</v>
      </c>
      <c r="J77" s="265" t="n">
        <v>68513000</v>
      </c>
      <c r="K77" s="265" t="n">
        <v>74426000</v>
      </c>
      <c r="L77" s="265" t="n">
        <v>82338000</v>
      </c>
      <c r="N77" s="265" t="n">
        <v>86833000</v>
      </c>
      <c r="O77" s="265" t="n">
        <v>90591000</v>
      </c>
      <c r="P77" s="265" t="n">
        <v>93941000</v>
      </c>
      <c r="Q77" s="265" t="n">
        <v>106618000</v>
      </c>
      <c r="S77" s="265" t="n">
        <v>109226000</v>
      </c>
      <c r="T77" s="265" t="n">
        <v>112832000</v>
      </c>
      <c r="U77" s="265" t="n">
        <v>119852000</v>
      </c>
      <c r="V77" s="265" t="n">
        <v>122070000</v>
      </c>
      <c r="X77" s="265" t="n">
        <v>125111000</v>
      </c>
      <c r="Y77" s="265" t="n">
        <v>128567000</v>
      </c>
      <c r="Z77" s="265" t="n">
        <v>133735000</v>
      </c>
      <c r="AA77" s="265" t="n">
        <v>137806000</v>
      </c>
      <c r="AC77" s="265" t="n">
        <v>143724000</v>
      </c>
      <c r="AD77" s="265" t="n">
        <v>148524000</v>
      </c>
    </row>
    <row r="78">
      <c r="A78" t="inlineStr">
        <is>
          <t>CHECKS (devem ser 0)</t>
        </is>
      </c>
      <c r="C78" t="inlineStr">
        <is>
          <t>[linha bruta, sem código; lançada nas linhas abaixo]</t>
        </is>
      </c>
      <c r="D78" s="265" t="n"/>
      <c r="E78" s="265" t="n"/>
      <c r="F78" s="265" t="n"/>
      <c r="G78" s="265" t="n"/>
      <c r="I78" s="265" t="n"/>
      <c r="J78" s="265" t="n"/>
      <c r="K78" s="265" t="n"/>
      <c r="L78" s="265" t="n"/>
      <c r="N78" s="265" t="n"/>
      <c r="O78" s="265" t="n"/>
      <c r="P78" s="265" t="n"/>
      <c r="Q78" s="265" t="n"/>
      <c r="S78" s="265" t="n"/>
      <c r="T78" s="265" t="n"/>
      <c r="U78" s="265" t="n"/>
      <c r="V78" s="265" t="n"/>
      <c r="X78" s="265" t="n"/>
      <c r="Y78" s="265" t="n"/>
      <c r="Z78" s="265" t="n"/>
      <c r="AA78" s="265" t="n"/>
      <c r="AC78" s="265" t="n"/>
      <c r="AD78" s="265" t="n"/>
    </row>
    <row r="79">
      <c r="A79" t="inlineStr">
        <is>
          <t>CHECK: contas de ativo - ativo total (USD, arredondado a 100 mil) · derivada · unid. moeda</t>
        </is>
      </c>
      <c r="C79" t="inlineStr">
        <is>
          <t>[linha bruta, sem código; lançada nas linhas abaixo]</t>
        </is>
      </c>
      <c r="D79" s="265">
        <f>ROUND(N(D30)+N(D31)+N(D32)+N(D33)+N(D34)+N(D35)+N(D36)+N(D37)+N(D38)+N(D39)+N(D40)+N(D41)+N(D42)+N(D43)+N(D44)+N(D45)+N(D46)+N(D47)-N(D76),-2)</f>
        <v>0</v>
      </c>
      <c r="E79" s="265">
        <f>ROUND(N(E30)+N(E31)+N(E32)+N(E33)+N(E34)+N(E35)+N(E36)+N(E37)+N(E38)+N(E39)+N(E40)+N(E41)+N(E42)+N(E43)+N(E44)+N(E45)+N(E46)+N(E47)-N(E76),-2)</f>
        <v>0</v>
      </c>
      <c r="F79" s="265">
        <f>ROUND(N(F30)+N(F31)+N(F32)+N(F33)+N(F34)+N(F35)+N(F36)+N(F37)+N(F38)+N(F39)+N(F40)+N(F41)+N(F42)+N(F43)+N(F44)+N(F45)+N(F46)+N(F47)-N(F76),-2)</f>
        <v>0</v>
      </c>
      <c r="G79" s="265">
        <f>ROUND(N(G30)+N(G31)+N(G32)+N(G33)+N(G34)+N(G35)+N(G36)+N(G37)+N(G38)+N(G39)+N(G40)+N(G41)+N(G42)+N(G43)+N(G44)+N(G45)+N(G46)+N(G47)-N(G76),-2)</f>
        <v>0</v>
      </c>
      <c r="I79" s="265">
        <f>ROUND(N(I30)+N(I31)+N(I32)+N(I33)+N(I34)+N(I35)+N(I36)+N(I37)+N(I38)+N(I39)+N(I40)+N(I41)+N(I42)+N(I43)+N(I44)+N(I45)+N(I46)+N(I47)-N(I76),-2)</f>
        <v>0</v>
      </c>
      <c r="J79" s="265">
        <f>ROUND(N(J30)+N(J31)+N(J32)+N(J33)+N(J34)+N(J35)+N(J36)+N(J37)+N(J38)+N(J39)+N(J40)+N(J41)+N(J42)+N(J43)+N(J44)+N(J45)+N(J46)+N(J47)-N(J76),-2)</f>
        <v>0</v>
      </c>
      <c r="K79" s="265">
        <f>ROUND(N(K30)+N(K31)+N(K32)+N(K33)+N(K34)+N(K35)+N(K36)+N(K37)+N(K38)+N(K39)+N(K40)+N(K41)+N(K42)+N(K43)+N(K44)+N(K45)+N(K46)+N(K47)-N(K76),-2)</f>
        <v>0</v>
      </c>
      <c r="L79" s="265">
        <f>ROUND(N(L30)+N(L31)+N(L32)+N(L33)+N(L34)+N(L35)+N(L36)+N(L37)+N(L38)+N(L39)+N(L40)+N(L41)+N(L42)+N(L43)+N(L44)+N(L45)+N(L46)+N(L47)-N(L76),-2)</f>
        <v>0</v>
      </c>
      <c r="N79" s="265">
        <f>ROUND(N(N30)+N(N31)+N(N32)+N(N33)+N(N34)+N(N35)+N(N36)+N(N37)+N(N38)+N(N39)+N(N40)+N(N41)+N(N42)+N(N43)+N(N44)+N(N45)+N(N46)+N(N47)-N(N76),-2)</f>
        <v>0</v>
      </c>
      <c r="O79" s="265">
        <f>ROUND(N(O30)+N(O31)+N(O32)+N(O33)+N(O34)+N(O35)+N(O36)+N(O37)+N(O38)+N(O39)+N(O40)+N(O41)+N(O42)+N(O43)+N(O44)+N(O45)+N(O46)+N(O47)-N(O76),-2)</f>
        <v>0</v>
      </c>
      <c r="P79" s="265">
        <f>ROUND(N(P30)+N(P31)+N(P32)+N(P33)+N(P34)+N(P35)+N(P36)+N(P37)+N(P38)+N(P39)+N(P40)+N(P41)+N(P42)+N(P43)+N(P44)+N(P45)+N(P46)+N(P47)-N(P76),-2)</f>
        <v>0</v>
      </c>
      <c r="Q79" s="265">
        <f>ROUND(N(Q30)+N(Q31)+N(Q32)+N(Q33)+N(Q34)+N(Q35)+N(Q36)+N(Q37)+N(Q38)+N(Q39)+N(Q40)+N(Q41)+N(Q42)+N(Q43)+N(Q44)+N(Q45)+N(Q46)+N(Q47)-N(Q76),-2)</f>
        <v>0</v>
      </c>
      <c r="S79" s="265">
        <f>ROUND(N(S30)+N(S31)+N(S32)+N(S33)+N(S34)+N(S35)+N(S36)+N(S37)+N(S38)+N(S39)+N(S40)+N(S41)+N(S42)+N(S43)+N(S44)+N(S45)+N(S46)+N(S47)-N(S76),-2)</f>
        <v>0</v>
      </c>
      <c r="T79" s="265">
        <f>ROUND(N(T30)+N(T31)+N(T32)+N(T33)+N(T34)+N(T35)+N(T36)+N(T37)+N(T38)+N(T39)+N(T40)+N(T41)+N(T42)+N(T43)+N(T44)+N(T45)+N(T46)+N(T47)-N(T76),-2)</f>
        <v>0</v>
      </c>
      <c r="U79" s="265">
        <f>ROUND(N(U30)+N(U31)+N(U32)+N(U33)+N(U34)+N(U35)+N(U36)+N(U37)+N(U38)+N(U39)+N(U40)+N(U41)+N(U42)+N(U43)+N(U44)+N(U45)+N(U46)+N(U47)-N(U76),-2)</f>
        <v>0</v>
      </c>
      <c r="V79" s="265">
        <f>ROUND(N(V30)+N(V31)+N(V32)+N(V33)+N(V34)+N(V35)+N(V36)+N(V37)+N(V38)+N(V39)+N(V40)+N(V41)+N(V42)+N(V43)+N(V44)+N(V45)+N(V46)+N(V47)-N(V76),-2)</f>
        <v>0</v>
      </c>
      <c r="X79" s="265">
        <f>ROUND(N(X30)+N(X31)+N(X32)+N(X33)+N(X34)+N(X35)+N(X36)+N(X37)+N(X38)+N(X39)+N(X40)+N(X41)+N(X42)+N(X43)+N(X44)+N(X45)+N(X46)+N(X47)-N(X76),-2)</f>
        <v>0</v>
      </c>
      <c r="Y79" s="265">
        <f>ROUND(N(Y30)+N(Y31)+N(Y32)+N(Y33)+N(Y34)+N(Y35)+N(Y36)+N(Y37)+N(Y38)+N(Y39)+N(Y40)+N(Y41)+N(Y42)+N(Y43)+N(Y44)+N(Y45)+N(Y46)+N(Y47)-N(Y76),-2)</f>
        <v>0</v>
      </c>
      <c r="Z79" s="265">
        <f>ROUND(N(Z30)+N(Z31)+N(Z32)+N(Z33)+N(Z34)+N(Z35)+N(Z36)+N(Z37)+N(Z38)+N(Z39)+N(Z40)+N(Z41)+N(Z42)+N(Z43)+N(Z44)+N(Z45)+N(Z46)+N(Z47)-N(Z76),-2)</f>
        <v>0</v>
      </c>
      <c r="AA79" s="265">
        <f>ROUND(N(AA30)+N(AA31)+N(AA32)+N(AA33)+N(AA34)+N(AA35)+N(AA36)+N(AA37)+N(AA38)+N(AA39)+N(AA40)+N(AA41)+N(AA42)+N(AA43)+N(AA44)+N(AA45)+N(AA46)+N(AA47)-N(AA76),-2)</f>
        <v>0</v>
      </c>
      <c r="AC79" s="265">
        <f>ROUND(N(AC30)+N(AC31)+N(AC32)+N(AC33)+N(AC34)+N(AC35)+N(AC36)+N(AC37)+N(AC38)+N(AC39)+N(AC40)+N(AC41)+N(AC42)+N(AC43)+N(AC44)+N(AC45)+N(AC46)+N(AC47)-N(AC76),-2)</f>
        <v>0</v>
      </c>
      <c r="AD79" s="265">
        <f>ROUND(N(AD30)+N(AD31)+N(AD32)+N(AD33)+N(AD34)+N(AD35)+N(AD36)+N(AD37)+N(AD38)+N(AD39)+N(AD40)+N(AD41)+N(AD42)+N(AD43)+N(AD44)+N(AD45)+N(AD46)+N(AD47)-N(AD76),-2)</f>
        <v>0</v>
      </c>
    </row>
    <row r="80">
      <c r="A80" t="inlineStr">
        <is>
          <t>CHECK: passivo + PL (contas) - passivo + PL total · derivada · unid. moeda</t>
        </is>
      </c>
      <c r="C80" t="inlineStr">
        <is>
          <t>[linha bruta, sem código; lançada nas linhas abaixo]</t>
        </is>
      </c>
      <c r="D80" s="265">
        <f>ROUND(N(D48)+N(D49)+N(D50)+N(D51)+N(D52)+N(D53)+N(D54)+N(D55)+N(D56)+N(D57)+N(D58)+N(D59)+N(D60)+N(D61)+N(D62)-N(D77),-2)</f>
        <v>0</v>
      </c>
      <c r="E80" s="265">
        <f>ROUND(N(E48)+N(E49)+N(E50)+N(E51)+N(E52)+N(E53)+N(E54)+N(E55)+N(E56)+N(E57)+N(E58)+N(E59)+N(E60)+N(E61)+N(E62)-N(E77),-2)</f>
        <v>0</v>
      </c>
      <c r="F80" s="265">
        <f>ROUND(N(F48)+N(F49)+N(F50)+N(F51)+N(F52)+N(F53)+N(F54)+N(F55)+N(F56)+N(F57)+N(F58)+N(F59)+N(F60)+N(F61)+N(F62)-N(F77),-2)</f>
        <v>0</v>
      </c>
      <c r="G80" s="265">
        <f>ROUND(N(G48)+N(G49)+N(G50)+N(G51)+N(G52)+N(G53)+N(G54)+N(G55)+N(G56)+N(G57)+N(G58)+N(G59)+N(G60)+N(G61)+N(G62)-N(G77),-2)</f>
        <v>0</v>
      </c>
      <c r="I80" s="265">
        <f>ROUND(N(I48)+N(I49)+N(I50)+N(I51)+N(I52)+N(I53)+N(I54)+N(I55)+N(I56)+N(I57)+N(I58)+N(I59)+N(I60)+N(I61)+N(I62)-N(I77),-2)</f>
        <v>0</v>
      </c>
      <c r="J80" s="265">
        <f>ROUND(N(J48)+N(J49)+N(J50)+N(J51)+N(J52)+N(J53)+N(J54)+N(J55)+N(J56)+N(J57)+N(J58)+N(J59)+N(J60)+N(J61)+N(J62)-N(J77),-2)</f>
        <v>0</v>
      </c>
      <c r="K80" s="265">
        <f>ROUND(N(K48)+N(K49)+N(K50)+N(K51)+N(K52)+N(K53)+N(K54)+N(K55)+N(K56)+N(K57)+N(K58)+N(K59)+N(K60)+N(K61)+N(K62)-N(K77),-2)</f>
        <v>0</v>
      </c>
      <c r="L80" s="265">
        <f>ROUND(N(L48)+N(L49)+N(L50)+N(L51)+N(L52)+N(L53)+N(L54)+N(L55)+N(L56)+N(L57)+N(L58)+N(L59)+N(L60)+N(L61)+N(L62)-N(L77),-2)</f>
        <v>0</v>
      </c>
      <c r="N80" s="265">
        <f>ROUND(N(N48)+N(N49)+N(N50)+N(N51)+N(N52)+N(N53)+N(N54)+N(N55)+N(N56)+N(N57)+N(N58)+N(N59)+N(N60)+N(N61)+N(N62)-N(N77),-2)</f>
        <v>0</v>
      </c>
      <c r="O80" s="265">
        <f>ROUND(N(O48)+N(O49)+N(O50)+N(O51)+N(O52)+N(O53)+N(O54)+N(O55)+N(O56)+N(O57)+N(O58)+N(O59)+N(O60)+N(O61)+N(O62)-N(O77),-2)</f>
        <v>0</v>
      </c>
      <c r="P80" s="265">
        <f>ROUND(N(P48)+N(P49)+N(P50)+N(P51)+N(P52)+N(P53)+N(P54)+N(P55)+N(P56)+N(P57)+N(P58)+N(P59)+N(P60)+N(P61)+N(P62)-N(P77),-2)</f>
        <v>0</v>
      </c>
      <c r="Q80" s="265">
        <f>ROUND(N(Q48)+N(Q49)+N(Q50)+N(Q51)+N(Q52)+N(Q53)+N(Q54)+N(Q55)+N(Q56)+N(Q57)+N(Q58)+N(Q59)+N(Q60)+N(Q61)+N(Q62)-N(Q77),-2)</f>
        <v>0</v>
      </c>
      <c r="S80" s="265">
        <f>ROUND(N(S48)+N(S49)+N(S50)+N(S51)+N(S52)+N(S53)+N(S54)+N(S55)+N(S56)+N(S57)+N(S58)+N(S59)+N(S60)+N(S61)+N(S62)-N(S77),-2)</f>
        <v>0</v>
      </c>
      <c r="T80" s="265">
        <f>ROUND(N(T48)+N(T49)+N(T50)+N(T51)+N(T52)+N(T53)+N(T54)+N(T55)+N(T56)+N(T57)+N(T58)+N(T59)+N(T60)+N(T61)+N(T62)-N(T77),-2)</f>
        <v>0</v>
      </c>
      <c r="U80" s="265">
        <f>ROUND(N(U48)+N(U49)+N(U50)+N(U51)+N(U52)+N(U53)+N(U54)+N(U55)+N(U56)+N(U57)+N(U58)+N(U59)+N(U60)+N(U61)+N(U62)-N(U77),-2)</f>
        <v>0</v>
      </c>
      <c r="V80" s="265">
        <f>ROUND(N(V48)+N(V49)+N(V50)+N(V51)+N(V52)+N(V53)+N(V54)+N(V55)+N(V56)+N(V57)+N(V58)+N(V59)+N(V60)+N(V61)+N(V62)-N(V77),-2)</f>
        <v>0</v>
      </c>
      <c r="X80" s="265">
        <f>ROUND(N(X48)+N(X49)+N(X50)+N(X51)+N(X52)+N(X53)+N(X54)+N(X55)+N(X56)+N(X57)+N(X58)+N(X59)+N(X60)+N(X61)+N(X62)-N(X77),-2)</f>
        <v>0</v>
      </c>
      <c r="Y80" s="265">
        <f>ROUND(N(Y48)+N(Y49)+N(Y50)+N(Y51)+N(Y52)+N(Y53)+N(Y54)+N(Y55)+N(Y56)+N(Y57)+N(Y58)+N(Y59)+N(Y60)+N(Y61)+N(Y62)-N(Y77),-2)</f>
        <v>0</v>
      </c>
      <c r="Z80" s="265">
        <f>ROUND(N(Z48)+N(Z49)+N(Z50)+N(Z51)+N(Z52)+N(Z53)+N(Z54)+N(Z55)+N(Z56)+N(Z57)+N(Z58)+N(Z59)+N(Z60)+N(Z61)+N(Z62)-N(Z77),-2)</f>
        <v>0</v>
      </c>
      <c r="AA80" s="265">
        <f>ROUND(N(AA48)+N(AA49)+N(AA50)+N(AA51)+N(AA52)+N(AA53)+N(AA54)+N(AA55)+N(AA56)+N(AA57)+N(AA58)+N(AA59)+N(AA60)+N(AA61)+N(AA62)-N(AA77),-2)</f>
        <v>0</v>
      </c>
      <c r="AC80" s="265">
        <f>ROUND(N(AC48)+N(AC49)+N(AC50)+N(AC51)+N(AC52)+N(AC53)+N(AC54)+N(AC55)+N(AC56)+N(AC57)+N(AC58)+N(AC59)+N(AC60)+N(AC61)+N(AC62)-N(AC77),-2)</f>
        <v>0</v>
      </c>
      <c r="AD80" s="265">
        <f>ROUND(N(AD48)+N(AD49)+N(AD50)+N(AD51)+N(AD52)+N(AD53)+N(AD54)+N(AD55)+N(AD56)+N(AD57)+N(AD58)+N(AD59)+N(AD60)+N(AD61)+N(AD62)-N(AD77),-2)</f>
        <v>0</v>
      </c>
    </row>
    <row r="81">
      <c r="A81" t="inlineStr">
        <is>
          <t>CHECK: receita - custo - despesas + não operacional - IR - minoritários + outros após IR - lucro (deve ser 0) · derivada</t>
        </is>
      </c>
      <c r="C81" t="inlineStr">
        <is>
          <t>[linha bruta, sem código; lançada nas linhas abaixo]</t>
        </is>
      </c>
      <c r="D81" s="265">
        <f>ROUND(N(D5)-N(D6)-N(D9)+N(D12)-N(D16)-N(D18)+N(D21)-N(D22),-2)</f>
        <v>0</v>
      </c>
      <c r="E81" s="265">
        <f>ROUND(N(E5)-N(E6)-N(E9)+N(E12)-N(E16)-N(E18)+N(E21)-N(E22),-2)</f>
        <v>0</v>
      </c>
      <c r="F81" s="265">
        <f>ROUND(N(F5)-N(F6)-N(F9)+N(F12)-N(F16)-N(F18)+N(F21)-N(F22),-2)</f>
        <v>0</v>
      </c>
      <c r="G81" s="265">
        <f>ROUND(N(G5)-N(G6)-N(G9)+N(G12)-N(G16)-N(G18)+N(G21)-N(G22),-2)</f>
        <v>0</v>
      </c>
      <c r="I81" s="265">
        <f>ROUND(N(I5)-N(I6)-N(I9)+N(I12)-N(I16)-N(I18)+N(I21)-N(I22),-2)</f>
        <v>0</v>
      </c>
      <c r="J81" s="265">
        <f>ROUND(N(J5)-N(J6)-N(J9)+N(J12)-N(J16)-N(J18)+N(J21)-N(J22),-2)</f>
        <v>0</v>
      </c>
      <c r="K81" s="265">
        <f>ROUND(N(K5)-N(K6)-N(K9)+N(K12)-N(K16)-N(K18)+N(K21)-N(K22),-2)</f>
        <v>0</v>
      </c>
      <c r="L81" s="265">
        <f>ROUND(N(L5)-N(L6)-N(L9)+N(L12)-N(L16)-N(L18)+N(L21)-N(L22),-2)</f>
        <v>0</v>
      </c>
      <c r="N81" s="265">
        <f>ROUND(N(N5)-N(N6)-N(N9)+N(N12)-N(N16)-N(N18)+N(N21)-N(N22),-2)</f>
        <v>0</v>
      </c>
      <c r="O81" s="265">
        <f>ROUND(N(O5)-N(O6)-N(O9)+N(O12)-N(O16)-N(O18)+N(O21)-N(O22),-2)</f>
        <v>0</v>
      </c>
      <c r="P81" s="265">
        <f>ROUND(N(P5)-N(P6)-N(P9)+N(P12)-N(P16)-N(P18)+N(P21)-N(P22),-2)</f>
        <v>0</v>
      </c>
      <c r="Q81" s="265">
        <f>ROUND(N(Q5)-N(Q6)-N(Q9)+N(Q12)-N(Q16)-N(Q18)+N(Q21)-N(Q22),-2)</f>
        <v>0</v>
      </c>
      <c r="S81" s="265">
        <f>ROUND(N(S5)-N(S6)-N(S9)+N(S12)-N(S16)-N(S18)+N(S21)-N(S22),-2)</f>
        <v>0</v>
      </c>
      <c r="T81" s="265">
        <f>ROUND(N(T5)-N(T6)-N(T9)+N(T12)-N(T16)-N(T18)+N(T21)-N(T22),-2)</f>
        <v>0</v>
      </c>
      <c r="U81" s="265">
        <f>ROUND(N(U5)-N(U6)-N(U9)+N(U12)-N(U16)-N(U18)+N(U21)-N(U22),-2)</f>
        <v>0</v>
      </c>
      <c r="V81" s="265">
        <f>ROUND(N(V5)-N(V6)-N(V9)+N(V12)-N(V16)-N(V18)+N(V21)-N(V22),-2)</f>
        <v>0</v>
      </c>
      <c r="X81" s="265">
        <f>ROUND(N(X5)-N(X6)-N(X9)+N(X12)-N(X16)-N(X18)+N(X21)-N(X22),-2)</f>
        <v>0</v>
      </c>
      <c r="Y81" s="265">
        <f>ROUND(N(Y5)-N(Y6)-N(Y9)+N(Y12)-N(Y16)-N(Y18)+N(Y21)-N(Y22),-2)</f>
        <v>0</v>
      </c>
      <c r="Z81" s="265">
        <f>ROUND(N(Z5)-N(Z6)-N(Z9)+N(Z12)-N(Z16)-N(Z18)+N(Z21)-N(Z22),-2)</f>
        <v>0</v>
      </c>
      <c r="AA81" s="265">
        <f>ROUND(N(AA5)-N(AA6)-N(AA9)+N(AA12)-N(AA16)-N(AA18)+N(AA21)-N(AA22),-2)</f>
        <v>0</v>
      </c>
      <c r="AC81" s="265">
        <f>ROUND(N(AC5)-N(AC6)-N(AC9)+N(AC12)-N(AC16)-N(AC18)+N(AC21)-N(AC22),-2)</f>
        <v>0</v>
      </c>
      <c r="AD81" s="265">
        <f>ROUND(N(AD5)-N(AD6)-N(AD9)+N(AD12)-N(AD16)-N(AD18)+N(AD21)-N(AD22),-2)</f>
        <v>0</v>
      </c>
    </row>
    <row r="82">
      <c r="D82" s="265" t="n"/>
      <c r="E82" s="265" t="n"/>
      <c r="F82" s="265" t="n"/>
      <c r="G82" s="265" t="n"/>
      <c r="I82" s="265" t="n"/>
      <c r="J82" s="265" t="n"/>
      <c r="K82" s="265" t="n"/>
      <c r="L82" s="265" t="n"/>
      <c r="N82" s="265" t="n"/>
      <c r="O82" s="265" t="n"/>
      <c r="P82" s="265" t="n"/>
      <c r="Q82" s="265" t="n"/>
      <c r="S82" s="265" t="n"/>
      <c r="T82" s="265" t="n"/>
      <c r="U82" s="265" t="n"/>
      <c r="V82" s="265" t="n"/>
      <c r="X82" s="265" t="n"/>
      <c r="Y82" s="265" t="n"/>
      <c r="Z82" s="265" t="n"/>
      <c r="AA82" s="265" t="n"/>
      <c r="AC82" s="265" t="n"/>
      <c r="AD82" s="265" t="n"/>
    </row>
    <row r="83">
      <c r="A83" t="inlineStr">
        <is>
          <t>DRIVERS DE RECEITA (codigos 45+): receita e lucro bruto por segmento (Automotivo x Energia), linhas de receita automotiva e regiões - SEC XBRL (USD, fator 0,000001).</t>
        </is>
      </c>
      <c r="C83" t="inlineStr">
        <is>
          <t>[linha bruta, sem código; lançada nas linhas abaixo]</t>
        </is>
      </c>
      <c r="D83" s="265" t="n"/>
      <c r="E83" s="265" t="n"/>
      <c r="F83" s="265" t="n"/>
      <c r="G83" s="265" t="n"/>
      <c r="I83" s="265" t="n"/>
      <c r="J83" s="265" t="n"/>
      <c r="K83" s="265" t="n"/>
      <c r="L83" s="265" t="n"/>
      <c r="N83" s="265" t="n"/>
      <c r="O83" s="265" t="n"/>
      <c r="P83" s="265" t="n"/>
      <c r="Q83" s="265" t="n"/>
      <c r="S83" s="265" t="n"/>
      <c r="T83" s="265" t="n"/>
      <c r="U83" s="265" t="n"/>
      <c r="V83" s="265" t="n"/>
      <c r="X83" s="265" t="n"/>
      <c r="Y83" s="265" t="n"/>
      <c r="Z83" s="265" t="n"/>
      <c r="AA83" s="265" t="n"/>
      <c r="AC83" s="265" t="n"/>
      <c r="AD83" s="265" t="n"/>
    </row>
    <row r="84">
      <c r="A84" t="inlineStr">
        <is>
          <t>Segmento Automotivo - receita (USD) · fonte · unid. moeda</t>
        </is>
      </c>
      <c r="B84" t="n">
        <v>45</v>
      </c>
      <c r="C84" t="inlineStr">
        <is>
          <t>Segmento Automotivo - receita (USD)</t>
        </is>
      </c>
      <c r="D84" s="265" t="n">
        <v>9895000</v>
      </c>
      <c r="E84" s="265" t="n">
        <v>11157000</v>
      </c>
      <c r="F84" s="265" t="n">
        <v>12951000</v>
      </c>
      <c r="G84" s="265" t="n">
        <v>17031000</v>
      </c>
      <c r="I84" s="265" t="n">
        <v>18140000</v>
      </c>
      <c r="J84" s="265" t="n">
        <v>16068000</v>
      </c>
      <c r="K84" s="265" t="n">
        <v>20337000</v>
      </c>
      <c r="L84" s="265" t="n">
        <v>23008000</v>
      </c>
      <c r="N84" s="265" t="n">
        <v>21800000</v>
      </c>
      <c r="O84" s="265" t="n">
        <v>23418000</v>
      </c>
      <c r="P84" s="265" t="n">
        <v>21791000</v>
      </c>
      <c r="Q84" s="265" t="n">
        <v>23729000</v>
      </c>
      <c r="S84" s="265" t="n">
        <v>19666000</v>
      </c>
      <c r="T84" s="265" t="n">
        <v>22486000</v>
      </c>
      <c r="U84" s="265" t="n">
        <v>22806000</v>
      </c>
      <c r="V84" s="265" t="n">
        <v>22646000</v>
      </c>
      <c r="X84" s="265" t="n">
        <v>16605000</v>
      </c>
      <c r="Y84" s="265" t="n">
        <v>19707000</v>
      </c>
      <c r="Z84" s="265" t="n">
        <v>24680000</v>
      </c>
      <c r="AA84" s="265" t="n">
        <v>21064000</v>
      </c>
      <c r="AC84" s="265" t="n">
        <v>19979000</v>
      </c>
      <c r="AD84" s="265" t="n">
        <v>25097000</v>
      </c>
    </row>
    <row r="85">
      <c r="A85" t="inlineStr">
        <is>
          <t>Segmento Geração e Armazenamento de Energia - receita (USD) · fonte · unid. moeda</t>
        </is>
      </c>
      <c r="B85" t="n">
        <v>46</v>
      </c>
      <c r="C85" t="inlineStr">
        <is>
          <t>Segmento Geração e Armazenamento de Energia - receita (USD)</t>
        </is>
      </c>
      <c r="D85" s="265" t="n">
        <v>494000</v>
      </c>
      <c r="E85" s="265" t="n">
        <v>801000</v>
      </c>
      <c r="F85" s="265" t="n">
        <v>806000</v>
      </c>
      <c r="G85" s="265" t="n">
        <v>688000</v>
      </c>
      <c r="I85" s="265" t="n">
        <v>616000</v>
      </c>
      <c r="J85" s="265" t="n">
        <v>866000</v>
      </c>
      <c r="K85" s="265" t="n">
        <v>1117000</v>
      </c>
      <c r="L85" s="265" t="n">
        <v>1310000</v>
      </c>
      <c r="N85" s="265" t="n">
        <v>1529000</v>
      </c>
      <c r="O85" s="265" t="n">
        <v>1509000</v>
      </c>
      <c r="P85" s="265" t="n">
        <v>1559000</v>
      </c>
      <c r="Q85" s="265" t="n">
        <v>1438000</v>
      </c>
      <c r="S85" s="265" t="n">
        <v>1635000</v>
      </c>
      <c r="T85" s="265" t="n">
        <v>3014000</v>
      </c>
      <c r="U85" s="265" t="n">
        <v>2376000</v>
      </c>
      <c r="V85" s="265" t="n">
        <v>3061000</v>
      </c>
      <c r="X85" s="265" t="n">
        <v>2730000</v>
      </c>
      <c r="Y85" s="265" t="n">
        <v>2789000</v>
      </c>
      <c r="Z85" s="265" t="n">
        <v>3415000</v>
      </c>
      <c r="AA85" s="265" t="n">
        <v>3837000</v>
      </c>
      <c r="AC85" s="265" t="n">
        <v>2408000</v>
      </c>
      <c r="AD85" s="265" t="n">
        <v>3139000</v>
      </c>
    </row>
    <row r="86">
      <c r="A86" t="inlineStr">
        <is>
          <t>Segmento Automotivo - lucro bruto (USD) · fonte · unid. moeda</t>
        </is>
      </c>
      <c r="B86" t="n">
        <v>47</v>
      </c>
      <c r="C86" t="inlineStr">
        <is>
          <t>Segmento Automotivo - lucro bruto (USD)</t>
        </is>
      </c>
      <c r="D86" s="265" t="n">
        <v>2316000</v>
      </c>
      <c r="E86" s="265" t="n">
        <v>2864000</v>
      </c>
      <c r="F86" s="265" t="n">
        <v>3657000</v>
      </c>
      <c r="G86" s="265" t="n">
        <v>4898000</v>
      </c>
      <c r="I86" s="265" t="n">
        <v>5532000</v>
      </c>
      <c r="J86" s="265" t="n">
        <v>4137000</v>
      </c>
      <c r="K86" s="265" t="n">
        <v>5278000</v>
      </c>
      <c r="L86" s="265" t="n">
        <v>5618000</v>
      </c>
      <c r="N86" s="265" t="n">
        <v>4343000</v>
      </c>
      <c r="O86" s="265" t="n">
        <v>4255000</v>
      </c>
      <c r="P86" s="265" t="n">
        <v>3797000</v>
      </c>
      <c r="Q86" s="265" t="n">
        <v>4124000</v>
      </c>
      <c r="S86" s="265" t="n">
        <v>3293000</v>
      </c>
      <c r="T86" s="265" t="n">
        <v>3838000</v>
      </c>
      <c r="U86" s="265" t="n">
        <v>4272000</v>
      </c>
      <c r="V86" s="265" t="n">
        <v>3407000</v>
      </c>
      <c r="X86" s="265" t="n">
        <v>2368000</v>
      </c>
      <c r="Y86" s="265" t="n">
        <v>3032000</v>
      </c>
      <c r="Z86" s="265" t="n">
        <v>3981000</v>
      </c>
      <c r="AA86" s="265" t="n">
        <v>3911000</v>
      </c>
      <c r="AC86" s="265" t="n">
        <v>3768000</v>
      </c>
      <c r="AD86" s="265" t="n">
        <v>4111000</v>
      </c>
    </row>
    <row r="87">
      <c r="A87" t="inlineStr">
        <is>
          <t>Segmento Energia - lucro bruto (USD) · fonte · unid. moeda</t>
        </is>
      </c>
      <c r="B87" t="n">
        <v>48</v>
      </c>
      <c r="C87" t="inlineStr">
        <is>
          <t>Segmento Energia - lucro bruto (USD)</t>
        </is>
      </c>
      <c r="D87" s="265" t="n">
        <v>-101000</v>
      </c>
      <c r="E87" s="265" t="n">
        <v>20000</v>
      </c>
      <c r="F87" s="265" t="n">
        <v>3000</v>
      </c>
      <c r="G87" s="265" t="n">
        <v>-51000</v>
      </c>
      <c r="I87" s="265" t="n">
        <v>-72000</v>
      </c>
      <c r="J87" s="265" t="n">
        <v>97000</v>
      </c>
      <c r="K87" s="265" t="n">
        <v>104000</v>
      </c>
      <c r="L87" s="265" t="n">
        <v>159000</v>
      </c>
      <c r="N87" s="265" t="n">
        <v>168000</v>
      </c>
      <c r="O87" s="265" t="n">
        <v>278000</v>
      </c>
      <c r="P87" s="265" t="n">
        <v>381000</v>
      </c>
      <c r="Q87" s="265" t="n">
        <v>314000</v>
      </c>
      <c r="S87" s="265" t="n">
        <v>403000</v>
      </c>
      <c r="T87" s="265" t="n">
        <v>740000</v>
      </c>
      <c r="U87" s="265" t="n">
        <v>725000</v>
      </c>
      <c r="V87" s="265" t="n">
        <v>772000</v>
      </c>
      <c r="X87" s="265" t="n">
        <v>785000</v>
      </c>
      <c r="Y87" s="265" t="n">
        <v>846000</v>
      </c>
      <c r="Z87" s="265" t="n">
        <v>1073000</v>
      </c>
      <c r="AA87" s="265" t="n">
        <v>1098000</v>
      </c>
      <c r="AC87" s="265" t="n">
        <v>952000</v>
      </c>
      <c r="AD87" s="265" t="n">
        <v>640000</v>
      </c>
    </row>
    <row r="88">
      <c r="A88" t="inlineStr">
        <is>
          <t>Vendas de veículos (USD; até 2021 com + sem garantia de recompra) · fonte · unid. moeda</t>
        </is>
      </c>
      <c r="B88" t="n">
        <v>49</v>
      </c>
      <c r="C88" t="inlineStr">
        <is>
          <t>Vendas de veículos (USD; até 2021 com + sem garantia de reco</t>
        </is>
      </c>
      <c r="D88" s="265" t="n">
        <v>8187000</v>
      </c>
      <c r="E88" s="265" t="n">
        <v>9520000</v>
      </c>
      <c r="F88" s="265" t="n">
        <v>11393000</v>
      </c>
      <c r="G88" s="265" t="n">
        <v>15025000</v>
      </c>
      <c r="I88" s="265" t="n">
        <v>15514000</v>
      </c>
      <c r="J88" s="265" t="n">
        <v>13670000</v>
      </c>
      <c r="K88" s="265" t="n">
        <v>17785000</v>
      </c>
      <c r="L88" s="265" t="n">
        <v>20241000</v>
      </c>
      <c r="N88" s="265" t="n">
        <v>18878000</v>
      </c>
      <c r="O88" s="265" t="n">
        <v>20419000</v>
      </c>
      <c r="P88" s="265" t="n">
        <v>18582000</v>
      </c>
      <c r="Q88" s="265" t="n">
        <v>20630000</v>
      </c>
      <c r="S88" s="265" t="n">
        <v>16460000</v>
      </c>
      <c r="T88" s="265" t="n">
        <v>18530000</v>
      </c>
      <c r="U88" s="265" t="n">
        <v>18831000</v>
      </c>
      <c r="V88" s="265" t="n">
        <v>18659000</v>
      </c>
      <c r="X88" s="265" t="n">
        <v>12925000</v>
      </c>
      <c r="Y88" s="265" t="n">
        <v>15787000</v>
      </c>
      <c r="Z88" s="265" t="n">
        <v>20359000</v>
      </c>
      <c r="AA88" s="265" t="n">
        <v>16750000</v>
      </c>
      <c r="AC88" s="265" t="n">
        <v>15473000</v>
      </c>
      <c r="AD88" s="265" t="n">
        <v>20006000</v>
      </c>
    </row>
    <row r="89">
      <c r="A89" t="inlineStr">
        <is>
          <t>Créditos regulatórios (USD) · fonte · unid. moeda</t>
        </is>
      </c>
      <c r="B89" t="n">
        <v>50</v>
      </c>
      <c r="C89" t="inlineStr">
        <is>
          <t>Créditos regulatórios (USD)</t>
        </is>
      </c>
      <c r="D89" s="265" t="n">
        <v>518000</v>
      </c>
      <c r="E89" s="265" t="n">
        <v>354000</v>
      </c>
      <c r="F89" s="265" t="n">
        <v>279000</v>
      </c>
      <c r="G89" s="265" t="n">
        <v>314000</v>
      </c>
      <c r="I89" s="265" t="n">
        <v>679000</v>
      </c>
      <c r="J89" s="265" t="n">
        <v>344000</v>
      </c>
      <c r="K89" s="265" t="n">
        <v>286000</v>
      </c>
      <c r="L89" s="265" t="n">
        <v>467000</v>
      </c>
      <c r="N89" s="265" t="n">
        <v>521000</v>
      </c>
      <c r="O89" s="265" t="n">
        <v>282000</v>
      </c>
      <c r="P89" s="265" t="n">
        <v>554000</v>
      </c>
      <c r="Q89" s="265" t="n">
        <v>433000</v>
      </c>
      <c r="S89" s="265" t="n">
        <v>442000</v>
      </c>
      <c r="T89" s="265" t="n">
        <v>890000</v>
      </c>
      <c r="U89" s="265" t="n">
        <v>739000</v>
      </c>
      <c r="V89" s="265" t="n">
        <v>692000</v>
      </c>
      <c r="X89" s="265" t="n">
        <v>595000</v>
      </c>
      <c r="Y89" s="265" t="n">
        <v>439000</v>
      </c>
      <c r="Z89" s="265" t="n">
        <v>417000</v>
      </c>
      <c r="AA89" s="265" t="n">
        <v>542000</v>
      </c>
      <c r="AC89" s="265" t="n">
        <v>380000</v>
      </c>
      <c r="AD89" s="265" t="n">
        <v>146000</v>
      </c>
    </row>
    <row r="90">
      <c r="A90" t="inlineStr">
        <is>
          <t>Leasing automotivo (USD) · fonte · unid. moeda</t>
        </is>
      </c>
      <c r="B90" t="n">
        <v>51</v>
      </c>
      <c r="C90" t="inlineStr">
        <is>
          <t>Leasing automotivo (USD)</t>
        </is>
      </c>
      <c r="D90" s="265" t="n">
        <v>297000</v>
      </c>
      <c r="E90" s="265" t="n">
        <v>332000</v>
      </c>
      <c r="F90" s="265" t="n">
        <v>385000</v>
      </c>
      <c r="G90" s="265" t="n">
        <v>628000</v>
      </c>
      <c r="I90" s="265" t="n">
        <v>668000</v>
      </c>
      <c r="J90" s="265" t="n">
        <v>588000</v>
      </c>
      <c r="K90" s="265" t="n">
        <v>621000</v>
      </c>
      <c r="L90" s="265" t="n">
        <v>599000</v>
      </c>
      <c r="N90" s="265" t="n">
        <v>564000</v>
      </c>
      <c r="O90" s="265" t="n">
        <v>567000</v>
      </c>
      <c r="P90" s="265" t="n">
        <v>489000</v>
      </c>
      <c r="Q90" s="265" t="n">
        <v>500000</v>
      </c>
      <c r="S90" s="265" t="n">
        <v>476000</v>
      </c>
      <c r="T90" s="265" t="n">
        <v>458000</v>
      </c>
      <c r="U90" s="265" t="n">
        <v>446000</v>
      </c>
      <c r="V90" s="265" t="n">
        <v>447000</v>
      </c>
      <c r="X90" s="265" t="n">
        <v>447000</v>
      </c>
      <c r="Y90" s="265" t="n">
        <v>435000</v>
      </c>
      <c r="Z90" s="265" t="n">
        <v>429000</v>
      </c>
      <c r="AA90" s="265" t="n">
        <v>401000</v>
      </c>
      <c r="AC90" s="265" t="n">
        <v>381000</v>
      </c>
      <c r="AD90" s="265" t="n">
        <v>364000</v>
      </c>
    </row>
    <row r="91">
      <c r="A91" t="inlineStr">
        <is>
          <t>Serviços e outros (USD) · fonte · unid. moeda</t>
        </is>
      </c>
      <c r="B91" t="n">
        <v>52</v>
      </c>
      <c r="C91" t="inlineStr">
        <is>
          <t>Serviços e outros (USD)</t>
        </is>
      </c>
      <c r="D91" s="265" t="n">
        <v>893000</v>
      </c>
      <c r="E91" s="265" t="n">
        <v>951000</v>
      </c>
      <c r="F91" s="265" t="n">
        <v>894000</v>
      </c>
      <c r="G91" s="265" t="n">
        <v>1064000</v>
      </c>
      <c r="I91" s="265" t="n">
        <v>1279000</v>
      </c>
      <c r="J91" s="265" t="n">
        <v>1466000</v>
      </c>
      <c r="K91" s="265" t="n">
        <v>1645000</v>
      </c>
      <c r="L91" s="265" t="n">
        <v>1701000</v>
      </c>
      <c r="N91" s="265" t="n">
        <v>1837000</v>
      </c>
      <c r="O91" s="265" t="n">
        <v>2150000</v>
      </c>
      <c r="P91" s="265" t="n">
        <v>2166000</v>
      </c>
      <c r="Q91" s="265" t="n">
        <v>2166000</v>
      </c>
      <c r="S91" s="265" t="n">
        <v>2288000</v>
      </c>
      <c r="T91" s="265" t="n">
        <v>2608000</v>
      </c>
      <c r="U91" s="265" t="n">
        <v>2790000</v>
      </c>
      <c r="V91" s="265" t="n">
        <v>2848000</v>
      </c>
      <c r="X91" s="265" t="n">
        <v>2638000</v>
      </c>
      <c r="Y91" s="265" t="n">
        <v>3046000</v>
      </c>
      <c r="Z91" s="265" t="n">
        <v>3475000</v>
      </c>
      <c r="AA91" s="265" t="n">
        <v>3371000</v>
      </c>
      <c r="AC91" s="265" t="n">
        <v>3745000</v>
      </c>
      <c r="AD91" s="265" t="n">
        <v>4581000</v>
      </c>
    </row>
    <row r="92">
      <c r="A92" t="inlineStr">
        <is>
          <t>Receita Estados Unidos (USD) · fonte · unid. moeda</t>
        </is>
      </c>
      <c r="B92" t="n">
        <v>53</v>
      </c>
      <c r="C92" t="inlineStr">
        <is>
          <t>Receita Estados Unidos (USD)</t>
        </is>
      </c>
      <c r="D92" s="265" t="n">
        <v>4424000</v>
      </c>
      <c r="E92" s="265" t="n">
        <v>5205000</v>
      </c>
      <c r="F92" s="265" t="n">
        <v>6414000</v>
      </c>
      <c r="G92" s="265" t="n">
        <v>7930000</v>
      </c>
      <c r="I92" s="265" t="n">
        <v>8734000</v>
      </c>
      <c r="J92" s="265" t="n">
        <v>9614000</v>
      </c>
      <c r="K92" s="265" t="n">
        <v>10236000</v>
      </c>
      <c r="L92" s="265" t="n">
        <v>11969000</v>
      </c>
      <c r="N92" s="265" t="n">
        <v>11247000</v>
      </c>
      <c r="O92" s="265" t="n">
        <v>11332000</v>
      </c>
      <c r="P92" s="265" t="n">
        <v>10893000</v>
      </c>
      <c r="Q92" s="265" t="n">
        <v>11763000</v>
      </c>
      <c r="S92" s="265" t="n">
        <v>9762000</v>
      </c>
      <c r="T92" s="265" t="n">
        <v>13256000</v>
      </c>
      <c r="U92" s="265" t="n">
        <v>12584000</v>
      </c>
      <c r="V92" s="265" t="n">
        <v>12123000</v>
      </c>
      <c r="X92" s="265" t="n">
        <v>10333000</v>
      </c>
      <c r="Y92" s="265" t="n">
        <v>11809000</v>
      </c>
      <c r="Z92" s="265" t="n">
        <v>14598000</v>
      </c>
      <c r="AA92" s="265" t="n">
        <v>10887000</v>
      </c>
      <c r="AC92" s="265" t="n">
        <v>10677000</v>
      </c>
      <c r="AD92" s="265" t="n">
        <v>13208000</v>
      </c>
    </row>
    <row r="93">
      <c r="A93" t="inlineStr">
        <is>
          <t>Receita China (USD) · fonte · unid. moeda</t>
        </is>
      </c>
      <c r="B93" t="n">
        <v>54</v>
      </c>
      <c r="C93" t="inlineStr">
        <is>
          <t>Receita China (USD)</t>
        </is>
      </c>
      <c r="D93" s="265" t="n">
        <v>3043000</v>
      </c>
      <c r="E93" s="265" t="n">
        <v>2859000</v>
      </c>
      <c r="F93" s="265" t="n">
        <v>3113000</v>
      </c>
      <c r="G93" s="265" t="n">
        <v>4829000</v>
      </c>
      <c r="I93" s="265" t="n">
        <v>4650000</v>
      </c>
      <c r="J93" s="265" t="n">
        <v>3787000</v>
      </c>
      <c r="K93" s="265" t="n">
        <v>5131000</v>
      </c>
      <c r="L93" s="265" t="n">
        <v>4577000</v>
      </c>
      <c r="N93" s="265" t="n">
        <v>4891000</v>
      </c>
      <c r="O93" s="265" t="n">
        <v>5731000</v>
      </c>
      <c r="P93" s="265" t="n">
        <v>5020000</v>
      </c>
      <c r="Q93" s="265" t="n">
        <v>6103000</v>
      </c>
      <c r="S93" s="265" t="n">
        <v>4592000</v>
      </c>
      <c r="T93" s="265" t="n">
        <v>4636000</v>
      </c>
      <c r="U93" s="265" t="n">
        <v>5665000</v>
      </c>
      <c r="V93" s="265" t="n">
        <v>6051000</v>
      </c>
      <c r="X93" s="265" t="n">
        <v>4303000</v>
      </c>
      <c r="Y93" s="265" t="n">
        <v>4305000</v>
      </c>
      <c r="Z93" s="265" t="n">
        <v>5653000</v>
      </c>
      <c r="AA93" s="265" t="n">
        <v>6701000</v>
      </c>
      <c r="AC93" s="265" t="n">
        <v>4184000</v>
      </c>
      <c r="AD93" s="265" t="n">
        <v>4675000</v>
      </c>
    </row>
    <row r="94">
      <c r="A94" t="inlineStr">
        <is>
          <t>Notas: valores dimensionais das instâncias XBRL. A abertura da receita automotiva mudou em 2021-22 (vendas com e sem garantia de recompra -&gt; vendas; créditos regulatórios separados); os membros foram costurados. O 10-Q do 1T23 trocou as etiquetas de Automotivo e Energia (1T23 e coluna comparativa do 1T22); os valores foram destrocados.</t>
        </is>
      </c>
      <c r="C94" t="inlineStr">
        <is>
          <t>[linha bruta, sem código; lançada nas linhas abaixo]</t>
        </is>
      </c>
      <c r="D94" s="265" t="n"/>
      <c r="E94" s="265" t="n"/>
      <c r="F94" s="265" t="n"/>
      <c r="G94" s="265" t="n"/>
      <c r="I94" s="265" t="n"/>
      <c r="J94" s="265" t="n"/>
      <c r="K94" s="265" t="n"/>
      <c r="L94" s="265" t="n"/>
      <c r="N94" s="265" t="n"/>
      <c r="O94" s="265" t="n"/>
      <c r="P94" s="265" t="n"/>
      <c r="Q94" s="265" t="n"/>
      <c r="S94" s="265" t="n"/>
      <c r="T94" s="265" t="n"/>
      <c r="U94" s="265" t="n"/>
      <c r="V94" s="265" t="n"/>
      <c r="X94" s="265" t="n"/>
      <c r="Y94" s="265" t="n"/>
      <c r="Z94" s="265" t="n"/>
      <c r="AA94" s="265" t="n"/>
      <c r="AC94" s="265" t="n"/>
      <c r="AD94" s="265" t="n"/>
    </row>
    <row r="96">
      <c r="A96" t="inlineStr">
        <is>
          <t>Linhas de origem: 4 a 94. A Inputs (2) varre as linhas 4 a 150; as linhas 95 a 150 estão livres. Linhas "(lançamento)" aplicam código e sinal sobre a linha bruta indicada (a máscara tem uma só coluna de código).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2"/>
  <sheetViews>
    <sheetView showGridLines="0" tabSelected="1" zoomScaleNormal="100" workbookViewId="0">
      <pane xSplit="3" ySplit="3" topLeftCell="D4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10.42578125" defaultRowHeight="12.75"/>
  <cols>
    <col width="14.7109375" customWidth="1" style="3" min="1" max="1"/>
    <col width="10.140625" customWidth="1" style="3" min="2" max="2"/>
    <col width="50" customWidth="1" style="4" min="3" max="3"/>
    <col width="12.42578125" customWidth="1" style="3" min="4" max="33"/>
    <col width="10.42578125" customWidth="1" style="4" min="34" max="54"/>
    <col width="11" customWidth="1" style="4" min="55" max="55"/>
    <col width="10.42578125" customWidth="1" style="4" min="56" max="58"/>
    <col width="10.42578125" customWidth="1" style="4" min="59" max="16384"/>
  </cols>
  <sheetData>
    <row r="1" ht="14.25" customFormat="1" customHeight="1" s="3">
      <c r="A1" s="5" t="str">
        <f>IF(Control!B3="","EMPRESA",Control!B3)</f>
        <v>Tesla Inc.</v>
      </c>
      <c r="B1" s="5" t="inlineStr">
        <is>
          <t>Código</t>
        </is>
      </c>
      <c r="C1" s="1" t="inlineStr">
        <is>
          <t>Conta padronizada</t>
        </is>
      </c>
      <c r="D1" s="1" t="n">
        <v>2021</v>
      </c>
      <c r="E1" s="1" t="n">
        <v>2021</v>
      </c>
      <c r="F1" s="1" t="n">
        <v>2021</v>
      </c>
      <c r="G1" s="1" t="n">
        <v>2021</v>
      </c>
      <c r="H1" s="1" t="n">
        <v>2021</v>
      </c>
      <c r="I1" s="1" t="n">
        <v>2022</v>
      </c>
      <c r="J1" s="1" t="n">
        <v>2022</v>
      </c>
      <c r="K1" s="1" t="n">
        <v>2022</v>
      </c>
      <c r="L1" s="1" t="n">
        <v>2022</v>
      </c>
      <c r="M1" s="1" t="n">
        <v>2022</v>
      </c>
      <c r="N1" s="1" t="n">
        <v>2023</v>
      </c>
      <c r="O1" s="1" t="n">
        <v>2023</v>
      </c>
      <c r="P1" s="1" t="n">
        <v>2023</v>
      </c>
      <c r="Q1" s="1" t="n">
        <v>2023</v>
      </c>
      <c r="R1" s="1" t="n">
        <v>2023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2025</v>
      </c>
      <c r="Y1" s="1" t="n">
        <v>2025</v>
      </c>
      <c r="Z1" s="1" t="n">
        <v>2025</v>
      </c>
      <c r="AA1" s="1" t="n">
        <v>2025</v>
      </c>
      <c r="AB1" s="1" t="n">
        <v>2025</v>
      </c>
      <c r="AC1" s="1" t="n">
        <v>2026</v>
      </c>
      <c r="AD1" s="1" t="n">
        <v>2026</v>
      </c>
      <c r="AE1" s="1" t="n">
        <v>2026</v>
      </c>
      <c r="AF1" s="1" t="n">
        <v>2026</v>
      </c>
      <c r="AG1" s="1" t="n">
        <v>2026</v>
      </c>
    </row>
    <row r="2" ht="14.25" customHeight="1">
      <c r="A2" s="1" t="inlineStr">
        <is>
          <t>US$ milhões</t>
        </is>
      </c>
      <c r="B2" s="1" t="n"/>
      <c r="C2" s="1" t="inlineStr">
        <is>
          <t>Período</t>
        </is>
      </c>
      <c r="D2" s="6" t="inlineStr">
        <is>
          <t>1Q21</t>
        </is>
      </c>
      <c r="E2" s="6" t="inlineStr">
        <is>
          <t>2Q21</t>
        </is>
      </c>
      <c r="F2" s="6" t="inlineStr">
        <is>
          <t>3Q21</t>
        </is>
      </c>
      <c r="G2" s="6" t="inlineStr">
        <is>
          <t>4Q21</t>
        </is>
      </c>
      <c r="H2" s="7" t="inlineStr">
        <is>
          <t>2021</t>
        </is>
      </c>
      <c r="I2" s="6" t="inlineStr">
        <is>
          <t>1Q22</t>
        </is>
      </c>
      <c r="J2" s="6" t="inlineStr">
        <is>
          <t>2Q22</t>
        </is>
      </c>
      <c r="K2" s="6" t="inlineStr">
        <is>
          <t>3Q22</t>
        </is>
      </c>
      <c r="L2" s="6" t="inlineStr">
        <is>
          <t>4Q22</t>
        </is>
      </c>
      <c r="M2" s="7" t="inlineStr">
        <is>
          <t>2022</t>
        </is>
      </c>
      <c r="N2" s="6" t="inlineStr">
        <is>
          <t>1Q23</t>
        </is>
      </c>
      <c r="O2" s="6" t="inlineStr">
        <is>
          <t>2Q23</t>
        </is>
      </c>
      <c r="P2" s="6" t="inlineStr">
        <is>
          <t>3Q23</t>
        </is>
      </c>
      <c r="Q2" s="6" t="inlineStr">
        <is>
          <t>4Q23</t>
        </is>
      </c>
      <c r="R2" s="7" t="inlineStr">
        <is>
          <t>2023</t>
        </is>
      </c>
      <c r="S2" s="6" t="inlineStr">
        <is>
          <t>1Q24</t>
        </is>
      </c>
      <c r="T2" s="6" t="inlineStr">
        <is>
          <t>2Q24</t>
        </is>
      </c>
      <c r="U2" s="6" t="inlineStr">
        <is>
          <t>3Q24</t>
        </is>
      </c>
      <c r="V2" s="6" t="inlineStr">
        <is>
          <t>4Q24</t>
        </is>
      </c>
      <c r="W2" s="7" t="inlineStr">
        <is>
          <t>2024</t>
        </is>
      </c>
      <c r="X2" s="6" t="inlineStr">
        <is>
          <t>1Q25</t>
        </is>
      </c>
      <c r="Y2" s="6" t="inlineStr">
        <is>
          <t>2Q25</t>
        </is>
      </c>
      <c r="Z2" s="6" t="inlineStr">
        <is>
          <t>3Q25</t>
        </is>
      </c>
      <c r="AA2" s="6" t="inlineStr">
        <is>
          <t>4Q25</t>
        </is>
      </c>
      <c r="AB2" s="7" t="inlineStr">
        <is>
          <t>2025</t>
        </is>
      </c>
      <c r="AC2" s="6" t="inlineStr">
        <is>
          <t>1Q26</t>
        </is>
      </c>
      <c r="AD2" s="6" t="inlineStr">
        <is>
          <t>2Q26</t>
        </is>
      </c>
      <c r="AE2" s="6" t="inlineStr">
        <is>
          <t>3Q26</t>
        </is>
      </c>
      <c r="AF2" s="6" t="inlineStr">
        <is>
          <t>4Q26</t>
        </is>
      </c>
      <c r="AG2" s="7" t="inlineStr">
        <is>
          <t>2026</t>
        </is>
      </c>
    </row>
    <row r="3" ht="15" customHeight="1">
      <c r="A3" s="8" t="inlineStr">
        <is>
          <t>Actual flag</t>
        </is>
      </c>
      <c r="B3" s="8" t="n"/>
      <c r="C3" s="8" t="inlineStr">
        <is>
          <t>0 = sem dados / 1 = realizado</t>
        </is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>
        <v>1</v>
      </c>
      <c r="J3" s="8" t="n">
        <v>1</v>
      </c>
      <c r="K3" s="8" t="n">
        <v>1</v>
      </c>
      <c r="L3" s="8" t="n">
        <v>1</v>
      </c>
      <c r="M3" s="8" t="n">
        <v>1</v>
      </c>
      <c r="N3" s="8" t="n">
        <v>1</v>
      </c>
      <c r="O3" s="8" t="n">
        <v>1</v>
      </c>
      <c r="P3" s="8" t="n">
        <v>1</v>
      </c>
      <c r="Q3" s="8" t="n">
        <v>1</v>
      </c>
      <c r="R3" s="8" t="n">
        <v>1</v>
      </c>
      <c r="S3" s="8" t="n">
        <v>1</v>
      </c>
      <c r="T3" s="8" t="n">
        <v>1</v>
      </c>
      <c r="U3" s="8" t="n">
        <v>1</v>
      </c>
      <c r="V3" s="8" t="n">
        <v>1</v>
      </c>
      <c r="W3" s="8" t="n">
        <v>1</v>
      </c>
      <c r="X3" s="8" t="n">
        <v>1</v>
      </c>
      <c r="Y3" s="8" t="n">
        <v>1</v>
      </c>
      <c r="Z3" s="8" t="n">
        <v>1</v>
      </c>
      <c r="AA3" s="8" t="n">
        <v>1</v>
      </c>
      <c r="AB3" s="8" t="n">
        <v>1</v>
      </c>
      <c r="AC3" s="8" t="n">
        <v>1</v>
      </c>
      <c r="AD3" s="8" t="n">
        <v>1</v>
      </c>
      <c r="AE3" s="8" t="n">
        <v>0</v>
      </c>
      <c r="AF3" s="8" t="n">
        <v>0</v>
      </c>
      <c r="AG3" s="8" t="n">
        <v>0</v>
      </c>
    </row>
    <row r="4">
      <c r="B4" s="9" t="n">
        <v>1</v>
      </c>
      <c r="C4" s="10" t="inlineStr">
        <is>
          <t>Net Revenues</t>
        </is>
      </c>
      <c r="D4" s="11">
        <f>IF(D$3=0,"",SUMIFS(INDEX(Inputs!$D$4:$AG$150,0,MATCH(D$2,Inputs!$D$2:$AG$2,0)),Inputs!$B$4:$B$150,$B4)/1000)</f>
        <v>10389</v>
      </c>
      <c r="E4" s="11">
        <f>IF(E$3=0,"",SUMIFS(INDEX(Inputs!$D$4:$AG$150,0,MATCH(E$2,Inputs!$D$2:$AG$2,0)),Inputs!$B$4:$B$150,$B4)/1000)</f>
        <v>11958</v>
      </c>
      <c r="F4" s="11">
        <f>IF(F$3=0,"",SUMIFS(INDEX(Inputs!$D$4:$AG$150,0,MATCH(F$2,Inputs!$D$2:$AG$2,0)),Inputs!$B$4:$B$150,$B4)/1000)</f>
        <v>13757</v>
      </c>
      <c r="G4" s="11">
        <f>IF(G$3=0,"",SUMIFS(INDEX(Inputs!$D$4:$AG$150,0,MATCH(G$2,Inputs!$D$2:$AG$2,0)),Inputs!$B$4:$B$150,$B4)/1000)</f>
        <v>17719</v>
      </c>
      <c r="H4" s="12">
        <f>IF(COUNT(D4:G4)=4,SUM(D4:G4),"")</f>
        <v>53823</v>
      </c>
      <c r="I4" s="11">
        <f>IF(I$3=0,"",SUMIFS(INDEX(Inputs!$D$4:$AG$150,0,MATCH(I$2,Inputs!$D$2:$AG$2,0)),Inputs!$B$4:$B$150,$B4)/1000)</f>
        <v>18756</v>
      </c>
      <c r="J4" s="11">
        <f>IF(J$3=0,"",SUMIFS(INDEX(Inputs!$D$4:$AG$150,0,MATCH(J$2,Inputs!$D$2:$AG$2,0)),Inputs!$B$4:$B$150,$B4)/1000)</f>
        <v>16934</v>
      </c>
      <c r="K4" s="11">
        <f>IF(K$3=0,"",SUMIFS(INDEX(Inputs!$D$4:$AG$150,0,MATCH(K$2,Inputs!$D$2:$AG$2,0)),Inputs!$B$4:$B$150,$B4)/1000)</f>
        <v>21454</v>
      </c>
      <c r="L4" s="11">
        <f>IF(L$3=0,"",SUMIFS(INDEX(Inputs!$D$4:$AG$150,0,MATCH(L$2,Inputs!$D$2:$AG$2,0)),Inputs!$B$4:$B$150,$B4)/1000)</f>
        <v>24318</v>
      </c>
      <c r="M4" s="12">
        <f>IF(COUNT(I4:L4)=4,SUM(I4:L4),"")</f>
        <v>81462</v>
      </c>
      <c r="N4" s="11">
        <f>IF(N$3=0,"",SUMIFS(INDEX(Inputs!$D$4:$AG$150,0,MATCH(N$2,Inputs!$D$2:$AG$2,0)),Inputs!$B$4:$B$150,$B4)/1000)</f>
        <v>23329</v>
      </c>
      <c r="O4" s="11">
        <f>IF(O$3=0,"",SUMIFS(INDEX(Inputs!$D$4:$AG$150,0,MATCH(O$2,Inputs!$D$2:$AG$2,0)),Inputs!$B$4:$B$150,$B4)/1000)</f>
        <v>24927</v>
      </c>
      <c r="P4" s="11">
        <f>IF(P$3=0,"",SUMIFS(INDEX(Inputs!$D$4:$AG$150,0,MATCH(P$2,Inputs!$D$2:$AG$2,0)),Inputs!$B$4:$B$150,$B4)/1000)</f>
        <v>23350</v>
      </c>
      <c r="Q4" s="11">
        <f>IF(Q$3=0,"",SUMIFS(INDEX(Inputs!$D$4:$AG$150,0,MATCH(Q$2,Inputs!$D$2:$AG$2,0)),Inputs!$B$4:$B$150,$B4)/1000)</f>
        <v>25167</v>
      </c>
      <c r="R4" s="12">
        <f>IF(COUNT(N4:Q4)=4,SUM(N4:Q4),"")</f>
        <v>96773</v>
      </c>
      <c r="S4" s="11">
        <f>IF(S$3=0,"",SUMIFS(INDEX(Inputs!$D$4:$AG$150,0,MATCH(S$2,Inputs!$D$2:$AG$2,0)),Inputs!$B$4:$B$150,$B4)/1000)</f>
        <v>21301</v>
      </c>
      <c r="T4" s="11">
        <f>IF(T$3=0,"",SUMIFS(INDEX(Inputs!$D$4:$AG$150,0,MATCH(T$2,Inputs!$D$2:$AG$2,0)),Inputs!$B$4:$B$150,$B4)/1000)</f>
        <v>25500</v>
      </c>
      <c r="U4" s="11">
        <f>IF(U$3=0,"",SUMIFS(INDEX(Inputs!$D$4:$AG$150,0,MATCH(U$2,Inputs!$D$2:$AG$2,0)),Inputs!$B$4:$B$150,$B4)/1000)</f>
        <v>25182</v>
      </c>
      <c r="V4" s="11">
        <f>IF(V$3=0,"",SUMIFS(INDEX(Inputs!$D$4:$AG$150,0,MATCH(V$2,Inputs!$D$2:$AG$2,0)),Inputs!$B$4:$B$150,$B4)/1000)</f>
        <v>25707</v>
      </c>
      <c r="W4" s="12">
        <f>IF(COUNT(S4:V4)=4,SUM(S4:V4),"")</f>
        <v>97690</v>
      </c>
      <c r="X4" s="11">
        <f>IF(X$3=0,"",SUMIFS(INDEX(Inputs!$D$4:$AG$150,0,MATCH(X$2,Inputs!$D$2:$AG$2,0)),Inputs!$B$4:$B$150,$B4)/1000)</f>
        <v>19335</v>
      </c>
      <c r="Y4" s="11">
        <f>IF(Y$3=0,"",SUMIFS(INDEX(Inputs!$D$4:$AG$150,0,MATCH(Y$2,Inputs!$D$2:$AG$2,0)),Inputs!$B$4:$B$150,$B4)/1000)</f>
        <v>22496</v>
      </c>
      <c r="Z4" s="11">
        <f>IF(Z$3=0,"",SUMIFS(INDEX(Inputs!$D$4:$AG$150,0,MATCH(Z$2,Inputs!$D$2:$AG$2,0)),Inputs!$B$4:$B$150,$B4)/1000)</f>
        <v>28095</v>
      </c>
      <c r="AA4" s="11">
        <f>IF(AA$3=0,"",SUMIFS(INDEX(Inputs!$D$4:$AG$150,0,MATCH(AA$2,Inputs!$D$2:$AG$2,0)),Inputs!$B$4:$B$150,$B4)/1000)</f>
        <v>24901</v>
      </c>
      <c r="AB4" s="12">
        <f>IF(COUNT(X4:AA4)=4,SUM(X4:AA4),"")</f>
        <v>94827</v>
      </c>
      <c r="AC4" s="11">
        <f>IF(AC$3=0,"",SUMIFS(INDEX(Inputs!$D$4:$AG$150,0,MATCH(AC$2,Inputs!$D$2:$AG$2,0)),Inputs!$B$4:$B$150,$B4)/1000)</f>
        <v>22387</v>
      </c>
      <c r="AD4" s="11">
        <f>IF(AD$3=0,"",SUMIFS(INDEX(Inputs!$D$4:$AG$150,0,MATCH(AD$2,Inputs!$D$2:$AG$2,0)),Inputs!$B$4:$B$150,$B4)/1000)</f>
        <v>28236</v>
      </c>
      <c r="AE4" s="11" t="str">
        <f>IF(AE$3=0,"",SUMIFS(INDEX(Inputs!$D$4:$AG$150,0,MATCH(AE$2,Inputs!$D$2:$AG$2,0)),Inputs!$B$4:$B$150,$B4)/1000)</f>
        <v/>
      </c>
      <c r="AF4" s="11" t="str">
        <f>IF(AF$3=0,"",SUMIFS(INDEX(Inputs!$D$4:$AG$150,0,MATCH(AF$2,Inputs!$D$2:$AG$2,0)),Inputs!$B$4:$B$150,$B4)/1000)</f>
        <v/>
      </c>
      <c r="AG4" s="12" t="str">
        <f>IF(COUNT(AC4:AF4)=4,SUM(AC4:AF4),"")</f>
        <v/>
      </c>
    </row>
    <row r="5">
      <c r="B5" s="9" t="n">
        <v>2</v>
      </c>
      <c r="C5" s="13" t="inlineStr">
        <is>
          <t>COGS (cash)</t>
        </is>
      </c>
      <c r="D5" s="11">
        <f>IF(D$3=0,"",SUMIFS(INDEX(Inputs!$D$4:$AG$150,0,MATCH(D$2,Inputs!$D$2:$AG$2,0)),Inputs!$B$4:$B$150,$B5)/1000)</f>
        <v>-8174</v>
      </c>
      <c r="E5" s="11">
        <f>IF(E$3=0,"",SUMIFS(INDEX(Inputs!$D$4:$AG$150,0,MATCH(E$2,Inputs!$D$2:$AG$2,0)),Inputs!$B$4:$B$150,$B5)/1000)</f>
        <v>-9074</v>
      </c>
      <c r="F5" s="11">
        <f>IF(F$3=0,"",SUMIFS(INDEX(Inputs!$D$4:$AG$150,0,MATCH(F$2,Inputs!$D$2:$AG$2,0)),Inputs!$B$4:$B$150,$B5)/1000)</f>
        <v>-10097</v>
      </c>
      <c r="G5" s="11">
        <f>IF(G$3=0,"",SUMIFS(INDEX(Inputs!$D$4:$AG$150,0,MATCH(G$2,Inputs!$D$2:$AG$2,0)),Inputs!$B$4:$B$150,$B5)/1000)</f>
        <v>-12872</v>
      </c>
      <c r="H5" s="12">
        <f>IF(COUNT(D5:G5)=4,SUM(D5:G5),"")</f>
        <v>-40217</v>
      </c>
      <c r="I5" s="11">
        <f>IF(I$3=0,"",SUMIFS(INDEX(Inputs!$D$4:$AG$150,0,MATCH(I$2,Inputs!$D$2:$AG$2,0)),Inputs!$B$4:$B$150,$B5)/1000)</f>
        <v>-13296</v>
      </c>
      <c r="J5" s="11">
        <f>IF(J$3=0,"",SUMIFS(INDEX(Inputs!$D$4:$AG$150,0,MATCH(J$2,Inputs!$D$2:$AG$2,0)),Inputs!$B$4:$B$150,$B5)/1000)</f>
        <v>-12700</v>
      </c>
      <c r="K5" s="11">
        <f>IF(K$3=0,"",SUMIFS(INDEX(Inputs!$D$4:$AG$150,0,MATCH(K$2,Inputs!$D$2:$AG$2,0)),Inputs!$B$4:$B$150,$B5)/1000)</f>
        <v>-16072</v>
      </c>
      <c r="L5" s="11">
        <f>IF(L$3=0,"",SUMIFS(INDEX(Inputs!$D$4:$AG$150,0,MATCH(L$2,Inputs!$D$2:$AG$2,0)),Inputs!$B$4:$B$150,$B5)/1000)</f>
        <v>-18541</v>
      </c>
      <c r="M5" s="12">
        <f>IF(COUNT(I5:L5)=4,SUM(I5:L5),"")</f>
        <v>-60609</v>
      </c>
      <c r="N5" s="11">
        <f>IF(N$3=0,"",SUMIFS(INDEX(Inputs!$D$4:$AG$150,0,MATCH(N$2,Inputs!$D$2:$AG$2,0)),Inputs!$B$4:$B$150,$B5)/1000)</f>
        <v>-18818</v>
      </c>
      <c r="O5" s="11">
        <f>IF(O$3=0,"",SUMIFS(INDEX(Inputs!$D$4:$AG$150,0,MATCH(O$2,Inputs!$D$2:$AG$2,0)),Inputs!$B$4:$B$150,$B5)/1000)</f>
        <v>-20394</v>
      </c>
      <c r="P5" s="11">
        <f>IF(P$3=0,"",SUMIFS(INDEX(Inputs!$D$4:$AG$150,0,MATCH(P$2,Inputs!$D$2:$AG$2,0)),Inputs!$B$4:$B$150,$B5)/1000)</f>
        <v>-19172</v>
      </c>
      <c r="Q5" s="11">
        <f>IF(Q$3=0,"",SUMIFS(INDEX(Inputs!$D$4:$AG$150,0,MATCH(Q$2,Inputs!$D$2:$AG$2,0)),Inputs!$B$4:$B$150,$B5)/1000)</f>
        <v>-20729</v>
      </c>
      <c r="R5" s="12">
        <f>IF(COUNT(N5:Q5)=4,SUM(N5:Q5),"")</f>
        <v>-79113</v>
      </c>
      <c r="S5" s="11">
        <f>IF(S$3=0,"",SUMIFS(INDEX(Inputs!$D$4:$AG$150,0,MATCH(S$2,Inputs!$D$2:$AG$2,0)),Inputs!$B$4:$B$150,$B5)/1000)</f>
        <v>-17605</v>
      </c>
      <c r="T5" s="11">
        <f>IF(T$3=0,"",SUMIFS(INDEX(Inputs!$D$4:$AG$150,0,MATCH(T$2,Inputs!$D$2:$AG$2,0)),Inputs!$B$4:$B$150,$B5)/1000)</f>
        <v>-20922</v>
      </c>
      <c r="U5" s="11">
        <f>IF(U$3=0,"",SUMIFS(INDEX(Inputs!$D$4:$AG$150,0,MATCH(U$2,Inputs!$D$2:$AG$2,0)),Inputs!$B$4:$B$150,$B5)/1000)</f>
        <v>-20185</v>
      </c>
      <c r="V5" s="11">
        <f>IF(V$3=0,"",SUMIFS(INDEX(Inputs!$D$4:$AG$150,0,MATCH(V$2,Inputs!$D$2:$AG$2,0)),Inputs!$B$4:$B$150,$B5)/1000)</f>
        <v>-21528</v>
      </c>
      <c r="W5" s="12">
        <f>IF(COUNT(S5:V5)=4,SUM(S5:V5),"")</f>
        <v>-80240</v>
      </c>
      <c r="X5" s="11">
        <f>IF(X$3=0,"",SUMIFS(INDEX(Inputs!$D$4:$AG$150,0,MATCH(X$2,Inputs!$D$2:$AG$2,0)),Inputs!$B$4:$B$150,$B5)/1000)</f>
        <v>-16182</v>
      </c>
      <c r="Y5" s="11">
        <f>IF(Y$3=0,"",SUMIFS(INDEX(Inputs!$D$4:$AG$150,0,MATCH(Y$2,Inputs!$D$2:$AG$2,0)),Inputs!$B$4:$B$150,$B5)/1000)</f>
        <v>-18618</v>
      </c>
      <c r="Z5" s="11">
        <f>IF(Z$3=0,"",SUMIFS(INDEX(Inputs!$D$4:$AG$150,0,MATCH(Z$2,Inputs!$D$2:$AG$2,0)),Inputs!$B$4:$B$150,$B5)/1000)</f>
        <v>-23041</v>
      </c>
      <c r="AA5" s="11">
        <f>IF(AA$3=0,"",SUMIFS(INDEX(Inputs!$D$4:$AG$150,0,MATCH(AA$2,Inputs!$D$2:$AG$2,0)),Inputs!$B$4:$B$150,$B5)/1000)</f>
        <v>-19892</v>
      </c>
      <c r="AB5" s="12">
        <f>IF(COUNT(X5:AA5)=4,SUM(X5:AA5),"")</f>
        <v>-77733</v>
      </c>
      <c r="AC5" s="11">
        <f>IF(AC$3=0,"",SUMIFS(INDEX(Inputs!$D$4:$AG$150,0,MATCH(AC$2,Inputs!$D$2:$AG$2,0)),Inputs!$B$4:$B$150,$B5)/1000)</f>
        <v>-17667</v>
      </c>
      <c r="AD5" s="11">
        <f>IF(AD$3=0,"",SUMIFS(INDEX(Inputs!$D$4:$AG$150,0,MATCH(AD$2,Inputs!$D$2:$AG$2,0)),Inputs!$B$4:$B$150,$B5)/1000)</f>
        <v>-23485</v>
      </c>
      <c r="AE5" s="11" t="str">
        <f>IF(AE$3=0,"",SUMIFS(INDEX(Inputs!$D$4:$AG$150,0,MATCH(AE$2,Inputs!$D$2:$AG$2,0)),Inputs!$B$4:$B$150,$B5)/1000)</f>
        <v/>
      </c>
      <c r="AF5" s="11" t="str">
        <f>IF(AF$3=0,"",SUMIFS(INDEX(Inputs!$D$4:$AG$150,0,MATCH(AF$2,Inputs!$D$2:$AG$2,0)),Inputs!$B$4:$B$150,$B5)/1000)</f>
        <v/>
      </c>
      <c r="AG5" s="12" t="str">
        <f>IF(COUNT(AC5:AF5)=4,SUM(AC5:AF5),"")</f>
        <v/>
      </c>
    </row>
    <row r="6">
      <c r="B6" s="9" t="n">
        <v>3</v>
      </c>
      <c r="C6" s="13" t="inlineStr">
        <is>
          <t>SG&amp;A and Other (cash)</t>
        </is>
      </c>
      <c r="D6" s="11">
        <f>IF(D$3=0,"",SUMIFS(INDEX(Inputs!$D$4:$AG$150,0,MATCH(D$2,Inputs!$D$2:$AG$2,0)),Inputs!$B$4:$B$150,$B6)/1000)</f>
        <v>-1000</v>
      </c>
      <c r="E6" s="11">
        <f>IF(E$3=0,"",SUMIFS(INDEX(Inputs!$D$4:$AG$150,0,MATCH(E$2,Inputs!$D$2:$AG$2,0)),Inputs!$B$4:$B$150,$B6)/1000)</f>
        <v>-891</v>
      </c>
      <c r="F6" s="11">
        <f>IF(F$3=0,"",SUMIFS(INDEX(Inputs!$D$4:$AG$150,0,MATCH(F$2,Inputs!$D$2:$AG$2,0)),Inputs!$B$4:$B$150,$B6)/1000)</f>
        <v>-895</v>
      </c>
      <c r="G6" s="11">
        <f>IF(G$3=0,"",SUMIFS(INDEX(Inputs!$D$4:$AG$150,0,MATCH(G$2,Inputs!$D$2:$AG$2,0)),Inputs!$B$4:$B$150,$B6)/1000)</f>
        <v>-1386</v>
      </c>
      <c r="H6" s="12">
        <f>IF(COUNT(D6:G6)=4,SUM(D6:G6),"")</f>
        <v>-4172</v>
      </c>
      <c r="I6" s="11">
        <f>IF(I$3=0,"",SUMIFS(INDEX(Inputs!$D$4:$AG$150,0,MATCH(I$2,Inputs!$D$2:$AG$2,0)),Inputs!$B$4:$B$150,$B6)/1000)</f>
        <v>-977</v>
      </c>
      <c r="J6" s="11">
        <f>IF(J$3=0,"",SUMIFS(INDEX(Inputs!$D$4:$AG$150,0,MATCH(J$2,Inputs!$D$2:$AG$2,0)),Inputs!$B$4:$B$150,$B6)/1000)</f>
        <v>-848</v>
      </c>
      <c r="K6" s="11">
        <f>IF(K$3=0,"",SUMIFS(INDEX(Inputs!$D$4:$AG$150,0,MATCH(K$2,Inputs!$D$2:$AG$2,0)),Inputs!$B$4:$B$150,$B6)/1000)</f>
        <v>-738</v>
      </c>
      <c r="L6" s="11">
        <f>IF(L$3=0,"",SUMIFS(INDEX(Inputs!$D$4:$AG$150,0,MATCH(L$2,Inputs!$D$2:$AG$2,0)),Inputs!$B$4:$B$150,$B6)/1000)</f>
        <v>-887</v>
      </c>
      <c r="M6" s="12">
        <f>IF(COUNT(I6:L6)=4,SUM(I6:L6),"")</f>
        <v>-3450</v>
      </c>
      <c r="N6" s="11">
        <f>IF(N$3=0,"",SUMIFS(INDEX(Inputs!$D$4:$AG$150,0,MATCH(N$2,Inputs!$D$2:$AG$2,0)),Inputs!$B$4:$B$150,$B6)/1000)</f>
        <v>-801</v>
      </c>
      <c r="O6" s="11">
        <f>IF(O$3=0,"",SUMIFS(INDEX(Inputs!$D$4:$AG$150,0,MATCH(O$2,Inputs!$D$2:$AG$2,0)),Inputs!$B$4:$B$150,$B6)/1000)</f>
        <v>-980</v>
      </c>
      <c r="P6" s="11">
        <f>IF(P$3=0,"",SUMIFS(INDEX(Inputs!$D$4:$AG$150,0,MATCH(P$2,Inputs!$D$2:$AG$2,0)),Inputs!$B$4:$B$150,$B6)/1000)</f>
        <v>-1179</v>
      </c>
      <c r="Q6" s="11">
        <f>IF(Q$3=0,"",SUMIFS(INDEX(Inputs!$D$4:$AG$150,0,MATCH(Q$2,Inputs!$D$2:$AG$2,0)),Inputs!$B$4:$B$150,$B6)/1000)</f>
        <v>-1142</v>
      </c>
      <c r="R6" s="12">
        <f>IF(COUNT(N6:Q6)=4,SUM(N6:Q6),"")</f>
        <v>-4102</v>
      </c>
      <c r="S6" s="11">
        <f>IF(S$3=0,"",SUMIFS(INDEX(Inputs!$D$4:$AG$150,0,MATCH(S$2,Inputs!$D$2:$AG$2,0)),Inputs!$B$4:$B$150,$B6)/1000)</f>
        <v>-1279</v>
      </c>
      <c r="T6" s="11">
        <f>IF(T$3=0,"",SUMIFS(INDEX(Inputs!$D$4:$AG$150,0,MATCH(T$2,Inputs!$D$2:$AG$2,0)),Inputs!$B$4:$B$150,$B6)/1000)</f>
        <v>-1695</v>
      </c>
      <c r="U6" s="11">
        <f>IF(U$3=0,"",SUMIFS(INDEX(Inputs!$D$4:$AG$150,0,MATCH(U$2,Inputs!$D$2:$AG$2,0)),Inputs!$B$4:$B$150,$B6)/1000)</f>
        <v>-932</v>
      </c>
      <c r="V6" s="11">
        <f>IF(V$3=0,"",SUMIFS(INDEX(Inputs!$D$4:$AG$150,0,MATCH(V$2,Inputs!$D$2:$AG$2,0)),Inputs!$B$4:$B$150,$B6)/1000)</f>
        <v>-1100</v>
      </c>
      <c r="W6" s="12">
        <f>IF(COUNT(S6:V6)=4,SUM(S6:V6),"")</f>
        <v>-5006</v>
      </c>
      <c r="X6" s="11">
        <f>IF(X$3=0,"",SUMIFS(INDEX(Inputs!$D$4:$AG$150,0,MATCH(X$2,Inputs!$D$2:$AG$2,0)),Inputs!$B$4:$B$150,$B6)/1000)</f>
        <v>-1307</v>
      </c>
      <c r="Y6" s="11">
        <f>IF(Y$3=0,"",SUMIFS(INDEX(Inputs!$D$4:$AG$150,0,MATCH(Y$2,Inputs!$D$2:$AG$2,0)),Inputs!$B$4:$B$150,$B6)/1000)</f>
        <v>-1522</v>
      </c>
      <c r="Z6" s="11">
        <f>IF(Z$3=0,"",SUMIFS(INDEX(Inputs!$D$4:$AG$150,0,MATCH(Z$2,Inputs!$D$2:$AG$2,0)),Inputs!$B$4:$B$150,$B6)/1000)</f>
        <v>-1805</v>
      </c>
      <c r="AA6" s="11">
        <f>IF(AA$3=0,"",SUMIFS(INDEX(Inputs!$D$4:$AG$150,0,MATCH(AA$2,Inputs!$D$2:$AG$2,0)),Inputs!$B$4:$B$150,$B6)/1000)</f>
        <v>-1957</v>
      </c>
      <c r="AB6" s="12">
        <f>IF(COUNT(X6:AA6)=4,SUM(X6:AA6),"")</f>
        <v>-6591</v>
      </c>
      <c r="AC6" s="11">
        <f>IF(AC$3=0,"",SUMIFS(INDEX(Inputs!$D$4:$AG$150,0,MATCH(AC$2,Inputs!$D$2:$AG$2,0)),Inputs!$B$4:$B$150,$B6)/1000)</f>
        <v>-2189</v>
      </c>
      <c r="AD6" s="11">
        <f>IF(AD$3=0,"",SUMIFS(INDEX(Inputs!$D$4:$AG$150,0,MATCH(AD$2,Inputs!$D$2:$AG$2,0)),Inputs!$B$4:$B$150,$B6)/1000)</f>
        <v>-2734</v>
      </c>
      <c r="AE6" s="11" t="str">
        <f>IF(AE$3=0,"",SUMIFS(INDEX(Inputs!$D$4:$AG$150,0,MATCH(AE$2,Inputs!$D$2:$AG$2,0)),Inputs!$B$4:$B$150,$B6)/1000)</f>
        <v/>
      </c>
      <c r="AF6" s="11" t="str">
        <f>IF(AF$3=0,"",SUMIFS(INDEX(Inputs!$D$4:$AG$150,0,MATCH(AF$2,Inputs!$D$2:$AG$2,0)),Inputs!$B$4:$B$150,$B6)/1000)</f>
        <v/>
      </c>
      <c r="AG6" s="12" t="str">
        <f>IF(COUNT(AC6:AF6)=4,SUM(AC6:AF6),"")</f>
        <v/>
      </c>
    </row>
    <row r="7">
      <c r="B7" s="9" t="n">
        <v>4</v>
      </c>
      <c r="C7" s="13" t="inlineStr">
        <is>
          <t>D&amp;A</t>
        </is>
      </c>
      <c r="D7" s="11">
        <f>IF(D$3=0,"",SUMIFS(INDEX(Inputs!$D$4:$AG$150,0,MATCH(D$2,Inputs!$D$2:$AG$2,0)),Inputs!$B$4:$B$150,$B7)/1000)</f>
        <v>-621</v>
      </c>
      <c r="E7" s="11">
        <f>IF(E$3=0,"",SUMIFS(INDEX(Inputs!$D$4:$AG$150,0,MATCH(E$2,Inputs!$D$2:$AG$2,0)),Inputs!$B$4:$B$150,$B7)/1000)</f>
        <v>-681</v>
      </c>
      <c r="F7" s="11">
        <f>IF(F$3=0,"",SUMIFS(INDEX(Inputs!$D$4:$AG$150,0,MATCH(F$2,Inputs!$D$2:$AG$2,0)),Inputs!$B$4:$B$150,$B7)/1000)</f>
        <v>-761</v>
      </c>
      <c r="G7" s="11">
        <f>IF(G$3=0,"",SUMIFS(INDEX(Inputs!$D$4:$AG$150,0,MATCH(G$2,Inputs!$D$2:$AG$2,0)),Inputs!$B$4:$B$150,$B7)/1000)</f>
        <v>-848</v>
      </c>
      <c r="H7" s="12">
        <f>IF(COUNT(D7:G7)=4,SUM(D7:G7),"")</f>
        <v>-2911</v>
      </c>
      <c r="I7" s="11">
        <f>IF(I$3=0,"",SUMIFS(INDEX(Inputs!$D$4:$AG$150,0,MATCH(I$2,Inputs!$D$2:$AG$2,0)),Inputs!$B$4:$B$150,$B7)/1000)</f>
        <v>-880</v>
      </c>
      <c r="J7" s="11">
        <f>IF(J$3=0,"",SUMIFS(INDEX(Inputs!$D$4:$AG$150,0,MATCH(J$2,Inputs!$D$2:$AG$2,0)),Inputs!$B$4:$B$150,$B7)/1000)</f>
        <v>-922</v>
      </c>
      <c r="K7" s="11">
        <f>IF(K$3=0,"",SUMIFS(INDEX(Inputs!$D$4:$AG$150,0,MATCH(K$2,Inputs!$D$2:$AG$2,0)),Inputs!$B$4:$B$150,$B7)/1000)</f>
        <v>-956</v>
      </c>
      <c r="L7" s="11">
        <f>IF(L$3=0,"",SUMIFS(INDEX(Inputs!$D$4:$AG$150,0,MATCH(L$2,Inputs!$D$2:$AG$2,0)),Inputs!$B$4:$B$150,$B7)/1000)</f>
        <v>-989</v>
      </c>
      <c r="M7" s="12">
        <f>IF(COUNT(I7:L7)=4,SUM(I7:L7),"")</f>
        <v>-3747</v>
      </c>
      <c r="N7" s="11">
        <f>IF(N$3=0,"",SUMIFS(INDEX(Inputs!$D$4:$AG$150,0,MATCH(N$2,Inputs!$D$2:$AG$2,0)),Inputs!$B$4:$B$150,$B7)/1000)</f>
        <v>-1046</v>
      </c>
      <c r="O7" s="11">
        <f>IF(O$3=0,"",SUMIFS(INDEX(Inputs!$D$4:$AG$150,0,MATCH(O$2,Inputs!$D$2:$AG$2,0)),Inputs!$B$4:$B$150,$B7)/1000)</f>
        <v>-1154</v>
      </c>
      <c r="P7" s="11">
        <f>IF(P$3=0,"",SUMIFS(INDEX(Inputs!$D$4:$AG$150,0,MATCH(P$2,Inputs!$D$2:$AG$2,0)),Inputs!$B$4:$B$150,$B7)/1000)</f>
        <v>-1235</v>
      </c>
      <c r="Q7" s="11">
        <f>IF(Q$3=0,"",SUMIFS(INDEX(Inputs!$D$4:$AG$150,0,MATCH(Q$2,Inputs!$D$2:$AG$2,0)),Inputs!$B$4:$B$150,$B7)/1000)</f>
        <v>-1232</v>
      </c>
      <c r="R7" s="12">
        <f>IF(COUNT(N7:Q7)=4,SUM(N7:Q7),"")</f>
        <v>-4667</v>
      </c>
      <c r="S7" s="11">
        <f>IF(S$3=0,"",SUMIFS(INDEX(Inputs!$D$4:$AG$150,0,MATCH(S$2,Inputs!$D$2:$AG$2,0)),Inputs!$B$4:$B$150,$B7)/1000)</f>
        <v>-1246</v>
      </c>
      <c r="T7" s="11">
        <f>IF(T$3=0,"",SUMIFS(INDEX(Inputs!$D$4:$AG$150,0,MATCH(T$2,Inputs!$D$2:$AG$2,0)),Inputs!$B$4:$B$150,$B7)/1000)</f>
        <v>-1278</v>
      </c>
      <c r="U7" s="11">
        <f>IF(U$3=0,"",SUMIFS(INDEX(Inputs!$D$4:$AG$150,0,MATCH(U$2,Inputs!$D$2:$AG$2,0)),Inputs!$B$4:$B$150,$B7)/1000)</f>
        <v>-1348</v>
      </c>
      <c r="V7" s="11">
        <f>IF(V$3=0,"",SUMIFS(INDEX(Inputs!$D$4:$AG$150,0,MATCH(V$2,Inputs!$D$2:$AG$2,0)),Inputs!$B$4:$B$150,$B7)/1000)</f>
        <v>-1496</v>
      </c>
      <c r="W7" s="12">
        <f>IF(COUNT(S7:V7)=4,SUM(S7:V7),"")</f>
        <v>-5368</v>
      </c>
      <c r="X7" s="11">
        <f>IF(X$3=0,"",SUMIFS(INDEX(Inputs!$D$4:$AG$150,0,MATCH(X$2,Inputs!$D$2:$AG$2,0)),Inputs!$B$4:$B$150,$B7)/1000)</f>
        <v>-1447</v>
      </c>
      <c r="Y7" s="11">
        <f>IF(Y$3=0,"",SUMIFS(INDEX(Inputs!$D$4:$AG$150,0,MATCH(Y$2,Inputs!$D$2:$AG$2,0)),Inputs!$B$4:$B$150,$B7)/1000)</f>
        <v>-1433</v>
      </c>
      <c r="Z7" s="11">
        <f>IF(Z$3=0,"",SUMIFS(INDEX(Inputs!$D$4:$AG$150,0,MATCH(Z$2,Inputs!$D$2:$AG$2,0)),Inputs!$B$4:$B$150,$B7)/1000)</f>
        <v>-1625</v>
      </c>
      <c r="AA7" s="11">
        <f>IF(AA$3=0,"",SUMIFS(INDEX(Inputs!$D$4:$AG$150,0,MATCH(AA$2,Inputs!$D$2:$AG$2,0)),Inputs!$B$4:$B$150,$B7)/1000)</f>
        <v>-1643</v>
      </c>
      <c r="AB7" s="12">
        <f>IF(COUNT(X7:AA7)=4,SUM(X7:AA7),"")</f>
        <v>-6148</v>
      </c>
      <c r="AC7" s="11">
        <f>IF(AC$3=0,"",SUMIFS(INDEX(Inputs!$D$4:$AG$150,0,MATCH(AC$2,Inputs!$D$2:$AG$2,0)),Inputs!$B$4:$B$150,$B7)/1000)</f>
        <v>-1590</v>
      </c>
      <c r="AD7" s="11">
        <f>IF(AD$3=0,"",SUMIFS(INDEX(Inputs!$D$4:$AG$150,0,MATCH(AD$2,Inputs!$D$2:$AG$2,0)),Inputs!$B$4:$B$150,$B7)/1000)</f>
        <v>-1619</v>
      </c>
      <c r="AE7" s="11" t="str">
        <f>IF(AE$3=0,"",SUMIFS(INDEX(Inputs!$D$4:$AG$150,0,MATCH(AE$2,Inputs!$D$2:$AG$2,0)),Inputs!$B$4:$B$150,$B7)/1000)</f>
        <v/>
      </c>
      <c r="AF7" s="11" t="str">
        <f>IF(AF$3=0,"",SUMIFS(INDEX(Inputs!$D$4:$AG$150,0,MATCH(AF$2,Inputs!$D$2:$AG$2,0)),Inputs!$B$4:$B$150,$B7)/1000)</f>
        <v/>
      </c>
      <c r="AG7" s="12" t="str">
        <f>IF(COUNT(AC7:AF7)=4,SUM(AC7:AF7),"")</f>
        <v/>
      </c>
    </row>
    <row r="8">
      <c r="B8" s="9" t="n">
        <v>5</v>
      </c>
      <c r="C8" s="14" t="inlineStr">
        <is>
          <t>Interest Expense</t>
        </is>
      </c>
      <c r="D8" s="11">
        <f>IF(D$3=0,"",SUMIFS(INDEX(Inputs!$D$4:$AG$150,0,MATCH(D$2,Inputs!$D$2:$AG$2,0)),Inputs!$B$4:$B$150,$B8)/1000)</f>
        <v>-99</v>
      </c>
      <c r="E8" s="11">
        <f>IF(E$3=0,"",SUMIFS(INDEX(Inputs!$D$4:$AG$150,0,MATCH(E$2,Inputs!$D$2:$AG$2,0)),Inputs!$B$4:$B$150,$B8)/1000)</f>
        <v>-75</v>
      </c>
      <c r="F8" s="11">
        <f>IF(F$3=0,"",SUMIFS(INDEX(Inputs!$D$4:$AG$150,0,MATCH(F$2,Inputs!$D$2:$AG$2,0)),Inputs!$B$4:$B$150,$B8)/1000)</f>
        <v>-126</v>
      </c>
      <c r="G8" s="11">
        <f>IF(G$3=0,"",SUMIFS(INDEX(Inputs!$D$4:$AG$150,0,MATCH(G$2,Inputs!$D$2:$AG$2,0)),Inputs!$B$4:$B$150,$B8)/1000)</f>
        <v>-71</v>
      </c>
      <c r="H8" s="12">
        <f>IF(COUNT(D8:G8)=4,SUM(D8:G8),"")</f>
        <v>-371</v>
      </c>
      <c r="I8" s="11">
        <f>IF(I$3=0,"",SUMIFS(INDEX(Inputs!$D$4:$AG$150,0,MATCH(I$2,Inputs!$D$2:$AG$2,0)),Inputs!$B$4:$B$150,$B8)/1000)</f>
        <v>-61</v>
      </c>
      <c r="J8" s="11">
        <f>IF(J$3=0,"",SUMIFS(INDEX(Inputs!$D$4:$AG$150,0,MATCH(J$2,Inputs!$D$2:$AG$2,0)),Inputs!$B$4:$B$150,$B8)/1000)</f>
        <v>-44</v>
      </c>
      <c r="K8" s="11">
        <f>IF(K$3=0,"",SUMIFS(INDEX(Inputs!$D$4:$AG$150,0,MATCH(K$2,Inputs!$D$2:$AG$2,0)),Inputs!$B$4:$B$150,$B8)/1000)</f>
        <v>-53</v>
      </c>
      <c r="L8" s="11">
        <f>IF(L$3=0,"",SUMIFS(INDEX(Inputs!$D$4:$AG$150,0,MATCH(L$2,Inputs!$D$2:$AG$2,0)),Inputs!$B$4:$B$150,$B8)/1000)</f>
        <v>-33</v>
      </c>
      <c r="M8" s="12">
        <f>IF(COUNT(I8:L8)=4,SUM(I8:L8),"")</f>
        <v>-191</v>
      </c>
      <c r="N8" s="11">
        <f>IF(N$3=0,"",SUMIFS(INDEX(Inputs!$D$4:$AG$150,0,MATCH(N$2,Inputs!$D$2:$AG$2,0)),Inputs!$B$4:$B$150,$B8)/1000)</f>
        <v>-29</v>
      </c>
      <c r="O8" s="11">
        <f>IF(O$3=0,"",SUMIFS(INDEX(Inputs!$D$4:$AG$150,0,MATCH(O$2,Inputs!$D$2:$AG$2,0)),Inputs!$B$4:$B$150,$B8)/1000)</f>
        <v>-28</v>
      </c>
      <c r="P8" s="11">
        <f>IF(P$3=0,"",SUMIFS(INDEX(Inputs!$D$4:$AG$150,0,MATCH(P$2,Inputs!$D$2:$AG$2,0)),Inputs!$B$4:$B$150,$B8)/1000)</f>
        <v>-38</v>
      </c>
      <c r="Q8" s="11">
        <f>IF(Q$3=0,"",SUMIFS(INDEX(Inputs!$D$4:$AG$150,0,MATCH(Q$2,Inputs!$D$2:$AG$2,0)),Inputs!$B$4:$B$150,$B8)/1000)</f>
        <v>-61</v>
      </c>
      <c r="R8" s="12">
        <f>IF(COUNT(N8:Q8)=4,SUM(N8:Q8),"")</f>
        <v>-156</v>
      </c>
      <c r="S8" s="11">
        <f>IF(S$3=0,"",SUMIFS(INDEX(Inputs!$D$4:$AG$150,0,MATCH(S$2,Inputs!$D$2:$AG$2,0)),Inputs!$B$4:$B$150,$B8)/1000)</f>
        <v>-76</v>
      </c>
      <c r="T8" s="11">
        <f>IF(T$3=0,"",SUMIFS(INDEX(Inputs!$D$4:$AG$150,0,MATCH(T$2,Inputs!$D$2:$AG$2,0)),Inputs!$B$4:$B$150,$B8)/1000)</f>
        <v>-86</v>
      </c>
      <c r="U8" s="11">
        <f>IF(U$3=0,"",SUMIFS(INDEX(Inputs!$D$4:$AG$150,0,MATCH(U$2,Inputs!$D$2:$AG$2,0)),Inputs!$B$4:$B$150,$B8)/1000)</f>
        <v>-92</v>
      </c>
      <c r="V8" s="11">
        <f>IF(V$3=0,"",SUMIFS(INDEX(Inputs!$D$4:$AG$150,0,MATCH(V$2,Inputs!$D$2:$AG$2,0)),Inputs!$B$4:$B$150,$B8)/1000)</f>
        <v>-96</v>
      </c>
      <c r="W8" s="12">
        <f>IF(COUNT(S8:V8)=4,SUM(S8:V8),"")</f>
        <v>-350</v>
      </c>
      <c r="X8" s="11">
        <f>IF(X$3=0,"",SUMIFS(INDEX(Inputs!$D$4:$AG$150,0,MATCH(X$2,Inputs!$D$2:$AG$2,0)),Inputs!$B$4:$B$150,$B8)/1000)</f>
        <v>-91</v>
      </c>
      <c r="Y8" s="11">
        <f>IF(Y$3=0,"",SUMIFS(INDEX(Inputs!$D$4:$AG$150,0,MATCH(Y$2,Inputs!$D$2:$AG$2,0)),Inputs!$B$4:$B$150,$B8)/1000)</f>
        <v>-86</v>
      </c>
      <c r="Z8" s="11">
        <f>IF(Z$3=0,"",SUMIFS(INDEX(Inputs!$D$4:$AG$150,0,MATCH(Z$2,Inputs!$D$2:$AG$2,0)),Inputs!$B$4:$B$150,$B8)/1000)</f>
        <v>-76</v>
      </c>
      <c r="AA8" s="11">
        <f>IF(AA$3=0,"",SUMIFS(INDEX(Inputs!$D$4:$AG$150,0,MATCH(AA$2,Inputs!$D$2:$AG$2,0)),Inputs!$B$4:$B$150,$B8)/1000)</f>
        <v>-85</v>
      </c>
      <c r="AB8" s="12">
        <f>IF(COUNT(X8:AA8)=4,SUM(X8:AA8),"")</f>
        <v>-338</v>
      </c>
      <c r="AC8" s="11">
        <f>IF(AC$3=0,"",SUMIFS(INDEX(Inputs!$D$4:$AG$150,0,MATCH(AC$2,Inputs!$D$2:$AG$2,0)),Inputs!$B$4:$B$150,$B8)/1000)</f>
        <v>-92</v>
      </c>
      <c r="AD8" s="11">
        <f>IF(AD$3=0,"",SUMIFS(INDEX(Inputs!$D$4:$AG$150,0,MATCH(AD$2,Inputs!$D$2:$AG$2,0)),Inputs!$B$4:$B$150,$B8)/1000)</f>
        <v>-81</v>
      </c>
      <c r="AE8" s="11" t="str">
        <f>IF(AE$3=0,"",SUMIFS(INDEX(Inputs!$D$4:$AG$150,0,MATCH(AE$2,Inputs!$D$2:$AG$2,0)),Inputs!$B$4:$B$150,$B8)/1000)</f>
        <v/>
      </c>
      <c r="AF8" s="11" t="str">
        <f>IF(AF$3=0,"",SUMIFS(INDEX(Inputs!$D$4:$AG$150,0,MATCH(AF$2,Inputs!$D$2:$AG$2,0)),Inputs!$B$4:$B$150,$B8)/1000)</f>
        <v/>
      </c>
      <c r="AG8" s="12" t="str">
        <f>IF(COUNT(AC8:AF8)=4,SUM(AC8:AF8),"")</f>
        <v/>
      </c>
    </row>
    <row r="9">
      <c r="B9" s="9" t="n">
        <v>6</v>
      </c>
      <c r="C9" s="14" t="inlineStr">
        <is>
          <t>Nonoperating Income / (Loss)</t>
        </is>
      </c>
      <c r="D9" s="11">
        <f>IF(D$3=0,"",SUMIFS(INDEX(Inputs!$D$4:$AG$150,0,MATCH(D$2,Inputs!$D$2:$AG$2,0)),Inputs!$B$4:$B$150,$B9)/1000)</f>
        <v>38</v>
      </c>
      <c r="E9" s="11">
        <f>IF(E$3=0,"",SUMIFS(INDEX(Inputs!$D$4:$AG$150,0,MATCH(E$2,Inputs!$D$2:$AG$2,0)),Inputs!$B$4:$B$150,$B9)/1000)</f>
        <v>56</v>
      </c>
      <c r="F9" s="11">
        <f>IF(F$3=0,"",SUMIFS(INDEX(Inputs!$D$4:$AG$150,0,MATCH(F$2,Inputs!$D$2:$AG$2,0)),Inputs!$B$4:$B$150,$B9)/1000)</f>
        <v>4</v>
      </c>
      <c r="G9" s="11">
        <f>IF(G$3=0,"",SUMIFS(INDEX(Inputs!$D$4:$AG$150,0,MATCH(G$2,Inputs!$D$2:$AG$2,0)),Inputs!$B$4:$B$150,$B9)/1000)</f>
        <v>93</v>
      </c>
      <c r="H9" s="12">
        <f>IF(COUNT(D9:G9)=4,SUM(D9:G9),"")</f>
        <v>191</v>
      </c>
      <c r="I9" s="11">
        <f>IF(I$3=0,"",SUMIFS(INDEX(Inputs!$D$4:$AG$150,0,MATCH(I$2,Inputs!$D$2:$AG$2,0)),Inputs!$B$4:$B$150,$B9)/1000)</f>
        <v>84</v>
      </c>
      <c r="J9" s="11">
        <f>IF(J$3=0,"",SUMIFS(INDEX(Inputs!$D$4:$AG$150,0,MATCH(J$2,Inputs!$D$2:$AG$2,0)),Inputs!$B$4:$B$150,$B9)/1000)</f>
        <v>54</v>
      </c>
      <c r="K9" s="11">
        <f>IF(K$3=0,"",SUMIFS(INDEX(Inputs!$D$4:$AG$150,0,MATCH(K$2,Inputs!$D$2:$AG$2,0)),Inputs!$B$4:$B$150,$B9)/1000)</f>
        <v>1</v>
      </c>
      <c r="L9" s="11">
        <f>IF(L$3=0,"",SUMIFS(INDEX(Inputs!$D$4:$AG$150,0,MATCH(L$2,Inputs!$D$2:$AG$2,0)),Inputs!$B$4:$B$150,$B9)/1000)</f>
        <v>115</v>
      </c>
      <c r="M9" s="12">
        <f>IF(COUNT(I9:L9)=4,SUM(I9:L9),"")</f>
        <v>254</v>
      </c>
      <c r="N9" s="11">
        <f>IF(N$3=0,"",SUMIFS(INDEX(Inputs!$D$4:$AG$150,0,MATCH(N$2,Inputs!$D$2:$AG$2,0)),Inputs!$B$4:$B$150,$B9)/1000)</f>
        <v>165</v>
      </c>
      <c r="O9" s="11">
        <f>IF(O$3=0,"",SUMIFS(INDEX(Inputs!$D$4:$AG$150,0,MATCH(O$2,Inputs!$D$2:$AG$2,0)),Inputs!$B$4:$B$150,$B9)/1000)</f>
        <v>566</v>
      </c>
      <c r="P9" s="11">
        <f>IF(P$3=0,"",SUMIFS(INDEX(Inputs!$D$4:$AG$150,0,MATCH(P$2,Inputs!$D$2:$AG$2,0)),Inputs!$B$4:$B$150,$B9)/1000)</f>
        <v>319</v>
      </c>
      <c r="Q9" s="11">
        <f>IF(Q$3=0,"",SUMIFS(INDEX(Inputs!$D$4:$AG$150,0,MATCH(Q$2,Inputs!$D$2:$AG$2,0)),Inputs!$B$4:$B$150,$B9)/1000)</f>
        <v>188</v>
      </c>
      <c r="R9" s="12">
        <f>IF(COUNT(N9:Q9)=4,SUM(N9:Q9),"")</f>
        <v>1238</v>
      </c>
      <c r="S9" s="11">
        <f>IF(S$3=0,"",SUMIFS(INDEX(Inputs!$D$4:$AG$150,0,MATCH(S$2,Inputs!$D$2:$AG$2,0)),Inputs!$B$4:$B$150,$B9)/1000)</f>
        <v>793</v>
      </c>
      <c r="T9" s="11">
        <f>IF(T$3=0,"",SUMIFS(INDEX(Inputs!$D$4:$AG$150,0,MATCH(T$2,Inputs!$D$2:$AG$2,0)),Inputs!$B$4:$B$150,$B9)/1000)</f>
        <v>268</v>
      </c>
      <c r="U9" s="11">
        <f>IF(U$3=0,"",SUMIFS(INDEX(Inputs!$D$4:$AG$150,0,MATCH(U$2,Inputs!$D$2:$AG$2,0)),Inputs!$B$4:$B$150,$B9)/1000)</f>
        <v>166</v>
      </c>
      <c r="V9" s="11">
        <f>IF(V$3=0,"",SUMIFS(INDEX(Inputs!$D$4:$AG$150,0,MATCH(V$2,Inputs!$D$2:$AG$2,0)),Inputs!$B$4:$B$150,$B9)/1000)</f>
        <v>1037</v>
      </c>
      <c r="W9" s="12">
        <f>IF(COUNT(S9:V9)=4,SUM(S9:V9),"")</f>
        <v>2264</v>
      </c>
      <c r="X9" s="11">
        <f>IF(X$3=0,"",SUMIFS(INDEX(Inputs!$D$4:$AG$150,0,MATCH(X$2,Inputs!$D$2:$AG$2,0)),Inputs!$B$4:$B$150,$B9)/1000)</f>
        <v>281</v>
      </c>
      <c r="Y9" s="11">
        <f>IF(Y$3=0,"",SUMIFS(INDEX(Inputs!$D$4:$AG$150,0,MATCH(Y$2,Inputs!$D$2:$AG$2,0)),Inputs!$B$4:$B$150,$B9)/1000)</f>
        <v>712</v>
      </c>
      <c r="Z9" s="11">
        <f>IF(Z$3=0,"",SUMIFS(INDEX(Inputs!$D$4:$AG$150,0,MATCH(Z$2,Inputs!$D$2:$AG$2,0)),Inputs!$B$4:$B$150,$B9)/1000)</f>
        <v>411</v>
      </c>
      <c r="AA9" s="11">
        <f>IF(AA$3=0,"",SUMIFS(INDEX(Inputs!$D$4:$AG$150,0,MATCH(AA$2,Inputs!$D$2:$AG$2,0)),Inputs!$B$4:$B$150,$B9)/1000)</f>
        <v>-143</v>
      </c>
      <c r="AB9" s="12">
        <f>IF(COUNT(X9:AA9)=4,SUM(X9:AA9),"")</f>
        <v>1261</v>
      </c>
      <c r="AC9" s="11">
        <f>IF(AC$3=0,"",SUMIFS(INDEX(Inputs!$D$4:$AG$150,0,MATCH(AC$2,Inputs!$D$2:$AG$2,0)),Inputs!$B$4:$B$150,$B9)/1000)</f>
        <v>-101</v>
      </c>
      <c r="AD9" s="11">
        <f>IF(AD$3=0,"",SUMIFS(INDEX(Inputs!$D$4:$AG$150,0,MATCH(AD$2,Inputs!$D$2:$AG$2,0)),Inputs!$B$4:$B$150,$B9)/1000)</f>
        <v>1012</v>
      </c>
      <c r="AE9" s="11" t="str">
        <f>IF(AE$3=0,"",SUMIFS(INDEX(Inputs!$D$4:$AG$150,0,MATCH(AE$2,Inputs!$D$2:$AG$2,0)),Inputs!$B$4:$B$150,$B9)/1000)</f>
        <v/>
      </c>
      <c r="AF9" s="11" t="str">
        <f>IF(AF$3=0,"",SUMIFS(INDEX(Inputs!$D$4:$AG$150,0,MATCH(AF$2,Inputs!$D$2:$AG$2,0)),Inputs!$B$4:$B$150,$B9)/1000)</f>
        <v/>
      </c>
      <c r="AG9" s="12" t="str">
        <f>IF(COUNT(AC9:AF9)=4,SUM(AC9:AF9),"")</f>
        <v/>
      </c>
    </row>
    <row r="10">
      <c r="B10" s="9" t="n">
        <v>7</v>
      </c>
      <c r="C10" s="14" t="inlineStr">
        <is>
          <t>Taxes</t>
        </is>
      </c>
      <c r="D10" s="11">
        <f>IF(D$3=0,"",SUMIFS(INDEX(Inputs!$D$4:$AG$150,0,MATCH(D$2,Inputs!$D$2:$AG$2,0)),Inputs!$B$4:$B$150,$B10)/1000)</f>
        <v>-69</v>
      </c>
      <c r="E10" s="11">
        <f>IF(E$3=0,"",SUMIFS(INDEX(Inputs!$D$4:$AG$150,0,MATCH(E$2,Inputs!$D$2:$AG$2,0)),Inputs!$B$4:$B$150,$B10)/1000)</f>
        <v>-115</v>
      </c>
      <c r="F10" s="11">
        <f>IF(F$3=0,"",SUMIFS(INDEX(Inputs!$D$4:$AG$150,0,MATCH(F$2,Inputs!$D$2:$AG$2,0)),Inputs!$B$4:$B$150,$B10)/1000)</f>
        <v>-223</v>
      </c>
      <c r="G10" s="11">
        <f>IF(G$3=0,"",SUMIFS(INDEX(Inputs!$D$4:$AG$150,0,MATCH(G$2,Inputs!$D$2:$AG$2,0)),Inputs!$B$4:$B$150,$B10)/1000)</f>
        <v>-292</v>
      </c>
      <c r="H10" s="12">
        <f>IF(COUNT(D10:G10)=4,SUM(D10:G10),"")</f>
        <v>-699</v>
      </c>
      <c r="I10" s="11">
        <f>IF(I$3=0,"",SUMIFS(INDEX(Inputs!$D$4:$AG$150,0,MATCH(I$2,Inputs!$D$2:$AG$2,0)),Inputs!$B$4:$B$150,$B10)/1000)</f>
        <v>-346</v>
      </c>
      <c r="J10" s="11">
        <f>IF(J$3=0,"",SUMIFS(INDEX(Inputs!$D$4:$AG$150,0,MATCH(J$2,Inputs!$D$2:$AG$2,0)),Inputs!$B$4:$B$150,$B10)/1000)</f>
        <v>-205</v>
      </c>
      <c r="K10" s="11">
        <f>IF(K$3=0,"",SUMIFS(INDEX(Inputs!$D$4:$AG$150,0,MATCH(K$2,Inputs!$D$2:$AG$2,0)),Inputs!$B$4:$B$150,$B10)/1000)</f>
        <v>-305</v>
      </c>
      <c r="L10" s="11">
        <f>IF(L$3=0,"",SUMIFS(INDEX(Inputs!$D$4:$AG$150,0,MATCH(L$2,Inputs!$D$2:$AG$2,0)),Inputs!$B$4:$B$150,$B10)/1000)</f>
        <v>-276</v>
      </c>
      <c r="M10" s="12">
        <f>IF(COUNT(I10:L10)=4,SUM(I10:L10),"")</f>
        <v>-1132</v>
      </c>
      <c r="N10" s="11">
        <f>IF(N$3=0,"",SUMIFS(INDEX(Inputs!$D$4:$AG$150,0,MATCH(N$2,Inputs!$D$2:$AG$2,0)),Inputs!$B$4:$B$150,$B10)/1000)</f>
        <v>-261</v>
      </c>
      <c r="O10" s="11">
        <f>IF(O$3=0,"",SUMIFS(INDEX(Inputs!$D$4:$AG$150,0,MATCH(O$2,Inputs!$D$2:$AG$2,0)),Inputs!$B$4:$B$150,$B10)/1000)</f>
        <v>-323</v>
      </c>
      <c r="P10" s="11">
        <f>IF(P$3=0,"",SUMIFS(INDEX(Inputs!$D$4:$AG$150,0,MATCH(P$2,Inputs!$D$2:$AG$2,0)),Inputs!$B$4:$B$150,$B10)/1000)</f>
        <v>-167</v>
      </c>
      <c r="Q10" s="11">
        <f>IF(Q$3=0,"",SUMIFS(INDEX(Inputs!$D$4:$AG$150,0,MATCH(Q$2,Inputs!$D$2:$AG$2,0)),Inputs!$B$4:$B$150,$B10)/1000)</f>
        <v>5752</v>
      </c>
      <c r="R10" s="12">
        <f>IF(COUNT(N10:Q10)=4,SUM(N10:Q10),"")</f>
        <v>5001</v>
      </c>
      <c r="S10" s="11">
        <f>IF(S$3=0,"",SUMIFS(INDEX(Inputs!$D$4:$AG$150,0,MATCH(S$2,Inputs!$D$2:$AG$2,0)),Inputs!$B$4:$B$150,$B10)/1000)</f>
        <v>-483</v>
      </c>
      <c r="T10" s="11">
        <f>IF(T$3=0,"",SUMIFS(INDEX(Inputs!$D$4:$AG$150,0,MATCH(T$2,Inputs!$D$2:$AG$2,0)),Inputs!$B$4:$B$150,$B10)/1000)</f>
        <v>-371</v>
      </c>
      <c r="U10" s="11">
        <f>IF(U$3=0,"",SUMIFS(INDEX(Inputs!$D$4:$AG$150,0,MATCH(U$2,Inputs!$D$2:$AG$2,0)),Inputs!$B$4:$B$150,$B10)/1000)</f>
        <v>-602</v>
      </c>
      <c r="V10" s="11">
        <f>IF(V$3=0,"",SUMIFS(INDEX(Inputs!$D$4:$AG$150,0,MATCH(V$2,Inputs!$D$2:$AG$2,0)),Inputs!$B$4:$B$150,$B10)/1000)</f>
        <v>-381</v>
      </c>
      <c r="W10" s="12">
        <f>IF(COUNT(S10:V10)=4,SUM(S10:V10),"")</f>
        <v>-1837</v>
      </c>
      <c r="X10" s="11">
        <f>IF(X$3=0,"",SUMIFS(INDEX(Inputs!$D$4:$AG$150,0,MATCH(X$2,Inputs!$D$2:$AG$2,0)),Inputs!$B$4:$B$150,$B10)/1000)</f>
        <v>-169</v>
      </c>
      <c r="Y10" s="11">
        <f>IF(Y$3=0,"",SUMIFS(INDEX(Inputs!$D$4:$AG$150,0,MATCH(Y$2,Inputs!$D$2:$AG$2,0)),Inputs!$B$4:$B$150,$B10)/1000)</f>
        <v>-359</v>
      </c>
      <c r="Z10" s="11">
        <f>IF(Z$3=0,"",SUMIFS(INDEX(Inputs!$D$4:$AG$150,0,MATCH(Z$2,Inputs!$D$2:$AG$2,0)),Inputs!$B$4:$B$150,$B10)/1000)</f>
        <v>-570</v>
      </c>
      <c r="AA10" s="11">
        <f>IF(AA$3=0,"",SUMIFS(INDEX(Inputs!$D$4:$AG$150,0,MATCH(AA$2,Inputs!$D$2:$AG$2,0)),Inputs!$B$4:$B$150,$B10)/1000)</f>
        <v>-325</v>
      </c>
      <c r="AB10" s="12">
        <f>IF(COUNT(X10:AA10)=4,SUM(X10:AA10),"")</f>
        <v>-1423</v>
      </c>
      <c r="AC10" s="11">
        <f>IF(AC$3=0,"",SUMIFS(INDEX(Inputs!$D$4:$AG$150,0,MATCH(AC$2,Inputs!$D$2:$AG$2,0)),Inputs!$B$4:$B$150,$B10)/1000)</f>
        <v>-257</v>
      </c>
      <c r="AD10" s="11">
        <f>IF(AD$3=0,"",SUMIFS(INDEX(Inputs!$D$4:$AG$150,0,MATCH(AD$2,Inputs!$D$2:$AG$2,0)),Inputs!$B$4:$B$150,$B10)/1000)</f>
        <v>-201</v>
      </c>
      <c r="AE10" s="11" t="str">
        <f>IF(AE$3=0,"",SUMIFS(INDEX(Inputs!$D$4:$AG$150,0,MATCH(AE$2,Inputs!$D$2:$AG$2,0)),Inputs!$B$4:$B$150,$B10)/1000)</f>
        <v/>
      </c>
      <c r="AF10" s="11" t="str">
        <f>IF(AF$3=0,"",SUMIFS(INDEX(Inputs!$D$4:$AG$150,0,MATCH(AF$2,Inputs!$D$2:$AG$2,0)),Inputs!$B$4:$B$150,$B10)/1000)</f>
        <v/>
      </c>
      <c r="AG10" s="12" t="str">
        <f>IF(COUNT(AC10:AF10)=4,SUM(AC10:AF10),"")</f>
        <v/>
      </c>
    </row>
    <row r="11">
      <c r="B11" s="9" t="n">
        <v>8</v>
      </c>
      <c r="C11" s="14" t="inlineStr">
        <is>
          <t>Equity in Income of Affiliates, after tax (enter as +)</t>
        </is>
      </c>
      <c r="D11" s="11">
        <f>IF(D$3=0,"",SUMIFS(INDEX(Inputs!$D$4:$AG$150,0,MATCH(D$2,Inputs!$D$2:$AG$2,0)),Inputs!$B$4:$B$150,$B11)/1000)</f>
        <v>0</v>
      </c>
      <c r="E11" s="11">
        <f>IF(E$3=0,"",SUMIFS(INDEX(Inputs!$D$4:$AG$150,0,MATCH(E$2,Inputs!$D$2:$AG$2,0)),Inputs!$B$4:$B$150,$B11)/1000)</f>
        <v>0</v>
      </c>
      <c r="F11" s="11">
        <f>IF(F$3=0,"",SUMIFS(INDEX(Inputs!$D$4:$AG$150,0,MATCH(F$2,Inputs!$D$2:$AG$2,0)),Inputs!$B$4:$B$150,$B11)/1000)</f>
        <v>0</v>
      </c>
      <c r="G11" s="11">
        <f>IF(G$3=0,"",SUMIFS(INDEX(Inputs!$D$4:$AG$150,0,MATCH(G$2,Inputs!$D$2:$AG$2,0)),Inputs!$B$4:$B$150,$B11)/1000)</f>
        <v>0</v>
      </c>
      <c r="H11" s="12">
        <f>IF(COUNT(D11:G11)=4,SUM(D11:G11),"")</f>
        <v>0</v>
      </c>
      <c r="I11" s="11">
        <f>IF(I$3=0,"",SUMIFS(INDEX(Inputs!$D$4:$AG$150,0,MATCH(I$2,Inputs!$D$2:$AG$2,0)),Inputs!$B$4:$B$150,$B11)/1000)</f>
        <v>0</v>
      </c>
      <c r="J11" s="11">
        <f>IF(J$3=0,"",SUMIFS(INDEX(Inputs!$D$4:$AG$150,0,MATCH(J$2,Inputs!$D$2:$AG$2,0)),Inputs!$B$4:$B$150,$B11)/1000)</f>
        <v>0</v>
      </c>
      <c r="K11" s="11">
        <f>IF(K$3=0,"",SUMIFS(INDEX(Inputs!$D$4:$AG$150,0,MATCH(K$2,Inputs!$D$2:$AG$2,0)),Inputs!$B$4:$B$150,$B11)/1000)</f>
        <v>0</v>
      </c>
      <c r="L11" s="11">
        <f>IF(L$3=0,"",SUMIFS(INDEX(Inputs!$D$4:$AG$150,0,MATCH(L$2,Inputs!$D$2:$AG$2,0)),Inputs!$B$4:$B$150,$B11)/1000)</f>
        <v>0</v>
      </c>
      <c r="M11" s="12">
        <f>IF(COUNT(I11:L11)=4,SUM(I11:L11),"")</f>
        <v>0</v>
      </c>
      <c r="N11" s="11">
        <f>IF(N$3=0,"",SUMIFS(INDEX(Inputs!$D$4:$AG$150,0,MATCH(N$2,Inputs!$D$2:$AG$2,0)),Inputs!$B$4:$B$150,$B11)/1000)</f>
        <v>0</v>
      </c>
      <c r="O11" s="11">
        <f>IF(O$3=0,"",SUMIFS(INDEX(Inputs!$D$4:$AG$150,0,MATCH(O$2,Inputs!$D$2:$AG$2,0)),Inputs!$B$4:$B$150,$B11)/1000)</f>
        <v>0</v>
      </c>
      <c r="P11" s="11">
        <f>IF(P$3=0,"",SUMIFS(INDEX(Inputs!$D$4:$AG$150,0,MATCH(P$2,Inputs!$D$2:$AG$2,0)),Inputs!$B$4:$B$150,$B11)/1000)</f>
        <v>0</v>
      </c>
      <c r="Q11" s="11">
        <f>IF(Q$3=0,"",SUMIFS(INDEX(Inputs!$D$4:$AG$150,0,MATCH(Q$2,Inputs!$D$2:$AG$2,0)),Inputs!$B$4:$B$150,$B11)/1000)</f>
        <v>0</v>
      </c>
      <c r="R11" s="12">
        <f>IF(COUNT(N11:Q11)=4,SUM(N11:Q11),"")</f>
        <v>0</v>
      </c>
      <c r="S11" s="11">
        <f>IF(S$3=0,"",SUMIFS(INDEX(Inputs!$D$4:$AG$150,0,MATCH(S$2,Inputs!$D$2:$AG$2,0)),Inputs!$B$4:$B$150,$B11)/1000)</f>
        <v>0</v>
      </c>
      <c r="T11" s="11">
        <f>IF(T$3=0,"",SUMIFS(INDEX(Inputs!$D$4:$AG$150,0,MATCH(T$2,Inputs!$D$2:$AG$2,0)),Inputs!$B$4:$B$150,$B11)/1000)</f>
        <v>0</v>
      </c>
      <c r="U11" s="11">
        <f>IF(U$3=0,"",SUMIFS(INDEX(Inputs!$D$4:$AG$150,0,MATCH(U$2,Inputs!$D$2:$AG$2,0)),Inputs!$B$4:$B$150,$B11)/1000)</f>
        <v>0</v>
      </c>
      <c r="V11" s="11">
        <f>IF(V$3=0,"",SUMIFS(INDEX(Inputs!$D$4:$AG$150,0,MATCH(V$2,Inputs!$D$2:$AG$2,0)),Inputs!$B$4:$B$150,$B11)/1000)</f>
        <v>0</v>
      </c>
      <c r="W11" s="12">
        <f>IF(COUNT(S11:V11)=4,SUM(S11:V11),"")</f>
        <v>0</v>
      </c>
      <c r="X11" s="11">
        <f>IF(X$3=0,"",SUMIFS(INDEX(Inputs!$D$4:$AG$150,0,MATCH(X$2,Inputs!$D$2:$AG$2,0)),Inputs!$B$4:$B$150,$B11)/1000)</f>
        <v>0</v>
      </c>
      <c r="Y11" s="11">
        <f>IF(Y$3=0,"",SUMIFS(INDEX(Inputs!$D$4:$AG$150,0,MATCH(Y$2,Inputs!$D$2:$AG$2,0)),Inputs!$B$4:$B$150,$B11)/1000)</f>
        <v>0</v>
      </c>
      <c r="Z11" s="11">
        <f>IF(Z$3=0,"",SUMIFS(INDEX(Inputs!$D$4:$AG$150,0,MATCH(Z$2,Inputs!$D$2:$AG$2,0)),Inputs!$B$4:$B$150,$B11)/1000)</f>
        <v>0</v>
      </c>
      <c r="AA11" s="11">
        <f>IF(AA$3=0,"",SUMIFS(INDEX(Inputs!$D$4:$AG$150,0,MATCH(AA$2,Inputs!$D$2:$AG$2,0)),Inputs!$B$4:$B$150,$B11)/1000)</f>
        <v>0</v>
      </c>
      <c r="AB11" s="12">
        <f>IF(COUNT(X11:AA11)=4,SUM(X11:AA11),"")</f>
        <v>0</v>
      </c>
      <c r="AC11" s="11">
        <f>IF(AC$3=0,"",SUMIFS(INDEX(Inputs!$D$4:$AG$150,0,MATCH(AC$2,Inputs!$D$2:$AG$2,0)),Inputs!$B$4:$B$150,$B11)/1000)</f>
        <v>0</v>
      </c>
      <c r="AD11" s="11">
        <f>IF(AD$3=0,"",SUMIFS(INDEX(Inputs!$D$4:$AG$150,0,MATCH(AD$2,Inputs!$D$2:$AG$2,0)),Inputs!$B$4:$B$150,$B11)/1000)</f>
        <v>0</v>
      </c>
      <c r="AE11" s="11" t="str">
        <f>IF(AE$3=0,"",SUMIFS(INDEX(Inputs!$D$4:$AG$150,0,MATCH(AE$2,Inputs!$D$2:$AG$2,0)),Inputs!$B$4:$B$150,$B11)/1000)</f>
        <v/>
      </c>
      <c r="AF11" s="11" t="str">
        <f>IF(AF$3=0,"",SUMIFS(INDEX(Inputs!$D$4:$AG$150,0,MATCH(AF$2,Inputs!$D$2:$AG$2,0)),Inputs!$B$4:$B$150,$B11)/1000)</f>
        <v/>
      </c>
      <c r="AG11" s="12" t="str">
        <f>IF(COUNT(AC11:AF11)=4,SUM(AC11:AF11),"")</f>
        <v/>
      </c>
    </row>
    <row r="12">
      <c r="B12" s="9" t="n">
        <v>9</v>
      </c>
      <c r="C12" s="14" t="inlineStr">
        <is>
          <t>Minority Interest Expense, after tax (enter as - )</t>
        </is>
      </c>
      <c r="D12" s="11">
        <f>IF(D$3=0,"",SUMIFS(INDEX(Inputs!$D$4:$AG$150,0,MATCH(D$2,Inputs!$D$2:$AG$2,0)),Inputs!$B$4:$B$150,$B12)/1000)</f>
        <v>-26</v>
      </c>
      <c r="E12" s="11">
        <f>IF(E$3=0,"",SUMIFS(INDEX(Inputs!$D$4:$AG$150,0,MATCH(E$2,Inputs!$D$2:$AG$2,0)),Inputs!$B$4:$B$150,$B12)/1000)</f>
        <v>-36</v>
      </c>
      <c r="F12" s="11">
        <f>IF(F$3=0,"",SUMIFS(INDEX(Inputs!$D$4:$AG$150,0,MATCH(F$2,Inputs!$D$2:$AG$2,0)),Inputs!$B$4:$B$150,$B12)/1000)</f>
        <v>-41</v>
      </c>
      <c r="G12" s="11">
        <f>IF(G$3=0,"",SUMIFS(INDEX(Inputs!$D$4:$AG$150,0,MATCH(G$2,Inputs!$D$2:$AG$2,0)),Inputs!$B$4:$B$150,$B12)/1000)</f>
        <v>-22</v>
      </c>
      <c r="H12" s="12">
        <f>IF(COUNT(D12:G12)=4,SUM(D12:G12),"")</f>
        <v>-125</v>
      </c>
      <c r="I12" s="11">
        <f>IF(I$3=0,"",SUMIFS(INDEX(Inputs!$D$4:$AG$150,0,MATCH(I$2,Inputs!$D$2:$AG$2,0)),Inputs!$B$4:$B$150,$B12)/1000)</f>
        <v>38</v>
      </c>
      <c r="J12" s="11">
        <f>IF(J$3=0,"",SUMIFS(INDEX(Inputs!$D$4:$AG$150,0,MATCH(J$2,Inputs!$D$2:$AG$2,0)),Inputs!$B$4:$B$150,$B12)/1000)</f>
        <v>-10</v>
      </c>
      <c r="K12" s="11">
        <f>IF(K$3=0,"",SUMIFS(INDEX(Inputs!$D$4:$AG$150,0,MATCH(K$2,Inputs!$D$2:$AG$2,0)),Inputs!$B$4:$B$150,$B12)/1000)</f>
        <v>-39</v>
      </c>
      <c r="L12" s="11">
        <f>IF(L$3=0,"",SUMIFS(INDEX(Inputs!$D$4:$AG$150,0,MATCH(L$2,Inputs!$D$2:$AG$2,0)),Inputs!$B$4:$B$150,$B12)/1000)</f>
        <v>-20</v>
      </c>
      <c r="M12" s="12">
        <f>IF(COUNT(I12:L12)=4,SUM(I12:L12),"")</f>
        <v>-31</v>
      </c>
      <c r="N12" s="11">
        <f>IF(N$3=0,"",SUMIFS(INDEX(Inputs!$D$4:$AG$150,0,MATCH(N$2,Inputs!$D$2:$AG$2,0)),Inputs!$B$4:$B$150,$B12)/1000)</f>
        <v>-26</v>
      </c>
      <c r="O12" s="11">
        <f>IF(O$3=0,"",SUMIFS(INDEX(Inputs!$D$4:$AG$150,0,MATCH(O$2,Inputs!$D$2:$AG$2,0)),Inputs!$B$4:$B$150,$B12)/1000)</f>
        <v>89</v>
      </c>
      <c r="P12" s="11">
        <f>IF(P$3=0,"",SUMIFS(INDEX(Inputs!$D$4:$AG$150,0,MATCH(P$2,Inputs!$D$2:$AG$2,0)),Inputs!$B$4:$B$150,$B12)/1000)</f>
        <v>-25</v>
      </c>
      <c r="Q12" s="11">
        <f>IF(Q$3=0,"",SUMIFS(INDEX(Inputs!$D$4:$AG$150,0,MATCH(Q$2,Inputs!$D$2:$AG$2,0)),Inputs!$B$4:$B$150,$B12)/1000)</f>
        <v>-15</v>
      </c>
      <c r="R12" s="12">
        <f>IF(COUNT(N12:Q12)=4,SUM(N12:Q12),"")</f>
        <v>23</v>
      </c>
      <c r="S12" s="11">
        <f>IF(S$3=0,"",SUMIFS(INDEX(Inputs!$D$4:$AG$150,0,MATCH(S$2,Inputs!$D$2:$AG$2,0)),Inputs!$B$4:$B$150,$B12)/1000)</f>
        <v>-15</v>
      </c>
      <c r="T12" s="11">
        <f>IF(T$3=0,"",SUMIFS(INDEX(Inputs!$D$4:$AG$150,0,MATCH(T$2,Inputs!$D$2:$AG$2,0)),Inputs!$B$4:$B$150,$B12)/1000)</f>
        <v>-16</v>
      </c>
      <c r="U12" s="11">
        <f>IF(U$3=0,"",SUMIFS(INDEX(Inputs!$D$4:$AG$150,0,MATCH(U$2,Inputs!$D$2:$AG$2,0)),Inputs!$B$4:$B$150,$B12)/1000)</f>
        <v>-16</v>
      </c>
      <c r="V12" s="11">
        <f>IF(V$3=0,"",SUMIFS(INDEX(Inputs!$D$4:$AG$150,0,MATCH(V$2,Inputs!$D$2:$AG$2,0)),Inputs!$B$4:$B$150,$B12)/1000)</f>
        <v>-15</v>
      </c>
      <c r="W12" s="12">
        <f>IF(COUNT(S12:V12)=4,SUM(S12:V12),"")</f>
        <v>-62</v>
      </c>
      <c r="X12" s="11">
        <f>IF(X$3=0,"",SUMIFS(INDEX(Inputs!$D$4:$AG$150,0,MATCH(X$2,Inputs!$D$2:$AG$2,0)),Inputs!$B$4:$B$150,$B12)/1000)</f>
        <v>-11</v>
      </c>
      <c r="Y12" s="11">
        <f>IF(Y$3=0,"",SUMIFS(INDEX(Inputs!$D$4:$AG$150,0,MATCH(Y$2,Inputs!$D$2:$AG$2,0)),Inputs!$B$4:$B$150,$B12)/1000)</f>
        <v>-18</v>
      </c>
      <c r="Z12" s="11">
        <f>IF(Z$3=0,"",SUMIFS(INDEX(Inputs!$D$4:$AG$150,0,MATCH(Z$2,Inputs!$D$2:$AG$2,0)),Inputs!$B$4:$B$150,$B12)/1000)</f>
        <v>-16</v>
      </c>
      <c r="AA12" s="11">
        <f>IF(AA$3=0,"",SUMIFS(INDEX(Inputs!$D$4:$AG$150,0,MATCH(AA$2,Inputs!$D$2:$AG$2,0)),Inputs!$B$4:$B$150,$B12)/1000)</f>
        <v>-16</v>
      </c>
      <c r="AB12" s="12">
        <f>IF(COUNT(X12:AA12)=4,SUM(X12:AA12),"")</f>
        <v>-61</v>
      </c>
      <c r="AC12" s="11">
        <f>IF(AC$3=0,"",SUMIFS(INDEX(Inputs!$D$4:$AG$150,0,MATCH(AC$2,Inputs!$D$2:$AG$2,0)),Inputs!$B$4:$B$150,$B12)/1000)</f>
        <v>-14</v>
      </c>
      <c r="AD12" s="11">
        <f>IF(AD$3=0,"",SUMIFS(INDEX(Inputs!$D$4:$AG$150,0,MATCH(AD$2,Inputs!$D$2:$AG$2,0)),Inputs!$B$4:$B$150,$B12)/1000)</f>
        <v>-14</v>
      </c>
      <c r="AE12" s="11" t="str">
        <f>IF(AE$3=0,"",SUMIFS(INDEX(Inputs!$D$4:$AG$150,0,MATCH(AE$2,Inputs!$D$2:$AG$2,0)),Inputs!$B$4:$B$150,$B12)/1000)</f>
        <v/>
      </c>
      <c r="AF12" s="11" t="str">
        <f>IF(AF$3=0,"",SUMIFS(INDEX(Inputs!$D$4:$AG$150,0,MATCH(AF$2,Inputs!$D$2:$AG$2,0)),Inputs!$B$4:$B$150,$B12)/1000)</f>
        <v/>
      </c>
      <c r="AG12" s="12" t="str">
        <f>IF(COUNT(AC12:AF12)=4,SUM(AC12:AF12),"")</f>
        <v/>
      </c>
    </row>
    <row r="13">
      <c r="B13" s="9" t="n">
        <v>10</v>
      </c>
      <c r="C13" s="13" t="inlineStr">
        <is>
          <t>Common Dividends</t>
        </is>
      </c>
      <c r="D13" s="11">
        <f>IF(D$3=0,"",SUMIFS(INDEX(Inputs!$D$4:$AG$150,0,MATCH(D$2,Inputs!$D$2:$AG$2,0)),Inputs!$B$4:$B$150,$B13)/1000)</f>
        <v>0</v>
      </c>
      <c r="E13" s="11">
        <f>IF(E$3=0,"",SUMIFS(INDEX(Inputs!$D$4:$AG$150,0,MATCH(E$2,Inputs!$D$2:$AG$2,0)),Inputs!$B$4:$B$150,$B13)/1000)</f>
        <v>0</v>
      </c>
      <c r="F13" s="11">
        <f>IF(F$3=0,"",SUMIFS(INDEX(Inputs!$D$4:$AG$150,0,MATCH(F$2,Inputs!$D$2:$AG$2,0)),Inputs!$B$4:$B$150,$B13)/1000)</f>
        <v>0</v>
      </c>
      <c r="G13" s="11">
        <f>IF(G$3=0,"",SUMIFS(INDEX(Inputs!$D$4:$AG$150,0,MATCH(G$2,Inputs!$D$2:$AG$2,0)),Inputs!$B$4:$B$150,$B13)/1000)</f>
        <v>0</v>
      </c>
      <c r="H13" s="12">
        <f>IF(COUNT(D13:G13)=4,SUM(D13:G13),"")</f>
        <v>0</v>
      </c>
      <c r="I13" s="11">
        <f>IF(I$3=0,"",SUMIFS(INDEX(Inputs!$D$4:$AG$150,0,MATCH(I$2,Inputs!$D$2:$AG$2,0)),Inputs!$B$4:$B$150,$B13)/1000)</f>
        <v>0</v>
      </c>
      <c r="J13" s="11">
        <f>IF(J$3=0,"",SUMIFS(INDEX(Inputs!$D$4:$AG$150,0,MATCH(J$2,Inputs!$D$2:$AG$2,0)),Inputs!$B$4:$B$150,$B13)/1000)</f>
        <v>0</v>
      </c>
      <c r="K13" s="11">
        <f>IF(K$3=0,"",SUMIFS(INDEX(Inputs!$D$4:$AG$150,0,MATCH(K$2,Inputs!$D$2:$AG$2,0)),Inputs!$B$4:$B$150,$B13)/1000)</f>
        <v>0</v>
      </c>
      <c r="L13" s="11">
        <f>IF(L$3=0,"",SUMIFS(INDEX(Inputs!$D$4:$AG$150,0,MATCH(L$2,Inputs!$D$2:$AG$2,0)),Inputs!$B$4:$B$150,$B13)/1000)</f>
        <v>0</v>
      </c>
      <c r="M13" s="12">
        <f>IF(COUNT(I13:L13)=4,SUM(I13:L13),"")</f>
        <v>0</v>
      </c>
      <c r="N13" s="11">
        <f>IF(N$3=0,"",SUMIFS(INDEX(Inputs!$D$4:$AG$150,0,MATCH(N$2,Inputs!$D$2:$AG$2,0)),Inputs!$B$4:$B$150,$B13)/1000)</f>
        <v>0</v>
      </c>
      <c r="O13" s="11">
        <f>IF(O$3=0,"",SUMIFS(INDEX(Inputs!$D$4:$AG$150,0,MATCH(O$2,Inputs!$D$2:$AG$2,0)),Inputs!$B$4:$B$150,$B13)/1000)</f>
        <v>0</v>
      </c>
      <c r="P13" s="11">
        <f>IF(P$3=0,"",SUMIFS(INDEX(Inputs!$D$4:$AG$150,0,MATCH(P$2,Inputs!$D$2:$AG$2,0)),Inputs!$B$4:$B$150,$B13)/1000)</f>
        <v>0</v>
      </c>
      <c r="Q13" s="11">
        <f>IF(Q$3=0,"",SUMIFS(INDEX(Inputs!$D$4:$AG$150,0,MATCH(Q$2,Inputs!$D$2:$AG$2,0)),Inputs!$B$4:$B$150,$B13)/1000)</f>
        <v>0</v>
      </c>
      <c r="R13" s="12">
        <f>IF(COUNT(N13:Q13)=4,SUM(N13:Q13),"")</f>
        <v>0</v>
      </c>
      <c r="S13" s="11">
        <f>IF(S$3=0,"",SUMIFS(INDEX(Inputs!$D$4:$AG$150,0,MATCH(S$2,Inputs!$D$2:$AG$2,0)),Inputs!$B$4:$B$150,$B13)/1000)</f>
        <v>0</v>
      </c>
      <c r="T13" s="11">
        <f>IF(T$3=0,"",SUMIFS(INDEX(Inputs!$D$4:$AG$150,0,MATCH(T$2,Inputs!$D$2:$AG$2,0)),Inputs!$B$4:$B$150,$B13)/1000)</f>
        <v>0</v>
      </c>
      <c r="U13" s="11">
        <f>IF(U$3=0,"",SUMIFS(INDEX(Inputs!$D$4:$AG$150,0,MATCH(U$2,Inputs!$D$2:$AG$2,0)),Inputs!$B$4:$B$150,$B13)/1000)</f>
        <v>0</v>
      </c>
      <c r="V13" s="11">
        <f>IF(V$3=0,"",SUMIFS(INDEX(Inputs!$D$4:$AG$150,0,MATCH(V$2,Inputs!$D$2:$AG$2,0)),Inputs!$B$4:$B$150,$B13)/1000)</f>
        <v>0</v>
      </c>
      <c r="W13" s="12">
        <f>IF(COUNT(S13:V13)=4,SUM(S13:V13),"")</f>
        <v>0</v>
      </c>
      <c r="X13" s="11">
        <f>IF(X$3=0,"",SUMIFS(INDEX(Inputs!$D$4:$AG$150,0,MATCH(X$2,Inputs!$D$2:$AG$2,0)),Inputs!$B$4:$B$150,$B13)/1000)</f>
        <v>0</v>
      </c>
      <c r="Y13" s="11">
        <f>IF(Y$3=0,"",SUMIFS(INDEX(Inputs!$D$4:$AG$150,0,MATCH(Y$2,Inputs!$D$2:$AG$2,0)),Inputs!$B$4:$B$150,$B13)/1000)</f>
        <v>0</v>
      </c>
      <c r="Z13" s="11">
        <f>IF(Z$3=0,"",SUMIFS(INDEX(Inputs!$D$4:$AG$150,0,MATCH(Z$2,Inputs!$D$2:$AG$2,0)),Inputs!$B$4:$B$150,$B13)/1000)</f>
        <v>0</v>
      </c>
      <c r="AA13" s="11">
        <f>IF(AA$3=0,"",SUMIFS(INDEX(Inputs!$D$4:$AG$150,0,MATCH(AA$2,Inputs!$D$2:$AG$2,0)),Inputs!$B$4:$B$150,$B13)/1000)</f>
        <v>0</v>
      </c>
      <c r="AB13" s="12">
        <f>IF(COUNT(X13:AA13)=4,SUM(X13:AA13),"")</f>
        <v>0</v>
      </c>
      <c r="AC13" s="11">
        <f>IF(AC$3=0,"",SUMIFS(INDEX(Inputs!$D$4:$AG$150,0,MATCH(AC$2,Inputs!$D$2:$AG$2,0)),Inputs!$B$4:$B$150,$B13)/1000)</f>
        <v>0</v>
      </c>
      <c r="AD13" s="11">
        <f>IF(AD$3=0,"",SUMIFS(INDEX(Inputs!$D$4:$AG$150,0,MATCH(AD$2,Inputs!$D$2:$AG$2,0)),Inputs!$B$4:$B$150,$B13)/1000)</f>
        <v>0</v>
      </c>
      <c r="AE13" s="11" t="str">
        <f>IF(AE$3=0,"",SUMIFS(INDEX(Inputs!$D$4:$AG$150,0,MATCH(AE$2,Inputs!$D$2:$AG$2,0)),Inputs!$B$4:$B$150,$B13)/1000)</f>
        <v/>
      </c>
      <c r="AF13" s="11" t="str">
        <f>IF(AF$3=0,"",SUMIFS(INDEX(Inputs!$D$4:$AG$150,0,MATCH(AF$2,Inputs!$D$2:$AG$2,0)),Inputs!$B$4:$B$150,$B13)/1000)</f>
        <v/>
      </c>
      <c r="AG13" s="12" t="str">
        <f>IF(COUNT(AC13:AF13)=4,SUM(AC13:AF13),"")</f>
        <v/>
      </c>
    </row>
    <row r="14">
      <c r="D14" s="12" t="n"/>
    </row>
    <row r="15">
      <c r="B15" s="9" t="n">
        <v>11</v>
      </c>
      <c r="C15" s="13" t="inlineStr">
        <is>
          <t>Cash and equivalents (inc. investment securities)</t>
        </is>
      </c>
      <c r="D15" s="11">
        <f>IF(D$3=0,"",SUMIFS(INDEX(Inputs!$D$4:$AG$150,0,MATCH(D$2,Inputs!$D$2:$AG$2,0)),Inputs!$B$4:$B$150,$B15)/1000)</f>
        <v>17141</v>
      </c>
      <c r="E15" s="11">
        <f>IF(E$3=0,"",SUMIFS(INDEX(Inputs!$D$4:$AG$150,0,MATCH(E$2,Inputs!$D$2:$AG$2,0)),Inputs!$B$4:$B$150,$B15)/1000)</f>
        <v>16229</v>
      </c>
      <c r="F15" s="11">
        <f>IF(F$3=0,"",SUMIFS(INDEX(Inputs!$D$4:$AG$150,0,MATCH(F$2,Inputs!$D$2:$AG$2,0)),Inputs!$B$4:$B$150,$B15)/1000)</f>
        <v>16095</v>
      </c>
      <c r="G15" s="11">
        <f>IF(G$3=0,"",SUMIFS(INDEX(Inputs!$D$4:$AG$150,0,MATCH(G$2,Inputs!$D$2:$AG$2,0)),Inputs!$B$4:$B$150,$B15)/1000)</f>
        <v>17707</v>
      </c>
      <c r="H15" s="12">
        <f>IF(G15="","",G15)</f>
        <v>17707</v>
      </c>
      <c r="I15" s="11">
        <f>IF(I$3=0,"",SUMIFS(INDEX(Inputs!$D$4:$AG$150,0,MATCH(I$2,Inputs!$D$2:$AG$2,0)),Inputs!$B$4:$B$150,$B15)/1000)</f>
        <v>18013</v>
      </c>
      <c r="J15" s="11">
        <f>IF(J$3=0,"",SUMIFS(INDEX(Inputs!$D$4:$AG$150,0,MATCH(J$2,Inputs!$D$2:$AG$2,0)),Inputs!$B$4:$B$150,$B15)/1000)</f>
        <v>18915</v>
      </c>
      <c r="K15" s="11">
        <f>IF(K$3=0,"",SUMIFS(INDEX(Inputs!$D$4:$AG$150,0,MATCH(K$2,Inputs!$D$2:$AG$2,0)),Inputs!$B$4:$B$150,$B15)/1000)</f>
        <v>21107</v>
      </c>
      <c r="L15" s="11">
        <f>IF(L$3=0,"",SUMIFS(INDEX(Inputs!$D$4:$AG$150,0,MATCH(L$2,Inputs!$D$2:$AG$2,0)),Inputs!$B$4:$B$150,$B15)/1000)</f>
        <v>22185</v>
      </c>
      <c r="M15" s="12">
        <f>IF(L15="","",L15)</f>
        <v>22185</v>
      </c>
      <c r="N15" s="11">
        <f>IF(N$3=0,"",SUMIFS(INDEX(Inputs!$D$4:$AG$150,0,MATCH(N$2,Inputs!$D$2:$AG$2,0)),Inputs!$B$4:$B$150,$B15)/1000)</f>
        <v>22402</v>
      </c>
      <c r="O15" s="11">
        <f>IF(O$3=0,"",SUMIFS(INDEX(Inputs!$D$4:$AG$150,0,MATCH(O$2,Inputs!$D$2:$AG$2,0)),Inputs!$B$4:$B$150,$B15)/1000)</f>
        <v>23075</v>
      </c>
      <c r="P15" s="11">
        <f>IF(P$3=0,"",SUMIFS(INDEX(Inputs!$D$4:$AG$150,0,MATCH(P$2,Inputs!$D$2:$AG$2,0)),Inputs!$B$4:$B$150,$B15)/1000)</f>
        <v>26077</v>
      </c>
      <c r="Q15" s="11">
        <f>IF(Q$3=0,"",SUMIFS(INDEX(Inputs!$D$4:$AG$150,0,MATCH(Q$2,Inputs!$D$2:$AG$2,0)),Inputs!$B$4:$B$150,$B15)/1000)</f>
        <v>29094</v>
      </c>
      <c r="R15" s="12">
        <f>IF(Q15="","",Q15)</f>
        <v>29094</v>
      </c>
      <c r="S15" s="11">
        <f>IF(S$3=0,"",SUMIFS(INDEX(Inputs!$D$4:$AG$150,0,MATCH(S$2,Inputs!$D$2:$AG$2,0)),Inputs!$B$4:$B$150,$B15)/1000)</f>
        <v>26863</v>
      </c>
      <c r="T15" s="11">
        <f>IF(T$3=0,"",SUMIFS(INDEX(Inputs!$D$4:$AG$150,0,MATCH(T$2,Inputs!$D$2:$AG$2,0)),Inputs!$B$4:$B$150,$B15)/1000)</f>
        <v>30720</v>
      </c>
      <c r="U15" s="11">
        <f>IF(U$3=0,"",SUMIFS(INDEX(Inputs!$D$4:$AG$150,0,MATCH(U$2,Inputs!$D$2:$AG$2,0)),Inputs!$B$4:$B$150,$B15)/1000)</f>
        <v>33648</v>
      </c>
      <c r="V15" s="11">
        <f>IF(V$3=0,"",SUMIFS(INDEX(Inputs!$D$4:$AG$150,0,MATCH(V$2,Inputs!$D$2:$AG$2,0)),Inputs!$B$4:$B$150,$B15)/1000)</f>
        <v>36563</v>
      </c>
      <c r="W15" s="12">
        <f>IF(V15="","",V15)</f>
        <v>36563</v>
      </c>
      <c r="X15" s="11">
        <f>IF(X$3=0,"",SUMIFS(INDEX(Inputs!$D$4:$AG$150,0,MATCH(X$2,Inputs!$D$2:$AG$2,0)),Inputs!$B$4:$B$150,$B15)/1000)</f>
        <v>36996</v>
      </c>
      <c r="Y15" s="11">
        <f>IF(Y$3=0,"",SUMIFS(INDEX(Inputs!$D$4:$AG$150,0,MATCH(Y$2,Inputs!$D$2:$AG$2,0)),Inputs!$B$4:$B$150,$B15)/1000)</f>
        <v>36782</v>
      </c>
      <c r="Z15" s="11">
        <f>IF(Z$3=0,"",SUMIFS(INDEX(Inputs!$D$4:$AG$150,0,MATCH(Z$2,Inputs!$D$2:$AG$2,0)),Inputs!$B$4:$B$150,$B15)/1000)</f>
        <v>41647</v>
      </c>
      <c r="AA15" s="11">
        <f>IF(AA$3=0,"",SUMIFS(INDEX(Inputs!$D$4:$AG$150,0,MATCH(AA$2,Inputs!$D$2:$AG$2,0)),Inputs!$B$4:$B$150,$B15)/1000)</f>
        <v>44059</v>
      </c>
      <c r="AB15" s="12">
        <f>IF(AA15="","",AA15)</f>
        <v>44059</v>
      </c>
      <c r="AC15" s="11">
        <f>IF(AC$3=0,"",SUMIFS(INDEX(Inputs!$D$4:$AG$150,0,MATCH(AC$2,Inputs!$D$2:$AG$2,0)),Inputs!$B$4:$B$150,$B15)/1000)</f>
        <v>44743</v>
      </c>
      <c r="AD15" s="11">
        <f>IF(AD$3=0,"",SUMIFS(INDEX(Inputs!$D$4:$AG$150,0,MATCH(AD$2,Inputs!$D$2:$AG$2,0)),Inputs!$B$4:$B$150,$B15)/1000)</f>
        <v>43524</v>
      </c>
      <c r="AE15" s="11" t="str">
        <f>IF(AE$3=0,"",SUMIFS(INDEX(Inputs!$D$4:$AG$150,0,MATCH(AE$2,Inputs!$D$2:$AG$2,0)),Inputs!$B$4:$B$150,$B15)/1000)</f>
        <v/>
      </c>
      <c r="AF15" s="11" t="str">
        <f>IF(AF$3=0,"",SUMIFS(INDEX(Inputs!$D$4:$AG$150,0,MATCH(AF$2,Inputs!$D$2:$AG$2,0)),Inputs!$B$4:$B$150,$B15)/1000)</f>
        <v/>
      </c>
      <c r="AG15" s="12" t="str">
        <f>IF(AF15="","",AF15)</f>
        <v/>
      </c>
    </row>
    <row r="16">
      <c r="B16" s="9" t="n">
        <v>12</v>
      </c>
      <c r="C16" s="14" t="inlineStr">
        <is>
          <t>Accounts receivable</t>
        </is>
      </c>
      <c r="D16" s="11">
        <f>IF(D$3=0,"",SUMIFS(INDEX(Inputs!$D$4:$AG$150,0,MATCH(D$2,Inputs!$D$2:$AG$2,0)),Inputs!$B$4:$B$150,$B16)/1000)</f>
        <v>1890</v>
      </c>
      <c r="E16" s="11">
        <f>IF(E$3=0,"",SUMIFS(INDEX(Inputs!$D$4:$AG$150,0,MATCH(E$2,Inputs!$D$2:$AG$2,0)),Inputs!$B$4:$B$150,$B16)/1000)</f>
        <v>2129</v>
      </c>
      <c r="F16" s="11">
        <f>IF(F$3=0,"",SUMIFS(INDEX(Inputs!$D$4:$AG$150,0,MATCH(F$2,Inputs!$D$2:$AG$2,0)),Inputs!$B$4:$B$150,$B16)/1000)</f>
        <v>1962</v>
      </c>
      <c r="G16" s="11">
        <f>IF(G$3=0,"",SUMIFS(INDEX(Inputs!$D$4:$AG$150,0,MATCH(G$2,Inputs!$D$2:$AG$2,0)),Inputs!$B$4:$B$150,$B16)/1000)</f>
        <v>1913</v>
      </c>
      <c r="H16" s="12">
        <f>IF(G16="","",G16)</f>
        <v>1913</v>
      </c>
      <c r="I16" s="11">
        <f>IF(I$3=0,"",SUMIFS(INDEX(Inputs!$D$4:$AG$150,0,MATCH(I$2,Inputs!$D$2:$AG$2,0)),Inputs!$B$4:$B$150,$B16)/1000)</f>
        <v>2311</v>
      </c>
      <c r="J16" s="11">
        <f>IF(J$3=0,"",SUMIFS(INDEX(Inputs!$D$4:$AG$150,0,MATCH(J$2,Inputs!$D$2:$AG$2,0)),Inputs!$B$4:$B$150,$B16)/1000)</f>
        <v>2081</v>
      </c>
      <c r="K16" s="11">
        <f>IF(K$3=0,"",SUMIFS(INDEX(Inputs!$D$4:$AG$150,0,MATCH(K$2,Inputs!$D$2:$AG$2,0)),Inputs!$B$4:$B$150,$B16)/1000)</f>
        <v>2192</v>
      </c>
      <c r="L16" s="11">
        <f>IF(L$3=0,"",SUMIFS(INDEX(Inputs!$D$4:$AG$150,0,MATCH(L$2,Inputs!$D$2:$AG$2,0)),Inputs!$B$4:$B$150,$B16)/1000)</f>
        <v>2952</v>
      </c>
      <c r="M16" s="12">
        <f>IF(L16="","",L16)</f>
        <v>2952</v>
      </c>
      <c r="N16" s="11">
        <f>IF(N$3=0,"",SUMIFS(INDEX(Inputs!$D$4:$AG$150,0,MATCH(N$2,Inputs!$D$2:$AG$2,0)),Inputs!$B$4:$B$150,$B16)/1000)</f>
        <v>2993</v>
      </c>
      <c r="O16" s="11">
        <f>IF(O$3=0,"",SUMIFS(INDEX(Inputs!$D$4:$AG$150,0,MATCH(O$2,Inputs!$D$2:$AG$2,0)),Inputs!$B$4:$B$150,$B16)/1000)</f>
        <v>3447</v>
      </c>
      <c r="P16" s="11">
        <f>IF(P$3=0,"",SUMIFS(INDEX(Inputs!$D$4:$AG$150,0,MATCH(P$2,Inputs!$D$2:$AG$2,0)),Inputs!$B$4:$B$150,$B16)/1000)</f>
        <v>2520</v>
      </c>
      <c r="Q16" s="11">
        <f>IF(Q$3=0,"",SUMIFS(INDEX(Inputs!$D$4:$AG$150,0,MATCH(Q$2,Inputs!$D$2:$AG$2,0)),Inputs!$B$4:$B$150,$B16)/1000)</f>
        <v>3508</v>
      </c>
      <c r="R16" s="12">
        <f>IF(Q16="","",Q16)</f>
        <v>3508</v>
      </c>
      <c r="S16" s="11">
        <f>IF(S$3=0,"",SUMIFS(INDEX(Inputs!$D$4:$AG$150,0,MATCH(S$2,Inputs!$D$2:$AG$2,0)),Inputs!$B$4:$B$150,$B16)/1000)</f>
        <v>3887</v>
      </c>
      <c r="T16" s="11">
        <f>IF(T$3=0,"",SUMIFS(INDEX(Inputs!$D$4:$AG$150,0,MATCH(T$2,Inputs!$D$2:$AG$2,0)),Inputs!$B$4:$B$150,$B16)/1000)</f>
        <v>3737</v>
      </c>
      <c r="U16" s="11">
        <f>IF(U$3=0,"",SUMIFS(INDEX(Inputs!$D$4:$AG$150,0,MATCH(U$2,Inputs!$D$2:$AG$2,0)),Inputs!$B$4:$B$150,$B16)/1000)</f>
        <v>3313</v>
      </c>
      <c r="V16" s="11">
        <f>IF(V$3=0,"",SUMIFS(INDEX(Inputs!$D$4:$AG$150,0,MATCH(V$2,Inputs!$D$2:$AG$2,0)),Inputs!$B$4:$B$150,$B16)/1000)</f>
        <v>4418</v>
      </c>
      <c r="W16" s="12">
        <f>IF(V16="","",V16)</f>
        <v>4418</v>
      </c>
      <c r="X16" s="11">
        <f>IF(X$3=0,"",SUMIFS(INDEX(Inputs!$D$4:$AG$150,0,MATCH(X$2,Inputs!$D$2:$AG$2,0)),Inputs!$B$4:$B$150,$B16)/1000)</f>
        <v>3782</v>
      </c>
      <c r="Y16" s="11">
        <f>IF(Y$3=0,"",SUMIFS(INDEX(Inputs!$D$4:$AG$150,0,MATCH(Y$2,Inputs!$D$2:$AG$2,0)),Inputs!$B$4:$B$150,$B16)/1000)</f>
        <v>3838</v>
      </c>
      <c r="Z16" s="11">
        <f>IF(Z$3=0,"",SUMIFS(INDEX(Inputs!$D$4:$AG$150,0,MATCH(Z$2,Inputs!$D$2:$AG$2,0)),Inputs!$B$4:$B$150,$B16)/1000)</f>
        <v>4703</v>
      </c>
      <c r="AA16" s="11">
        <f>IF(AA$3=0,"",SUMIFS(INDEX(Inputs!$D$4:$AG$150,0,MATCH(AA$2,Inputs!$D$2:$AG$2,0)),Inputs!$B$4:$B$150,$B16)/1000)</f>
        <v>4576</v>
      </c>
      <c r="AB16" s="12">
        <f>IF(AA16="","",AA16)</f>
        <v>4576</v>
      </c>
      <c r="AC16" s="11">
        <f>IF(AC$3=0,"",SUMIFS(INDEX(Inputs!$D$4:$AG$150,0,MATCH(AC$2,Inputs!$D$2:$AG$2,0)),Inputs!$B$4:$B$150,$B16)/1000)</f>
        <v>3959</v>
      </c>
      <c r="AD16" s="11">
        <f>IF(AD$3=0,"",SUMIFS(INDEX(Inputs!$D$4:$AG$150,0,MATCH(AD$2,Inputs!$D$2:$AG$2,0)),Inputs!$B$4:$B$150,$B16)/1000)</f>
        <v>4087</v>
      </c>
      <c r="AE16" s="11" t="str">
        <f>IF(AE$3=0,"",SUMIFS(INDEX(Inputs!$D$4:$AG$150,0,MATCH(AE$2,Inputs!$D$2:$AG$2,0)),Inputs!$B$4:$B$150,$B16)/1000)</f>
        <v/>
      </c>
      <c r="AF16" s="11" t="str">
        <f>IF(AF$3=0,"",SUMIFS(INDEX(Inputs!$D$4:$AG$150,0,MATCH(AF$2,Inputs!$D$2:$AG$2,0)),Inputs!$B$4:$B$150,$B16)/1000)</f>
        <v/>
      </c>
      <c r="AG16" s="12" t="str">
        <f>IF(AF16="","",AF16)</f>
        <v/>
      </c>
    </row>
    <row r="17">
      <c r="B17" s="9" t="n">
        <v>13</v>
      </c>
      <c r="C17" s="14" t="inlineStr">
        <is>
          <t>Inventories</t>
        </is>
      </c>
      <c r="D17" s="11">
        <f>IF(D$3=0,"",SUMIFS(INDEX(Inputs!$D$4:$AG$150,0,MATCH(D$2,Inputs!$D$2:$AG$2,0)),Inputs!$B$4:$B$150,$B17)/1000)</f>
        <v>4132</v>
      </c>
      <c r="E17" s="11">
        <f>IF(E$3=0,"",SUMIFS(INDEX(Inputs!$D$4:$AG$150,0,MATCH(E$2,Inputs!$D$2:$AG$2,0)),Inputs!$B$4:$B$150,$B17)/1000)</f>
        <v>4733</v>
      </c>
      <c r="F17" s="11">
        <f>IF(F$3=0,"",SUMIFS(INDEX(Inputs!$D$4:$AG$150,0,MATCH(F$2,Inputs!$D$2:$AG$2,0)),Inputs!$B$4:$B$150,$B17)/1000)</f>
        <v>5199</v>
      </c>
      <c r="G17" s="11">
        <f>IF(G$3=0,"",SUMIFS(INDEX(Inputs!$D$4:$AG$150,0,MATCH(G$2,Inputs!$D$2:$AG$2,0)),Inputs!$B$4:$B$150,$B17)/1000)</f>
        <v>5757</v>
      </c>
      <c r="H17" s="12">
        <f>IF(G17="","",G17)</f>
        <v>5757</v>
      </c>
      <c r="I17" s="11">
        <f>IF(I$3=0,"",SUMIFS(INDEX(Inputs!$D$4:$AG$150,0,MATCH(I$2,Inputs!$D$2:$AG$2,0)),Inputs!$B$4:$B$150,$B17)/1000)</f>
        <v>6691</v>
      </c>
      <c r="J17" s="11">
        <f>IF(J$3=0,"",SUMIFS(INDEX(Inputs!$D$4:$AG$150,0,MATCH(J$2,Inputs!$D$2:$AG$2,0)),Inputs!$B$4:$B$150,$B17)/1000)</f>
        <v>8108</v>
      </c>
      <c r="K17" s="11">
        <f>IF(K$3=0,"",SUMIFS(INDEX(Inputs!$D$4:$AG$150,0,MATCH(K$2,Inputs!$D$2:$AG$2,0)),Inputs!$B$4:$B$150,$B17)/1000)</f>
        <v>10327</v>
      </c>
      <c r="L17" s="11">
        <f>IF(L$3=0,"",SUMIFS(INDEX(Inputs!$D$4:$AG$150,0,MATCH(L$2,Inputs!$D$2:$AG$2,0)),Inputs!$B$4:$B$150,$B17)/1000)</f>
        <v>12839</v>
      </c>
      <c r="M17" s="12">
        <f>IF(L17="","",L17)</f>
        <v>12839</v>
      </c>
      <c r="N17" s="11">
        <f>IF(N$3=0,"",SUMIFS(INDEX(Inputs!$D$4:$AG$150,0,MATCH(N$2,Inputs!$D$2:$AG$2,0)),Inputs!$B$4:$B$150,$B17)/1000)</f>
        <v>14375</v>
      </c>
      <c r="O17" s="11">
        <f>IF(O$3=0,"",SUMIFS(INDEX(Inputs!$D$4:$AG$150,0,MATCH(O$2,Inputs!$D$2:$AG$2,0)),Inputs!$B$4:$B$150,$B17)/1000)</f>
        <v>14356</v>
      </c>
      <c r="P17" s="11">
        <f>IF(P$3=0,"",SUMIFS(INDEX(Inputs!$D$4:$AG$150,0,MATCH(P$2,Inputs!$D$2:$AG$2,0)),Inputs!$B$4:$B$150,$B17)/1000)</f>
        <v>13721</v>
      </c>
      <c r="Q17" s="11">
        <f>IF(Q$3=0,"",SUMIFS(INDEX(Inputs!$D$4:$AG$150,0,MATCH(Q$2,Inputs!$D$2:$AG$2,0)),Inputs!$B$4:$B$150,$B17)/1000)</f>
        <v>13626</v>
      </c>
      <c r="R17" s="12">
        <f>IF(Q17="","",Q17)</f>
        <v>13626</v>
      </c>
      <c r="S17" s="11">
        <f>IF(S$3=0,"",SUMIFS(INDEX(Inputs!$D$4:$AG$150,0,MATCH(S$2,Inputs!$D$2:$AG$2,0)),Inputs!$B$4:$B$150,$B17)/1000)</f>
        <v>16033</v>
      </c>
      <c r="T17" s="11">
        <f>IF(T$3=0,"",SUMIFS(INDEX(Inputs!$D$4:$AG$150,0,MATCH(T$2,Inputs!$D$2:$AG$2,0)),Inputs!$B$4:$B$150,$B17)/1000)</f>
        <v>14195</v>
      </c>
      <c r="U17" s="11">
        <f>IF(U$3=0,"",SUMIFS(INDEX(Inputs!$D$4:$AG$150,0,MATCH(U$2,Inputs!$D$2:$AG$2,0)),Inputs!$B$4:$B$150,$B17)/1000)</f>
        <v>14530</v>
      </c>
      <c r="V17" s="11">
        <f>IF(V$3=0,"",SUMIFS(INDEX(Inputs!$D$4:$AG$150,0,MATCH(V$2,Inputs!$D$2:$AG$2,0)),Inputs!$B$4:$B$150,$B17)/1000)</f>
        <v>12017</v>
      </c>
      <c r="W17" s="12">
        <f>IF(V17="","",V17)</f>
        <v>12017</v>
      </c>
      <c r="X17" s="11">
        <f>IF(X$3=0,"",SUMIFS(INDEX(Inputs!$D$4:$AG$150,0,MATCH(X$2,Inputs!$D$2:$AG$2,0)),Inputs!$B$4:$B$150,$B17)/1000)</f>
        <v>13706</v>
      </c>
      <c r="Y17" s="11">
        <f>IF(Y$3=0,"",SUMIFS(INDEX(Inputs!$D$4:$AG$150,0,MATCH(Y$2,Inputs!$D$2:$AG$2,0)),Inputs!$B$4:$B$150,$B17)/1000)</f>
        <v>14570</v>
      </c>
      <c r="Z17" s="11">
        <f>IF(Z$3=0,"",SUMIFS(INDEX(Inputs!$D$4:$AG$150,0,MATCH(Z$2,Inputs!$D$2:$AG$2,0)),Inputs!$B$4:$B$150,$B17)/1000)</f>
        <v>12276</v>
      </c>
      <c r="AA17" s="11">
        <f>IF(AA$3=0,"",SUMIFS(INDEX(Inputs!$D$4:$AG$150,0,MATCH(AA$2,Inputs!$D$2:$AG$2,0)),Inputs!$B$4:$B$150,$B17)/1000)</f>
        <v>12392</v>
      </c>
      <c r="AB17" s="12">
        <f>IF(AA17="","",AA17)</f>
        <v>12392</v>
      </c>
      <c r="AC17" s="11">
        <f>IF(AC$3=0,"",SUMIFS(INDEX(Inputs!$D$4:$AG$150,0,MATCH(AC$2,Inputs!$D$2:$AG$2,0)),Inputs!$B$4:$B$150,$B17)/1000)</f>
        <v>14434</v>
      </c>
      <c r="AD17" s="11">
        <f>IF(AD$3=0,"",SUMIFS(INDEX(Inputs!$D$4:$AG$150,0,MATCH(AD$2,Inputs!$D$2:$AG$2,0)),Inputs!$B$4:$B$150,$B17)/1000)</f>
        <v>13752</v>
      </c>
      <c r="AE17" s="11" t="str">
        <f>IF(AE$3=0,"",SUMIFS(INDEX(Inputs!$D$4:$AG$150,0,MATCH(AE$2,Inputs!$D$2:$AG$2,0)),Inputs!$B$4:$B$150,$B17)/1000)</f>
        <v/>
      </c>
      <c r="AF17" s="11" t="str">
        <f>IF(AF$3=0,"",SUMIFS(INDEX(Inputs!$D$4:$AG$150,0,MATCH(AF$2,Inputs!$D$2:$AG$2,0)),Inputs!$B$4:$B$150,$B17)/1000)</f>
        <v/>
      </c>
      <c r="AG17" s="12" t="str">
        <f>IF(AF17="","",AF17)</f>
        <v/>
      </c>
    </row>
    <row r="18">
      <c r="B18" s="9" t="n">
        <v>14</v>
      </c>
      <c r="C18" s="14" t="inlineStr">
        <is>
          <t>Deferred income taxes</t>
        </is>
      </c>
      <c r="D18" s="11">
        <f>IF(D$3=0,"",SUMIFS(INDEX(Inputs!$D$4:$AG$150,0,MATCH(D$2,Inputs!$D$2:$AG$2,0)),Inputs!$B$4:$B$150,$B18)/1000)</f>
        <v>0</v>
      </c>
      <c r="E18" s="11">
        <f>IF(E$3=0,"",SUMIFS(INDEX(Inputs!$D$4:$AG$150,0,MATCH(E$2,Inputs!$D$2:$AG$2,0)),Inputs!$B$4:$B$150,$B18)/1000)</f>
        <v>0</v>
      </c>
      <c r="F18" s="11">
        <f>IF(F$3=0,"",SUMIFS(INDEX(Inputs!$D$4:$AG$150,0,MATCH(F$2,Inputs!$D$2:$AG$2,0)),Inputs!$B$4:$B$150,$B18)/1000)</f>
        <v>0</v>
      </c>
      <c r="G18" s="11">
        <f>IF(G$3=0,"",SUMIFS(INDEX(Inputs!$D$4:$AG$150,0,MATCH(G$2,Inputs!$D$2:$AG$2,0)),Inputs!$B$4:$B$150,$B18)/1000)</f>
        <v>0</v>
      </c>
      <c r="H18" s="12">
        <f>IF(G18="","",G18)</f>
        <v>0</v>
      </c>
      <c r="I18" s="11">
        <f>IF(I$3=0,"",SUMIFS(INDEX(Inputs!$D$4:$AG$150,0,MATCH(I$2,Inputs!$D$2:$AG$2,0)),Inputs!$B$4:$B$150,$B18)/1000)</f>
        <v>0</v>
      </c>
      <c r="J18" s="11">
        <f>IF(J$3=0,"",SUMIFS(INDEX(Inputs!$D$4:$AG$150,0,MATCH(J$2,Inputs!$D$2:$AG$2,0)),Inputs!$B$4:$B$150,$B18)/1000)</f>
        <v>0</v>
      </c>
      <c r="K18" s="11">
        <f>IF(K$3=0,"",SUMIFS(INDEX(Inputs!$D$4:$AG$150,0,MATCH(K$2,Inputs!$D$2:$AG$2,0)),Inputs!$B$4:$B$150,$B18)/1000)</f>
        <v>0</v>
      </c>
      <c r="L18" s="11">
        <f>IF(L$3=0,"",SUMIFS(INDEX(Inputs!$D$4:$AG$150,0,MATCH(L$2,Inputs!$D$2:$AG$2,0)),Inputs!$B$4:$B$150,$B18)/1000)</f>
        <v>0</v>
      </c>
      <c r="M18" s="12">
        <f>IF(L18="","",L18)</f>
        <v>0</v>
      </c>
      <c r="N18" s="11">
        <f>IF(N$3=0,"",SUMIFS(INDEX(Inputs!$D$4:$AG$150,0,MATCH(N$2,Inputs!$D$2:$AG$2,0)),Inputs!$B$4:$B$150,$B18)/1000)</f>
        <v>0</v>
      </c>
      <c r="O18" s="11">
        <f>IF(O$3=0,"",SUMIFS(INDEX(Inputs!$D$4:$AG$150,0,MATCH(O$2,Inputs!$D$2:$AG$2,0)),Inputs!$B$4:$B$150,$B18)/1000)</f>
        <v>0</v>
      </c>
      <c r="P18" s="11">
        <f>IF(P$3=0,"",SUMIFS(INDEX(Inputs!$D$4:$AG$150,0,MATCH(P$2,Inputs!$D$2:$AG$2,0)),Inputs!$B$4:$B$150,$B18)/1000)</f>
        <v>0</v>
      </c>
      <c r="Q18" s="11">
        <f>IF(Q$3=0,"",SUMIFS(INDEX(Inputs!$D$4:$AG$150,0,MATCH(Q$2,Inputs!$D$2:$AG$2,0)),Inputs!$B$4:$B$150,$B18)/1000)</f>
        <v>6733</v>
      </c>
      <c r="R18" s="12">
        <f>IF(Q18="","",Q18)</f>
        <v>6733</v>
      </c>
      <c r="S18" s="11">
        <f>IF(S$3=0,"",SUMIFS(INDEX(Inputs!$D$4:$AG$150,0,MATCH(S$2,Inputs!$D$2:$AG$2,0)),Inputs!$B$4:$B$150,$B18)/1000)</f>
        <v>6769</v>
      </c>
      <c r="T18" s="11">
        <f>IF(T$3=0,"",SUMIFS(INDEX(Inputs!$D$4:$AG$150,0,MATCH(T$2,Inputs!$D$2:$AG$2,0)),Inputs!$B$4:$B$150,$B18)/1000)</f>
        <v>6692</v>
      </c>
      <c r="U18" s="11">
        <f>IF(U$3=0,"",SUMIFS(INDEX(Inputs!$D$4:$AG$150,0,MATCH(U$2,Inputs!$D$2:$AG$2,0)),Inputs!$B$4:$B$150,$B18)/1000)</f>
        <v>6486</v>
      </c>
      <c r="V18" s="11">
        <f>IF(V$3=0,"",SUMIFS(INDEX(Inputs!$D$4:$AG$150,0,MATCH(V$2,Inputs!$D$2:$AG$2,0)),Inputs!$B$4:$B$150,$B18)/1000)</f>
        <v>6524</v>
      </c>
      <c r="W18" s="12">
        <f>IF(V18="","",V18)</f>
        <v>6524</v>
      </c>
      <c r="X18" s="11">
        <f>IF(X$3=0,"",SUMIFS(INDEX(Inputs!$D$4:$AG$150,0,MATCH(X$2,Inputs!$D$2:$AG$2,0)),Inputs!$B$4:$B$150,$B18)/1000)</f>
        <v>6687</v>
      </c>
      <c r="Y18" s="11">
        <f>IF(Y$3=0,"",SUMIFS(INDEX(Inputs!$D$4:$AG$150,0,MATCH(Y$2,Inputs!$D$2:$AG$2,0)),Inputs!$B$4:$B$150,$B18)/1000)</f>
        <v>6721</v>
      </c>
      <c r="Z18" s="11">
        <f>IF(Z$3=0,"",SUMIFS(INDEX(Inputs!$D$4:$AG$150,0,MATCH(Z$2,Inputs!$D$2:$AG$2,0)),Inputs!$B$4:$B$150,$B18)/1000)</f>
        <v>6637</v>
      </c>
      <c r="AA18" s="11">
        <f>IF(AA$3=0,"",SUMIFS(INDEX(Inputs!$D$4:$AG$150,0,MATCH(AA$2,Inputs!$D$2:$AG$2,0)),Inputs!$B$4:$B$150,$B18)/1000)</f>
        <v>6925</v>
      </c>
      <c r="AB18" s="12">
        <f>IF(AA18="","",AA18)</f>
        <v>6925</v>
      </c>
      <c r="AC18" s="11">
        <f>IF(AC$3=0,"",SUMIFS(INDEX(Inputs!$D$4:$AG$150,0,MATCH(AC$2,Inputs!$D$2:$AG$2,0)),Inputs!$B$4:$B$150,$B18)/1000)</f>
        <v>7060</v>
      </c>
      <c r="AD18" s="11">
        <f>IF(AD$3=0,"",SUMIFS(INDEX(Inputs!$D$4:$AG$150,0,MATCH(AD$2,Inputs!$D$2:$AG$2,0)),Inputs!$B$4:$B$150,$B18)/1000)</f>
        <v>7235</v>
      </c>
      <c r="AE18" s="11" t="str">
        <f>IF(AE$3=0,"",SUMIFS(INDEX(Inputs!$D$4:$AG$150,0,MATCH(AE$2,Inputs!$D$2:$AG$2,0)),Inputs!$B$4:$B$150,$B18)/1000)</f>
        <v/>
      </c>
      <c r="AF18" s="11" t="str">
        <f>IF(AF$3=0,"",SUMIFS(INDEX(Inputs!$D$4:$AG$150,0,MATCH(AF$2,Inputs!$D$2:$AG$2,0)),Inputs!$B$4:$B$150,$B18)/1000)</f>
        <v/>
      </c>
      <c r="AG18" s="12" t="str">
        <f>IF(AF18="","",AF18)</f>
        <v/>
      </c>
    </row>
    <row r="19">
      <c r="B19" s="9" t="n">
        <v>15</v>
      </c>
      <c r="C19" s="14" t="inlineStr">
        <is>
          <t>Prepaid expenses</t>
        </is>
      </c>
      <c r="D19" s="11">
        <f>IF(D$3=0,"",SUMIFS(INDEX(Inputs!$D$4:$AG$150,0,MATCH(D$2,Inputs!$D$2:$AG$2,0)),Inputs!$B$4:$B$150,$B19)/1000)</f>
        <v>0</v>
      </c>
      <c r="E19" s="11">
        <f>IF(E$3=0,"",SUMIFS(INDEX(Inputs!$D$4:$AG$150,0,MATCH(E$2,Inputs!$D$2:$AG$2,0)),Inputs!$B$4:$B$150,$B19)/1000)</f>
        <v>0</v>
      </c>
      <c r="F19" s="11">
        <f>IF(F$3=0,"",SUMIFS(INDEX(Inputs!$D$4:$AG$150,0,MATCH(F$2,Inputs!$D$2:$AG$2,0)),Inputs!$B$4:$B$150,$B19)/1000)</f>
        <v>0</v>
      </c>
      <c r="G19" s="11">
        <f>IF(G$3=0,"",SUMIFS(INDEX(Inputs!$D$4:$AG$150,0,MATCH(G$2,Inputs!$D$2:$AG$2,0)),Inputs!$B$4:$B$150,$B19)/1000)</f>
        <v>0</v>
      </c>
      <c r="H19" s="12">
        <f>IF(G19="","",G19)</f>
        <v>0</v>
      </c>
      <c r="I19" s="11">
        <f>IF(I$3=0,"",SUMIFS(INDEX(Inputs!$D$4:$AG$150,0,MATCH(I$2,Inputs!$D$2:$AG$2,0)),Inputs!$B$4:$B$150,$B19)/1000)</f>
        <v>0</v>
      </c>
      <c r="J19" s="11">
        <f>IF(J$3=0,"",SUMIFS(INDEX(Inputs!$D$4:$AG$150,0,MATCH(J$2,Inputs!$D$2:$AG$2,0)),Inputs!$B$4:$B$150,$B19)/1000)</f>
        <v>0</v>
      </c>
      <c r="K19" s="11">
        <f>IF(K$3=0,"",SUMIFS(INDEX(Inputs!$D$4:$AG$150,0,MATCH(K$2,Inputs!$D$2:$AG$2,0)),Inputs!$B$4:$B$150,$B19)/1000)</f>
        <v>0</v>
      </c>
      <c r="L19" s="11">
        <f>IF(L$3=0,"",SUMIFS(INDEX(Inputs!$D$4:$AG$150,0,MATCH(L$2,Inputs!$D$2:$AG$2,0)),Inputs!$B$4:$B$150,$B19)/1000)</f>
        <v>0</v>
      </c>
      <c r="M19" s="12">
        <f>IF(L19="","",L19)</f>
        <v>0</v>
      </c>
      <c r="N19" s="11">
        <f>IF(N$3=0,"",SUMIFS(INDEX(Inputs!$D$4:$AG$150,0,MATCH(N$2,Inputs!$D$2:$AG$2,0)),Inputs!$B$4:$B$150,$B19)/1000)</f>
        <v>0</v>
      </c>
      <c r="O19" s="11">
        <f>IF(O$3=0,"",SUMIFS(INDEX(Inputs!$D$4:$AG$150,0,MATCH(O$2,Inputs!$D$2:$AG$2,0)),Inputs!$B$4:$B$150,$B19)/1000)</f>
        <v>0</v>
      </c>
      <c r="P19" s="11">
        <f>IF(P$3=0,"",SUMIFS(INDEX(Inputs!$D$4:$AG$150,0,MATCH(P$2,Inputs!$D$2:$AG$2,0)),Inputs!$B$4:$B$150,$B19)/1000)</f>
        <v>0</v>
      </c>
      <c r="Q19" s="11">
        <f>IF(Q$3=0,"",SUMIFS(INDEX(Inputs!$D$4:$AG$150,0,MATCH(Q$2,Inputs!$D$2:$AG$2,0)),Inputs!$B$4:$B$150,$B19)/1000)</f>
        <v>0</v>
      </c>
      <c r="R19" s="12">
        <f>IF(Q19="","",Q19)</f>
        <v>0</v>
      </c>
      <c r="S19" s="11">
        <f>IF(S$3=0,"",SUMIFS(INDEX(Inputs!$D$4:$AG$150,0,MATCH(S$2,Inputs!$D$2:$AG$2,0)),Inputs!$B$4:$B$150,$B19)/1000)</f>
        <v>0</v>
      </c>
      <c r="T19" s="11">
        <f>IF(T$3=0,"",SUMIFS(INDEX(Inputs!$D$4:$AG$150,0,MATCH(T$2,Inputs!$D$2:$AG$2,0)),Inputs!$B$4:$B$150,$B19)/1000)</f>
        <v>0</v>
      </c>
      <c r="U19" s="11">
        <f>IF(U$3=0,"",SUMIFS(INDEX(Inputs!$D$4:$AG$150,0,MATCH(U$2,Inputs!$D$2:$AG$2,0)),Inputs!$B$4:$B$150,$B19)/1000)</f>
        <v>0</v>
      </c>
      <c r="V19" s="11">
        <f>IF(V$3=0,"",SUMIFS(INDEX(Inputs!$D$4:$AG$150,0,MATCH(V$2,Inputs!$D$2:$AG$2,0)),Inputs!$B$4:$B$150,$B19)/1000)</f>
        <v>0</v>
      </c>
      <c r="W19" s="12">
        <f>IF(V19="","",V19)</f>
        <v>0</v>
      </c>
      <c r="X19" s="11">
        <f>IF(X$3=0,"",SUMIFS(INDEX(Inputs!$D$4:$AG$150,0,MATCH(X$2,Inputs!$D$2:$AG$2,0)),Inputs!$B$4:$B$150,$B19)/1000)</f>
        <v>0</v>
      </c>
      <c r="Y19" s="11">
        <f>IF(Y$3=0,"",SUMIFS(INDEX(Inputs!$D$4:$AG$150,0,MATCH(Y$2,Inputs!$D$2:$AG$2,0)),Inputs!$B$4:$B$150,$B19)/1000)</f>
        <v>0</v>
      </c>
      <c r="Z19" s="11">
        <f>IF(Z$3=0,"",SUMIFS(INDEX(Inputs!$D$4:$AG$150,0,MATCH(Z$2,Inputs!$D$2:$AG$2,0)),Inputs!$B$4:$B$150,$B19)/1000)</f>
        <v>0</v>
      </c>
      <c r="AA19" s="11">
        <f>IF(AA$3=0,"",SUMIFS(INDEX(Inputs!$D$4:$AG$150,0,MATCH(AA$2,Inputs!$D$2:$AG$2,0)),Inputs!$B$4:$B$150,$B19)/1000)</f>
        <v>0</v>
      </c>
      <c r="AB19" s="12">
        <f>IF(AA19="","",AA19)</f>
        <v>0</v>
      </c>
      <c r="AC19" s="11">
        <f>IF(AC$3=0,"",SUMIFS(INDEX(Inputs!$D$4:$AG$150,0,MATCH(AC$2,Inputs!$D$2:$AG$2,0)),Inputs!$B$4:$B$150,$B19)/1000)</f>
        <v>0</v>
      </c>
      <c r="AD19" s="11">
        <f>IF(AD$3=0,"",SUMIFS(INDEX(Inputs!$D$4:$AG$150,0,MATCH(AD$2,Inputs!$D$2:$AG$2,0)),Inputs!$B$4:$B$150,$B19)/1000)</f>
        <v>0</v>
      </c>
      <c r="AE19" s="11" t="str">
        <f>IF(AE$3=0,"",SUMIFS(INDEX(Inputs!$D$4:$AG$150,0,MATCH(AE$2,Inputs!$D$2:$AG$2,0)),Inputs!$B$4:$B$150,$B19)/1000)</f>
        <v/>
      </c>
      <c r="AF19" s="11" t="str">
        <f>IF(AF$3=0,"",SUMIFS(INDEX(Inputs!$D$4:$AG$150,0,MATCH(AF$2,Inputs!$D$2:$AG$2,0)),Inputs!$B$4:$B$150,$B19)/1000)</f>
        <v/>
      </c>
      <c r="AG19" s="12" t="str">
        <f>IF(AF19="","",AF19)</f>
        <v/>
      </c>
    </row>
    <row r="20">
      <c r="B20" s="9" t="n">
        <v>16</v>
      </c>
      <c r="C20" s="14" t="inlineStr">
        <is>
          <t>Other current assets</t>
        </is>
      </c>
      <c r="D20" s="11">
        <f>IF(D$3=0,"",SUMIFS(INDEX(Inputs!$D$4:$AG$150,0,MATCH(D$2,Inputs!$D$2:$AG$2,0)),Inputs!$B$4:$B$150,$B20)/1000)</f>
        <v>1542</v>
      </c>
      <c r="E20" s="11">
        <f>IF(E$3=0,"",SUMIFS(INDEX(Inputs!$D$4:$AG$150,0,MATCH(E$2,Inputs!$D$2:$AG$2,0)),Inputs!$B$4:$B$150,$B20)/1000)</f>
        <v>1602</v>
      </c>
      <c r="F20" s="11">
        <f>IF(F$3=0,"",SUMIFS(INDEX(Inputs!$D$4:$AG$150,0,MATCH(F$2,Inputs!$D$2:$AG$2,0)),Inputs!$B$4:$B$150,$B20)/1000)</f>
        <v>1746</v>
      </c>
      <c r="G20" s="11">
        <f>IF(G$3=0,"",SUMIFS(INDEX(Inputs!$D$4:$AG$150,0,MATCH(G$2,Inputs!$D$2:$AG$2,0)),Inputs!$B$4:$B$150,$B20)/1000)</f>
        <v>1723</v>
      </c>
      <c r="H20" s="12">
        <f>IF(G20="","",G20)</f>
        <v>1723</v>
      </c>
      <c r="I20" s="11">
        <f>IF(I$3=0,"",SUMIFS(INDEX(Inputs!$D$4:$AG$150,0,MATCH(I$2,Inputs!$D$2:$AG$2,0)),Inputs!$B$4:$B$150,$B20)/1000)</f>
        <v>2035</v>
      </c>
      <c r="J20" s="11">
        <f>IF(J$3=0,"",SUMIFS(INDEX(Inputs!$D$4:$AG$150,0,MATCH(J$2,Inputs!$D$2:$AG$2,0)),Inputs!$B$4:$B$150,$B20)/1000)</f>
        <v>2118</v>
      </c>
      <c r="K20" s="11">
        <f>IF(K$3=0,"",SUMIFS(INDEX(Inputs!$D$4:$AG$150,0,MATCH(K$2,Inputs!$D$2:$AG$2,0)),Inputs!$B$4:$B$150,$B20)/1000)</f>
        <v>2364</v>
      </c>
      <c r="L20" s="11">
        <f>IF(L$3=0,"",SUMIFS(INDEX(Inputs!$D$4:$AG$150,0,MATCH(L$2,Inputs!$D$2:$AG$2,0)),Inputs!$B$4:$B$150,$B20)/1000)</f>
        <v>2941</v>
      </c>
      <c r="M20" s="12">
        <f>IF(L20="","",L20)</f>
        <v>2941</v>
      </c>
      <c r="N20" s="11">
        <f>IF(N$3=0,"",SUMIFS(INDEX(Inputs!$D$4:$AG$150,0,MATCH(N$2,Inputs!$D$2:$AG$2,0)),Inputs!$B$4:$B$150,$B20)/1000)</f>
        <v>3227</v>
      </c>
      <c r="O20" s="11">
        <f>IF(O$3=0,"",SUMIFS(INDEX(Inputs!$D$4:$AG$150,0,MATCH(O$2,Inputs!$D$2:$AG$2,0)),Inputs!$B$4:$B$150,$B20)/1000)</f>
        <v>2997</v>
      </c>
      <c r="P20" s="11">
        <f>IF(P$3=0,"",SUMIFS(INDEX(Inputs!$D$4:$AG$150,0,MATCH(P$2,Inputs!$D$2:$AG$2,0)),Inputs!$B$4:$B$150,$B20)/1000)</f>
        <v>2708</v>
      </c>
      <c r="Q20" s="11">
        <f>IF(Q$3=0,"",SUMIFS(INDEX(Inputs!$D$4:$AG$150,0,MATCH(Q$2,Inputs!$D$2:$AG$2,0)),Inputs!$B$4:$B$150,$B20)/1000)</f>
        <v>3388</v>
      </c>
      <c r="R20" s="12">
        <f>IF(Q20="","",Q20)</f>
        <v>3388</v>
      </c>
      <c r="S20" s="11">
        <f>IF(S$3=0,"",SUMIFS(INDEX(Inputs!$D$4:$AG$150,0,MATCH(S$2,Inputs!$D$2:$AG$2,0)),Inputs!$B$4:$B$150,$B20)/1000)</f>
        <v>3752</v>
      </c>
      <c r="T20" s="11">
        <f>IF(T$3=0,"",SUMIFS(INDEX(Inputs!$D$4:$AG$150,0,MATCH(T$2,Inputs!$D$2:$AG$2,0)),Inputs!$B$4:$B$150,$B20)/1000)</f>
        <v>4325</v>
      </c>
      <c r="U20" s="11">
        <f>IF(U$3=0,"",SUMIFS(INDEX(Inputs!$D$4:$AG$150,0,MATCH(U$2,Inputs!$D$2:$AG$2,0)),Inputs!$B$4:$B$150,$B20)/1000)</f>
        <v>4888</v>
      </c>
      <c r="V20" s="11">
        <f>IF(V$3=0,"",SUMIFS(INDEX(Inputs!$D$4:$AG$150,0,MATCH(V$2,Inputs!$D$2:$AG$2,0)),Inputs!$B$4:$B$150,$B20)/1000)</f>
        <v>5362</v>
      </c>
      <c r="W20" s="12">
        <f>IF(V20="","",V20)</f>
        <v>5362</v>
      </c>
      <c r="X20" s="11">
        <f>IF(X$3=0,"",SUMIFS(INDEX(Inputs!$D$4:$AG$150,0,MATCH(X$2,Inputs!$D$2:$AG$2,0)),Inputs!$B$4:$B$150,$B20)/1000)</f>
        <v>4905</v>
      </c>
      <c r="Y20" s="11">
        <f>IF(Y$3=0,"",SUMIFS(INDEX(Inputs!$D$4:$AG$150,0,MATCH(Y$2,Inputs!$D$2:$AG$2,0)),Inputs!$B$4:$B$150,$B20)/1000)</f>
        <v>5943</v>
      </c>
      <c r="Z20" s="11">
        <f>IF(Z$3=0,"",SUMIFS(INDEX(Inputs!$D$4:$AG$150,0,MATCH(Z$2,Inputs!$D$2:$AG$2,0)),Inputs!$B$4:$B$150,$B20)/1000)</f>
        <v>6027</v>
      </c>
      <c r="AA20" s="11">
        <f>IF(AA$3=0,"",SUMIFS(INDEX(Inputs!$D$4:$AG$150,0,MATCH(AA$2,Inputs!$D$2:$AG$2,0)),Inputs!$B$4:$B$150,$B20)/1000)</f>
        <v>7615</v>
      </c>
      <c r="AB20" s="12">
        <f>IF(AA20="","",AA20)</f>
        <v>7615</v>
      </c>
      <c r="AC20" s="11">
        <f>IF(AC$3=0,"",SUMIFS(INDEX(Inputs!$D$4:$AG$150,0,MATCH(AC$2,Inputs!$D$2:$AG$2,0)),Inputs!$B$4:$B$150,$B20)/1000)</f>
        <v>6612</v>
      </c>
      <c r="AD20" s="11">
        <f>IF(AD$3=0,"",SUMIFS(INDEX(Inputs!$D$4:$AG$150,0,MATCH(AD$2,Inputs!$D$2:$AG$2,0)),Inputs!$B$4:$B$150,$B20)/1000)</f>
        <v>7395</v>
      </c>
      <c r="AE20" s="11" t="str">
        <f>IF(AE$3=0,"",SUMIFS(INDEX(Inputs!$D$4:$AG$150,0,MATCH(AE$2,Inputs!$D$2:$AG$2,0)),Inputs!$B$4:$B$150,$B20)/1000)</f>
        <v/>
      </c>
      <c r="AF20" s="11" t="str">
        <f>IF(AF$3=0,"",SUMIFS(INDEX(Inputs!$D$4:$AG$150,0,MATCH(AF$2,Inputs!$D$2:$AG$2,0)),Inputs!$B$4:$B$150,$B20)/1000)</f>
        <v/>
      </c>
      <c r="AG20" s="12" t="str">
        <f>IF(AF20="","",AF20)</f>
        <v/>
      </c>
    </row>
    <row r="21">
      <c r="B21" s="9" t="n">
        <v>17</v>
      </c>
      <c r="C21" s="14" t="inlineStr">
        <is>
          <t>Equity in affiliates</t>
        </is>
      </c>
      <c r="D21" s="11">
        <f>IF(D$3=0,"",SUMIFS(INDEX(Inputs!$D$4:$AG$150,0,MATCH(D$2,Inputs!$D$2:$AG$2,0)),Inputs!$B$4:$B$150,$B21)/1000)</f>
        <v>0</v>
      </c>
      <c r="E21" s="11">
        <f>IF(E$3=0,"",SUMIFS(INDEX(Inputs!$D$4:$AG$150,0,MATCH(E$2,Inputs!$D$2:$AG$2,0)),Inputs!$B$4:$B$150,$B21)/1000)</f>
        <v>0</v>
      </c>
      <c r="F21" s="11">
        <f>IF(F$3=0,"",SUMIFS(INDEX(Inputs!$D$4:$AG$150,0,MATCH(F$2,Inputs!$D$2:$AG$2,0)),Inputs!$B$4:$B$150,$B21)/1000)</f>
        <v>0</v>
      </c>
      <c r="G21" s="11">
        <f>IF(G$3=0,"",SUMIFS(INDEX(Inputs!$D$4:$AG$150,0,MATCH(G$2,Inputs!$D$2:$AG$2,0)),Inputs!$B$4:$B$150,$B21)/1000)</f>
        <v>0</v>
      </c>
      <c r="H21" s="12">
        <f>IF(G21="","",G21)</f>
        <v>0</v>
      </c>
      <c r="I21" s="11">
        <f>IF(I$3=0,"",SUMIFS(INDEX(Inputs!$D$4:$AG$150,0,MATCH(I$2,Inputs!$D$2:$AG$2,0)),Inputs!$B$4:$B$150,$B21)/1000)</f>
        <v>0</v>
      </c>
      <c r="J21" s="11">
        <f>IF(J$3=0,"",SUMIFS(INDEX(Inputs!$D$4:$AG$150,0,MATCH(J$2,Inputs!$D$2:$AG$2,0)),Inputs!$B$4:$B$150,$B21)/1000)</f>
        <v>0</v>
      </c>
      <c r="K21" s="11">
        <f>IF(K$3=0,"",SUMIFS(INDEX(Inputs!$D$4:$AG$150,0,MATCH(K$2,Inputs!$D$2:$AG$2,0)),Inputs!$B$4:$B$150,$B21)/1000)</f>
        <v>0</v>
      </c>
      <c r="L21" s="11">
        <f>IF(L$3=0,"",SUMIFS(INDEX(Inputs!$D$4:$AG$150,0,MATCH(L$2,Inputs!$D$2:$AG$2,0)),Inputs!$B$4:$B$150,$B21)/1000)</f>
        <v>0</v>
      </c>
      <c r="M21" s="12">
        <f>IF(L21="","",L21)</f>
        <v>0</v>
      </c>
      <c r="N21" s="11">
        <f>IF(N$3=0,"",SUMIFS(INDEX(Inputs!$D$4:$AG$150,0,MATCH(N$2,Inputs!$D$2:$AG$2,0)),Inputs!$B$4:$B$150,$B21)/1000)</f>
        <v>0</v>
      </c>
      <c r="O21" s="11">
        <f>IF(O$3=0,"",SUMIFS(INDEX(Inputs!$D$4:$AG$150,0,MATCH(O$2,Inputs!$D$2:$AG$2,0)),Inputs!$B$4:$B$150,$B21)/1000)</f>
        <v>0</v>
      </c>
      <c r="P21" s="11">
        <f>IF(P$3=0,"",SUMIFS(INDEX(Inputs!$D$4:$AG$150,0,MATCH(P$2,Inputs!$D$2:$AG$2,0)),Inputs!$B$4:$B$150,$B21)/1000)</f>
        <v>0</v>
      </c>
      <c r="Q21" s="11">
        <f>IF(Q$3=0,"",SUMIFS(INDEX(Inputs!$D$4:$AG$150,0,MATCH(Q$2,Inputs!$D$2:$AG$2,0)),Inputs!$B$4:$B$150,$B21)/1000)</f>
        <v>0</v>
      </c>
      <c r="R21" s="12">
        <f>IF(Q21="","",Q21)</f>
        <v>0</v>
      </c>
      <c r="S21" s="11">
        <f>IF(S$3=0,"",SUMIFS(INDEX(Inputs!$D$4:$AG$150,0,MATCH(S$2,Inputs!$D$2:$AG$2,0)),Inputs!$B$4:$B$150,$B21)/1000)</f>
        <v>0</v>
      </c>
      <c r="T21" s="11">
        <f>IF(T$3=0,"",SUMIFS(INDEX(Inputs!$D$4:$AG$150,0,MATCH(T$2,Inputs!$D$2:$AG$2,0)),Inputs!$B$4:$B$150,$B21)/1000)</f>
        <v>0</v>
      </c>
      <c r="U21" s="11">
        <f>IF(U$3=0,"",SUMIFS(INDEX(Inputs!$D$4:$AG$150,0,MATCH(U$2,Inputs!$D$2:$AG$2,0)),Inputs!$B$4:$B$150,$B21)/1000)</f>
        <v>0</v>
      </c>
      <c r="V21" s="11">
        <f>IF(V$3=0,"",SUMIFS(INDEX(Inputs!$D$4:$AG$150,0,MATCH(V$2,Inputs!$D$2:$AG$2,0)),Inputs!$B$4:$B$150,$B21)/1000)</f>
        <v>0</v>
      </c>
      <c r="W21" s="12">
        <f>IF(V21="","",V21)</f>
        <v>0</v>
      </c>
      <c r="X21" s="11">
        <f>IF(X$3=0,"",SUMIFS(INDEX(Inputs!$D$4:$AG$150,0,MATCH(X$2,Inputs!$D$2:$AG$2,0)),Inputs!$B$4:$B$150,$B21)/1000)</f>
        <v>0</v>
      </c>
      <c r="Y21" s="11">
        <f>IF(Y$3=0,"",SUMIFS(INDEX(Inputs!$D$4:$AG$150,0,MATCH(Y$2,Inputs!$D$2:$AG$2,0)),Inputs!$B$4:$B$150,$B21)/1000)</f>
        <v>0</v>
      </c>
      <c r="Z21" s="11">
        <f>IF(Z$3=0,"",SUMIFS(INDEX(Inputs!$D$4:$AG$150,0,MATCH(Z$2,Inputs!$D$2:$AG$2,0)),Inputs!$B$4:$B$150,$B21)/1000)</f>
        <v>0</v>
      </c>
      <c r="AA21" s="11">
        <f>IF(AA$3=0,"",SUMIFS(INDEX(Inputs!$D$4:$AG$150,0,MATCH(AA$2,Inputs!$D$2:$AG$2,0)),Inputs!$B$4:$B$150,$B21)/1000)</f>
        <v>0</v>
      </c>
      <c r="AB21" s="12">
        <f>IF(AA21="","",AA21)</f>
        <v>0</v>
      </c>
      <c r="AC21" s="11">
        <f>IF(AC$3=0,"",SUMIFS(INDEX(Inputs!$D$4:$AG$150,0,MATCH(AC$2,Inputs!$D$2:$AG$2,0)),Inputs!$B$4:$B$150,$B21)/1000)</f>
        <v>0</v>
      </c>
      <c r="AD21" s="11">
        <f>IF(AD$3=0,"",SUMIFS(INDEX(Inputs!$D$4:$AG$150,0,MATCH(AD$2,Inputs!$D$2:$AG$2,0)),Inputs!$B$4:$B$150,$B21)/1000)</f>
        <v>0</v>
      </c>
      <c r="AE21" s="11" t="str">
        <f>IF(AE$3=0,"",SUMIFS(INDEX(Inputs!$D$4:$AG$150,0,MATCH(AE$2,Inputs!$D$2:$AG$2,0)),Inputs!$B$4:$B$150,$B21)/1000)</f>
        <v/>
      </c>
      <c r="AF21" s="11" t="str">
        <f>IF(AF$3=0,"",SUMIFS(INDEX(Inputs!$D$4:$AG$150,0,MATCH(AF$2,Inputs!$D$2:$AG$2,0)),Inputs!$B$4:$B$150,$B21)/1000)</f>
        <v/>
      </c>
      <c r="AG21" s="12" t="str">
        <f>IF(AF21="","",AF21)</f>
        <v/>
      </c>
    </row>
    <row r="22">
      <c r="B22" s="9" t="n">
        <v>18</v>
      </c>
      <c r="C22" s="14" t="inlineStr">
        <is>
          <t>PP&amp;E</t>
        </is>
      </c>
      <c r="D22" s="11">
        <f>IF(D$3=0,"",SUMIFS(INDEX(Inputs!$D$4:$AG$150,0,MATCH(D$2,Inputs!$D$2:$AG$2,0)),Inputs!$B$4:$B$150,$B22)/1000)</f>
        <v>13868</v>
      </c>
      <c r="E22" s="11">
        <f>IF(E$3=0,"",SUMIFS(INDEX(Inputs!$D$4:$AG$150,0,MATCH(E$2,Inputs!$D$2:$AG$2,0)),Inputs!$B$4:$B$150,$B22)/1000)</f>
        <v>15665</v>
      </c>
      <c r="F22" s="11">
        <f>IF(F$3=0,"",SUMIFS(INDEX(Inputs!$D$4:$AG$150,0,MATCH(F$2,Inputs!$D$2:$AG$2,0)),Inputs!$B$4:$B$150,$B22)/1000)</f>
        <v>17298</v>
      </c>
      <c r="G22" s="11">
        <f>IF(G$3=0,"",SUMIFS(INDEX(Inputs!$D$4:$AG$150,0,MATCH(G$2,Inputs!$D$2:$AG$2,0)),Inputs!$B$4:$B$150,$B22)/1000)</f>
        <v>18884</v>
      </c>
      <c r="H22" s="12">
        <f>IF(G22="","",G22)</f>
        <v>18884</v>
      </c>
      <c r="I22" s="11">
        <f>IF(I$3=0,"",SUMIFS(INDEX(Inputs!$D$4:$AG$150,0,MATCH(I$2,Inputs!$D$2:$AG$2,0)),Inputs!$B$4:$B$150,$B22)/1000)</f>
        <v>20027</v>
      </c>
      <c r="J22" s="11">
        <f>IF(J$3=0,"",SUMIFS(INDEX(Inputs!$D$4:$AG$150,0,MATCH(J$2,Inputs!$D$2:$AG$2,0)),Inputs!$B$4:$B$150,$B22)/1000)</f>
        <v>21093</v>
      </c>
      <c r="K22" s="11">
        <f>IF(K$3=0,"",SUMIFS(INDEX(Inputs!$D$4:$AG$150,0,MATCH(K$2,Inputs!$D$2:$AG$2,0)),Inputs!$B$4:$B$150,$B22)/1000)</f>
        <v>21926</v>
      </c>
      <c r="L22" s="11">
        <f>IF(L$3=0,"",SUMIFS(INDEX(Inputs!$D$4:$AG$150,0,MATCH(L$2,Inputs!$D$2:$AG$2,0)),Inputs!$B$4:$B$150,$B22)/1000)</f>
        <v>23548</v>
      </c>
      <c r="M22" s="12">
        <f>IF(L22="","",L22)</f>
        <v>23548</v>
      </c>
      <c r="N22" s="11">
        <f>IF(N$3=0,"",SUMIFS(INDEX(Inputs!$D$4:$AG$150,0,MATCH(N$2,Inputs!$D$2:$AG$2,0)),Inputs!$B$4:$B$150,$B22)/1000)</f>
        <v>24969</v>
      </c>
      <c r="O22" s="11">
        <f>IF(O$3=0,"",SUMIFS(INDEX(Inputs!$D$4:$AG$150,0,MATCH(O$2,Inputs!$D$2:$AG$2,0)),Inputs!$B$4:$B$150,$B22)/1000)</f>
        <v>26389</v>
      </c>
      <c r="P22" s="11">
        <f>IF(P$3=0,"",SUMIFS(INDEX(Inputs!$D$4:$AG$150,0,MATCH(P$2,Inputs!$D$2:$AG$2,0)),Inputs!$B$4:$B$150,$B22)/1000)</f>
        <v>27744</v>
      </c>
      <c r="Q22" s="11">
        <f>IF(Q$3=0,"",SUMIFS(INDEX(Inputs!$D$4:$AG$150,0,MATCH(Q$2,Inputs!$D$2:$AG$2,0)),Inputs!$B$4:$B$150,$B22)/1000)</f>
        <v>29725</v>
      </c>
      <c r="R22" s="12">
        <f>IF(Q22="","",Q22)</f>
        <v>29725</v>
      </c>
      <c r="S22" s="11">
        <f>IF(S$3=0,"",SUMIFS(INDEX(Inputs!$D$4:$AG$150,0,MATCH(S$2,Inputs!$D$2:$AG$2,0)),Inputs!$B$4:$B$150,$B22)/1000)</f>
        <v>31436</v>
      </c>
      <c r="T22" s="11">
        <f>IF(T$3=0,"",SUMIFS(INDEX(Inputs!$D$4:$AG$150,0,MATCH(T$2,Inputs!$D$2:$AG$2,0)),Inputs!$B$4:$B$150,$B22)/1000)</f>
        <v>32902</v>
      </c>
      <c r="U22" s="11">
        <f>IF(U$3=0,"",SUMIFS(INDEX(Inputs!$D$4:$AG$150,0,MATCH(U$2,Inputs!$D$2:$AG$2,0)),Inputs!$B$4:$B$150,$B22)/1000)</f>
        <v>36116</v>
      </c>
      <c r="V22" s="11">
        <f>IF(V$3=0,"",SUMIFS(INDEX(Inputs!$D$4:$AG$150,0,MATCH(V$2,Inputs!$D$2:$AG$2,0)),Inputs!$B$4:$B$150,$B22)/1000)</f>
        <v>35836</v>
      </c>
      <c r="W22" s="12">
        <f>IF(V22="","",V22)</f>
        <v>35836</v>
      </c>
      <c r="X22" s="11">
        <f>IF(X$3=0,"",SUMIFS(INDEX(Inputs!$D$4:$AG$150,0,MATCH(X$2,Inputs!$D$2:$AG$2,0)),Inputs!$B$4:$B$150,$B22)/1000)</f>
        <v>37088</v>
      </c>
      <c r="Y22" s="11">
        <f>IF(Y$3=0,"",SUMIFS(INDEX(Inputs!$D$4:$AG$150,0,MATCH(Y$2,Inputs!$D$2:$AG$2,0)),Inputs!$B$4:$B$150,$B22)/1000)</f>
        <v>38574</v>
      </c>
      <c r="Z22" s="11">
        <f>IF(Z$3=0,"",SUMIFS(INDEX(Inputs!$D$4:$AG$150,0,MATCH(Z$2,Inputs!$D$2:$AG$2,0)),Inputs!$B$4:$B$150,$B22)/1000)</f>
        <v>39407</v>
      </c>
      <c r="AA22" s="11">
        <f>IF(AA$3=0,"",SUMIFS(INDEX(Inputs!$D$4:$AG$150,0,MATCH(AA$2,Inputs!$D$2:$AG$2,0)),Inputs!$B$4:$B$150,$B22)/1000)</f>
        <v>40643</v>
      </c>
      <c r="AB22" s="12">
        <f>IF(AA22="","",AA22)</f>
        <v>40643</v>
      </c>
      <c r="AC22" s="11">
        <f>IF(AC$3=0,"",SUMIFS(INDEX(Inputs!$D$4:$AG$150,0,MATCH(AC$2,Inputs!$D$2:$AG$2,0)),Inputs!$B$4:$B$150,$B22)/1000)</f>
        <v>43213</v>
      </c>
      <c r="AD22" s="11">
        <f>IF(AD$3=0,"",SUMIFS(INDEX(Inputs!$D$4:$AG$150,0,MATCH(AD$2,Inputs!$D$2:$AG$2,0)),Inputs!$B$4:$B$150,$B22)/1000)</f>
        <v>47255</v>
      </c>
      <c r="AE22" s="11" t="str">
        <f>IF(AE$3=0,"",SUMIFS(INDEX(Inputs!$D$4:$AG$150,0,MATCH(AE$2,Inputs!$D$2:$AG$2,0)),Inputs!$B$4:$B$150,$B22)/1000)</f>
        <v/>
      </c>
      <c r="AF22" s="11" t="str">
        <f>IF(AF$3=0,"",SUMIFS(INDEX(Inputs!$D$4:$AG$150,0,MATCH(AF$2,Inputs!$D$2:$AG$2,0)),Inputs!$B$4:$B$150,$B22)/1000)</f>
        <v/>
      </c>
      <c r="AG22" s="12" t="str">
        <f>IF(AF22="","",AF22)</f>
        <v/>
      </c>
    </row>
    <row r="23">
      <c r="B23" s="9" t="n">
        <v>19</v>
      </c>
      <c r="C23" s="14" t="inlineStr">
        <is>
          <t>Right-of-use-assets</t>
        </is>
      </c>
      <c r="D23" s="11">
        <f>IF(D$3=0,"",SUMIFS(INDEX(Inputs!$D$4:$AG$150,0,MATCH(D$2,Inputs!$D$2:$AG$2,0)),Inputs!$B$4:$B$150,$B23)/1000)</f>
        <v>1647</v>
      </c>
      <c r="E23" s="11">
        <f>IF(E$3=0,"",SUMIFS(INDEX(Inputs!$D$4:$AG$150,0,MATCH(E$2,Inputs!$D$2:$AG$2,0)),Inputs!$B$4:$B$150,$B23)/1000)</f>
        <v>1734</v>
      </c>
      <c r="F23" s="11">
        <f>IF(F$3=0,"",SUMIFS(INDEX(Inputs!$D$4:$AG$150,0,MATCH(F$2,Inputs!$D$2:$AG$2,0)),Inputs!$B$4:$B$150,$B23)/1000)</f>
        <v>1962</v>
      </c>
      <c r="G23" s="11">
        <f>IF(G$3=0,"",SUMIFS(INDEX(Inputs!$D$4:$AG$150,0,MATCH(G$2,Inputs!$D$2:$AG$2,0)),Inputs!$B$4:$B$150,$B23)/1000)</f>
        <v>2016</v>
      </c>
      <c r="H23" s="12">
        <f>IF(G23="","",G23)</f>
        <v>2016</v>
      </c>
      <c r="I23" s="11">
        <f>IF(I$3=0,"",SUMIFS(INDEX(Inputs!$D$4:$AG$150,0,MATCH(I$2,Inputs!$D$2:$AG$2,0)),Inputs!$B$4:$B$150,$B23)/1000)</f>
        <v>2181</v>
      </c>
      <c r="J23" s="11">
        <f>IF(J$3=0,"",SUMIFS(INDEX(Inputs!$D$4:$AG$150,0,MATCH(J$2,Inputs!$D$2:$AG$2,0)),Inputs!$B$4:$B$150,$B23)/1000)</f>
        <v>2185</v>
      </c>
      <c r="K23" s="11">
        <f>IF(K$3=0,"",SUMIFS(INDEX(Inputs!$D$4:$AG$150,0,MATCH(K$2,Inputs!$D$2:$AG$2,0)),Inputs!$B$4:$B$150,$B23)/1000)</f>
        <v>2251</v>
      </c>
      <c r="L23" s="11">
        <f>IF(L$3=0,"",SUMIFS(INDEX(Inputs!$D$4:$AG$150,0,MATCH(L$2,Inputs!$D$2:$AG$2,0)),Inputs!$B$4:$B$150,$B23)/1000)</f>
        <v>2563</v>
      </c>
      <c r="M23" s="12">
        <f>IF(L23="","",L23)</f>
        <v>2563</v>
      </c>
      <c r="N23" s="11">
        <f>IF(N$3=0,"",SUMIFS(INDEX(Inputs!$D$4:$AG$150,0,MATCH(N$2,Inputs!$D$2:$AG$2,0)),Inputs!$B$4:$B$150,$B23)/1000)</f>
        <v>2800</v>
      </c>
      <c r="O23" s="11">
        <f>IF(O$3=0,"",SUMIFS(INDEX(Inputs!$D$4:$AG$150,0,MATCH(O$2,Inputs!$D$2:$AG$2,0)),Inputs!$B$4:$B$150,$B23)/1000)</f>
        <v>3352</v>
      </c>
      <c r="P23" s="11">
        <f>IF(P$3=0,"",SUMIFS(INDEX(Inputs!$D$4:$AG$150,0,MATCH(P$2,Inputs!$D$2:$AG$2,0)),Inputs!$B$4:$B$150,$B23)/1000)</f>
        <v>3637</v>
      </c>
      <c r="Q23" s="11">
        <f>IF(Q$3=0,"",SUMIFS(INDEX(Inputs!$D$4:$AG$150,0,MATCH(Q$2,Inputs!$D$2:$AG$2,0)),Inputs!$B$4:$B$150,$B23)/1000)</f>
        <v>4180</v>
      </c>
      <c r="R23" s="12">
        <f>IF(Q23="","",Q23)</f>
        <v>4180</v>
      </c>
      <c r="S23" s="11">
        <f>IF(S$3=0,"",SUMIFS(INDEX(Inputs!$D$4:$AG$150,0,MATCH(S$2,Inputs!$D$2:$AG$2,0)),Inputs!$B$4:$B$150,$B23)/1000)</f>
        <v>4367</v>
      </c>
      <c r="T23" s="11">
        <f>IF(T$3=0,"",SUMIFS(INDEX(Inputs!$D$4:$AG$150,0,MATCH(T$2,Inputs!$D$2:$AG$2,0)),Inputs!$B$4:$B$150,$B23)/1000)</f>
        <v>4563</v>
      </c>
      <c r="U23" s="11">
        <f>IF(U$3=0,"",SUMIFS(INDEX(Inputs!$D$4:$AG$150,0,MATCH(U$2,Inputs!$D$2:$AG$2,0)),Inputs!$B$4:$B$150,$B23)/1000)</f>
        <v>4867</v>
      </c>
      <c r="V23" s="11">
        <f>IF(V$3=0,"",SUMIFS(INDEX(Inputs!$D$4:$AG$150,0,MATCH(V$2,Inputs!$D$2:$AG$2,0)),Inputs!$B$4:$B$150,$B23)/1000)</f>
        <v>5160</v>
      </c>
      <c r="W23" s="12">
        <f>IF(V23="","",V23)</f>
        <v>5160</v>
      </c>
      <c r="X23" s="11">
        <f>IF(X$3=0,"",SUMIFS(INDEX(Inputs!$D$4:$AG$150,0,MATCH(X$2,Inputs!$D$2:$AG$2,0)),Inputs!$B$4:$B$150,$B23)/1000)</f>
        <v>5330</v>
      </c>
      <c r="Y23" s="11">
        <f>IF(Y$3=0,"",SUMIFS(INDEX(Inputs!$D$4:$AG$150,0,MATCH(Y$2,Inputs!$D$2:$AG$2,0)),Inputs!$B$4:$B$150,$B23)/1000)</f>
        <v>5633</v>
      </c>
      <c r="Z23" s="11">
        <f>IF(Z$3=0,"",SUMIFS(INDEX(Inputs!$D$4:$AG$150,0,MATCH(Z$2,Inputs!$D$2:$AG$2,0)),Inputs!$B$4:$B$150,$B23)/1000)</f>
        <v>5783</v>
      </c>
      <c r="AA23" s="11">
        <f>IF(AA$3=0,"",SUMIFS(INDEX(Inputs!$D$4:$AG$150,0,MATCH(AA$2,Inputs!$D$2:$AG$2,0)),Inputs!$B$4:$B$150,$B23)/1000)</f>
        <v>6027</v>
      </c>
      <c r="AB23" s="12">
        <f>IF(AA23="","",AA23)</f>
        <v>6027</v>
      </c>
      <c r="AC23" s="11">
        <f>IF(AC$3=0,"",SUMIFS(INDEX(Inputs!$D$4:$AG$150,0,MATCH(AC$2,Inputs!$D$2:$AG$2,0)),Inputs!$B$4:$B$150,$B23)/1000)</f>
        <v>6332</v>
      </c>
      <c r="AD23" s="11">
        <f>IF(AD$3=0,"",SUMIFS(INDEX(Inputs!$D$4:$AG$150,0,MATCH(AD$2,Inputs!$D$2:$AG$2,0)),Inputs!$B$4:$B$150,$B23)/1000)</f>
        <v>6386</v>
      </c>
      <c r="AE23" s="11" t="str">
        <f>IF(AE$3=0,"",SUMIFS(INDEX(Inputs!$D$4:$AG$150,0,MATCH(AE$2,Inputs!$D$2:$AG$2,0)),Inputs!$B$4:$B$150,$B23)/1000)</f>
        <v/>
      </c>
      <c r="AF23" s="11" t="str">
        <f>IF(AF$3=0,"",SUMIFS(INDEX(Inputs!$D$4:$AG$150,0,MATCH(AF$2,Inputs!$D$2:$AG$2,0)),Inputs!$B$4:$B$150,$B23)/1000)</f>
        <v/>
      </c>
      <c r="AG23" s="12" t="str">
        <f>IF(AF23="","",AF23)</f>
        <v/>
      </c>
    </row>
    <row r="24">
      <c r="B24" s="9" t="n">
        <v>20</v>
      </c>
      <c r="C24" s="14" t="inlineStr">
        <is>
          <t>Goodwill</t>
        </is>
      </c>
      <c r="D24" s="11">
        <f>IF(D$3=0,"",SUMIFS(INDEX(Inputs!$D$4:$AG$150,0,MATCH(D$2,Inputs!$D$2:$AG$2,0)),Inputs!$B$4:$B$150,$B24)/1000)</f>
        <v>206</v>
      </c>
      <c r="E24" s="11">
        <f>IF(E$3=0,"",SUMIFS(INDEX(Inputs!$D$4:$AG$150,0,MATCH(E$2,Inputs!$D$2:$AG$2,0)),Inputs!$B$4:$B$150,$B24)/1000)</f>
        <v>203</v>
      </c>
      <c r="F24" s="11">
        <f>IF(F$3=0,"",SUMIFS(INDEX(Inputs!$D$4:$AG$150,0,MATCH(F$2,Inputs!$D$2:$AG$2,0)),Inputs!$B$4:$B$150,$B24)/1000)</f>
        <v>201</v>
      </c>
      <c r="G24" s="11">
        <f>IF(G$3=0,"",SUMIFS(INDEX(Inputs!$D$4:$AG$150,0,MATCH(G$2,Inputs!$D$2:$AG$2,0)),Inputs!$B$4:$B$150,$B24)/1000)</f>
        <v>200</v>
      </c>
      <c r="H24" s="12">
        <f>IF(G24="","",G24)</f>
        <v>200</v>
      </c>
      <c r="I24" s="11">
        <f>IF(I$3=0,"",SUMIFS(INDEX(Inputs!$D$4:$AG$150,0,MATCH(I$2,Inputs!$D$2:$AG$2,0)),Inputs!$B$4:$B$150,$B24)/1000)</f>
        <v>200</v>
      </c>
      <c r="J24" s="11">
        <f>IF(J$3=0,"",SUMIFS(INDEX(Inputs!$D$4:$AG$150,0,MATCH(J$2,Inputs!$D$2:$AG$2,0)),Inputs!$B$4:$B$150,$B24)/1000)</f>
        <v>196</v>
      </c>
      <c r="K24" s="11">
        <f>IF(K$3=0,"",SUMIFS(INDEX(Inputs!$D$4:$AG$150,0,MATCH(K$2,Inputs!$D$2:$AG$2,0)),Inputs!$B$4:$B$150,$B24)/1000)</f>
        <v>191</v>
      </c>
      <c r="L24" s="11">
        <f>IF(L$3=0,"",SUMIFS(INDEX(Inputs!$D$4:$AG$150,0,MATCH(L$2,Inputs!$D$2:$AG$2,0)),Inputs!$B$4:$B$150,$B24)/1000)</f>
        <v>194</v>
      </c>
      <c r="M24" s="12">
        <f>IF(L24="","",L24)</f>
        <v>194</v>
      </c>
      <c r="N24" s="11">
        <f>IF(N$3=0,"",SUMIFS(INDEX(Inputs!$D$4:$AG$150,0,MATCH(N$2,Inputs!$D$2:$AG$2,0)),Inputs!$B$4:$B$150,$B24)/1000)</f>
        <v>195</v>
      </c>
      <c r="O24" s="11">
        <f>IF(O$3=0,"",SUMIFS(INDEX(Inputs!$D$4:$AG$150,0,MATCH(O$2,Inputs!$D$2:$AG$2,0)),Inputs!$B$4:$B$150,$B24)/1000)</f>
        <v>263</v>
      </c>
      <c r="P24" s="11">
        <f>IF(P$3=0,"",SUMIFS(INDEX(Inputs!$D$4:$AG$150,0,MATCH(P$2,Inputs!$D$2:$AG$2,0)),Inputs!$B$4:$B$150,$B24)/1000)</f>
        <v>250</v>
      </c>
      <c r="Q24" s="11">
        <f>IF(Q$3=0,"",SUMIFS(INDEX(Inputs!$D$4:$AG$150,0,MATCH(Q$2,Inputs!$D$2:$AG$2,0)),Inputs!$B$4:$B$150,$B24)/1000)</f>
        <v>253</v>
      </c>
      <c r="R24" s="12">
        <f>IF(Q24="","",Q24)</f>
        <v>253</v>
      </c>
      <c r="S24" s="11">
        <f>IF(S$3=0,"",SUMIFS(INDEX(Inputs!$D$4:$AG$150,0,MATCH(S$2,Inputs!$D$2:$AG$2,0)),Inputs!$B$4:$B$150,$B24)/1000)</f>
        <v>250</v>
      </c>
      <c r="T24" s="11">
        <f>IF(T$3=0,"",SUMIFS(INDEX(Inputs!$D$4:$AG$150,0,MATCH(T$2,Inputs!$D$2:$AG$2,0)),Inputs!$B$4:$B$150,$B24)/1000)</f>
        <v>249</v>
      </c>
      <c r="U24" s="11">
        <f>IF(U$3=0,"",SUMIFS(INDEX(Inputs!$D$4:$AG$150,0,MATCH(U$2,Inputs!$D$2:$AG$2,0)),Inputs!$B$4:$B$150,$B24)/1000)</f>
        <v>253</v>
      </c>
      <c r="V24" s="11">
        <f>IF(V$3=0,"",SUMIFS(INDEX(Inputs!$D$4:$AG$150,0,MATCH(V$2,Inputs!$D$2:$AG$2,0)),Inputs!$B$4:$B$150,$B24)/1000)</f>
        <v>244</v>
      </c>
      <c r="W24" s="12">
        <f>IF(V24="","",V24)</f>
        <v>244</v>
      </c>
      <c r="X24" s="11">
        <f>IF(X$3=0,"",SUMIFS(INDEX(Inputs!$D$4:$AG$150,0,MATCH(X$2,Inputs!$D$2:$AG$2,0)),Inputs!$B$4:$B$150,$B24)/1000)</f>
        <v>248</v>
      </c>
      <c r="Y24" s="11">
        <f>IF(Y$3=0,"",SUMIFS(INDEX(Inputs!$D$4:$AG$150,0,MATCH(Y$2,Inputs!$D$2:$AG$2,0)),Inputs!$B$4:$B$150,$B24)/1000)</f>
        <v>258</v>
      </c>
      <c r="Z24" s="11">
        <f>IF(Z$3=0,"",SUMIFS(INDEX(Inputs!$D$4:$AG$150,0,MATCH(Z$2,Inputs!$D$2:$AG$2,0)),Inputs!$B$4:$B$150,$B24)/1000)</f>
        <v>257</v>
      </c>
      <c r="AA24" s="11">
        <f>IF(AA$3=0,"",SUMIFS(INDEX(Inputs!$D$4:$AG$150,0,MATCH(AA$2,Inputs!$D$2:$AG$2,0)),Inputs!$B$4:$B$150,$B24)/1000)</f>
        <v>0</v>
      </c>
      <c r="AB24" s="12">
        <f>IF(AA24="","",AA24)</f>
        <v>0</v>
      </c>
      <c r="AC24" s="11">
        <f>IF(AC$3=0,"",SUMIFS(INDEX(Inputs!$D$4:$AG$150,0,MATCH(AC$2,Inputs!$D$2:$AG$2,0)),Inputs!$B$4:$B$150,$B24)/1000)</f>
        <v>0</v>
      </c>
      <c r="AD24" s="11">
        <f>IF(AD$3=0,"",SUMIFS(INDEX(Inputs!$D$4:$AG$150,0,MATCH(AD$2,Inputs!$D$2:$AG$2,0)),Inputs!$B$4:$B$150,$B24)/1000)</f>
        <v>0</v>
      </c>
      <c r="AE24" s="11" t="str">
        <f>IF(AE$3=0,"",SUMIFS(INDEX(Inputs!$D$4:$AG$150,0,MATCH(AE$2,Inputs!$D$2:$AG$2,0)),Inputs!$B$4:$B$150,$B24)/1000)</f>
        <v/>
      </c>
      <c r="AF24" s="11" t="str">
        <f>IF(AF$3=0,"",SUMIFS(INDEX(Inputs!$D$4:$AG$150,0,MATCH(AF$2,Inputs!$D$2:$AG$2,0)),Inputs!$B$4:$B$150,$B24)/1000)</f>
        <v/>
      </c>
      <c r="AG24" s="12" t="str">
        <f>IF(AF24="","",AF24)</f>
        <v/>
      </c>
    </row>
    <row r="25">
      <c r="B25" s="9" t="n">
        <v>21</v>
      </c>
      <c r="C25" s="14" t="inlineStr">
        <is>
          <t>Intangibles</t>
        </is>
      </c>
      <c r="D25" s="11">
        <f>IF(D$3=0,"",SUMIFS(INDEX(Inputs!$D$4:$AG$150,0,MATCH(D$2,Inputs!$D$2:$AG$2,0)),Inputs!$B$4:$B$150,$B25)/1000)</f>
        <v>299</v>
      </c>
      <c r="E25" s="11">
        <f>IF(E$3=0,"",SUMIFS(INDEX(Inputs!$D$4:$AG$150,0,MATCH(E$2,Inputs!$D$2:$AG$2,0)),Inputs!$B$4:$B$150,$B25)/1000)</f>
        <v>283</v>
      </c>
      <c r="F25" s="11">
        <f>IF(F$3=0,"",SUMIFS(INDEX(Inputs!$D$4:$AG$150,0,MATCH(F$2,Inputs!$D$2:$AG$2,0)),Inputs!$B$4:$B$150,$B25)/1000)</f>
        <v>269</v>
      </c>
      <c r="G25" s="11">
        <f>IF(G$3=0,"",SUMIFS(INDEX(Inputs!$D$4:$AG$150,0,MATCH(G$2,Inputs!$D$2:$AG$2,0)),Inputs!$B$4:$B$150,$B25)/1000)</f>
        <v>257</v>
      </c>
      <c r="H25" s="12">
        <f>IF(G25="","",G25)</f>
        <v>257</v>
      </c>
      <c r="I25" s="11">
        <f>IF(I$3=0,"",SUMIFS(INDEX(Inputs!$D$4:$AG$150,0,MATCH(I$2,Inputs!$D$2:$AG$2,0)),Inputs!$B$4:$B$150,$B25)/1000)</f>
        <v>254</v>
      </c>
      <c r="J25" s="11">
        <f>IF(J$3=0,"",SUMIFS(INDEX(Inputs!$D$4:$AG$150,0,MATCH(J$2,Inputs!$D$2:$AG$2,0)),Inputs!$B$4:$B$150,$B25)/1000)</f>
        <v>241</v>
      </c>
      <c r="K25" s="11">
        <f>IF(K$3=0,"",SUMIFS(INDEX(Inputs!$D$4:$AG$150,0,MATCH(K$2,Inputs!$D$2:$AG$2,0)),Inputs!$B$4:$B$150,$B25)/1000)</f>
        <v>228</v>
      </c>
      <c r="L25" s="11">
        <f>IF(L$3=0,"",SUMIFS(INDEX(Inputs!$D$4:$AG$150,0,MATCH(L$2,Inputs!$D$2:$AG$2,0)),Inputs!$B$4:$B$150,$B25)/1000)</f>
        <v>215</v>
      </c>
      <c r="M25" s="12">
        <f>IF(L25="","",L25)</f>
        <v>215</v>
      </c>
      <c r="N25" s="11">
        <f>IF(N$3=0,"",SUMIFS(INDEX(Inputs!$D$4:$AG$150,0,MATCH(N$2,Inputs!$D$2:$AG$2,0)),Inputs!$B$4:$B$150,$B25)/1000)</f>
        <v>204</v>
      </c>
      <c r="O25" s="11">
        <f>IF(O$3=0,"",SUMIFS(INDEX(Inputs!$D$4:$AG$150,0,MATCH(O$2,Inputs!$D$2:$AG$2,0)),Inputs!$B$4:$B$150,$B25)/1000)</f>
        <v>202</v>
      </c>
      <c r="P25" s="11">
        <f>IF(P$3=0,"",SUMIFS(INDEX(Inputs!$D$4:$AG$150,0,MATCH(P$2,Inputs!$D$2:$AG$2,0)),Inputs!$B$4:$B$150,$B25)/1000)</f>
        <v>191</v>
      </c>
      <c r="Q25" s="11">
        <f>IF(Q$3=0,"",SUMIFS(INDEX(Inputs!$D$4:$AG$150,0,MATCH(Q$2,Inputs!$D$2:$AG$2,0)),Inputs!$B$4:$B$150,$B25)/1000)</f>
        <v>178</v>
      </c>
      <c r="R25" s="12">
        <f>IF(Q25="","",Q25)</f>
        <v>178</v>
      </c>
      <c r="S25" s="11">
        <f>IF(S$3=0,"",SUMIFS(INDEX(Inputs!$D$4:$AG$150,0,MATCH(S$2,Inputs!$D$2:$AG$2,0)),Inputs!$B$4:$B$150,$B25)/1000)</f>
        <v>171</v>
      </c>
      <c r="T25" s="11">
        <f>IF(T$3=0,"",SUMIFS(INDEX(Inputs!$D$4:$AG$150,0,MATCH(T$2,Inputs!$D$2:$AG$2,0)),Inputs!$B$4:$B$150,$B25)/1000)</f>
        <v>164</v>
      </c>
      <c r="U25" s="11">
        <f>IF(U$3=0,"",SUMIFS(INDEX(Inputs!$D$4:$AG$150,0,MATCH(U$2,Inputs!$D$2:$AG$2,0)),Inputs!$B$4:$B$150,$B25)/1000)</f>
        <v>158</v>
      </c>
      <c r="V25" s="11">
        <f>IF(V$3=0,"",SUMIFS(INDEX(Inputs!$D$4:$AG$150,0,MATCH(V$2,Inputs!$D$2:$AG$2,0)),Inputs!$B$4:$B$150,$B25)/1000)</f>
        <v>150</v>
      </c>
      <c r="W25" s="12">
        <f>IF(V25="","",V25)</f>
        <v>150</v>
      </c>
      <c r="X25" s="11">
        <f>IF(X$3=0,"",SUMIFS(INDEX(Inputs!$D$4:$AG$150,0,MATCH(X$2,Inputs!$D$2:$AG$2,0)),Inputs!$B$4:$B$150,$B25)/1000)</f>
        <v>144</v>
      </c>
      <c r="Y25" s="11">
        <f>IF(Y$3=0,"",SUMIFS(INDEX(Inputs!$D$4:$AG$150,0,MATCH(Y$2,Inputs!$D$2:$AG$2,0)),Inputs!$B$4:$B$150,$B25)/1000)</f>
        <v>138</v>
      </c>
      <c r="Z25" s="11">
        <f>IF(Z$3=0,"",SUMIFS(INDEX(Inputs!$D$4:$AG$150,0,MATCH(Z$2,Inputs!$D$2:$AG$2,0)),Inputs!$B$4:$B$150,$B25)/1000)</f>
        <v>131</v>
      </c>
      <c r="AA25" s="11">
        <f>IF(AA$3=0,"",SUMIFS(INDEX(Inputs!$D$4:$AG$150,0,MATCH(AA$2,Inputs!$D$2:$AG$2,0)),Inputs!$B$4:$B$150,$B25)/1000)</f>
        <v>0</v>
      </c>
      <c r="AB25" s="12">
        <f>IF(AA25="","",AA25)</f>
        <v>0</v>
      </c>
      <c r="AC25" s="11">
        <f>IF(AC$3=0,"",SUMIFS(INDEX(Inputs!$D$4:$AG$150,0,MATCH(AC$2,Inputs!$D$2:$AG$2,0)),Inputs!$B$4:$B$150,$B25)/1000)</f>
        <v>0</v>
      </c>
      <c r="AD25" s="11">
        <f>IF(AD$3=0,"",SUMIFS(INDEX(Inputs!$D$4:$AG$150,0,MATCH(AD$2,Inputs!$D$2:$AG$2,0)),Inputs!$B$4:$B$150,$B25)/1000)</f>
        <v>0</v>
      </c>
      <c r="AE25" s="11" t="str">
        <f>IF(AE$3=0,"",SUMIFS(INDEX(Inputs!$D$4:$AG$150,0,MATCH(AE$2,Inputs!$D$2:$AG$2,0)),Inputs!$B$4:$B$150,$B25)/1000)</f>
        <v/>
      </c>
      <c r="AF25" s="11" t="str">
        <f>IF(AF$3=0,"",SUMIFS(INDEX(Inputs!$D$4:$AG$150,0,MATCH(AF$2,Inputs!$D$2:$AG$2,0)),Inputs!$B$4:$B$150,$B25)/1000)</f>
        <v/>
      </c>
      <c r="AG25" s="12" t="str">
        <f>IF(AF25="","",AF25)</f>
        <v/>
      </c>
    </row>
    <row r="26">
      <c r="B26" s="9" t="n">
        <v>22</v>
      </c>
      <c r="C26" s="14" t="inlineStr">
        <is>
          <t>Other non-current assets</t>
        </is>
      </c>
      <c r="D26" s="11">
        <f>IF(D$3=0,"",SUMIFS(INDEX(Inputs!$D$4:$AG$150,0,MATCH(D$2,Inputs!$D$2:$AG$2,0)),Inputs!$B$4:$B$150,$B26)/1000)</f>
        <v>12247</v>
      </c>
      <c r="E26" s="11">
        <f>IF(E$3=0,"",SUMIFS(INDEX(Inputs!$D$4:$AG$150,0,MATCH(E$2,Inputs!$D$2:$AG$2,0)),Inputs!$B$4:$B$150,$B26)/1000)</f>
        <v>12568</v>
      </c>
      <c r="F26" s="11">
        <f>IF(F$3=0,"",SUMIFS(INDEX(Inputs!$D$4:$AG$150,0,MATCH(F$2,Inputs!$D$2:$AG$2,0)),Inputs!$B$4:$B$150,$B26)/1000)</f>
        <v>13102</v>
      </c>
      <c r="G26" s="11">
        <f>IF(G$3=0,"",SUMIFS(INDEX(Inputs!$D$4:$AG$150,0,MATCH(G$2,Inputs!$D$2:$AG$2,0)),Inputs!$B$4:$B$150,$B26)/1000)</f>
        <v>13674</v>
      </c>
      <c r="H26" s="12">
        <f>IF(G26="","",G26)</f>
        <v>13674</v>
      </c>
      <c r="I26" s="11">
        <f>IF(I$3=0,"",SUMIFS(INDEX(Inputs!$D$4:$AG$150,0,MATCH(I$2,Inputs!$D$2:$AG$2,0)),Inputs!$B$4:$B$150,$B26)/1000)</f>
        <v>14326</v>
      </c>
      <c r="J26" s="11">
        <f>IF(J$3=0,"",SUMIFS(INDEX(Inputs!$D$4:$AG$150,0,MATCH(J$2,Inputs!$D$2:$AG$2,0)),Inputs!$B$4:$B$150,$B26)/1000)</f>
        <v>13576</v>
      </c>
      <c r="K26" s="11">
        <f>IF(K$3=0,"",SUMIFS(INDEX(Inputs!$D$4:$AG$150,0,MATCH(K$2,Inputs!$D$2:$AG$2,0)),Inputs!$B$4:$B$150,$B26)/1000)</f>
        <v>13840</v>
      </c>
      <c r="L26" s="11">
        <f>IF(L$3=0,"",SUMIFS(INDEX(Inputs!$D$4:$AG$150,0,MATCH(L$2,Inputs!$D$2:$AG$2,0)),Inputs!$B$4:$B$150,$B26)/1000)</f>
        <v>14901</v>
      </c>
      <c r="M26" s="12">
        <f>IF(L26="","",L26)</f>
        <v>14901</v>
      </c>
      <c r="N26" s="11">
        <f>IF(N$3=0,"",SUMIFS(INDEX(Inputs!$D$4:$AG$150,0,MATCH(N$2,Inputs!$D$2:$AG$2,0)),Inputs!$B$4:$B$150,$B26)/1000)</f>
        <v>15668</v>
      </c>
      <c r="O26" s="11">
        <f>IF(O$3=0,"",SUMIFS(INDEX(Inputs!$D$4:$AG$150,0,MATCH(O$2,Inputs!$D$2:$AG$2,0)),Inputs!$B$4:$B$150,$B26)/1000)</f>
        <v>16510</v>
      </c>
      <c r="P26" s="11">
        <f>IF(P$3=0,"",SUMIFS(INDEX(Inputs!$D$4:$AG$150,0,MATCH(P$2,Inputs!$D$2:$AG$2,0)),Inputs!$B$4:$B$150,$B26)/1000)</f>
        <v>17093</v>
      </c>
      <c r="Q26" s="11">
        <f>IF(Q$3=0,"",SUMIFS(INDEX(Inputs!$D$4:$AG$150,0,MATCH(Q$2,Inputs!$D$2:$AG$2,0)),Inputs!$B$4:$B$150,$B26)/1000)</f>
        <v>15933</v>
      </c>
      <c r="R26" s="12">
        <f>IF(Q26="","",Q26)</f>
        <v>15933</v>
      </c>
      <c r="S26" s="11">
        <f>IF(S$3=0,"",SUMIFS(INDEX(Inputs!$D$4:$AG$150,0,MATCH(S$2,Inputs!$D$2:$AG$2,0)),Inputs!$B$4:$B$150,$B26)/1000)</f>
        <v>15698</v>
      </c>
      <c r="T26" s="11">
        <f>IF(T$3=0,"",SUMIFS(INDEX(Inputs!$D$4:$AG$150,0,MATCH(T$2,Inputs!$D$2:$AG$2,0)),Inputs!$B$4:$B$150,$B26)/1000)</f>
        <v>15285</v>
      </c>
      <c r="U26" s="11">
        <f>IF(U$3=0,"",SUMIFS(INDEX(Inputs!$D$4:$AG$150,0,MATCH(U$2,Inputs!$D$2:$AG$2,0)),Inputs!$B$4:$B$150,$B26)/1000)</f>
        <v>15593</v>
      </c>
      <c r="V26" s="11">
        <f>IF(V$3=0,"",SUMIFS(INDEX(Inputs!$D$4:$AG$150,0,MATCH(V$2,Inputs!$D$2:$AG$2,0)),Inputs!$B$4:$B$150,$B26)/1000)</f>
        <v>15796</v>
      </c>
      <c r="W26" s="12">
        <f>IF(V26="","",V26)</f>
        <v>15796</v>
      </c>
      <c r="X26" s="11">
        <f>IF(X$3=0,"",SUMIFS(INDEX(Inputs!$D$4:$AG$150,0,MATCH(X$2,Inputs!$D$2:$AG$2,0)),Inputs!$B$4:$B$150,$B26)/1000)</f>
        <v>16225</v>
      </c>
      <c r="Y26" s="11">
        <f>IF(Y$3=0,"",SUMIFS(INDEX(Inputs!$D$4:$AG$150,0,MATCH(Y$2,Inputs!$D$2:$AG$2,0)),Inputs!$B$4:$B$150,$B26)/1000)</f>
        <v>16110</v>
      </c>
      <c r="Z26" s="11">
        <f>IF(Z$3=0,"",SUMIFS(INDEX(Inputs!$D$4:$AG$150,0,MATCH(Z$2,Inputs!$D$2:$AG$2,0)),Inputs!$B$4:$B$150,$B26)/1000)</f>
        <v>16867</v>
      </c>
      <c r="AA26" s="11">
        <f>IF(AA$3=0,"",SUMIFS(INDEX(Inputs!$D$4:$AG$150,0,MATCH(AA$2,Inputs!$D$2:$AG$2,0)),Inputs!$B$4:$B$150,$B26)/1000)</f>
        <v>15569</v>
      </c>
      <c r="AB26" s="12">
        <f>IF(AA26="","",AA26)</f>
        <v>15569</v>
      </c>
      <c r="AC26" s="11">
        <f>IF(AC$3=0,"",SUMIFS(INDEX(Inputs!$D$4:$AG$150,0,MATCH(AC$2,Inputs!$D$2:$AG$2,0)),Inputs!$B$4:$B$150,$B26)/1000)</f>
        <v>17371</v>
      </c>
      <c r="AD26" s="11">
        <f>IF(AD$3=0,"",SUMIFS(INDEX(Inputs!$D$4:$AG$150,0,MATCH(AD$2,Inputs!$D$2:$AG$2,0)),Inputs!$B$4:$B$150,$B26)/1000)</f>
        <v>18890</v>
      </c>
      <c r="AE26" s="11" t="str">
        <f>IF(AE$3=0,"",SUMIFS(INDEX(Inputs!$D$4:$AG$150,0,MATCH(AE$2,Inputs!$D$2:$AG$2,0)),Inputs!$B$4:$B$150,$B26)/1000)</f>
        <v/>
      </c>
      <c r="AF26" s="11" t="str">
        <f>IF(AF$3=0,"",SUMIFS(INDEX(Inputs!$D$4:$AG$150,0,MATCH(AF$2,Inputs!$D$2:$AG$2,0)),Inputs!$B$4:$B$150,$B26)/1000)</f>
        <v/>
      </c>
      <c r="AG26" s="12" t="str">
        <f>IF(AF26="","",AF26)</f>
        <v/>
      </c>
    </row>
    <row r="27">
      <c r="C27" s="3" t="n"/>
    </row>
    <row r="28">
      <c r="B28" s="9" t="n">
        <v>23</v>
      </c>
      <c r="C28" s="14" t="inlineStr">
        <is>
          <t>Accounts payable</t>
        </is>
      </c>
      <c r="D28" s="11">
        <f>IF(D$3=0,"",SUMIFS(INDEX(Inputs!$D$4:$AG$150,0,MATCH(D$2,Inputs!$D$2:$AG$2,0)),Inputs!$B$4:$B$150,$B28)/1000)</f>
        <v>6648</v>
      </c>
      <c r="E28" s="11">
        <f>IF(E$3=0,"",SUMIFS(INDEX(Inputs!$D$4:$AG$150,0,MATCH(E$2,Inputs!$D$2:$AG$2,0)),Inputs!$B$4:$B$150,$B28)/1000)</f>
        <v>7558</v>
      </c>
      <c r="F28" s="11">
        <f>IF(F$3=0,"",SUMIFS(INDEX(Inputs!$D$4:$AG$150,0,MATCH(F$2,Inputs!$D$2:$AG$2,0)),Inputs!$B$4:$B$150,$B28)/1000)</f>
        <v>8260</v>
      </c>
      <c r="G28" s="11">
        <f>IF(G$3=0,"",SUMIFS(INDEX(Inputs!$D$4:$AG$150,0,MATCH(G$2,Inputs!$D$2:$AG$2,0)),Inputs!$B$4:$B$150,$B28)/1000)</f>
        <v>10025</v>
      </c>
      <c r="H28" s="12">
        <f>IF(G28="","",G28)</f>
        <v>10025</v>
      </c>
      <c r="I28" s="11">
        <f>IF(I$3=0,"",SUMIFS(INDEX(Inputs!$D$4:$AG$150,0,MATCH(I$2,Inputs!$D$2:$AG$2,0)),Inputs!$B$4:$B$150,$B28)/1000)</f>
        <v>11171</v>
      </c>
      <c r="J28" s="11">
        <f>IF(J$3=0,"",SUMIFS(INDEX(Inputs!$D$4:$AG$150,0,MATCH(J$2,Inputs!$D$2:$AG$2,0)),Inputs!$B$4:$B$150,$B28)/1000)</f>
        <v>11212</v>
      </c>
      <c r="K28" s="11">
        <f>IF(K$3=0,"",SUMIFS(INDEX(Inputs!$D$4:$AG$150,0,MATCH(K$2,Inputs!$D$2:$AG$2,0)),Inputs!$B$4:$B$150,$B28)/1000)</f>
        <v>13897</v>
      </c>
      <c r="L28" s="11">
        <f>IF(L$3=0,"",SUMIFS(INDEX(Inputs!$D$4:$AG$150,0,MATCH(L$2,Inputs!$D$2:$AG$2,0)),Inputs!$B$4:$B$150,$B28)/1000)</f>
        <v>15255</v>
      </c>
      <c r="M28" s="12">
        <f>IF(L28="","",L28)</f>
        <v>15255</v>
      </c>
      <c r="N28" s="11">
        <f>IF(N$3=0,"",SUMIFS(INDEX(Inputs!$D$4:$AG$150,0,MATCH(N$2,Inputs!$D$2:$AG$2,0)),Inputs!$B$4:$B$150,$B28)/1000)</f>
        <v>15904</v>
      </c>
      <c r="O28" s="11">
        <f>IF(O$3=0,"",SUMIFS(INDEX(Inputs!$D$4:$AG$150,0,MATCH(O$2,Inputs!$D$2:$AG$2,0)),Inputs!$B$4:$B$150,$B28)/1000)</f>
        <v>15273</v>
      </c>
      <c r="P28" s="11">
        <f>IF(P$3=0,"",SUMIFS(INDEX(Inputs!$D$4:$AG$150,0,MATCH(P$2,Inputs!$D$2:$AG$2,0)),Inputs!$B$4:$B$150,$B28)/1000)</f>
        <v>13937</v>
      </c>
      <c r="Q28" s="11">
        <f>IF(Q$3=0,"",SUMIFS(INDEX(Inputs!$D$4:$AG$150,0,MATCH(Q$2,Inputs!$D$2:$AG$2,0)),Inputs!$B$4:$B$150,$B28)/1000)</f>
        <v>14431</v>
      </c>
      <c r="R28" s="12">
        <f>IF(Q28="","",Q28)</f>
        <v>14431</v>
      </c>
      <c r="S28" s="11">
        <f>IF(S$3=0,"",SUMIFS(INDEX(Inputs!$D$4:$AG$150,0,MATCH(S$2,Inputs!$D$2:$AG$2,0)),Inputs!$B$4:$B$150,$B28)/1000)</f>
        <v>14725</v>
      </c>
      <c r="T28" s="11">
        <f>IF(T$3=0,"",SUMIFS(INDEX(Inputs!$D$4:$AG$150,0,MATCH(T$2,Inputs!$D$2:$AG$2,0)),Inputs!$B$4:$B$150,$B28)/1000)</f>
        <v>13056</v>
      </c>
      <c r="U28" s="11">
        <f>IF(U$3=0,"",SUMIFS(INDEX(Inputs!$D$4:$AG$150,0,MATCH(U$2,Inputs!$D$2:$AG$2,0)),Inputs!$B$4:$B$150,$B28)/1000)</f>
        <v>14654</v>
      </c>
      <c r="V28" s="11">
        <f>IF(V$3=0,"",SUMIFS(INDEX(Inputs!$D$4:$AG$150,0,MATCH(V$2,Inputs!$D$2:$AG$2,0)),Inputs!$B$4:$B$150,$B28)/1000)</f>
        <v>12474</v>
      </c>
      <c r="W28" s="12">
        <f>IF(V28="","",V28)</f>
        <v>12474</v>
      </c>
      <c r="X28" s="11">
        <f>IF(X$3=0,"",SUMIFS(INDEX(Inputs!$D$4:$AG$150,0,MATCH(X$2,Inputs!$D$2:$AG$2,0)),Inputs!$B$4:$B$150,$B28)/1000)</f>
        <v>13471</v>
      </c>
      <c r="Y28" s="11">
        <f>IF(Y$3=0,"",SUMIFS(INDEX(Inputs!$D$4:$AG$150,0,MATCH(Y$2,Inputs!$D$2:$AG$2,0)),Inputs!$B$4:$B$150,$B28)/1000)</f>
        <v>13212</v>
      </c>
      <c r="Z28" s="11">
        <f>IF(Z$3=0,"",SUMIFS(INDEX(Inputs!$D$4:$AG$150,0,MATCH(Z$2,Inputs!$D$2:$AG$2,0)),Inputs!$B$4:$B$150,$B28)/1000)</f>
        <v>12819</v>
      </c>
      <c r="AA28" s="11">
        <f>IF(AA$3=0,"",SUMIFS(INDEX(Inputs!$D$4:$AG$150,0,MATCH(AA$2,Inputs!$D$2:$AG$2,0)),Inputs!$B$4:$B$150,$B28)/1000)</f>
        <v>13371</v>
      </c>
      <c r="AB28" s="12">
        <f>IF(AA28="","",AA28)</f>
        <v>13371</v>
      </c>
      <c r="AC28" s="11">
        <f>IF(AC$3=0,"",SUMIFS(INDEX(Inputs!$D$4:$AG$150,0,MATCH(AC$2,Inputs!$D$2:$AG$2,0)),Inputs!$B$4:$B$150,$B28)/1000)</f>
        <v>14696</v>
      </c>
      <c r="AD28" s="11">
        <f>IF(AD$3=0,"",SUMIFS(INDEX(Inputs!$D$4:$AG$150,0,MATCH(AD$2,Inputs!$D$2:$AG$2,0)),Inputs!$B$4:$B$150,$B28)/1000)</f>
        <v>15324</v>
      </c>
      <c r="AE28" s="11" t="str">
        <f>IF(AE$3=0,"",SUMIFS(INDEX(Inputs!$D$4:$AG$150,0,MATCH(AE$2,Inputs!$D$2:$AG$2,0)),Inputs!$B$4:$B$150,$B28)/1000)</f>
        <v/>
      </c>
      <c r="AF28" s="11" t="str">
        <f>IF(AF$3=0,"",SUMIFS(INDEX(Inputs!$D$4:$AG$150,0,MATCH(AF$2,Inputs!$D$2:$AG$2,0)),Inputs!$B$4:$B$150,$B28)/1000)</f>
        <v/>
      </c>
      <c r="AG28" s="12" t="str">
        <f>IF(AF28="","",AF28)</f>
        <v/>
      </c>
    </row>
    <row r="29">
      <c r="B29" s="9" t="n">
        <v>24</v>
      </c>
      <c r="C29" s="14" t="inlineStr">
        <is>
          <t>Accrued expenses</t>
        </is>
      </c>
      <c r="D29" s="11">
        <f>IF(D$3=0,"",SUMIFS(INDEX(Inputs!$D$4:$AG$150,0,MATCH(D$2,Inputs!$D$2:$AG$2,0)),Inputs!$B$4:$B$150,$B29)/1000)</f>
        <v>0</v>
      </c>
      <c r="E29" s="11">
        <f>IF(E$3=0,"",SUMIFS(INDEX(Inputs!$D$4:$AG$150,0,MATCH(E$2,Inputs!$D$2:$AG$2,0)),Inputs!$B$4:$B$150,$B29)/1000)</f>
        <v>0</v>
      </c>
      <c r="F29" s="11">
        <f>IF(F$3=0,"",SUMIFS(INDEX(Inputs!$D$4:$AG$150,0,MATCH(F$2,Inputs!$D$2:$AG$2,0)),Inputs!$B$4:$B$150,$B29)/1000)</f>
        <v>0</v>
      </c>
      <c r="G29" s="11">
        <f>IF(G$3=0,"",SUMIFS(INDEX(Inputs!$D$4:$AG$150,0,MATCH(G$2,Inputs!$D$2:$AG$2,0)),Inputs!$B$4:$B$150,$B29)/1000)</f>
        <v>0</v>
      </c>
      <c r="H29" s="12">
        <f>IF(G29="","",G29)</f>
        <v>0</v>
      </c>
      <c r="I29" s="11">
        <f>IF(I$3=0,"",SUMIFS(INDEX(Inputs!$D$4:$AG$150,0,MATCH(I$2,Inputs!$D$2:$AG$2,0)),Inputs!$B$4:$B$150,$B29)/1000)</f>
        <v>0</v>
      </c>
      <c r="J29" s="11">
        <f>IF(J$3=0,"",SUMIFS(INDEX(Inputs!$D$4:$AG$150,0,MATCH(J$2,Inputs!$D$2:$AG$2,0)),Inputs!$B$4:$B$150,$B29)/1000)</f>
        <v>0</v>
      </c>
      <c r="K29" s="11">
        <f>IF(K$3=0,"",SUMIFS(INDEX(Inputs!$D$4:$AG$150,0,MATCH(K$2,Inputs!$D$2:$AG$2,0)),Inputs!$B$4:$B$150,$B29)/1000)</f>
        <v>0</v>
      </c>
      <c r="L29" s="11">
        <f>IF(L$3=0,"",SUMIFS(INDEX(Inputs!$D$4:$AG$150,0,MATCH(L$2,Inputs!$D$2:$AG$2,0)),Inputs!$B$4:$B$150,$B29)/1000)</f>
        <v>0</v>
      </c>
      <c r="M29" s="12">
        <f>IF(L29="","",L29)</f>
        <v>0</v>
      </c>
      <c r="N29" s="11">
        <f>IF(N$3=0,"",SUMIFS(INDEX(Inputs!$D$4:$AG$150,0,MATCH(N$2,Inputs!$D$2:$AG$2,0)),Inputs!$B$4:$B$150,$B29)/1000)</f>
        <v>0</v>
      </c>
      <c r="O29" s="11">
        <f>IF(O$3=0,"",SUMIFS(INDEX(Inputs!$D$4:$AG$150,0,MATCH(O$2,Inputs!$D$2:$AG$2,0)),Inputs!$B$4:$B$150,$B29)/1000)</f>
        <v>0</v>
      </c>
      <c r="P29" s="11">
        <f>IF(P$3=0,"",SUMIFS(INDEX(Inputs!$D$4:$AG$150,0,MATCH(P$2,Inputs!$D$2:$AG$2,0)),Inputs!$B$4:$B$150,$B29)/1000)</f>
        <v>0</v>
      </c>
      <c r="Q29" s="11">
        <f>IF(Q$3=0,"",SUMIFS(INDEX(Inputs!$D$4:$AG$150,0,MATCH(Q$2,Inputs!$D$2:$AG$2,0)),Inputs!$B$4:$B$150,$B29)/1000)</f>
        <v>0</v>
      </c>
      <c r="R29" s="12">
        <f>IF(Q29="","",Q29)</f>
        <v>0</v>
      </c>
      <c r="S29" s="11">
        <f>IF(S$3=0,"",SUMIFS(INDEX(Inputs!$D$4:$AG$150,0,MATCH(S$2,Inputs!$D$2:$AG$2,0)),Inputs!$B$4:$B$150,$B29)/1000)</f>
        <v>0</v>
      </c>
      <c r="T29" s="11">
        <f>IF(T$3=0,"",SUMIFS(INDEX(Inputs!$D$4:$AG$150,0,MATCH(T$2,Inputs!$D$2:$AG$2,0)),Inputs!$B$4:$B$150,$B29)/1000)</f>
        <v>0</v>
      </c>
      <c r="U29" s="11">
        <f>IF(U$3=0,"",SUMIFS(INDEX(Inputs!$D$4:$AG$150,0,MATCH(U$2,Inputs!$D$2:$AG$2,0)),Inputs!$B$4:$B$150,$B29)/1000)</f>
        <v>0</v>
      </c>
      <c r="V29" s="11">
        <f>IF(V$3=0,"",SUMIFS(INDEX(Inputs!$D$4:$AG$150,0,MATCH(V$2,Inputs!$D$2:$AG$2,0)),Inputs!$B$4:$B$150,$B29)/1000)</f>
        <v>0</v>
      </c>
      <c r="W29" s="12">
        <f>IF(V29="","",V29)</f>
        <v>0</v>
      </c>
      <c r="X29" s="11">
        <f>IF(X$3=0,"",SUMIFS(INDEX(Inputs!$D$4:$AG$150,0,MATCH(X$2,Inputs!$D$2:$AG$2,0)),Inputs!$B$4:$B$150,$B29)/1000)</f>
        <v>0</v>
      </c>
      <c r="Y29" s="11">
        <f>IF(Y$3=0,"",SUMIFS(INDEX(Inputs!$D$4:$AG$150,0,MATCH(Y$2,Inputs!$D$2:$AG$2,0)),Inputs!$B$4:$B$150,$B29)/1000)</f>
        <v>0</v>
      </c>
      <c r="Z29" s="11">
        <f>IF(Z$3=0,"",SUMIFS(INDEX(Inputs!$D$4:$AG$150,0,MATCH(Z$2,Inputs!$D$2:$AG$2,0)),Inputs!$B$4:$B$150,$B29)/1000)</f>
        <v>0</v>
      </c>
      <c r="AA29" s="11">
        <f>IF(AA$3=0,"",SUMIFS(INDEX(Inputs!$D$4:$AG$150,0,MATCH(AA$2,Inputs!$D$2:$AG$2,0)),Inputs!$B$4:$B$150,$B29)/1000)</f>
        <v>0</v>
      </c>
      <c r="AB29" s="12">
        <f>IF(AA29="","",AA29)</f>
        <v>0</v>
      </c>
      <c r="AC29" s="11">
        <f>IF(AC$3=0,"",SUMIFS(INDEX(Inputs!$D$4:$AG$150,0,MATCH(AC$2,Inputs!$D$2:$AG$2,0)),Inputs!$B$4:$B$150,$B29)/1000)</f>
        <v>0</v>
      </c>
      <c r="AD29" s="11">
        <f>IF(AD$3=0,"",SUMIFS(INDEX(Inputs!$D$4:$AG$150,0,MATCH(AD$2,Inputs!$D$2:$AG$2,0)),Inputs!$B$4:$B$150,$B29)/1000)</f>
        <v>0</v>
      </c>
      <c r="AE29" s="11" t="str">
        <f>IF(AE$3=0,"",SUMIFS(INDEX(Inputs!$D$4:$AG$150,0,MATCH(AE$2,Inputs!$D$2:$AG$2,0)),Inputs!$B$4:$B$150,$B29)/1000)</f>
        <v/>
      </c>
      <c r="AF29" s="11" t="str">
        <f>IF(AF$3=0,"",SUMIFS(INDEX(Inputs!$D$4:$AG$150,0,MATCH(AF$2,Inputs!$D$2:$AG$2,0)),Inputs!$B$4:$B$150,$B29)/1000)</f>
        <v/>
      </c>
      <c r="AG29" s="12" t="str">
        <f>IF(AF29="","",AF29)</f>
        <v/>
      </c>
    </row>
    <row r="30">
      <c r="B30" s="9" t="n">
        <v>25</v>
      </c>
      <c r="C30" s="14" t="inlineStr">
        <is>
          <t>Taxes payable</t>
        </is>
      </c>
      <c r="D30" s="11">
        <f>IF(D$3=0,"",SUMIFS(INDEX(Inputs!$D$4:$AG$150,0,MATCH(D$2,Inputs!$D$2:$AG$2,0)),Inputs!$B$4:$B$150,$B30)/1000)</f>
        <v>0</v>
      </c>
      <c r="E30" s="11">
        <f>IF(E$3=0,"",SUMIFS(INDEX(Inputs!$D$4:$AG$150,0,MATCH(E$2,Inputs!$D$2:$AG$2,0)),Inputs!$B$4:$B$150,$B30)/1000)</f>
        <v>0</v>
      </c>
      <c r="F30" s="11">
        <f>IF(F$3=0,"",SUMIFS(INDEX(Inputs!$D$4:$AG$150,0,MATCH(F$2,Inputs!$D$2:$AG$2,0)),Inputs!$B$4:$B$150,$B30)/1000)</f>
        <v>0</v>
      </c>
      <c r="G30" s="11">
        <f>IF(G$3=0,"",SUMIFS(INDEX(Inputs!$D$4:$AG$150,0,MATCH(G$2,Inputs!$D$2:$AG$2,0)),Inputs!$B$4:$B$150,$B30)/1000)</f>
        <v>0</v>
      </c>
      <c r="H30" s="12">
        <f>IF(G30="","",G30)</f>
        <v>0</v>
      </c>
      <c r="I30" s="11">
        <f>IF(I$3=0,"",SUMIFS(INDEX(Inputs!$D$4:$AG$150,0,MATCH(I$2,Inputs!$D$2:$AG$2,0)),Inputs!$B$4:$B$150,$B30)/1000)</f>
        <v>0</v>
      </c>
      <c r="J30" s="11">
        <f>IF(J$3=0,"",SUMIFS(INDEX(Inputs!$D$4:$AG$150,0,MATCH(J$2,Inputs!$D$2:$AG$2,0)),Inputs!$B$4:$B$150,$B30)/1000)</f>
        <v>0</v>
      </c>
      <c r="K30" s="11">
        <f>IF(K$3=0,"",SUMIFS(INDEX(Inputs!$D$4:$AG$150,0,MATCH(K$2,Inputs!$D$2:$AG$2,0)),Inputs!$B$4:$B$150,$B30)/1000)</f>
        <v>0</v>
      </c>
      <c r="L30" s="11">
        <f>IF(L$3=0,"",SUMIFS(INDEX(Inputs!$D$4:$AG$150,0,MATCH(L$2,Inputs!$D$2:$AG$2,0)),Inputs!$B$4:$B$150,$B30)/1000)</f>
        <v>0</v>
      </c>
      <c r="M30" s="12">
        <f>IF(L30="","",L30)</f>
        <v>0</v>
      </c>
      <c r="N30" s="11">
        <f>IF(N$3=0,"",SUMIFS(INDEX(Inputs!$D$4:$AG$150,0,MATCH(N$2,Inputs!$D$2:$AG$2,0)),Inputs!$B$4:$B$150,$B30)/1000)</f>
        <v>0</v>
      </c>
      <c r="O30" s="11">
        <f>IF(O$3=0,"",SUMIFS(INDEX(Inputs!$D$4:$AG$150,0,MATCH(O$2,Inputs!$D$2:$AG$2,0)),Inputs!$B$4:$B$150,$B30)/1000)</f>
        <v>0</v>
      </c>
      <c r="P30" s="11">
        <f>IF(P$3=0,"",SUMIFS(INDEX(Inputs!$D$4:$AG$150,0,MATCH(P$2,Inputs!$D$2:$AG$2,0)),Inputs!$B$4:$B$150,$B30)/1000)</f>
        <v>0</v>
      </c>
      <c r="Q30" s="11">
        <f>IF(Q$3=0,"",SUMIFS(INDEX(Inputs!$D$4:$AG$150,0,MATCH(Q$2,Inputs!$D$2:$AG$2,0)),Inputs!$B$4:$B$150,$B30)/1000)</f>
        <v>0</v>
      </c>
      <c r="R30" s="12">
        <f>IF(Q30="","",Q30)</f>
        <v>0</v>
      </c>
      <c r="S30" s="11">
        <f>IF(S$3=0,"",SUMIFS(INDEX(Inputs!$D$4:$AG$150,0,MATCH(S$2,Inputs!$D$2:$AG$2,0)),Inputs!$B$4:$B$150,$B30)/1000)</f>
        <v>0</v>
      </c>
      <c r="T30" s="11">
        <f>IF(T$3=0,"",SUMIFS(INDEX(Inputs!$D$4:$AG$150,0,MATCH(T$2,Inputs!$D$2:$AG$2,0)),Inputs!$B$4:$B$150,$B30)/1000)</f>
        <v>0</v>
      </c>
      <c r="U30" s="11">
        <f>IF(U$3=0,"",SUMIFS(INDEX(Inputs!$D$4:$AG$150,0,MATCH(U$2,Inputs!$D$2:$AG$2,0)),Inputs!$B$4:$B$150,$B30)/1000)</f>
        <v>0</v>
      </c>
      <c r="V30" s="11">
        <f>IF(V$3=0,"",SUMIFS(INDEX(Inputs!$D$4:$AG$150,0,MATCH(V$2,Inputs!$D$2:$AG$2,0)),Inputs!$B$4:$B$150,$B30)/1000)</f>
        <v>0</v>
      </c>
      <c r="W30" s="12">
        <f>IF(V30="","",V30)</f>
        <v>0</v>
      </c>
      <c r="X30" s="11">
        <f>IF(X$3=0,"",SUMIFS(INDEX(Inputs!$D$4:$AG$150,0,MATCH(X$2,Inputs!$D$2:$AG$2,0)),Inputs!$B$4:$B$150,$B30)/1000)</f>
        <v>0</v>
      </c>
      <c r="Y30" s="11">
        <f>IF(Y$3=0,"",SUMIFS(INDEX(Inputs!$D$4:$AG$150,0,MATCH(Y$2,Inputs!$D$2:$AG$2,0)),Inputs!$B$4:$B$150,$B30)/1000)</f>
        <v>0</v>
      </c>
      <c r="Z30" s="11">
        <f>IF(Z$3=0,"",SUMIFS(INDEX(Inputs!$D$4:$AG$150,0,MATCH(Z$2,Inputs!$D$2:$AG$2,0)),Inputs!$B$4:$B$150,$B30)/1000)</f>
        <v>0</v>
      </c>
      <c r="AA30" s="11">
        <f>IF(AA$3=0,"",SUMIFS(INDEX(Inputs!$D$4:$AG$150,0,MATCH(AA$2,Inputs!$D$2:$AG$2,0)),Inputs!$B$4:$B$150,$B30)/1000)</f>
        <v>0</v>
      </c>
      <c r="AB30" s="12">
        <f>IF(AA30="","",AA30)</f>
        <v>0</v>
      </c>
      <c r="AC30" s="11">
        <f>IF(AC$3=0,"",SUMIFS(INDEX(Inputs!$D$4:$AG$150,0,MATCH(AC$2,Inputs!$D$2:$AG$2,0)),Inputs!$B$4:$B$150,$B30)/1000)</f>
        <v>0</v>
      </c>
      <c r="AD30" s="11">
        <f>IF(AD$3=0,"",SUMIFS(INDEX(Inputs!$D$4:$AG$150,0,MATCH(AD$2,Inputs!$D$2:$AG$2,0)),Inputs!$B$4:$B$150,$B30)/1000)</f>
        <v>0</v>
      </c>
      <c r="AE30" s="11" t="str">
        <f>IF(AE$3=0,"",SUMIFS(INDEX(Inputs!$D$4:$AG$150,0,MATCH(AE$2,Inputs!$D$2:$AG$2,0)),Inputs!$B$4:$B$150,$B30)/1000)</f>
        <v/>
      </c>
      <c r="AF30" s="11" t="str">
        <f>IF(AF$3=0,"",SUMIFS(INDEX(Inputs!$D$4:$AG$150,0,MATCH(AF$2,Inputs!$D$2:$AG$2,0)),Inputs!$B$4:$B$150,$B30)/1000)</f>
        <v/>
      </c>
      <c r="AG30" s="12" t="str">
        <f>IF(AF30="","",AF30)</f>
        <v/>
      </c>
    </row>
    <row r="31">
      <c r="B31" s="9" t="n">
        <v>26</v>
      </c>
      <c r="C31" s="14" t="inlineStr">
        <is>
          <t>Other current liabilities (non-debt)</t>
        </is>
      </c>
      <c r="D31" s="11">
        <f>IF(D$3=0,"",SUMIFS(INDEX(Inputs!$D$4:$AG$150,0,MATCH(D$2,Inputs!$D$2:$AG$2,0)),Inputs!$B$4:$B$150,$B31)/1000)</f>
        <v>8229</v>
      </c>
      <c r="E31" s="11">
        <f>IF(E$3=0,"",SUMIFS(INDEX(Inputs!$D$4:$AG$150,0,MATCH(E$2,Inputs!$D$2:$AG$2,0)),Inputs!$B$4:$B$150,$B31)/1000)</f>
        <v>8813</v>
      </c>
      <c r="F31" s="11">
        <f>IF(F$3=0,"",SUMIFS(INDEX(Inputs!$D$4:$AG$150,0,MATCH(F$2,Inputs!$D$2:$AG$2,0)),Inputs!$B$4:$B$150,$B31)/1000)</f>
        <v>9791</v>
      </c>
      <c r="G31" s="11">
        <f>IF(G$3=0,"",SUMIFS(INDEX(Inputs!$D$4:$AG$150,0,MATCH(G$2,Inputs!$D$2:$AG$2,0)),Inputs!$B$4:$B$150,$B31)/1000)</f>
        <v>9680</v>
      </c>
      <c r="H31" s="12">
        <f>IF(G31="","",G31)</f>
        <v>9680</v>
      </c>
      <c r="I31" s="11">
        <f>IF(I$3=0,"",SUMIFS(INDEX(Inputs!$D$4:$AG$150,0,MATCH(I$2,Inputs!$D$2:$AG$2,0)),Inputs!$B$4:$B$150,$B31)/1000)</f>
        <v>10284</v>
      </c>
      <c r="J31" s="11">
        <f>IF(J$3=0,"",SUMIFS(INDEX(Inputs!$D$4:$AG$150,0,MATCH(J$2,Inputs!$D$2:$AG$2,0)),Inputs!$B$4:$B$150,$B31)/1000)</f>
        <v>10609</v>
      </c>
      <c r="K31" s="11">
        <f>IF(K$3=0,"",SUMIFS(INDEX(Inputs!$D$4:$AG$150,0,MATCH(K$2,Inputs!$D$2:$AG$2,0)),Inputs!$B$4:$B$150,$B31)/1000)</f>
        <v>10714</v>
      </c>
      <c r="L31" s="11">
        <f>IF(L$3=0,"",SUMIFS(INDEX(Inputs!$D$4:$AG$150,0,MATCH(L$2,Inputs!$D$2:$AG$2,0)),Inputs!$B$4:$B$150,$B31)/1000)</f>
        <v>11454</v>
      </c>
      <c r="M31" s="12">
        <f>IF(L31="","",L31)</f>
        <v>11454</v>
      </c>
      <c r="N31" s="11">
        <f>IF(N$3=0,"",SUMIFS(INDEX(Inputs!$D$4:$AG$150,0,MATCH(N$2,Inputs!$D$2:$AG$2,0)),Inputs!$B$4:$B$150,$B31)/1000)</f>
        <v>11532</v>
      </c>
      <c r="O31" s="11">
        <f>IF(O$3=0,"",SUMIFS(INDEX(Inputs!$D$4:$AG$150,0,MATCH(O$2,Inputs!$D$2:$AG$2,0)),Inputs!$B$4:$B$150,$B31)/1000)</f>
        <v>12319</v>
      </c>
      <c r="P31" s="11">
        <f>IF(P$3=0,"",SUMIFS(INDEX(Inputs!$D$4:$AG$150,0,MATCH(P$2,Inputs!$D$2:$AG$2,0)),Inputs!$B$4:$B$150,$B31)/1000)</f>
        <v>12703</v>
      </c>
      <c r="Q31" s="11">
        <f>IF(Q$3=0,"",SUMIFS(INDEX(Inputs!$D$4:$AG$150,0,MATCH(Q$2,Inputs!$D$2:$AG$2,0)),Inputs!$B$4:$B$150,$B31)/1000)</f>
        <v>14317</v>
      </c>
      <c r="R31" s="12">
        <f>IF(Q31="","",Q31)</f>
        <v>14317</v>
      </c>
      <c r="S31" s="11">
        <f>IF(S$3=0,"",SUMIFS(INDEX(Inputs!$D$4:$AG$150,0,MATCH(S$2,Inputs!$D$2:$AG$2,0)),Inputs!$B$4:$B$150,$B31)/1000)</f>
        <v>14728</v>
      </c>
      <c r="T31" s="11">
        <f>IF(T$3=0,"",SUMIFS(INDEX(Inputs!$D$4:$AG$150,0,MATCH(T$2,Inputs!$D$2:$AG$2,0)),Inputs!$B$4:$B$150,$B31)/1000)</f>
        <v>14673</v>
      </c>
      <c r="U31" s="11">
        <f>IF(U$3=0,"",SUMIFS(INDEX(Inputs!$D$4:$AG$150,0,MATCH(U$2,Inputs!$D$2:$AG$2,0)),Inputs!$B$4:$B$150,$B31)/1000)</f>
        <v>15923</v>
      </c>
      <c r="V31" s="11">
        <f>IF(V$3=0,"",SUMIFS(INDEX(Inputs!$D$4:$AG$150,0,MATCH(V$2,Inputs!$D$2:$AG$2,0)),Inputs!$B$4:$B$150,$B31)/1000)</f>
        <v>16347</v>
      </c>
      <c r="W31" s="12">
        <f>IF(V31="","",V31)</f>
        <v>16347</v>
      </c>
      <c r="X31" s="11">
        <f>IF(X$3=0,"",SUMIFS(INDEX(Inputs!$D$4:$AG$150,0,MATCH(X$2,Inputs!$D$2:$AG$2,0)),Inputs!$B$4:$B$150,$B31)/1000)</f>
        <v>16282</v>
      </c>
      <c r="Y31" s="11">
        <f>IF(Y$3=0,"",SUMIFS(INDEX(Inputs!$D$4:$AG$150,0,MATCH(Y$2,Inputs!$D$2:$AG$2,0)),Inputs!$B$4:$B$150,$B31)/1000)</f>
        <v>16796</v>
      </c>
      <c r="Z31" s="11">
        <f>IF(Z$3=0,"",SUMIFS(INDEX(Inputs!$D$4:$AG$150,0,MATCH(Z$2,Inputs!$D$2:$AG$2,0)),Inputs!$B$4:$B$150,$B31)/1000)</f>
        <v>18471</v>
      </c>
      <c r="AA31" s="11">
        <f>IF(AA$3=0,"",SUMIFS(INDEX(Inputs!$D$4:$AG$150,0,MATCH(AA$2,Inputs!$D$2:$AG$2,0)),Inputs!$B$4:$B$150,$B31)/1000)</f>
        <v>18343</v>
      </c>
      <c r="AB31" s="12">
        <f>IF(AA31="","",AA31)</f>
        <v>18343</v>
      </c>
      <c r="AC31" s="11">
        <f>IF(AC$3=0,"",SUMIFS(INDEX(Inputs!$D$4:$AG$150,0,MATCH(AC$2,Inputs!$D$2:$AG$2,0)),Inputs!$B$4:$B$150,$B31)/1000)</f>
        <v>19442</v>
      </c>
      <c r="AD31" s="11">
        <f>IF(AD$3=0,"",SUMIFS(INDEX(Inputs!$D$4:$AG$150,0,MATCH(AD$2,Inputs!$D$2:$AG$2,0)),Inputs!$B$4:$B$150,$B31)/1000)</f>
        <v>20101</v>
      </c>
      <c r="AE31" s="11" t="str">
        <f>IF(AE$3=0,"",SUMIFS(INDEX(Inputs!$D$4:$AG$150,0,MATCH(AE$2,Inputs!$D$2:$AG$2,0)),Inputs!$B$4:$B$150,$B31)/1000)</f>
        <v/>
      </c>
      <c r="AF31" s="11" t="str">
        <f>IF(AF$3=0,"",SUMIFS(INDEX(Inputs!$D$4:$AG$150,0,MATCH(AF$2,Inputs!$D$2:$AG$2,0)),Inputs!$B$4:$B$150,$B31)/1000)</f>
        <v/>
      </c>
      <c r="AG31" s="12" t="str">
        <f>IF(AF31="","",AF31)</f>
        <v/>
      </c>
    </row>
    <row r="32">
      <c r="B32" s="9" t="n">
        <v>27</v>
      </c>
      <c r="C32" s="14" t="inlineStr">
        <is>
          <t>Current portion of long-term debt</t>
        </is>
      </c>
      <c r="D32" s="11">
        <f>IF(D$3=0,"",SUMIFS(INDEX(Inputs!$D$4:$AG$150,0,MATCH(D$2,Inputs!$D$2:$AG$2,0)),Inputs!$B$4:$B$150,$B32)/1000)</f>
        <v>0</v>
      </c>
      <c r="E32" s="11">
        <f>IF(E$3=0,"",SUMIFS(INDEX(Inputs!$D$4:$AG$150,0,MATCH(E$2,Inputs!$D$2:$AG$2,0)),Inputs!$B$4:$B$150,$B32)/1000)</f>
        <v>0</v>
      </c>
      <c r="F32" s="11">
        <f>IF(F$3=0,"",SUMIFS(INDEX(Inputs!$D$4:$AG$150,0,MATCH(F$2,Inputs!$D$2:$AG$2,0)),Inputs!$B$4:$B$150,$B32)/1000)</f>
        <v>0</v>
      </c>
      <c r="G32" s="11">
        <f>IF(G$3=0,"",SUMIFS(INDEX(Inputs!$D$4:$AG$150,0,MATCH(G$2,Inputs!$D$2:$AG$2,0)),Inputs!$B$4:$B$150,$B32)/1000)</f>
        <v>0</v>
      </c>
      <c r="H32" s="12">
        <f>IF(G32="","",G32)</f>
        <v>0</v>
      </c>
      <c r="I32" s="11">
        <f>IF(I$3=0,"",SUMIFS(INDEX(Inputs!$D$4:$AG$150,0,MATCH(I$2,Inputs!$D$2:$AG$2,0)),Inputs!$B$4:$B$150,$B32)/1000)</f>
        <v>0</v>
      </c>
      <c r="J32" s="11">
        <f>IF(J$3=0,"",SUMIFS(INDEX(Inputs!$D$4:$AG$150,0,MATCH(J$2,Inputs!$D$2:$AG$2,0)),Inputs!$B$4:$B$150,$B32)/1000)</f>
        <v>0</v>
      </c>
      <c r="K32" s="11">
        <f>IF(K$3=0,"",SUMIFS(INDEX(Inputs!$D$4:$AG$150,0,MATCH(K$2,Inputs!$D$2:$AG$2,0)),Inputs!$B$4:$B$150,$B32)/1000)</f>
        <v>0</v>
      </c>
      <c r="L32" s="11">
        <f>IF(L$3=0,"",SUMIFS(INDEX(Inputs!$D$4:$AG$150,0,MATCH(L$2,Inputs!$D$2:$AG$2,0)),Inputs!$B$4:$B$150,$B32)/1000)</f>
        <v>0</v>
      </c>
      <c r="M32" s="12">
        <f>IF(L32="","",L32)</f>
        <v>0</v>
      </c>
      <c r="N32" s="11">
        <f>IF(N$3=0,"",SUMIFS(INDEX(Inputs!$D$4:$AG$150,0,MATCH(N$2,Inputs!$D$2:$AG$2,0)),Inputs!$B$4:$B$150,$B32)/1000)</f>
        <v>0</v>
      </c>
      <c r="O32" s="11">
        <f>IF(O$3=0,"",SUMIFS(INDEX(Inputs!$D$4:$AG$150,0,MATCH(O$2,Inputs!$D$2:$AG$2,0)),Inputs!$B$4:$B$150,$B32)/1000)</f>
        <v>0</v>
      </c>
      <c r="P32" s="11">
        <f>IF(P$3=0,"",SUMIFS(INDEX(Inputs!$D$4:$AG$150,0,MATCH(P$2,Inputs!$D$2:$AG$2,0)),Inputs!$B$4:$B$150,$B32)/1000)</f>
        <v>0</v>
      </c>
      <c r="Q32" s="11">
        <f>IF(Q$3=0,"",SUMIFS(INDEX(Inputs!$D$4:$AG$150,0,MATCH(Q$2,Inputs!$D$2:$AG$2,0)),Inputs!$B$4:$B$150,$B32)/1000)</f>
        <v>0</v>
      </c>
      <c r="R32" s="12">
        <f>IF(Q32="","",Q32)</f>
        <v>0</v>
      </c>
      <c r="S32" s="11">
        <f>IF(S$3=0,"",SUMIFS(INDEX(Inputs!$D$4:$AG$150,0,MATCH(S$2,Inputs!$D$2:$AG$2,0)),Inputs!$B$4:$B$150,$B32)/1000)</f>
        <v>0</v>
      </c>
      <c r="T32" s="11">
        <f>IF(T$3=0,"",SUMIFS(INDEX(Inputs!$D$4:$AG$150,0,MATCH(T$2,Inputs!$D$2:$AG$2,0)),Inputs!$B$4:$B$150,$B32)/1000)</f>
        <v>0</v>
      </c>
      <c r="U32" s="11">
        <f>IF(U$3=0,"",SUMIFS(INDEX(Inputs!$D$4:$AG$150,0,MATCH(U$2,Inputs!$D$2:$AG$2,0)),Inputs!$B$4:$B$150,$B32)/1000)</f>
        <v>0</v>
      </c>
      <c r="V32" s="11">
        <f>IF(V$3=0,"",SUMIFS(INDEX(Inputs!$D$4:$AG$150,0,MATCH(V$2,Inputs!$D$2:$AG$2,0)),Inputs!$B$4:$B$150,$B32)/1000)</f>
        <v>0</v>
      </c>
      <c r="W32" s="12">
        <f>IF(V32="","",V32)</f>
        <v>0</v>
      </c>
      <c r="X32" s="11">
        <f>IF(X$3=0,"",SUMIFS(INDEX(Inputs!$D$4:$AG$150,0,MATCH(X$2,Inputs!$D$2:$AG$2,0)),Inputs!$B$4:$B$150,$B32)/1000)</f>
        <v>0</v>
      </c>
      <c r="Y32" s="11">
        <f>IF(Y$3=0,"",SUMIFS(INDEX(Inputs!$D$4:$AG$150,0,MATCH(Y$2,Inputs!$D$2:$AG$2,0)),Inputs!$B$4:$B$150,$B32)/1000)</f>
        <v>0</v>
      </c>
      <c r="Z32" s="11">
        <f>IF(Z$3=0,"",SUMIFS(INDEX(Inputs!$D$4:$AG$150,0,MATCH(Z$2,Inputs!$D$2:$AG$2,0)),Inputs!$B$4:$B$150,$B32)/1000)</f>
        <v>0</v>
      </c>
      <c r="AA32" s="11">
        <f>IF(AA$3=0,"",SUMIFS(INDEX(Inputs!$D$4:$AG$150,0,MATCH(AA$2,Inputs!$D$2:$AG$2,0)),Inputs!$B$4:$B$150,$B32)/1000)</f>
        <v>0</v>
      </c>
      <c r="AB32" s="12">
        <f>IF(AA32="","",AA32)</f>
        <v>0</v>
      </c>
      <c r="AC32" s="11">
        <f>IF(AC$3=0,"",SUMIFS(INDEX(Inputs!$D$4:$AG$150,0,MATCH(AC$2,Inputs!$D$2:$AG$2,0)),Inputs!$B$4:$B$150,$B32)/1000)</f>
        <v>0</v>
      </c>
      <c r="AD32" s="11">
        <f>IF(AD$3=0,"",SUMIFS(INDEX(Inputs!$D$4:$AG$150,0,MATCH(AD$2,Inputs!$D$2:$AG$2,0)),Inputs!$B$4:$B$150,$B32)/1000)</f>
        <v>0</v>
      </c>
      <c r="AE32" s="11" t="str">
        <f>IF(AE$3=0,"",SUMIFS(INDEX(Inputs!$D$4:$AG$150,0,MATCH(AE$2,Inputs!$D$2:$AG$2,0)),Inputs!$B$4:$B$150,$B32)/1000)</f>
        <v/>
      </c>
      <c r="AF32" s="11" t="str">
        <f>IF(AF$3=0,"",SUMIFS(INDEX(Inputs!$D$4:$AG$150,0,MATCH(AF$2,Inputs!$D$2:$AG$2,0)),Inputs!$B$4:$B$150,$B32)/1000)</f>
        <v/>
      </c>
      <c r="AG32" s="12" t="str">
        <f>IF(AF32="","",AF32)</f>
        <v/>
      </c>
    </row>
    <row r="33">
      <c r="B33" s="9" t="n">
        <v>28</v>
      </c>
      <c r="C33" s="14" t="inlineStr">
        <is>
          <t>Short term debt (Revolving credit facility)</t>
        </is>
      </c>
      <c r="D33" s="11">
        <f>IF(D$3=0,"",SUMIFS(INDEX(Inputs!$D$4:$AG$150,0,MATCH(D$2,Inputs!$D$2:$AG$2,0)),Inputs!$B$4:$B$150,$B33)/1000)</f>
        <v>0</v>
      </c>
      <c r="E33" s="11">
        <f>IF(E$3=0,"",SUMIFS(INDEX(Inputs!$D$4:$AG$150,0,MATCH(E$2,Inputs!$D$2:$AG$2,0)),Inputs!$B$4:$B$150,$B33)/1000)</f>
        <v>0</v>
      </c>
      <c r="F33" s="11">
        <f>IF(F$3=0,"",SUMIFS(INDEX(Inputs!$D$4:$AG$150,0,MATCH(F$2,Inputs!$D$2:$AG$2,0)),Inputs!$B$4:$B$150,$B33)/1000)</f>
        <v>0</v>
      </c>
      <c r="G33" s="11">
        <f>IF(G$3=0,"",SUMIFS(INDEX(Inputs!$D$4:$AG$150,0,MATCH(G$2,Inputs!$D$2:$AG$2,0)),Inputs!$B$4:$B$150,$B33)/1000)</f>
        <v>0</v>
      </c>
      <c r="H33" s="12">
        <f>IF(G33="","",G33)</f>
        <v>0</v>
      </c>
      <c r="I33" s="11">
        <f>IF(I$3=0,"",SUMIFS(INDEX(Inputs!$D$4:$AG$150,0,MATCH(I$2,Inputs!$D$2:$AG$2,0)),Inputs!$B$4:$B$150,$B33)/1000)</f>
        <v>0</v>
      </c>
      <c r="J33" s="11">
        <f>IF(J$3=0,"",SUMIFS(INDEX(Inputs!$D$4:$AG$150,0,MATCH(J$2,Inputs!$D$2:$AG$2,0)),Inputs!$B$4:$B$150,$B33)/1000)</f>
        <v>0</v>
      </c>
      <c r="K33" s="11">
        <f>IF(K$3=0,"",SUMIFS(INDEX(Inputs!$D$4:$AG$150,0,MATCH(K$2,Inputs!$D$2:$AG$2,0)),Inputs!$B$4:$B$150,$B33)/1000)</f>
        <v>0</v>
      </c>
      <c r="L33" s="11">
        <f>IF(L$3=0,"",SUMIFS(INDEX(Inputs!$D$4:$AG$150,0,MATCH(L$2,Inputs!$D$2:$AG$2,0)),Inputs!$B$4:$B$150,$B33)/1000)</f>
        <v>0</v>
      </c>
      <c r="M33" s="12">
        <f>IF(L33="","",L33)</f>
        <v>0</v>
      </c>
      <c r="N33" s="11">
        <f>IF(N$3=0,"",SUMIFS(INDEX(Inputs!$D$4:$AG$150,0,MATCH(N$2,Inputs!$D$2:$AG$2,0)),Inputs!$B$4:$B$150,$B33)/1000)</f>
        <v>0</v>
      </c>
      <c r="O33" s="11">
        <f>IF(O$3=0,"",SUMIFS(INDEX(Inputs!$D$4:$AG$150,0,MATCH(O$2,Inputs!$D$2:$AG$2,0)),Inputs!$B$4:$B$150,$B33)/1000)</f>
        <v>0</v>
      </c>
      <c r="P33" s="11">
        <f>IF(P$3=0,"",SUMIFS(INDEX(Inputs!$D$4:$AG$150,0,MATCH(P$2,Inputs!$D$2:$AG$2,0)),Inputs!$B$4:$B$150,$B33)/1000)</f>
        <v>0</v>
      </c>
      <c r="Q33" s="11">
        <f>IF(Q$3=0,"",SUMIFS(INDEX(Inputs!$D$4:$AG$150,0,MATCH(Q$2,Inputs!$D$2:$AG$2,0)),Inputs!$B$4:$B$150,$B33)/1000)</f>
        <v>0</v>
      </c>
      <c r="R33" s="12">
        <f>IF(Q33="","",Q33)</f>
        <v>0</v>
      </c>
      <c r="S33" s="11">
        <f>IF(S$3=0,"",SUMIFS(INDEX(Inputs!$D$4:$AG$150,0,MATCH(S$2,Inputs!$D$2:$AG$2,0)),Inputs!$B$4:$B$150,$B33)/1000)</f>
        <v>0</v>
      </c>
      <c r="T33" s="11">
        <f>IF(T$3=0,"",SUMIFS(INDEX(Inputs!$D$4:$AG$150,0,MATCH(T$2,Inputs!$D$2:$AG$2,0)),Inputs!$B$4:$B$150,$B33)/1000)</f>
        <v>0</v>
      </c>
      <c r="U33" s="11">
        <f>IF(U$3=0,"",SUMIFS(INDEX(Inputs!$D$4:$AG$150,0,MATCH(U$2,Inputs!$D$2:$AG$2,0)),Inputs!$B$4:$B$150,$B33)/1000)</f>
        <v>0</v>
      </c>
      <c r="V33" s="11">
        <f>IF(V$3=0,"",SUMIFS(INDEX(Inputs!$D$4:$AG$150,0,MATCH(V$2,Inputs!$D$2:$AG$2,0)),Inputs!$B$4:$B$150,$B33)/1000)</f>
        <v>0</v>
      </c>
      <c r="W33" s="12">
        <f>IF(V33="","",V33)</f>
        <v>0</v>
      </c>
      <c r="X33" s="11">
        <f>IF(X$3=0,"",SUMIFS(INDEX(Inputs!$D$4:$AG$150,0,MATCH(X$2,Inputs!$D$2:$AG$2,0)),Inputs!$B$4:$B$150,$B33)/1000)</f>
        <v>0</v>
      </c>
      <c r="Y33" s="11">
        <f>IF(Y$3=0,"",SUMIFS(INDEX(Inputs!$D$4:$AG$150,0,MATCH(Y$2,Inputs!$D$2:$AG$2,0)),Inputs!$B$4:$B$150,$B33)/1000)</f>
        <v>0</v>
      </c>
      <c r="Z33" s="11">
        <f>IF(Z$3=0,"",SUMIFS(INDEX(Inputs!$D$4:$AG$150,0,MATCH(Z$2,Inputs!$D$2:$AG$2,0)),Inputs!$B$4:$B$150,$B33)/1000)</f>
        <v>0</v>
      </c>
      <c r="AA33" s="11">
        <f>IF(AA$3=0,"",SUMIFS(INDEX(Inputs!$D$4:$AG$150,0,MATCH(AA$2,Inputs!$D$2:$AG$2,0)),Inputs!$B$4:$B$150,$B33)/1000)</f>
        <v>0</v>
      </c>
      <c r="AB33" s="12">
        <f>IF(AA33="","",AA33)</f>
        <v>0</v>
      </c>
      <c r="AC33" s="11">
        <f>IF(AC$3=0,"",SUMIFS(INDEX(Inputs!$D$4:$AG$150,0,MATCH(AC$2,Inputs!$D$2:$AG$2,0)),Inputs!$B$4:$B$150,$B33)/1000)</f>
        <v>0</v>
      </c>
      <c r="AD33" s="11">
        <f>IF(AD$3=0,"",SUMIFS(INDEX(Inputs!$D$4:$AG$150,0,MATCH(AD$2,Inputs!$D$2:$AG$2,0)),Inputs!$B$4:$B$150,$B33)/1000)</f>
        <v>0</v>
      </c>
      <c r="AE33" s="11" t="str">
        <f>IF(AE$3=0,"",SUMIFS(INDEX(Inputs!$D$4:$AG$150,0,MATCH(AE$2,Inputs!$D$2:$AG$2,0)),Inputs!$B$4:$B$150,$B33)/1000)</f>
        <v/>
      </c>
      <c r="AF33" s="11" t="str">
        <f>IF(AF$3=0,"",SUMIFS(INDEX(Inputs!$D$4:$AG$150,0,MATCH(AF$2,Inputs!$D$2:$AG$2,0)),Inputs!$B$4:$B$150,$B33)/1000)</f>
        <v/>
      </c>
      <c r="AG33" s="12" t="str">
        <f>IF(AF33="","",AF33)</f>
        <v/>
      </c>
    </row>
    <row r="34">
      <c r="B34" s="9" t="n">
        <v>29</v>
      </c>
      <c r="C34" s="14" t="inlineStr">
        <is>
          <t>Short term operating leases</t>
        </is>
      </c>
      <c r="D34" s="11">
        <f>IF(D$3=0,"",SUMIFS(INDEX(Inputs!$D$4:$AG$150,0,MATCH(D$2,Inputs!$D$2:$AG$2,0)),Inputs!$B$4:$B$150,$B34)/1000)</f>
        <v>0</v>
      </c>
      <c r="E34" s="11">
        <f>IF(E$3=0,"",SUMIFS(INDEX(Inputs!$D$4:$AG$150,0,MATCH(E$2,Inputs!$D$2:$AG$2,0)),Inputs!$B$4:$B$150,$B34)/1000)</f>
        <v>0</v>
      </c>
      <c r="F34" s="11">
        <f>IF(F$3=0,"",SUMIFS(INDEX(Inputs!$D$4:$AG$150,0,MATCH(F$2,Inputs!$D$2:$AG$2,0)),Inputs!$B$4:$B$150,$B34)/1000)</f>
        <v>0</v>
      </c>
      <c r="G34" s="11">
        <f>IF(G$3=0,"",SUMIFS(INDEX(Inputs!$D$4:$AG$150,0,MATCH(G$2,Inputs!$D$2:$AG$2,0)),Inputs!$B$4:$B$150,$B34)/1000)</f>
        <v>0</v>
      </c>
      <c r="H34" s="12">
        <f>IF(G34="","",G34)</f>
        <v>0</v>
      </c>
      <c r="I34" s="11">
        <f>IF(I$3=0,"",SUMIFS(INDEX(Inputs!$D$4:$AG$150,0,MATCH(I$2,Inputs!$D$2:$AG$2,0)),Inputs!$B$4:$B$150,$B34)/1000)</f>
        <v>0</v>
      </c>
      <c r="J34" s="11">
        <f>IF(J$3=0,"",SUMIFS(INDEX(Inputs!$D$4:$AG$150,0,MATCH(J$2,Inputs!$D$2:$AG$2,0)),Inputs!$B$4:$B$150,$B34)/1000)</f>
        <v>0</v>
      </c>
      <c r="K34" s="11">
        <f>IF(K$3=0,"",SUMIFS(INDEX(Inputs!$D$4:$AG$150,0,MATCH(K$2,Inputs!$D$2:$AG$2,0)),Inputs!$B$4:$B$150,$B34)/1000)</f>
        <v>0</v>
      </c>
      <c r="L34" s="11">
        <f>IF(L$3=0,"",SUMIFS(INDEX(Inputs!$D$4:$AG$150,0,MATCH(L$2,Inputs!$D$2:$AG$2,0)),Inputs!$B$4:$B$150,$B34)/1000)</f>
        <v>0</v>
      </c>
      <c r="M34" s="12">
        <f>IF(L34="","",L34)</f>
        <v>0</v>
      </c>
      <c r="N34" s="11">
        <f>IF(N$3=0,"",SUMIFS(INDEX(Inputs!$D$4:$AG$150,0,MATCH(N$2,Inputs!$D$2:$AG$2,0)),Inputs!$B$4:$B$150,$B34)/1000)</f>
        <v>0</v>
      </c>
      <c r="O34" s="11">
        <f>IF(O$3=0,"",SUMIFS(INDEX(Inputs!$D$4:$AG$150,0,MATCH(O$2,Inputs!$D$2:$AG$2,0)),Inputs!$B$4:$B$150,$B34)/1000)</f>
        <v>0</v>
      </c>
      <c r="P34" s="11">
        <f>IF(P$3=0,"",SUMIFS(INDEX(Inputs!$D$4:$AG$150,0,MATCH(P$2,Inputs!$D$2:$AG$2,0)),Inputs!$B$4:$B$150,$B34)/1000)</f>
        <v>0</v>
      </c>
      <c r="Q34" s="11">
        <f>IF(Q$3=0,"",SUMIFS(INDEX(Inputs!$D$4:$AG$150,0,MATCH(Q$2,Inputs!$D$2:$AG$2,0)),Inputs!$B$4:$B$150,$B34)/1000)</f>
        <v>0</v>
      </c>
      <c r="R34" s="12">
        <f>IF(Q34="","",Q34)</f>
        <v>0</v>
      </c>
      <c r="S34" s="11">
        <f>IF(S$3=0,"",SUMIFS(INDEX(Inputs!$D$4:$AG$150,0,MATCH(S$2,Inputs!$D$2:$AG$2,0)),Inputs!$B$4:$B$150,$B34)/1000)</f>
        <v>0</v>
      </c>
      <c r="T34" s="11">
        <f>IF(T$3=0,"",SUMIFS(INDEX(Inputs!$D$4:$AG$150,0,MATCH(T$2,Inputs!$D$2:$AG$2,0)),Inputs!$B$4:$B$150,$B34)/1000)</f>
        <v>0</v>
      </c>
      <c r="U34" s="11">
        <f>IF(U$3=0,"",SUMIFS(INDEX(Inputs!$D$4:$AG$150,0,MATCH(U$2,Inputs!$D$2:$AG$2,0)),Inputs!$B$4:$B$150,$B34)/1000)</f>
        <v>0</v>
      </c>
      <c r="V34" s="11">
        <f>IF(V$3=0,"",SUMIFS(INDEX(Inputs!$D$4:$AG$150,0,MATCH(V$2,Inputs!$D$2:$AG$2,0)),Inputs!$B$4:$B$150,$B34)/1000)</f>
        <v>0</v>
      </c>
      <c r="W34" s="12">
        <f>IF(V34="","",V34)</f>
        <v>0</v>
      </c>
      <c r="X34" s="11">
        <f>IF(X$3=0,"",SUMIFS(INDEX(Inputs!$D$4:$AG$150,0,MATCH(X$2,Inputs!$D$2:$AG$2,0)),Inputs!$B$4:$B$150,$B34)/1000)</f>
        <v>0</v>
      </c>
      <c r="Y34" s="11">
        <f>IF(Y$3=0,"",SUMIFS(INDEX(Inputs!$D$4:$AG$150,0,MATCH(Y$2,Inputs!$D$2:$AG$2,0)),Inputs!$B$4:$B$150,$B34)/1000)</f>
        <v>0</v>
      </c>
      <c r="Z34" s="11">
        <f>IF(Z$3=0,"",SUMIFS(INDEX(Inputs!$D$4:$AG$150,0,MATCH(Z$2,Inputs!$D$2:$AG$2,0)),Inputs!$B$4:$B$150,$B34)/1000)</f>
        <v>0</v>
      </c>
      <c r="AA34" s="11">
        <f>IF(AA$3=0,"",SUMIFS(INDEX(Inputs!$D$4:$AG$150,0,MATCH(AA$2,Inputs!$D$2:$AG$2,0)),Inputs!$B$4:$B$150,$B34)/1000)</f>
        <v>0</v>
      </c>
      <c r="AB34" s="12">
        <f>IF(AA34="","",AA34)</f>
        <v>0</v>
      </c>
      <c r="AC34" s="11">
        <f>IF(AC$3=0,"",SUMIFS(INDEX(Inputs!$D$4:$AG$150,0,MATCH(AC$2,Inputs!$D$2:$AG$2,0)),Inputs!$B$4:$B$150,$B34)/1000)</f>
        <v>0</v>
      </c>
      <c r="AD34" s="11">
        <f>IF(AD$3=0,"",SUMIFS(INDEX(Inputs!$D$4:$AG$150,0,MATCH(AD$2,Inputs!$D$2:$AG$2,0)),Inputs!$B$4:$B$150,$B34)/1000)</f>
        <v>0</v>
      </c>
      <c r="AE34" s="11" t="str">
        <f>IF(AE$3=0,"",SUMIFS(INDEX(Inputs!$D$4:$AG$150,0,MATCH(AE$2,Inputs!$D$2:$AG$2,0)),Inputs!$B$4:$B$150,$B34)/1000)</f>
        <v/>
      </c>
      <c r="AF34" s="11" t="str">
        <f>IF(AF$3=0,"",SUMIFS(INDEX(Inputs!$D$4:$AG$150,0,MATCH(AF$2,Inputs!$D$2:$AG$2,0)),Inputs!$B$4:$B$150,$B34)/1000)</f>
        <v/>
      </c>
      <c r="AG34" s="12" t="str">
        <f>IF(AF34="","",AF34)</f>
        <v/>
      </c>
    </row>
    <row r="35">
      <c r="B35" s="9" t="n">
        <v>30</v>
      </c>
      <c r="C35" s="14" t="inlineStr">
        <is>
          <t>Long term debt</t>
        </is>
      </c>
      <c r="D35" s="11">
        <f>IF(D$3=0,"",SUMIFS(INDEX(Inputs!$D$4:$AG$150,0,MATCH(D$2,Inputs!$D$2:$AG$2,0)),Inputs!$B$4:$B$150,$B35)/1000)</f>
        <v>0</v>
      </c>
      <c r="E35" s="11">
        <f>IF(E$3=0,"",SUMIFS(INDEX(Inputs!$D$4:$AG$150,0,MATCH(E$2,Inputs!$D$2:$AG$2,0)),Inputs!$B$4:$B$150,$B35)/1000)</f>
        <v>0</v>
      </c>
      <c r="F35" s="11">
        <f>IF(F$3=0,"",SUMIFS(INDEX(Inputs!$D$4:$AG$150,0,MATCH(F$2,Inputs!$D$2:$AG$2,0)),Inputs!$B$4:$B$150,$B35)/1000)</f>
        <v>0</v>
      </c>
      <c r="G35" s="11">
        <f>IF(G$3=0,"",SUMIFS(INDEX(Inputs!$D$4:$AG$150,0,MATCH(G$2,Inputs!$D$2:$AG$2,0)),Inputs!$B$4:$B$150,$B35)/1000)</f>
        <v>0</v>
      </c>
      <c r="H35" s="12">
        <f>IF(G35="","",G35)</f>
        <v>0</v>
      </c>
      <c r="I35" s="11">
        <f>IF(I$3=0,"",SUMIFS(INDEX(Inputs!$D$4:$AG$150,0,MATCH(I$2,Inputs!$D$2:$AG$2,0)),Inputs!$B$4:$B$150,$B35)/1000)</f>
        <v>0</v>
      </c>
      <c r="J35" s="11">
        <f>IF(J$3=0,"",SUMIFS(INDEX(Inputs!$D$4:$AG$150,0,MATCH(J$2,Inputs!$D$2:$AG$2,0)),Inputs!$B$4:$B$150,$B35)/1000)</f>
        <v>0</v>
      </c>
      <c r="K35" s="11">
        <f>IF(K$3=0,"",SUMIFS(INDEX(Inputs!$D$4:$AG$150,0,MATCH(K$2,Inputs!$D$2:$AG$2,0)),Inputs!$B$4:$B$150,$B35)/1000)</f>
        <v>0</v>
      </c>
      <c r="L35" s="11">
        <f>IF(L$3=0,"",SUMIFS(INDEX(Inputs!$D$4:$AG$150,0,MATCH(L$2,Inputs!$D$2:$AG$2,0)),Inputs!$B$4:$B$150,$B35)/1000)</f>
        <v>0</v>
      </c>
      <c r="M35" s="12">
        <f>IF(L35="","",L35)</f>
        <v>0</v>
      </c>
      <c r="N35" s="11">
        <f>IF(N$3=0,"",SUMIFS(INDEX(Inputs!$D$4:$AG$150,0,MATCH(N$2,Inputs!$D$2:$AG$2,0)),Inputs!$B$4:$B$150,$B35)/1000)</f>
        <v>0</v>
      </c>
      <c r="O35" s="11">
        <f>IF(O$3=0,"",SUMIFS(INDEX(Inputs!$D$4:$AG$150,0,MATCH(O$2,Inputs!$D$2:$AG$2,0)),Inputs!$B$4:$B$150,$B35)/1000)</f>
        <v>0</v>
      </c>
      <c r="P35" s="11">
        <f>IF(P$3=0,"",SUMIFS(INDEX(Inputs!$D$4:$AG$150,0,MATCH(P$2,Inputs!$D$2:$AG$2,0)),Inputs!$B$4:$B$150,$B35)/1000)</f>
        <v>0</v>
      </c>
      <c r="Q35" s="11">
        <f>IF(Q$3=0,"",SUMIFS(INDEX(Inputs!$D$4:$AG$150,0,MATCH(Q$2,Inputs!$D$2:$AG$2,0)),Inputs!$B$4:$B$150,$B35)/1000)</f>
        <v>0</v>
      </c>
      <c r="R35" s="12">
        <f>IF(Q35="","",Q35)</f>
        <v>0</v>
      </c>
      <c r="S35" s="11">
        <f>IF(S$3=0,"",SUMIFS(INDEX(Inputs!$D$4:$AG$150,0,MATCH(S$2,Inputs!$D$2:$AG$2,0)),Inputs!$B$4:$B$150,$B35)/1000)</f>
        <v>0</v>
      </c>
      <c r="T35" s="11">
        <f>IF(T$3=0,"",SUMIFS(INDEX(Inputs!$D$4:$AG$150,0,MATCH(T$2,Inputs!$D$2:$AG$2,0)),Inputs!$B$4:$B$150,$B35)/1000)</f>
        <v>0</v>
      </c>
      <c r="U35" s="11">
        <f>IF(U$3=0,"",SUMIFS(INDEX(Inputs!$D$4:$AG$150,0,MATCH(U$2,Inputs!$D$2:$AG$2,0)),Inputs!$B$4:$B$150,$B35)/1000)</f>
        <v>0</v>
      </c>
      <c r="V35" s="11">
        <f>IF(V$3=0,"",SUMIFS(INDEX(Inputs!$D$4:$AG$150,0,MATCH(V$2,Inputs!$D$2:$AG$2,0)),Inputs!$B$4:$B$150,$B35)/1000)</f>
        <v>0</v>
      </c>
      <c r="W35" s="12">
        <f>IF(V35="","",V35)</f>
        <v>0</v>
      </c>
      <c r="X35" s="11">
        <f>IF(X$3=0,"",SUMIFS(INDEX(Inputs!$D$4:$AG$150,0,MATCH(X$2,Inputs!$D$2:$AG$2,0)),Inputs!$B$4:$B$150,$B35)/1000)</f>
        <v>0</v>
      </c>
      <c r="Y35" s="11">
        <f>IF(Y$3=0,"",SUMIFS(INDEX(Inputs!$D$4:$AG$150,0,MATCH(Y$2,Inputs!$D$2:$AG$2,0)),Inputs!$B$4:$B$150,$B35)/1000)</f>
        <v>0</v>
      </c>
      <c r="Z35" s="11">
        <f>IF(Z$3=0,"",SUMIFS(INDEX(Inputs!$D$4:$AG$150,0,MATCH(Z$2,Inputs!$D$2:$AG$2,0)),Inputs!$B$4:$B$150,$B35)/1000)</f>
        <v>0</v>
      </c>
      <c r="AA35" s="11">
        <f>IF(AA$3=0,"",SUMIFS(INDEX(Inputs!$D$4:$AG$150,0,MATCH(AA$2,Inputs!$D$2:$AG$2,0)),Inputs!$B$4:$B$150,$B35)/1000)</f>
        <v>0</v>
      </c>
      <c r="AB35" s="12">
        <f>IF(AA35="","",AA35)</f>
        <v>0</v>
      </c>
      <c r="AC35" s="11">
        <f>IF(AC$3=0,"",SUMIFS(INDEX(Inputs!$D$4:$AG$150,0,MATCH(AC$2,Inputs!$D$2:$AG$2,0)),Inputs!$B$4:$B$150,$B35)/1000)</f>
        <v>0</v>
      </c>
      <c r="AD35" s="11">
        <f>IF(AD$3=0,"",SUMIFS(INDEX(Inputs!$D$4:$AG$150,0,MATCH(AD$2,Inputs!$D$2:$AG$2,0)),Inputs!$B$4:$B$150,$B35)/1000)</f>
        <v>0</v>
      </c>
      <c r="AE35" s="11" t="str">
        <f>IF(AE$3=0,"",SUMIFS(INDEX(Inputs!$D$4:$AG$150,0,MATCH(AE$2,Inputs!$D$2:$AG$2,0)),Inputs!$B$4:$B$150,$B35)/1000)</f>
        <v/>
      </c>
      <c r="AF35" s="11" t="str">
        <f>IF(AF$3=0,"",SUMIFS(INDEX(Inputs!$D$4:$AG$150,0,MATCH(AF$2,Inputs!$D$2:$AG$2,0)),Inputs!$B$4:$B$150,$B35)/1000)</f>
        <v/>
      </c>
      <c r="AG35" s="12" t="str">
        <f>IF(AF35="","",AF35)</f>
        <v/>
      </c>
    </row>
    <row r="36">
      <c r="B36" s="9" t="n">
        <v>31</v>
      </c>
      <c r="C36" s="14" t="inlineStr">
        <is>
          <t>Long term operating leases</t>
        </is>
      </c>
      <c r="D36" s="11">
        <f>IF(D$3=0,"",SUMIFS(INDEX(Inputs!$D$4:$AG$150,0,MATCH(D$2,Inputs!$D$2:$AG$2,0)),Inputs!$B$4:$B$150,$B36)/1000)</f>
        <v>0</v>
      </c>
      <c r="E36" s="11">
        <f>IF(E$3=0,"",SUMIFS(INDEX(Inputs!$D$4:$AG$150,0,MATCH(E$2,Inputs!$D$2:$AG$2,0)),Inputs!$B$4:$B$150,$B36)/1000)</f>
        <v>0</v>
      </c>
      <c r="F36" s="11">
        <f>IF(F$3=0,"",SUMIFS(INDEX(Inputs!$D$4:$AG$150,0,MATCH(F$2,Inputs!$D$2:$AG$2,0)),Inputs!$B$4:$B$150,$B36)/1000)</f>
        <v>0</v>
      </c>
      <c r="G36" s="11">
        <f>IF(G$3=0,"",SUMIFS(INDEX(Inputs!$D$4:$AG$150,0,MATCH(G$2,Inputs!$D$2:$AG$2,0)),Inputs!$B$4:$B$150,$B36)/1000)</f>
        <v>0</v>
      </c>
      <c r="H36" s="12">
        <f>IF(G36="","",G36)</f>
        <v>0</v>
      </c>
      <c r="I36" s="11">
        <f>IF(I$3=0,"",SUMIFS(INDEX(Inputs!$D$4:$AG$150,0,MATCH(I$2,Inputs!$D$2:$AG$2,0)),Inputs!$B$4:$B$150,$B36)/1000)</f>
        <v>0</v>
      </c>
      <c r="J36" s="11">
        <f>IF(J$3=0,"",SUMIFS(INDEX(Inputs!$D$4:$AG$150,0,MATCH(J$2,Inputs!$D$2:$AG$2,0)),Inputs!$B$4:$B$150,$B36)/1000)</f>
        <v>0</v>
      </c>
      <c r="K36" s="11">
        <f>IF(K$3=0,"",SUMIFS(INDEX(Inputs!$D$4:$AG$150,0,MATCH(K$2,Inputs!$D$2:$AG$2,0)),Inputs!$B$4:$B$150,$B36)/1000)</f>
        <v>0</v>
      </c>
      <c r="L36" s="11">
        <f>IF(L$3=0,"",SUMIFS(INDEX(Inputs!$D$4:$AG$150,0,MATCH(L$2,Inputs!$D$2:$AG$2,0)),Inputs!$B$4:$B$150,$B36)/1000)</f>
        <v>0</v>
      </c>
      <c r="M36" s="12">
        <f>IF(L36="","",L36)</f>
        <v>0</v>
      </c>
      <c r="N36" s="11">
        <f>IF(N$3=0,"",SUMIFS(INDEX(Inputs!$D$4:$AG$150,0,MATCH(N$2,Inputs!$D$2:$AG$2,0)),Inputs!$B$4:$B$150,$B36)/1000)</f>
        <v>0</v>
      </c>
      <c r="O36" s="11">
        <f>IF(O$3=0,"",SUMIFS(INDEX(Inputs!$D$4:$AG$150,0,MATCH(O$2,Inputs!$D$2:$AG$2,0)),Inputs!$B$4:$B$150,$B36)/1000)</f>
        <v>0</v>
      </c>
      <c r="P36" s="11">
        <f>IF(P$3=0,"",SUMIFS(INDEX(Inputs!$D$4:$AG$150,0,MATCH(P$2,Inputs!$D$2:$AG$2,0)),Inputs!$B$4:$B$150,$B36)/1000)</f>
        <v>0</v>
      </c>
      <c r="Q36" s="11">
        <f>IF(Q$3=0,"",SUMIFS(INDEX(Inputs!$D$4:$AG$150,0,MATCH(Q$2,Inputs!$D$2:$AG$2,0)),Inputs!$B$4:$B$150,$B36)/1000)</f>
        <v>0</v>
      </c>
      <c r="R36" s="12">
        <f>IF(Q36="","",Q36)</f>
        <v>0</v>
      </c>
      <c r="S36" s="11">
        <f>IF(S$3=0,"",SUMIFS(INDEX(Inputs!$D$4:$AG$150,0,MATCH(S$2,Inputs!$D$2:$AG$2,0)),Inputs!$B$4:$B$150,$B36)/1000)</f>
        <v>0</v>
      </c>
      <c r="T36" s="11">
        <f>IF(T$3=0,"",SUMIFS(INDEX(Inputs!$D$4:$AG$150,0,MATCH(T$2,Inputs!$D$2:$AG$2,0)),Inputs!$B$4:$B$150,$B36)/1000)</f>
        <v>0</v>
      </c>
      <c r="U36" s="11">
        <f>IF(U$3=0,"",SUMIFS(INDEX(Inputs!$D$4:$AG$150,0,MATCH(U$2,Inputs!$D$2:$AG$2,0)),Inputs!$B$4:$B$150,$B36)/1000)</f>
        <v>0</v>
      </c>
      <c r="V36" s="11">
        <f>IF(V$3=0,"",SUMIFS(INDEX(Inputs!$D$4:$AG$150,0,MATCH(V$2,Inputs!$D$2:$AG$2,0)),Inputs!$B$4:$B$150,$B36)/1000)</f>
        <v>0</v>
      </c>
      <c r="W36" s="12">
        <f>IF(V36="","",V36)</f>
        <v>0</v>
      </c>
      <c r="X36" s="11">
        <f>IF(X$3=0,"",SUMIFS(INDEX(Inputs!$D$4:$AG$150,0,MATCH(X$2,Inputs!$D$2:$AG$2,0)),Inputs!$B$4:$B$150,$B36)/1000)</f>
        <v>0</v>
      </c>
      <c r="Y36" s="11">
        <f>IF(Y$3=0,"",SUMIFS(INDEX(Inputs!$D$4:$AG$150,0,MATCH(Y$2,Inputs!$D$2:$AG$2,0)),Inputs!$B$4:$B$150,$B36)/1000)</f>
        <v>0</v>
      </c>
      <c r="Z36" s="11">
        <f>IF(Z$3=0,"",SUMIFS(INDEX(Inputs!$D$4:$AG$150,0,MATCH(Z$2,Inputs!$D$2:$AG$2,0)),Inputs!$B$4:$B$150,$B36)/1000)</f>
        <v>0</v>
      </c>
      <c r="AA36" s="11">
        <f>IF(AA$3=0,"",SUMIFS(INDEX(Inputs!$D$4:$AG$150,0,MATCH(AA$2,Inputs!$D$2:$AG$2,0)),Inputs!$B$4:$B$150,$B36)/1000)</f>
        <v>0</v>
      </c>
      <c r="AB36" s="12">
        <f>IF(AA36="","",AA36)</f>
        <v>0</v>
      </c>
      <c r="AC36" s="11">
        <f>IF(AC$3=0,"",SUMIFS(INDEX(Inputs!$D$4:$AG$150,0,MATCH(AC$2,Inputs!$D$2:$AG$2,0)),Inputs!$B$4:$B$150,$B36)/1000)</f>
        <v>0</v>
      </c>
      <c r="AD36" s="11">
        <f>IF(AD$3=0,"",SUMIFS(INDEX(Inputs!$D$4:$AG$150,0,MATCH(AD$2,Inputs!$D$2:$AG$2,0)),Inputs!$B$4:$B$150,$B36)/1000)</f>
        <v>0</v>
      </c>
      <c r="AE36" s="11" t="str">
        <f>IF(AE$3=0,"",SUMIFS(INDEX(Inputs!$D$4:$AG$150,0,MATCH(AE$2,Inputs!$D$2:$AG$2,0)),Inputs!$B$4:$B$150,$B36)/1000)</f>
        <v/>
      </c>
      <c r="AF36" s="11" t="str">
        <f>IF(AF$3=0,"",SUMIFS(INDEX(Inputs!$D$4:$AG$150,0,MATCH(AF$2,Inputs!$D$2:$AG$2,0)),Inputs!$B$4:$B$150,$B36)/1000)</f>
        <v/>
      </c>
      <c r="AG36" s="12" t="str">
        <f>IF(AF36="","",AF36)</f>
        <v/>
      </c>
    </row>
    <row r="37">
      <c r="B37" s="9" t="n">
        <v>32</v>
      </c>
      <c r="C37" s="14" t="inlineStr">
        <is>
          <t>Convertible debt</t>
        </is>
      </c>
      <c r="D37" s="11">
        <f>IF(D$3=0,"",SUMIFS(INDEX(Inputs!$D$4:$AG$150,0,MATCH(D$2,Inputs!$D$2:$AG$2,0)),Inputs!$B$4:$B$150,$B37)/1000)</f>
        <v>0</v>
      </c>
      <c r="E37" s="11">
        <f>IF(E$3=0,"",SUMIFS(INDEX(Inputs!$D$4:$AG$150,0,MATCH(E$2,Inputs!$D$2:$AG$2,0)),Inputs!$B$4:$B$150,$B37)/1000)</f>
        <v>0</v>
      </c>
      <c r="F37" s="11">
        <f>IF(F$3=0,"",SUMIFS(INDEX(Inputs!$D$4:$AG$150,0,MATCH(F$2,Inputs!$D$2:$AG$2,0)),Inputs!$B$4:$B$150,$B37)/1000)</f>
        <v>0</v>
      </c>
      <c r="G37" s="11">
        <f>IF(G$3=0,"",SUMIFS(INDEX(Inputs!$D$4:$AG$150,0,MATCH(G$2,Inputs!$D$2:$AG$2,0)),Inputs!$B$4:$B$150,$B37)/1000)</f>
        <v>0</v>
      </c>
      <c r="H37" s="12">
        <f>IF(G37="","",G37)</f>
        <v>0</v>
      </c>
      <c r="I37" s="11">
        <f>IF(I$3=0,"",SUMIFS(INDEX(Inputs!$D$4:$AG$150,0,MATCH(I$2,Inputs!$D$2:$AG$2,0)),Inputs!$B$4:$B$150,$B37)/1000)</f>
        <v>0</v>
      </c>
      <c r="J37" s="11">
        <f>IF(J$3=0,"",SUMIFS(INDEX(Inputs!$D$4:$AG$150,0,MATCH(J$2,Inputs!$D$2:$AG$2,0)),Inputs!$B$4:$B$150,$B37)/1000)</f>
        <v>0</v>
      </c>
      <c r="K37" s="11">
        <f>IF(K$3=0,"",SUMIFS(INDEX(Inputs!$D$4:$AG$150,0,MATCH(K$2,Inputs!$D$2:$AG$2,0)),Inputs!$B$4:$B$150,$B37)/1000)</f>
        <v>0</v>
      </c>
      <c r="L37" s="11">
        <f>IF(L$3=0,"",SUMIFS(INDEX(Inputs!$D$4:$AG$150,0,MATCH(L$2,Inputs!$D$2:$AG$2,0)),Inputs!$B$4:$B$150,$B37)/1000)</f>
        <v>0</v>
      </c>
      <c r="M37" s="12">
        <f>IF(L37="","",L37)</f>
        <v>0</v>
      </c>
      <c r="N37" s="11">
        <f>IF(N$3=0,"",SUMIFS(INDEX(Inputs!$D$4:$AG$150,0,MATCH(N$2,Inputs!$D$2:$AG$2,0)),Inputs!$B$4:$B$150,$B37)/1000)</f>
        <v>0</v>
      </c>
      <c r="O37" s="11">
        <f>IF(O$3=0,"",SUMIFS(INDEX(Inputs!$D$4:$AG$150,0,MATCH(O$2,Inputs!$D$2:$AG$2,0)),Inputs!$B$4:$B$150,$B37)/1000)</f>
        <v>0</v>
      </c>
      <c r="P37" s="11">
        <f>IF(P$3=0,"",SUMIFS(INDEX(Inputs!$D$4:$AG$150,0,MATCH(P$2,Inputs!$D$2:$AG$2,0)),Inputs!$B$4:$B$150,$B37)/1000)</f>
        <v>0</v>
      </c>
      <c r="Q37" s="11">
        <f>IF(Q$3=0,"",SUMIFS(INDEX(Inputs!$D$4:$AG$150,0,MATCH(Q$2,Inputs!$D$2:$AG$2,0)),Inputs!$B$4:$B$150,$B37)/1000)</f>
        <v>0</v>
      </c>
      <c r="R37" s="12">
        <f>IF(Q37="","",Q37)</f>
        <v>0</v>
      </c>
      <c r="S37" s="11">
        <f>IF(S$3=0,"",SUMIFS(INDEX(Inputs!$D$4:$AG$150,0,MATCH(S$2,Inputs!$D$2:$AG$2,0)),Inputs!$B$4:$B$150,$B37)/1000)</f>
        <v>0</v>
      </c>
      <c r="T37" s="11">
        <f>IF(T$3=0,"",SUMIFS(INDEX(Inputs!$D$4:$AG$150,0,MATCH(T$2,Inputs!$D$2:$AG$2,0)),Inputs!$B$4:$B$150,$B37)/1000)</f>
        <v>0</v>
      </c>
      <c r="U37" s="11">
        <f>IF(U$3=0,"",SUMIFS(INDEX(Inputs!$D$4:$AG$150,0,MATCH(U$2,Inputs!$D$2:$AG$2,0)),Inputs!$B$4:$B$150,$B37)/1000)</f>
        <v>0</v>
      </c>
      <c r="V37" s="11">
        <f>IF(V$3=0,"",SUMIFS(INDEX(Inputs!$D$4:$AG$150,0,MATCH(V$2,Inputs!$D$2:$AG$2,0)),Inputs!$B$4:$B$150,$B37)/1000)</f>
        <v>0</v>
      </c>
      <c r="W37" s="12">
        <f>IF(V37="","",V37)</f>
        <v>0</v>
      </c>
      <c r="X37" s="11">
        <f>IF(X$3=0,"",SUMIFS(INDEX(Inputs!$D$4:$AG$150,0,MATCH(X$2,Inputs!$D$2:$AG$2,0)),Inputs!$B$4:$B$150,$B37)/1000)</f>
        <v>0</v>
      </c>
      <c r="Y37" s="11">
        <f>IF(Y$3=0,"",SUMIFS(INDEX(Inputs!$D$4:$AG$150,0,MATCH(Y$2,Inputs!$D$2:$AG$2,0)),Inputs!$B$4:$B$150,$B37)/1000)</f>
        <v>0</v>
      </c>
      <c r="Z37" s="11">
        <f>IF(Z$3=0,"",SUMIFS(INDEX(Inputs!$D$4:$AG$150,0,MATCH(Z$2,Inputs!$D$2:$AG$2,0)),Inputs!$B$4:$B$150,$B37)/1000)</f>
        <v>0</v>
      </c>
      <c r="AA37" s="11">
        <f>IF(AA$3=0,"",SUMIFS(INDEX(Inputs!$D$4:$AG$150,0,MATCH(AA$2,Inputs!$D$2:$AG$2,0)),Inputs!$B$4:$B$150,$B37)/1000)</f>
        <v>0</v>
      </c>
      <c r="AB37" s="12">
        <f>IF(AA37="","",AA37)</f>
        <v>0</v>
      </c>
      <c r="AC37" s="11">
        <f>IF(AC$3=0,"",SUMIFS(INDEX(Inputs!$D$4:$AG$150,0,MATCH(AC$2,Inputs!$D$2:$AG$2,0)),Inputs!$B$4:$B$150,$B37)/1000)</f>
        <v>0</v>
      </c>
      <c r="AD37" s="11">
        <f>IF(AD$3=0,"",SUMIFS(INDEX(Inputs!$D$4:$AG$150,0,MATCH(AD$2,Inputs!$D$2:$AG$2,0)),Inputs!$B$4:$B$150,$B37)/1000)</f>
        <v>0</v>
      </c>
      <c r="AE37" s="11" t="str">
        <f>IF(AE$3=0,"",SUMIFS(INDEX(Inputs!$D$4:$AG$150,0,MATCH(AE$2,Inputs!$D$2:$AG$2,0)),Inputs!$B$4:$B$150,$B37)/1000)</f>
        <v/>
      </c>
      <c r="AF37" s="11" t="str">
        <f>IF(AF$3=0,"",SUMIFS(INDEX(Inputs!$D$4:$AG$150,0,MATCH(AF$2,Inputs!$D$2:$AG$2,0)),Inputs!$B$4:$B$150,$B37)/1000)</f>
        <v/>
      </c>
      <c r="AG37" s="12" t="str">
        <f>IF(AF37="","",AF37)</f>
        <v/>
      </c>
    </row>
    <row r="38">
      <c r="B38" s="9" t="n">
        <v>33</v>
      </c>
      <c r="C38" s="14" t="inlineStr">
        <is>
          <t>Deferred income taxes</t>
        </is>
      </c>
      <c r="D38" s="11">
        <f>IF(D$3=0,"",SUMIFS(INDEX(Inputs!$D$4:$AG$150,0,MATCH(D$2,Inputs!$D$2:$AG$2,0)),Inputs!$B$4:$B$150,$B38)/1000)</f>
        <v>0</v>
      </c>
      <c r="E38" s="11">
        <f>IF(E$3=0,"",SUMIFS(INDEX(Inputs!$D$4:$AG$150,0,MATCH(E$2,Inputs!$D$2:$AG$2,0)),Inputs!$B$4:$B$150,$B38)/1000)</f>
        <v>0</v>
      </c>
      <c r="F38" s="11">
        <f>IF(F$3=0,"",SUMIFS(INDEX(Inputs!$D$4:$AG$150,0,MATCH(F$2,Inputs!$D$2:$AG$2,0)),Inputs!$B$4:$B$150,$B38)/1000)</f>
        <v>0</v>
      </c>
      <c r="G38" s="11">
        <f>IF(G$3=0,"",SUMIFS(INDEX(Inputs!$D$4:$AG$150,0,MATCH(G$2,Inputs!$D$2:$AG$2,0)),Inputs!$B$4:$B$150,$B38)/1000)</f>
        <v>0</v>
      </c>
      <c r="H38" s="12">
        <f>IF(G38="","",G38)</f>
        <v>0</v>
      </c>
      <c r="I38" s="11">
        <f>IF(I$3=0,"",SUMIFS(INDEX(Inputs!$D$4:$AG$150,0,MATCH(I$2,Inputs!$D$2:$AG$2,0)),Inputs!$B$4:$B$150,$B38)/1000)</f>
        <v>0</v>
      </c>
      <c r="J38" s="11">
        <f>IF(J$3=0,"",SUMIFS(INDEX(Inputs!$D$4:$AG$150,0,MATCH(J$2,Inputs!$D$2:$AG$2,0)),Inputs!$B$4:$B$150,$B38)/1000)</f>
        <v>0</v>
      </c>
      <c r="K38" s="11">
        <f>IF(K$3=0,"",SUMIFS(INDEX(Inputs!$D$4:$AG$150,0,MATCH(K$2,Inputs!$D$2:$AG$2,0)),Inputs!$B$4:$B$150,$B38)/1000)</f>
        <v>0</v>
      </c>
      <c r="L38" s="11">
        <f>IF(L$3=0,"",SUMIFS(INDEX(Inputs!$D$4:$AG$150,0,MATCH(L$2,Inputs!$D$2:$AG$2,0)),Inputs!$B$4:$B$150,$B38)/1000)</f>
        <v>0</v>
      </c>
      <c r="M38" s="12">
        <f>IF(L38="","",L38)</f>
        <v>0</v>
      </c>
      <c r="N38" s="11">
        <f>IF(N$3=0,"",SUMIFS(INDEX(Inputs!$D$4:$AG$150,0,MATCH(N$2,Inputs!$D$2:$AG$2,0)),Inputs!$B$4:$B$150,$B38)/1000)</f>
        <v>0</v>
      </c>
      <c r="O38" s="11">
        <f>IF(O$3=0,"",SUMIFS(INDEX(Inputs!$D$4:$AG$150,0,MATCH(O$2,Inputs!$D$2:$AG$2,0)),Inputs!$B$4:$B$150,$B38)/1000)</f>
        <v>0</v>
      </c>
      <c r="P38" s="11">
        <f>IF(P$3=0,"",SUMIFS(INDEX(Inputs!$D$4:$AG$150,0,MATCH(P$2,Inputs!$D$2:$AG$2,0)),Inputs!$B$4:$B$150,$B38)/1000)</f>
        <v>0</v>
      </c>
      <c r="Q38" s="11">
        <f>IF(Q$3=0,"",SUMIFS(INDEX(Inputs!$D$4:$AG$150,0,MATCH(Q$2,Inputs!$D$2:$AG$2,0)),Inputs!$B$4:$B$150,$B38)/1000)</f>
        <v>0</v>
      </c>
      <c r="R38" s="12">
        <f>IF(Q38="","",Q38)</f>
        <v>0</v>
      </c>
      <c r="S38" s="11">
        <f>IF(S$3=0,"",SUMIFS(INDEX(Inputs!$D$4:$AG$150,0,MATCH(S$2,Inputs!$D$2:$AG$2,0)),Inputs!$B$4:$B$150,$B38)/1000)</f>
        <v>0</v>
      </c>
      <c r="T38" s="11">
        <f>IF(T$3=0,"",SUMIFS(INDEX(Inputs!$D$4:$AG$150,0,MATCH(T$2,Inputs!$D$2:$AG$2,0)),Inputs!$B$4:$B$150,$B38)/1000)</f>
        <v>0</v>
      </c>
      <c r="U38" s="11">
        <f>IF(U$3=0,"",SUMIFS(INDEX(Inputs!$D$4:$AG$150,0,MATCH(U$2,Inputs!$D$2:$AG$2,0)),Inputs!$B$4:$B$150,$B38)/1000)</f>
        <v>0</v>
      </c>
      <c r="V38" s="11">
        <f>IF(V$3=0,"",SUMIFS(INDEX(Inputs!$D$4:$AG$150,0,MATCH(V$2,Inputs!$D$2:$AG$2,0)),Inputs!$B$4:$B$150,$B38)/1000)</f>
        <v>0</v>
      </c>
      <c r="W38" s="12">
        <f>IF(V38="","",V38)</f>
        <v>0</v>
      </c>
      <c r="X38" s="11">
        <f>IF(X$3=0,"",SUMIFS(INDEX(Inputs!$D$4:$AG$150,0,MATCH(X$2,Inputs!$D$2:$AG$2,0)),Inputs!$B$4:$B$150,$B38)/1000)</f>
        <v>0</v>
      </c>
      <c r="Y38" s="11">
        <f>IF(Y$3=0,"",SUMIFS(INDEX(Inputs!$D$4:$AG$150,0,MATCH(Y$2,Inputs!$D$2:$AG$2,0)),Inputs!$B$4:$B$150,$B38)/1000)</f>
        <v>0</v>
      </c>
      <c r="Z38" s="11">
        <f>IF(Z$3=0,"",SUMIFS(INDEX(Inputs!$D$4:$AG$150,0,MATCH(Z$2,Inputs!$D$2:$AG$2,0)),Inputs!$B$4:$B$150,$B38)/1000)</f>
        <v>0</v>
      </c>
      <c r="AA38" s="11">
        <f>IF(AA$3=0,"",SUMIFS(INDEX(Inputs!$D$4:$AG$150,0,MATCH(AA$2,Inputs!$D$2:$AG$2,0)),Inputs!$B$4:$B$150,$B38)/1000)</f>
        <v>0</v>
      </c>
      <c r="AB38" s="12">
        <f>IF(AA38="","",AA38)</f>
        <v>0</v>
      </c>
      <c r="AC38" s="11">
        <f>IF(AC$3=0,"",SUMIFS(INDEX(Inputs!$D$4:$AG$150,0,MATCH(AC$2,Inputs!$D$2:$AG$2,0)),Inputs!$B$4:$B$150,$B38)/1000)</f>
        <v>0</v>
      </c>
      <c r="AD38" s="11">
        <f>IF(AD$3=0,"",SUMIFS(INDEX(Inputs!$D$4:$AG$150,0,MATCH(AD$2,Inputs!$D$2:$AG$2,0)),Inputs!$B$4:$B$150,$B38)/1000)</f>
        <v>0</v>
      </c>
      <c r="AE38" s="11" t="str">
        <f>IF(AE$3=0,"",SUMIFS(INDEX(Inputs!$D$4:$AG$150,0,MATCH(AE$2,Inputs!$D$2:$AG$2,0)),Inputs!$B$4:$B$150,$B38)/1000)</f>
        <v/>
      </c>
      <c r="AF38" s="11" t="str">
        <f>IF(AF$3=0,"",SUMIFS(INDEX(Inputs!$D$4:$AG$150,0,MATCH(AF$2,Inputs!$D$2:$AG$2,0)),Inputs!$B$4:$B$150,$B38)/1000)</f>
        <v/>
      </c>
      <c r="AG38" s="12" t="str">
        <f>IF(AF38="","",AF38)</f>
        <v/>
      </c>
    </row>
    <row r="39">
      <c r="B39" s="9" t="n">
        <v>34</v>
      </c>
      <c r="C39" s="14" t="inlineStr">
        <is>
          <t>Other non-current liabilities</t>
        </is>
      </c>
      <c r="D39" s="11">
        <f>IF(D$3=0,"",SUMIFS(INDEX(Inputs!$D$4:$AG$150,0,MATCH(D$2,Inputs!$D$2:$AG$2,0)),Inputs!$B$4:$B$150,$B39)/1000)</f>
        <v>13630</v>
      </c>
      <c r="E39" s="11">
        <f>IF(E$3=0,"",SUMIFS(INDEX(Inputs!$D$4:$AG$150,0,MATCH(E$2,Inputs!$D$2:$AG$2,0)),Inputs!$B$4:$B$150,$B39)/1000)</f>
        <v>12525</v>
      </c>
      <c r="F39" s="11">
        <f>IF(F$3=0,"",SUMIFS(INDEX(Inputs!$D$4:$AG$150,0,MATCH(F$2,Inputs!$D$2:$AG$2,0)),Inputs!$B$4:$B$150,$B39)/1000)</f>
        <v>11289</v>
      </c>
      <c r="G39" s="11">
        <f>IF(G$3=0,"",SUMIFS(INDEX(Inputs!$D$4:$AG$150,0,MATCH(G$2,Inputs!$D$2:$AG$2,0)),Inputs!$B$4:$B$150,$B39)/1000)</f>
        <v>10843</v>
      </c>
      <c r="H39" s="12">
        <f>IF(G39="","",G39)</f>
        <v>10843</v>
      </c>
      <c r="I39" s="11">
        <f>IF(I$3=0,"",SUMIFS(INDEX(Inputs!$D$4:$AG$150,0,MATCH(I$2,Inputs!$D$2:$AG$2,0)),Inputs!$B$4:$B$150,$B39)/1000)</f>
        <v>9177</v>
      </c>
      <c r="J39" s="11">
        <f>IF(J$3=0,"",SUMIFS(INDEX(Inputs!$D$4:$AG$150,0,MATCH(J$2,Inputs!$D$2:$AG$2,0)),Inputs!$B$4:$B$150,$B39)/1000)</f>
        <v>9034</v>
      </c>
      <c r="K39" s="11">
        <f>IF(K$3=0,"",SUMIFS(INDEX(Inputs!$D$4:$AG$150,0,MATCH(K$2,Inputs!$D$2:$AG$2,0)),Inputs!$B$4:$B$150,$B39)/1000)</f>
        <v>8691</v>
      </c>
      <c r="L39" s="11">
        <f>IF(L$3=0,"",SUMIFS(INDEX(Inputs!$D$4:$AG$150,0,MATCH(L$2,Inputs!$D$2:$AG$2,0)),Inputs!$B$4:$B$150,$B39)/1000)</f>
        <v>9731</v>
      </c>
      <c r="M39" s="12">
        <f>IF(L39="","",L39)</f>
        <v>9731</v>
      </c>
      <c r="N39" s="11">
        <f>IF(N$3=0,"",SUMIFS(INDEX(Inputs!$D$4:$AG$150,0,MATCH(N$2,Inputs!$D$2:$AG$2,0)),Inputs!$B$4:$B$150,$B39)/1000)</f>
        <v>10162</v>
      </c>
      <c r="O39" s="11">
        <f>IF(O$3=0,"",SUMIFS(INDEX(Inputs!$D$4:$AG$150,0,MATCH(O$2,Inputs!$D$2:$AG$2,0)),Inputs!$B$4:$B$150,$B39)/1000)</f>
        <v>10817</v>
      </c>
      <c r="P39" s="11">
        <f>IF(P$3=0,"",SUMIFS(INDEX(Inputs!$D$4:$AG$150,0,MATCH(P$2,Inputs!$D$2:$AG$2,0)),Inputs!$B$4:$B$150,$B39)/1000)</f>
        <v>12806</v>
      </c>
      <c r="Q39" s="11">
        <f>IF(Q$3=0,"",SUMIFS(INDEX(Inputs!$D$4:$AG$150,0,MATCH(Q$2,Inputs!$D$2:$AG$2,0)),Inputs!$B$4:$B$150,$B39)/1000)</f>
        <v>14261</v>
      </c>
      <c r="R39" s="12">
        <f>IF(Q39="","",Q39)</f>
        <v>14261</v>
      </c>
      <c r="S39" s="11">
        <f>IF(S$3=0,"",SUMIFS(INDEX(Inputs!$D$4:$AG$150,0,MATCH(S$2,Inputs!$D$2:$AG$2,0)),Inputs!$B$4:$B$150,$B39)/1000)</f>
        <v>14593</v>
      </c>
      <c r="T39" s="11">
        <f>IF(T$3=0,"",SUMIFS(INDEX(Inputs!$D$4:$AG$150,0,MATCH(T$2,Inputs!$D$2:$AG$2,0)),Inputs!$B$4:$B$150,$B39)/1000)</f>
        <v>17840</v>
      </c>
      <c r="U39" s="11">
        <f>IF(U$3=0,"",SUMIFS(INDEX(Inputs!$D$4:$AG$150,0,MATCH(U$2,Inputs!$D$2:$AG$2,0)),Inputs!$B$4:$B$150,$B39)/1000)</f>
        <v>18565</v>
      </c>
      <c r="V39" s="11">
        <f>IF(V$3=0,"",SUMIFS(INDEX(Inputs!$D$4:$AG$150,0,MATCH(V$2,Inputs!$D$2:$AG$2,0)),Inputs!$B$4:$B$150,$B39)/1000)</f>
        <v>19569</v>
      </c>
      <c r="W39" s="12">
        <f>IF(V39="","",V39)</f>
        <v>19569</v>
      </c>
      <c r="X39" s="11">
        <f>IF(X$3=0,"",SUMIFS(INDEX(Inputs!$D$4:$AG$150,0,MATCH(X$2,Inputs!$D$2:$AG$2,0)),Inputs!$B$4:$B$150,$B39)/1000)</f>
        <v>19940</v>
      </c>
      <c r="Y39" s="11">
        <f>IF(Y$3=0,"",SUMIFS(INDEX(Inputs!$D$4:$AG$150,0,MATCH(Y$2,Inputs!$D$2:$AG$2,0)),Inputs!$B$4:$B$150,$B39)/1000)</f>
        <v>20487</v>
      </c>
      <c r="Z39" s="11">
        <f>IF(Z$3=0,"",SUMIFS(INDEX(Inputs!$D$4:$AG$150,0,MATCH(Z$2,Inputs!$D$2:$AG$2,0)),Inputs!$B$4:$B$150,$B39)/1000)</f>
        <v>21729</v>
      </c>
      <c r="AA39" s="11">
        <f>IF(AA$3=0,"",SUMIFS(INDEX(Inputs!$D$4:$AG$150,0,MATCH(AA$2,Inputs!$D$2:$AG$2,0)),Inputs!$B$4:$B$150,$B39)/1000)</f>
        <v>23227</v>
      </c>
      <c r="AB39" s="12">
        <f>IF(AA39="","",AA39)</f>
        <v>23227</v>
      </c>
      <c r="AC39" s="11">
        <f>IF(AC$3=0,"",SUMIFS(INDEX(Inputs!$D$4:$AG$150,0,MATCH(AC$2,Inputs!$D$2:$AG$2,0)),Inputs!$B$4:$B$150,$B39)/1000)</f>
        <v>24784</v>
      </c>
      <c r="AD39" s="11">
        <f>IF(AD$3=0,"",SUMIFS(INDEX(Inputs!$D$4:$AG$150,0,MATCH(AD$2,Inputs!$D$2:$AG$2,0)),Inputs!$B$4:$B$150,$B39)/1000)</f>
        <v>25580</v>
      </c>
      <c r="AE39" s="11" t="str">
        <f>IF(AE$3=0,"",SUMIFS(INDEX(Inputs!$D$4:$AG$150,0,MATCH(AE$2,Inputs!$D$2:$AG$2,0)),Inputs!$B$4:$B$150,$B39)/1000)</f>
        <v/>
      </c>
      <c r="AF39" s="11" t="str">
        <f>IF(AF$3=0,"",SUMIFS(INDEX(Inputs!$D$4:$AG$150,0,MATCH(AF$2,Inputs!$D$2:$AG$2,0)),Inputs!$B$4:$B$150,$B39)/1000)</f>
        <v/>
      </c>
      <c r="AG39" s="12" t="str">
        <f>IF(AF39="","",AF39)</f>
        <v/>
      </c>
    </row>
    <row r="40">
      <c r="C40" s="3" t="n"/>
    </row>
    <row r="41">
      <c r="B41" s="9" t="n">
        <v>35</v>
      </c>
      <c r="C41" s="14" t="inlineStr">
        <is>
          <t>Minority interest</t>
        </is>
      </c>
      <c r="D41" s="11">
        <f>IF(D$3=0,"",SUMIFS(INDEX(Inputs!$D$4:$AG$150,0,MATCH(D$2,Inputs!$D$2:$AG$2,0)),Inputs!$B$4:$B$150,$B41)/1000)</f>
        <v>1448</v>
      </c>
      <c r="E41" s="11">
        <f>IF(E$3=0,"",SUMIFS(INDEX(Inputs!$D$4:$AG$150,0,MATCH(E$2,Inputs!$D$2:$AG$2,0)),Inputs!$B$4:$B$150,$B41)/1000)</f>
        <v>1446</v>
      </c>
      <c r="F41" s="11">
        <f>IF(F$3=0,"",SUMIFS(INDEX(Inputs!$D$4:$AG$150,0,MATCH(F$2,Inputs!$D$2:$AG$2,0)),Inputs!$B$4:$B$150,$B41)/1000)</f>
        <v>1441</v>
      </c>
      <c r="G41" s="11">
        <f>IF(G$3=0,"",SUMIFS(INDEX(Inputs!$D$4:$AG$150,0,MATCH(G$2,Inputs!$D$2:$AG$2,0)),Inputs!$B$4:$B$150,$B41)/1000)</f>
        <v>1394</v>
      </c>
      <c r="H41" s="12">
        <f>IF(G41="","",G41)</f>
        <v>1394</v>
      </c>
      <c r="I41" s="11">
        <f>IF(I$3=0,"",SUMIFS(INDEX(Inputs!$D$4:$AG$150,0,MATCH(I$2,Inputs!$D$2:$AG$2,0)),Inputs!$B$4:$B$150,$B41)/1000)</f>
        <v>1321</v>
      </c>
      <c r="J41" s="11">
        <f>IF(J$3=0,"",SUMIFS(INDEX(Inputs!$D$4:$AG$150,0,MATCH(J$2,Inputs!$D$2:$AG$2,0)),Inputs!$B$4:$B$150,$B41)/1000)</f>
        <v>1282</v>
      </c>
      <c r="K41" s="11">
        <f>IF(K$3=0,"",SUMIFS(INDEX(Inputs!$D$4:$AG$150,0,MATCH(K$2,Inputs!$D$2:$AG$2,0)),Inputs!$B$4:$B$150,$B41)/1000)</f>
        <v>1273</v>
      </c>
      <c r="L41" s="11">
        <f>IF(L$3=0,"",SUMIFS(INDEX(Inputs!$D$4:$AG$150,0,MATCH(L$2,Inputs!$D$2:$AG$2,0)),Inputs!$B$4:$B$150,$B41)/1000)</f>
        <v>1194</v>
      </c>
      <c r="M41" s="12">
        <f>IF(L41="","",L41)</f>
        <v>1194</v>
      </c>
      <c r="N41" s="11">
        <f>IF(N$3=0,"",SUMIFS(INDEX(Inputs!$D$4:$AG$150,0,MATCH(N$2,Inputs!$D$2:$AG$2,0)),Inputs!$B$4:$B$150,$B41)/1000)</f>
        <v>1181</v>
      </c>
      <c r="O41" s="11">
        <f>IF(O$3=0,"",SUMIFS(INDEX(Inputs!$D$4:$AG$150,0,MATCH(O$2,Inputs!$D$2:$AG$2,0)),Inputs!$B$4:$B$150,$B41)/1000)</f>
        <v>1052</v>
      </c>
      <c r="P41" s="11">
        <f>IF(P$3=0,"",SUMIFS(INDEX(Inputs!$D$4:$AG$150,0,MATCH(P$2,Inputs!$D$2:$AG$2,0)),Inputs!$B$4:$B$150,$B41)/1000)</f>
        <v>1029</v>
      </c>
      <c r="Q41" s="11">
        <f>IF(Q$3=0,"",SUMIFS(INDEX(Inputs!$D$4:$AG$150,0,MATCH(Q$2,Inputs!$D$2:$AG$2,0)),Inputs!$B$4:$B$150,$B41)/1000)</f>
        <v>975</v>
      </c>
      <c r="R41" s="12">
        <f>IF(Q41="","",Q41)</f>
        <v>975</v>
      </c>
      <c r="S41" s="11">
        <f>IF(S$3=0,"",SUMIFS(INDEX(Inputs!$D$4:$AG$150,0,MATCH(S$2,Inputs!$D$2:$AG$2,0)),Inputs!$B$4:$B$150,$B41)/1000)</f>
        <v>802</v>
      </c>
      <c r="T41" s="11">
        <f>IF(T$3=0,"",SUMIFS(INDEX(Inputs!$D$4:$AG$150,0,MATCH(T$2,Inputs!$D$2:$AG$2,0)),Inputs!$B$4:$B$150,$B41)/1000)</f>
        <v>795</v>
      </c>
      <c r="U41" s="11">
        <f>IF(U$3=0,"",SUMIFS(INDEX(Inputs!$D$4:$AG$150,0,MATCH(U$2,Inputs!$D$2:$AG$2,0)),Inputs!$B$4:$B$150,$B41)/1000)</f>
        <v>779</v>
      </c>
      <c r="V41" s="11">
        <f>IF(V$3=0,"",SUMIFS(INDEX(Inputs!$D$4:$AG$150,0,MATCH(V$2,Inputs!$D$2:$AG$2,0)),Inputs!$B$4:$B$150,$B41)/1000)</f>
        <v>767</v>
      </c>
      <c r="W41" s="12">
        <f>IF(V41="","",V41)</f>
        <v>767</v>
      </c>
      <c r="X41" s="11">
        <f>IF(X$3=0,"",SUMIFS(INDEX(Inputs!$D$4:$AG$150,0,MATCH(X$2,Inputs!$D$2:$AG$2,0)),Inputs!$B$4:$B$150,$B41)/1000)</f>
        <v>765</v>
      </c>
      <c r="Y41" s="11">
        <f>IF(Y$3=0,"",SUMIFS(INDEX(Inputs!$D$4:$AG$150,0,MATCH(Y$2,Inputs!$D$2:$AG$2,0)),Inputs!$B$4:$B$150,$B41)/1000)</f>
        <v>758</v>
      </c>
      <c r="Z41" s="11">
        <f>IF(Z$3=0,"",SUMIFS(INDEX(Inputs!$D$4:$AG$150,0,MATCH(Z$2,Inputs!$D$2:$AG$2,0)),Inputs!$B$4:$B$150,$B41)/1000)</f>
        <v>746</v>
      </c>
      <c r="AA41" s="11">
        <f>IF(AA$3=0,"",SUMIFS(INDEX(Inputs!$D$4:$AG$150,0,MATCH(AA$2,Inputs!$D$2:$AG$2,0)),Inputs!$B$4:$B$150,$B41)/1000)</f>
        <v>728</v>
      </c>
      <c r="AB41" s="12">
        <f>IF(AA41="","",AA41)</f>
        <v>728</v>
      </c>
      <c r="AC41" s="11">
        <f>IF(AC$3=0,"",SUMIFS(INDEX(Inputs!$D$4:$AG$150,0,MATCH(AC$2,Inputs!$D$2:$AG$2,0)),Inputs!$B$4:$B$150,$B41)/1000)</f>
        <v>686</v>
      </c>
      <c r="AD41" s="11">
        <f>IF(AD$3=0,"",SUMIFS(INDEX(Inputs!$D$4:$AG$150,0,MATCH(AD$2,Inputs!$D$2:$AG$2,0)),Inputs!$B$4:$B$150,$B41)/1000)</f>
        <v>661</v>
      </c>
      <c r="AE41" s="11" t="str">
        <f>IF(AE$3=0,"",SUMIFS(INDEX(Inputs!$D$4:$AG$150,0,MATCH(AE$2,Inputs!$D$2:$AG$2,0)),Inputs!$B$4:$B$150,$B41)/1000)</f>
        <v/>
      </c>
      <c r="AF41" s="11" t="str">
        <f>IF(AF$3=0,"",SUMIFS(INDEX(Inputs!$D$4:$AG$150,0,MATCH(AF$2,Inputs!$D$2:$AG$2,0)),Inputs!$B$4:$B$150,$B41)/1000)</f>
        <v/>
      </c>
      <c r="AG41" s="12" t="str">
        <f>IF(AF41="","",AF41)</f>
        <v/>
      </c>
    </row>
    <row r="42">
      <c r="B42" s="9" t="n">
        <v>36</v>
      </c>
      <c r="C42" s="14" t="inlineStr">
        <is>
          <t>Convertible Preferred Stock</t>
        </is>
      </c>
      <c r="D42" s="11">
        <f>IF(D$3=0,"",SUMIFS(INDEX(Inputs!$D$4:$AG$150,0,MATCH(D$2,Inputs!$D$2:$AG$2,0)),Inputs!$B$4:$B$150,$B42)/1000)</f>
        <v>0</v>
      </c>
      <c r="E42" s="11">
        <f>IF(E$3=0,"",SUMIFS(INDEX(Inputs!$D$4:$AG$150,0,MATCH(E$2,Inputs!$D$2:$AG$2,0)),Inputs!$B$4:$B$150,$B42)/1000)</f>
        <v>0</v>
      </c>
      <c r="F42" s="11">
        <f>IF(F$3=0,"",SUMIFS(INDEX(Inputs!$D$4:$AG$150,0,MATCH(F$2,Inputs!$D$2:$AG$2,0)),Inputs!$B$4:$B$150,$B42)/1000)</f>
        <v>0</v>
      </c>
      <c r="G42" s="11">
        <f>IF(G$3=0,"",SUMIFS(INDEX(Inputs!$D$4:$AG$150,0,MATCH(G$2,Inputs!$D$2:$AG$2,0)),Inputs!$B$4:$B$150,$B42)/1000)</f>
        <v>0</v>
      </c>
      <c r="H42" s="12">
        <f>IF(G42="","",G42)</f>
        <v>0</v>
      </c>
      <c r="I42" s="11">
        <f>IF(I$3=0,"",SUMIFS(INDEX(Inputs!$D$4:$AG$150,0,MATCH(I$2,Inputs!$D$2:$AG$2,0)),Inputs!$B$4:$B$150,$B42)/1000)</f>
        <v>0</v>
      </c>
      <c r="J42" s="11">
        <f>IF(J$3=0,"",SUMIFS(INDEX(Inputs!$D$4:$AG$150,0,MATCH(J$2,Inputs!$D$2:$AG$2,0)),Inputs!$B$4:$B$150,$B42)/1000)</f>
        <v>0</v>
      </c>
      <c r="K42" s="11">
        <f>IF(K$3=0,"",SUMIFS(INDEX(Inputs!$D$4:$AG$150,0,MATCH(K$2,Inputs!$D$2:$AG$2,0)),Inputs!$B$4:$B$150,$B42)/1000)</f>
        <v>0</v>
      </c>
      <c r="L42" s="11">
        <f>IF(L$3=0,"",SUMIFS(INDEX(Inputs!$D$4:$AG$150,0,MATCH(L$2,Inputs!$D$2:$AG$2,0)),Inputs!$B$4:$B$150,$B42)/1000)</f>
        <v>0</v>
      </c>
      <c r="M42" s="12">
        <f>IF(L42="","",L42)</f>
        <v>0</v>
      </c>
      <c r="N42" s="11">
        <f>IF(N$3=0,"",SUMIFS(INDEX(Inputs!$D$4:$AG$150,0,MATCH(N$2,Inputs!$D$2:$AG$2,0)),Inputs!$B$4:$B$150,$B42)/1000)</f>
        <v>0</v>
      </c>
      <c r="O42" s="11">
        <f>IF(O$3=0,"",SUMIFS(INDEX(Inputs!$D$4:$AG$150,0,MATCH(O$2,Inputs!$D$2:$AG$2,0)),Inputs!$B$4:$B$150,$B42)/1000)</f>
        <v>0</v>
      </c>
      <c r="P42" s="11">
        <f>IF(P$3=0,"",SUMIFS(INDEX(Inputs!$D$4:$AG$150,0,MATCH(P$2,Inputs!$D$2:$AG$2,0)),Inputs!$B$4:$B$150,$B42)/1000)</f>
        <v>0</v>
      </c>
      <c r="Q42" s="11">
        <f>IF(Q$3=0,"",SUMIFS(INDEX(Inputs!$D$4:$AG$150,0,MATCH(Q$2,Inputs!$D$2:$AG$2,0)),Inputs!$B$4:$B$150,$B42)/1000)</f>
        <v>0</v>
      </c>
      <c r="R42" s="12">
        <f>IF(Q42="","",Q42)</f>
        <v>0</v>
      </c>
      <c r="S42" s="11">
        <f>IF(S$3=0,"",SUMIFS(INDEX(Inputs!$D$4:$AG$150,0,MATCH(S$2,Inputs!$D$2:$AG$2,0)),Inputs!$B$4:$B$150,$B42)/1000)</f>
        <v>0</v>
      </c>
      <c r="T42" s="11">
        <f>IF(T$3=0,"",SUMIFS(INDEX(Inputs!$D$4:$AG$150,0,MATCH(T$2,Inputs!$D$2:$AG$2,0)),Inputs!$B$4:$B$150,$B42)/1000)</f>
        <v>0</v>
      </c>
      <c r="U42" s="11">
        <f>IF(U$3=0,"",SUMIFS(INDEX(Inputs!$D$4:$AG$150,0,MATCH(U$2,Inputs!$D$2:$AG$2,0)),Inputs!$B$4:$B$150,$B42)/1000)</f>
        <v>0</v>
      </c>
      <c r="V42" s="11">
        <f>IF(V$3=0,"",SUMIFS(INDEX(Inputs!$D$4:$AG$150,0,MATCH(V$2,Inputs!$D$2:$AG$2,0)),Inputs!$B$4:$B$150,$B42)/1000)</f>
        <v>0</v>
      </c>
      <c r="W42" s="12">
        <f>IF(V42="","",V42)</f>
        <v>0</v>
      </c>
      <c r="X42" s="11">
        <f>IF(X$3=0,"",SUMIFS(INDEX(Inputs!$D$4:$AG$150,0,MATCH(X$2,Inputs!$D$2:$AG$2,0)),Inputs!$B$4:$B$150,$B42)/1000)</f>
        <v>0</v>
      </c>
      <c r="Y42" s="11">
        <f>IF(Y$3=0,"",SUMIFS(INDEX(Inputs!$D$4:$AG$150,0,MATCH(Y$2,Inputs!$D$2:$AG$2,0)),Inputs!$B$4:$B$150,$B42)/1000)</f>
        <v>0</v>
      </c>
      <c r="Z42" s="11">
        <f>IF(Z$3=0,"",SUMIFS(INDEX(Inputs!$D$4:$AG$150,0,MATCH(Z$2,Inputs!$D$2:$AG$2,0)),Inputs!$B$4:$B$150,$B42)/1000)</f>
        <v>0</v>
      </c>
      <c r="AA42" s="11">
        <f>IF(AA$3=0,"",SUMIFS(INDEX(Inputs!$D$4:$AG$150,0,MATCH(AA$2,Inputs!$D$2:$AG$2,0)),Inputs!$B$4:$B$150,$B42)/1000)</f>
        <v>0</v>
      </c>
      <c r="AB42" s="12">
        <f>IF(AA42="","",AA42)</f>
        <v>0</v>
      </c>
      <c r="AC42" s="11">
        <f>IF(AC$3=0,"",SUMIFS(INDEX(Inputs!$D$4:$AG$150,0,MATCH(AC$2,Inputs!$D$2:$AG$2,0)),Inputs!$B$4:$B$150,$B42)/1000)</f>
        <v>0</v>
      </c>
      <c r="AD42" s="11">
        <f>IF(AD$3=0,"",SUMIFS(INDEX(Inputs!$D$4:$AG$150,0,MATCH(AD$2,Inputs!$D$2:$AG$2,0)),Inputs!$B$4:$B$150,$B42)/1000)</f>
        <v>0</v>
      </c>
      <c r="AE42" s="11" t="str">
        <f>IF(AE$3=0,"",SUMIFS(INDEX(Inputs!$D$4:$AG$150,0,MATCH(AE$2,Inputs!$D$2:$AG$2,0)),Inputs!$B$4:$B$150,$B42)/1000)</f>
        <v/>
      </c>
      <c r="AF42" s="11" t="str">
        <f>IF(AF$3=0,"",SUMIFS(INDEX(Inputs!$D$4:$AG$150,0,MATCH(AF$2,Inputs!$D$2:$AG$2,0)),Inputs!$B$4:$B$150,$B42)/1000)</f>
        <v/>
      </c>
      <c r="AG42" s="12" t="str">
        <f>IF(AF42="","",AF42)</f>
        <v/>
      </c>
    </row>
    <row r="43">
      <c r="B43" s="9" t="n">
        <v>37</v>
      </c>
      <c r="C43" s="13" t="inlineStr">
        <is>
          <t>Common Stock and APIC</t>
        </is>
      </c>
      <c r="D43" s="11">
        <f>IF(D$3=0,"",SUMIFS(INDEX(Inputs!$D$4:$AG$150,0,MATCH(D$2,Inputs!$D$2:$AG$2,0)),Inputs!$B$4:$B$150,$B43)/1000)</f>
        <v>27624</v>
      </c>
      <c r="E43" s="11">
        <f>IF(E$3=0,"",SUMIFS(INDEX(Inputs!$D$4:$AG$150,0,MATCH(E$2,Inputs!$D$2:$AG$2,0)),Inputs!$B$4:$B$150,$B43)/1000)</f>
        <v>28206</v>
      </c>
      <c r="F43" s="11">
        <f>IF(F$3=0,"",SUMIFS(INDEX(Inputs!$D$4:$AG$150,0,MATCH(F$2,Inputs!$D$2:$AG$2,0)),Inputs!$B$4:$B$150,$B43)/1000)</f>
        <v>28923</v>
      </c>
      <c r="G43" s="11">
        <f>IF(G$3=0,"",SUMIFS(INDEX(Inputs!$D$4:$AG$150,0,MATCH(G$2,Inputs!$D$2:$AG$2,0)),Inputs!$B$4:$B$150,$B43)/1000)</f>
        <v>29804</v>
      </c>
      <c r="H43" s="12">
        <f>IF(G43="","",G43)</f>
        <v>29804</v>
      </c>
      <c r="I43" s="11">
        <f>IF(I$3=0,"",SUMIFS(INDEX(Inputs!$D$4:$AG$150,0,MATCH(I$2,Inputs!$D$2:$AG$2,0)),Inputs!$B$4:$B$150,$B43)/1000)</f>
        <v>30486</v>
      </c>
      <c r="J43" s="11">
        <f>IF(J$3=0,"",SUMIFS(INDEX(Inputs!$D$4:$AG$150,0,MATCH(J$2,Inputs!$D$2:$AG$2,0)),Inputs!$B$4:$B$150,$B43)/1000)</f>
        <v>30945</v>
      </c>
      <c r="K43" s="11">
        <f>IF(K$3=0,"",SUMIFS(INDEX(Inputs!$D$4:$AG$150,0,MATCH(K$2,Inputs!$D$2:$AG$2,0)),Inputs!$B$4:$B$150,$B43)/1000)</f>
        <v>31595</v>
      </c>
      <c r="L43" s="11">
        <f>IF(L$3=0,"",SUMIFS(INDEX(Inputs!$D$4:$AG$150,0,MATCH(L$2,Inputs!$D$2:$AG$2,0)),Inputs!$B$4:$B$150,$B43)/1000)</f>
        <v>32180</v>
      </c>
      <c r="M43" s="12">
        <f>IF(L43="","",L43)</f>
        <v>32180</v>
      </c>
      <c r="N43" s="11">
        <f>IF(N$3=0,"",SUMIFS(INDEX(Inputs!$D$4:$AG$150,0,MATCH(N$2,Inputs!$D$2:$AG$2,0)),Inputs!$B$4:$B$150,$B43)/1000)</f>
        <v>32881</v>
      </c>
      <c r="O43" s="11">
        <f>IF(O$3=0,"",SUMIFS(INDEX(Inputs!$D$4:$AG$150,0,MATCH(O$2,Inputs!$D$2:$AG$2,0)),Inputs!$B$4:$B$150,$B43)/1000)</f>
        <v>33439</v>
      </c>
      <c r="P43" s="11">
        <f>IF(P$3=0,"",SUMIFS(INDEX(Inputs!$D$4:$AG$150,0,MATCH(P$2,Inputs!$D$2:$AG$2,0)),Inputs!$B$4:$B$150,$B43)/1000)</f>
        <v>34204</v>
      </c>
      <c r="Q43" s="11">
        <f>IF(Q$3=0,"",SUMIFS(INDEX(Inputs!$D$4:$AG$150,0,MATCH(Q$2,Inputs!$D$2:$AG$2,0)),Inputs!$B$4:$B$150,$B43)/1000)</f>
        <v>34895</v>
      </c>
      <c r="R43" s="12">
        <f>IF(Q43="","",Q43)</f>
        <v>34895</v>
      </c>
      <c r="S43" s="11">
        <f>IF(S$3=0,"",SUMIFS(INDEX(Inputs!$D$4:$AG$150,0,MATCH(S$2,Inputs!$D$2:$AG$2,0)),Inputs!$B$4:$B$150,$B43)/1000)</f>
        <v>35766</v>
      </c>
      <c r="T43" s="11">
        <f>IF(T$3=0,"",SUMIFS(INDEX(Inputs!$D$4:$AG$150,0,MATCH(T$2,Inputs!$D$2:$AG$2,0)),Inputs!$B$4:$B$150,$B43)/1000)</f>
        <v>36446</v>
      </c>
      <c r="U43" s="11">
        <f>IF(U$3=0,"",SUMIFS(INDEX(Inputs!$D$4:$AG$150,0,MATCH(U$2,Inputs!$D$2:$AG$2,0)),Inputs!$B$4:$B$150,$B43)/1000)</f>
        <v>37289</v>
      </c>
      <c r="V43" s="11">
        <f>IF(V$3=0,"",SUMIFS(INDEX(Inputs!$D$4:$AG$150,0,MATCH(V$2,Inputs!$D$2:$AG$2,0)),Inputs!$B$4:$B$150,$B43)/1000)</f>
        <v>38374</v>
      </c>
      <c r="W43" s="12">
        <f>IF(V43="","",V43)</f>
        <v>38374</v>
      </c>
      <c r="X43" s="11">
        <f>IF(X$3=0,"",SUMIFS(INDEX(Inputs!$D$4:$AG$150,0,MATCH(X$2,Inputs!$D$2:$AG$2,0)),Inputs!$B$4:$B$150,$B43)/1000)</f>
        <v>39459</v>
      </c>
      <c r="Y43" s="11">
        <f>IF(Y$3=0,"",SUMIFS(INDEX(Inputs!$D$4:$AG$150,0,MATCH(Y$2,Inputs!$D$2:$AG$2,0)),Inputs!$B$4:$B$150,$B43)/1000)</f>
        <v>40366</v>
      </c>
      <c r="Z43" s="11">
        <f>IF(Z$3=0,"",SUMIFS(INDEX(Inputs!$D$4:$AG$150,0,MATCH(Z$2,Inputs!$D$2:$AG$2,0)),Inputs!$B$4:$B$150,$B43)/1000)</f>
        <v>41600</v>
      </c>
      <c r="AA43" s="11">
        <f>IF(AA$3=0,"",SUMIFS(INDEX(Inputs!$D$4:$AG$150,0,MATCH(AA$2,Inputs!$D$2:$AG$2,0)),Inputs!$B$4:$B$150,$B43)/1000)</f>
        <v>42773</v>
      </c>
      <c r="AB43" s="12">
        <f>IF(AA43="","",AA43)</f>
        <v>42773</v>
      </c>
      <c r="AC43" s="11">
        <f>IF(AC$3=0,"",SUMIFS(INDEX(Inputs!$D$4:$AG$150,0,MATCH(AC$2,Inputs!$D$2:$AG$2,0)),Inputs!$B$4:$B$150,$B43)/1000)</f>
        <v>44302</v>
      </c>
      <c r="AD43" s="11">
        <f>IF(AD$3=0,"",SUMIFS(INDEX(Inputs!$D$4:$AG$150,0,MATCH(AD$2,Inputs!$D$2:$AG$2,0)),Inputs!$B$4:$B$150,$B43)/1000)</f>
        <v>45863</v>
      </c>
      <c r="AE43" s="11" t="str">
        <f>IF(AE$3=0,"",SUMIFS(INDEX(Inputs!$D$4:$AG$150,0,MATCH(AE$2,Inputs!$D$2:$AG$2,0)),Inputs!$B$4:$B$150,$B43)/1000)</f>
        <v/>
      </c>
      <c r="AF43" s="11" t="str">
        <f>IF(AF$3=0,"",SUMIFS(INDEX(Inputs!$D$4:$AG$150,0,MATCH(AF$2,Inputs!$D$2:$AG$2,0)),Inputs!$B$4:$B$150,$B43)/1000)</f>
        <v/>
      </c>
      <c r="AG43" s="12" t="str">
        <f>IF(AF43="","",AF43)</f>
        <v/>
      </c>
    </row>
    <row r="44">
      <c r="B44" s="9" t="n">
        <v>38</v>
      </c>
      <c r="C44" s="14" t="inlineStr">
        <is>
          <t>Treasury stock (contra account)</t>
        </is>
      </c>
      <c r="D44" s="11">
        <f>IF(D$3=0,"",SUMIFS(INDEX(Inputs!$D$4:$AG$150,0,MATCH(D$2,Inputs!$D$2:$AG$2,0)),Inputs!$B$4:$B$150,$B44)/1000)</f>
        <v>0</v>
      </c>
      <c r="E44" s="11">
        <f>IF(E$3=0,"",SUMIFS(INDEX(Inputs!$D$4:$AG$150,0,MATCH(E$2,Inputs!$D$2:$AG$2,0)),Inputs!$B$4:$B$150,$B44)/1000)</f>
        <v>0</v>
      </c>
      <c r="F44" s="11">
        <f>IF(F$3=0,"",SUMIFS(INDEX(Inputs!$D$4:$AG$150,0,MATCH(F$2,Inputs!$D$2:$AG$2,0)),Inputs!$B$4:$B$150,$B44)/1000)</f>
        <v>0</v>
      </c>
      <c r="G44" s="11">
        <f>IF(G$3=0,"",SUMIFS(INDEX(Inputs!$D$4:$AG$150,0,MATCH(G$2,Inputs!$D$2:$AG$2,0)),Inputs!$B$4:$B$150,$B44)/1000)</f>
        <v>0</v>
      </c>
      <c r="H44" s="12">
        <f>IF(G44="","",G44)</f>
        <v>0</v>
      </c>
      <c r="I44" s="11">
        <f>IF(I$3=0,"",SUMIFS(INDEX(Inputs!$D$4:$AG$150,0,MATCH(I$2,Inputs!$D$2:$AG$2,0)),Inputs!$B$4:$B$150,$B44)/1000)</f>
        <v>0</v>
      </c>
      <c r="J44" s="11">
        <f>IF(J$3=0,"",SUMIFS(INDEX(Inputs!$D$4:$AG$150,0,MATCH(J$2,Inputs!$D$2:$AG$2,0)),Inputs!$B$4:$B$150,$B44)/1000)</f>
        <v>0</v>
      </c>
      <c r="K44" s="11">
        <f>IF(K$3=0,"",SUMIFS(INDEX(Inputs!$D$4:$AG$150,0,MATCH(K$2,Inputs!$D$2:$AG$2,0)),Inputs!$B$4:$B$150,$B44)/1000)</f>
        <v>0</v>
      </c>
      <c r="L44" s="11">
        <f>IF(L$3=0,"",SUMIFS(INDEX(Inputs!$D$4:$AG$150,0,MATCH(L$2,Inputs!$D$2:$AG$2,0)),Inputs!$B$4:$B$150,$B44)/1000)</f>
        <v>0</v>
      </c>
      <c r="M44" s="12">
        <f>IF(L44="","",L44)</f>
        <v>0</v>
      </c>
      <c r="N44" s="11">
        <f>IF(N$3=0,"",SUMIFS(INDEX(Inputs!$D$4:$AG$150,0,MATCH(N$2,Inputs!$D$2:$AG$2,0)),Inputs!$B$4:$B$150,$B44)/1000)</f>
        <v>0</v>
      </c>
      <c r="O44" s="11">
        <f>IF(O$3=0,"",SUMIFS(INDEX(Inputs!$D$4:$AG$150,0,MATCH(O$2,Inputs!$D$2:$AG$2,0)),Inputs!$B$4:$B$150,$B44)/1000)</f>
        <v>0</v>
      </c>
      <c r="P44" s="11">
        <f>IF(P$3=0,"",SUMIFS(INDEX(Inputs!$D$4:$AG$150,0,MATCH(P$2,Inputs!$D$2:$AG$2,0)),Inputs!$B$4:$B$150,$B44)/1000)</f>
        <v>0</v>
      </c>
      <c r="Q44" s="11">
        <f>IF(Q$3=0,"",SUMIFS(INDEX(Inputs!$D$4:$AG$150,0,MATCH(Q$2,Inputs!$D$2:$AG$2,0)),Inputs!$B$4:$B$150,$B44)/1000)</f>
        <v>0</v>
      </c>
      <c r="R44" s="12">
        <f>IF(Q44="","",Q44)</f>
        <v>0</v>
      </c>
      <c r="S44" s="11">
        <f>IF(S$3=0,"",SUMIFS(INDEX(Inputs!$D$4:$AG$150,0,MATCH(S$2,Inputs!$D$2:$AG$2,0)),Inputs!$B$4:$B$150,$B44)/1000)</f>
        <v>0</v>
      </c>
      <c r="T44" s="11">
        <f>IF(T$3=0,"",SUMIFS(INDEX(Inputs!$D$4:$AG$150,0,MATCH(T$2,Inputs!$D$2:$AG$2,0)),Inputs!$B$4:$B$150,$B44)/1000)</f>
        <v>0</v>
      </c>
      <c r="U44" s="11">
        <f>IF(U$3=0,"",SUMIFS(INDEX(Inputs!$D$4:$AG$150,0,MATCH(U$2,Inputs!$D$2:$AG$2,0)),Inputs!$B$4:$B$150,$B44)/1000)</f>
        <v>0</v>
      </c>
      <c r="V44" s="11">
        <f>IF(V$3=0,"",SUMIFS(INDEX(Inputs!$D$4:$AG$150,0,MATCH(V$2,Inputs!$D$2:$AG$2,0)),Inputs!$B$4:$B$150,$B44)/1000)</f>
        <v>0</v>
      </c>
      <c r="W44" s="12">
        <f>IF(V44="","",V44)</f>
        <v>0</v>
      </c>
      <c r="X44" s="11">
        <f>IF(X$3=0,"",SUMIFS(INDEX(Inputs!$D$4:$AG$150,0,MATCH(X$2,Inputs!$D$2:$AG$2,0)),Inputs!$B$4:$B$150,$B44)/1000)</f>
        <v>0</v>
      </c>
      <c r="Y44" s="11">
        <f>IF(Y$3=0,"",SUMIFS(INDEX(Inputs!$D$4:$AG$150,0,MATCH(Y$2,Inputs!$D$2:$AG$2,0)),Inputs!$B$4:$B$150,$B44)/1000)</f>
        <v>0</v>
      </c>
      <c r="Z44" s="11">
        <f>IF(Z$3=0,"",SUMIFS(INDEX(Inputs!$D$4:$AG$150,0,MATCH(Z$2,Inputs!$D$2:$AG$2,0)),Inputs!$B$4:$B$150,$B44)/1000)</f>
        <v>0</v>
      </c>
      <c r="AA44" s="11">
        <f>IF(AA$3=0,"",SUMIFS(INDEX(Inputs!$D$4:$AG$150,0,MATCH(AA$2,Inputs!$D$2:$AG$2,0)),Inputs!$B$4:$B$150,$B44)/1000)</f>
        <v>0</v>
      </c>
      <c r="AB44" s="12">
        <f>IF(AA44="","",AA44)</f>
        <v>0</v>
      </c>
      <c r="AC44" s="11">
        <f>IF(AC$3=0,"",SUMIFS(INDEX(Inputs!$D$4:$AG$150,0,MATCH(AC$2,Inputs!$D$2:$AG$2,0)),Inputs!$B$4:$B$150,$B44)/1000)</f>
        <v>0</v>
      </c>
      <c r="AD44" s="11">
        <f>IF(AD$3=0,"",SUMIFS(INDEX(Inputs!$D$4:$AG$150,0,MATCH(AD$2,Inputs!$D$2:$AG$2,0)),Inputs!$B$4:$B$150,$B44)/1000)</f>
        <v>0</v>
      </c>
      <c r="AE44" s="11" t="str">
        <f>IF(AE$3=0,"",SUMIFS(INDEX(Inputs!$D$4:$AG$150,0,MATCH(AE$2,Inputs!$D$2:$AG$2,0)),Inputs!$B$4:$B$150,$B44)/1000)</f>
        <v/>
      </c>
      <c r="AF44" s="11" t="str">
        <f>IF(AF$3=0,"",SUMIFS(INDEX(Inputs!$D$4:$AG$150,0,MATCH(AF$2,Inputs!$D$2:$AG$2,0)),Inputs!$B$4:$B$150,$B44)/1000)</f>
        <v/>
      </c>
      <c r="AG44" s="12" t="str">
        <f>IF(AF44="","",AF44)</f>
        <v/>
      </c>
    </row>
    <row r="45">
      <c r="B45" s="9" t="n">
        <v>39</v>
      </c>
      <c r="C45" s="14" t="inlineStr">
        <is>
          <t>Comprehensive (accumulated) loss</t>
        </is>
      </c>
      <c r="D45" s="11">
        <f>IF(D$3=0,"",SUMIFS(INDEX(Inputs!$D$4:$AG$150,0,MATCH(D$2,Inputs!$D$2:$AG$2,0)),Inputs!$B$4:$B$150,$B45)/1000)</f>
        <v>143</v>
      </c>
      <c r="E45" s="11">
        <f>IF(E$3=0,"",SUMIFS(INDEX(Inputs!$D$4:$AG$150,0,MATCH(E$2,Inputs!$D$2:$AG$2,0)),Inputs!$B$4:$B$150,$B45)/1000)</f>
        <v>206</v>
      </c>
      <c r="F45" s="11">
        <f>IF(F$3=0,"",SUMIFS(INDEX(Inputs!$D$4:$AG$150,0,MATCH(F$2,Inputs!$D$2:$AG$2,0)),Inputs!$B$4:$B$150,$B45)/1000)</f>
        <v>120</v>
      </c>
      <c r="G45" s="11">
        <f>IF(G$3=0,"",SUMIFS(INDEX(Inputs!$D$4:$AG$150,0,MATCH(G$2,Inputs!$D$2:$AG$2,0)),Inputs!$B$4:$B$150,$B45)/1000)</f>
        <v>54</v>
      </c>
      <c r="H45" s="12">
        <f>IF(G45="","",G45)</f>
        <v>54</v>
      </c>
      <c r="I45" s="11">
        <f>IF(I$3=0,"",SUMIFS(INDEX(Inputs!$D$4:$AG$150,0,MATCH(I$2,Inputs!$D$2:$AG$2,0)),Inputs!$B$4:$B$150,$B45)/1000)</f>
        <v>-50</v>
      </c>
      <c r="J45" s="11">
        <f>IF(J$3=0,"",SUMIFS(INDEX(Inputs!$D$4:$AG$150,0,MATCH(J$2,Inputs!$D$2:$AG$2,0)),Inputs!$B$4:$B$150,$B45)/1000)</f>
        <v>-477</v>
      </c>
      <c r="K45" s="11">
        <f>IF(K$3=0,"",SUMIFS(INDEX(Inputs!$D$4:$AG$150,0,MATCH(K$2,Inputs!$D$2:$AG$2,0)),Inputs!$B$4:$B$150,$B45)/1000)</f>
        <v>-942</v>
      </c>
      <c r="L45" s="11">
        <f>IF(L$3=0,"",SUMIFS(INDEX(Inputs!$D$4:$AG$150,0,MATCH(L$2,Inputs!$D$2:$AG$2,0)),Inputs!$B$4:$B$150,$B45)/1000)</f>
        <v>-361</v>
      </c>
      <c r="M45" s="12">
        <f>IF(L45="","",L45)</f>
        <v>-361</v>
      </c>
      <c r="N45" s="11">
        <f>IF(N$3=0,"",SUMIFS(INDEX(Inputs!$D$4:$AG$150,0,MATCH(N$2,Inputs!$D$2:$AG$2,0)),Inputs!$B$4:$B$150,$B45)/1000)</f>
        <v>-225</v>
      </c>
      <c r="O45" s="11">
        <f>IF(O$3=0,"",SUMIFS(INDEX(Inputs!$D$4:$AG$150,0,MATCH(O$2,Inputs!$D$2:$AG$2,0)),Inputs!$B$4:$B$150,$B45)/1000)</f>
        <v>-410</v>
      </c>
      <c r="P45" s="11">
        <f>IF(P$3=0,"",SUMIFS(INDEX(Inputs!$D$4:$AG$150,0,MATCH(P$2,Inputs!$D$2:$AG$2,0)),Inputs!$B$4:$B$150,$B45)/1000)</f>
        <v>-692</v>
      </c>
      <c r="Q45" s="11">
        <f>IF(Q$3=0,"",SUMIFS(INDEX(Inputs!$D$4:$AG$150,0,MATCH(Q$2,Inputs!$D$2:$AG$2,0)),Inputs!$B$4:$B$150,$B45)/1000)</f>
        <v>-143</v>
      </c>
      <c r="R45" s="12">
        <f>IF(Q45="","",Q45)</f>
        <v>-143</v>
      </c>
      <c r="S45" s="11">
        <f>IF(S$3=0,"",SUMIFS(INDEX(Inputs!$D$4:$AG$150,0,MATCH(S$2,Inputs!$D$2:$AG$2,0)),Inputs!$B$4:$B$150,$B45)/1000)</f>
        <v>-399</v>
      </c>
      <c r="T45" s="11">
        <f>IF(T$3=0,"",SUMIFS(INDEX(Inputs!$D$4:$AG$150,0,MATCH(T$2,Inputs!$D$2:$AG$2,0)),Inputs!$B$4:$B$150,$B45)/1000)</f>
        <v>-467</v>
      </c>
      <c r="U45" s="11">
        <f>IF(U$3=0,"",SUMIFS(INDEX(Inputs!$D$4:$AG$150,0,MATCH(U$2,Inputs!$D$2:$AG$2,0)),Inputs!$B$4:$B$150,$B45)/1000)</f>
        <v>-14</v>
      </c>
      <c r="V45" s="11">
        <f>IF(V$3=0,"",SUMIFS(INDEX(Inputs!$D$4:$AG$150,0,MATCH(V$2,Inputs!$D$2:$AG$2,0)),Inputs!$B$4:$B$150,$B45)/1000)</f>
        <v>-670</v>
      </c>
      <c r="W45" s="12">
        <f>IF(V45="","",V45)</f>
        <v>-670</v>
      </c>
      <c r="X45" s="11">
        <f>IF(X$3=0,"",SUMIFS(INDEX(Inputs!$D$4:$AG$150,0,MATCH(X$2,Inputs!$D$2:$AG$2,0)),Inputs!$B$4:$B$150,$B45)/1000)</f>
        <v>-424</v>
      </c>
      <c r="Y45" s="11">
        <f>IF(Y$3=0,"",SUMIFS(INDEX(Inputs!$D$4:$AG$150,0,MATCH(Y$2,Inputs!$D$2:$AG$2,0)),Inputs!$B$4:$B$150,$B45)/1000)</f>
        <v>158</v>
      </c>
      <c r="Z45" s="11">
        <f>IF(Z$3=0,"",SUMIFS(INDEX(Inputs!$D$4:$AG$150,0,MATCH(Z$2,Inputs!$D$2:$AG$2,0)),Inputs!$B$4:$B$150,$B45)/1000)</f>
        <v>207</v>
      </c>
      <c r="AA45" s="11">
        <f>IF(AA$3=0,"",SUMIFS(INDEX(Inputs!$D$4:$AG$150,0,MATCH(AA$2,Inputs!$D$2:$AG$2,0)),Inputs!$B$4:$B$150,$B45)/1000)</f>
        <v>361</v>
      </c>
      <c r="AB45" s="12">
        <f>IF(AA45="","",AA45)</f>
        <v>361</v>
      </c>
      <c r="AC45" s="11">
        <f>IF(AC$3=0,"",SUMIFS(INDEX(Inputs!$D$4:$AG$150,0,MATCH(AC$2,Inputs!$D$2:$AG$2,0)),Inputs!$B$4:$B$150,$B45)/1000)</f>
        <v>334</v>
      </c>
      <c r="AD45" s="11">
        <f>IF(AD$3=0,"",SUMIFS(INDEX(Inputs!$D$4:$AG$150,0,MATCH(AD$2,Inputs!$D$2:$AG$2,0)),Inputs!$B$4:$B$150,$B45)/1000)</f>
        <v>401</v>
      </c>
      <c r="AE45" s="11" t="str">
        <f>IF(AE$3=0,"",SUMIFS(INDEX(Inputs!$D$4:$AG$150,0,MATCH(AE$2,Inputs!$D$2:$AG$2,0)),Inputs!$B$4:$B$150,$B45)/1000)</f>
        <v/>
      </c>
      <c r="AF45" s="11" t="str">
        <f>IF(AF$3=0,"",SUMIFS(INDEX(Inputs!$D$4:$AG$150,0,MATCH(AF$2,Inputs!$D$2:$AG$2,0)),Inputs!$B$4:$B$150,$B45)/1000)</f>
        <v/>
      </c>
      <c r="AG45" s="12" t="str">
        <f>IF(AF45="","",AF45)</f>
        <v/>
      </c>
    </row>
    <row r="46">
      <c r="B46" s="9" t="n">
        <v>40</v>
      </c>
      <c r="C46" s="14" t="inlineStr">
        <is>
          <t>Other equity account</t>
        </is>
      </c>
      <c r="D46" s="11">
        <f>IF(D$3=0,"",SUMIFS(INDEX(Inputs!$D$4:$AG$150,0,MATCH(D$2,Inputs!$D$2:$AG$2,0)),Inputs!$B$4:$B$150,$B46)/1000)</f>
        <v>0</v>
      </c>
      <c r="E46" s="11">
        <f>IF(E$3=0,"",SUMIFS(INDEX(Inputs!$D$4:$AG$150,0,MATCH(E$2,Inputs!$D$2:$AG$2,0)),Inputs!$B$4:$B$150,$B46)/1000)</f>
        <v>0</v>
      </c>
      <c r="F46" s="11">
        <f>IF(F$3=0,"",SUMIFS(INDEX(Inputs!$D$4:$AG$150,0,MATCH(F$2,Inputs!$D$2:$AG$2,0)),Inputs!$B$4:$B$150,$B46)/1000)</f>
        <v>0</v>
      </c>
      <c r="G46" s="11">
        <f>IF(G$3=0,"",SUMIFS(INDEX(Inputs!$D$4:$AG$150,0,MATCH(G$2,Inputs!$D$2:$AG$2,0)),Inputs!$B$4:$B$150,$B46)/1000)</f>
        <v>0</v>
      </c>
      <c r="H46" s="12">
        <f>IF(G46="","",G46)</f>
        <v>0</v>
      </c>
      <c r="I46" s="11">
        <f>IF(I$3=0,"",SUMIFS(INDEX(Inputs!$D$4:$AG$150,0,MATCH(I$2,Inputs!$D$2:$AG$2,0)),Inputs!$B$4:$B$150,$B46)/1000)</f>
        <v>0</v>
      </c>
      <c r="J46" s="11">
        <f>IF(J$3=0,"",SUMIFS(INDEX(Inputs!$D$4:$AG$150,0,MATCH(J$2,Inputs!$D$2:$AG$2,0)),Inputs!$B$4:$B$150,$B46)/1000)</f>
        <v>0</v>
      </c>
      <c r="K46" s="11">
        <f>IF(K$3=0,"",SUMIFS(INDEX(Inputs!$D$4:$AG$150,0,MATCH(K$2,Inputs!$D$2:$AG$2,0)),Inputs!$B$4:$B$150,$B46)/1000)</f>
        <v>0</v>
      </c>
      <c r="L46" s="11">
        <f>IF(L$3=0,"",SUMIFS(INDEX(Inputs!$D$4:$AG$150,0,MATCH(L$2,Inputs!$D$2:$AG$2,0)),Inputs!$B$4:$B$150,$B46)/1000)</f>
        <v>0</v>
      </c>
      <c r="M46" s="12">
        <f>IF(L46="","",L46)</f>
        <v>0</v>
      </c>
      <c r="N46" s="11">
        <f>IF(N$3=0,"",SUMIFS(INDEX(Inputs!$D$4:$AG$150,0,MATCH(N$2,Inputs!$D$2:$AG$2,0)),Inputs!$B$4:$B$150,$B46)/1000)</f>
        <v>0</v>
      </c>
      <c r="O46" s="11">
        <f>IF(O$3=0,"",SUMIFS(INDEX(Inputs!$D$4:$AG$150,0,MATCH(O$2,Inputs!$D$2:$AG$2,0)),Inputs!$B$4:$B$150,$B46)/1000)</f>
        <v>0</v>
      </c>
      <c r="P46" s="11">
        <f>IF(P$3=0,"",SUMIFS(INDEX(Inputs!$D$4:$AG$150,0,MATCH(P$2,Inputs!$D$2:$AG$2,0)),Inputs!$B$4:$B$150,$B46)/1000)</f>
        <v>0</v>
      </c>
      <c r="Q46" s="11">
        <f>IF(Q$3=0,"",SUMIFS(INDEX(Inputs!$D$4:$AG$150,0,MATCH(Q$2,Inputs!$D$2:$AG$2,0)),Inputs!$B$4:$B$150,$B46)/1000)</f>
        <v>0</v>
      </c>
      <c r="R46" s="12">
        <f>IF(Q46="","",Q46)</f>
        <v>0</v>
      </c>
      <c r="S46" s="11">
        <f>IF(S$3=0,"",SUMIFS(INDEX(Inputs!$D$4:$AG$150,0,MATCH(S$2,Inputs!$D$2:$AG$2,0)),Inputs!$B$4:$B$150,$B46)/1000)</f>
        <v>0</v>
      </c>
      <c r="T46" s="11">
        <f>IF(T$3=0,"",SUMIFS(INDEX(Inputs!$D$4:$AG$150,0,MATCH(T$2,Inputs!$D$2:$AG$2,0)),Inputs!$B$4:$B$150,$B46)/1000)</f>
        <v>0</v>
      </c>
      <c r="U46" s="11">
        <f>IF(U$3=0,"",SUMIFS(INDEX(Inputs!$D$4:$AG$150,0,MATCH(U$2,Inputs!$D$2:$AG$2,0)),Inputs!$B$4:$B$150,$B46)/1000)</f>
        <v>0</v>
      </c>
      <c r="V46" s="11">
        <f>IF(V$3=0,"",SUMIFS(INDEX(Inputs!$D$4:$AG$150,0,MATCH(V$2,Inputs!$D$2:$AG$2,0)),Inputs!$B$4:$B$150,$B46)/1000)</f>
        <v>0</v>
      </c>
      <c r="W46" s="12">
        <f>IF(V46="","",V46)</f>
        <v>0</v>
      </c>
      <c r="X46" s="11">
        <f>IF(X$3=0,"",SUMIFS(INDEX(Inputs!$D$4:$AG$150,0,MATCH(X$2,Inputs!$D$2:$AG$2,0)),Inputs!$B$4:$B$150,$B46)/1000)</f>
        <v>0</v>
      </c>
      <c r="Y46" s="11">
        <f>IF(Y$3=0,"",SUMIFS(INDEX(Inputs!$D$4:$AG$150,0,MATCH(Y$2,Inputs!$D$2:$AG$2,0)),Inputs!$B$4:$B$150,$B46)/1000)</f>
        <v>0</v>
      </c>
      <c r="Z46" s="11">
        <f>IF(Z$3=0,"",SUMIFS(INDEX(Inputs!$D$4:$AG$150,0,MATCH(Z$2,Inputs!$D$2:$AG$2,0)),Inputs!$B$4:$B$150,$B46)/1000)</f>
        <v>0</v>
      </c>
      <c r="AA46" s="11">
        <f>IF(AA$3=0,"",SUMIFS(INDEX(Inputs!$D$4:$AG$150,0,MATCH(AA$2,Inputs!$D$2:$AG$2,0)),Inputs!$B$4:$B$150,$B46)/1000)</f>
        <v>0</v>
      </c>
      <c r="AB46" s="12">
        <f>IF(AA46="","",AA46)</f>
        <v>0</v>
      </c>
      <c r="AC46" s="11">
        <f>IF(AC$3=0,"",SUMIFS(INDEX(Inputs!$D$4:$AG$150,0,MATCH(AC$2,Inputs!$D$2:$AG$2,0)),Inputs!$B$4:$B$150,$B46)/1000)</f>
        <v>0</v>
      </c>
      <c r="AD46" s="11">
        <f>IF(AD$3=0,"",SUMIFS(INDEX(Inputs!$D$4:$AG$150,0,MATCH(AD$2,Inputs!$D$2:$AG$2,0)),Inputs!$B$4:$B$150,$B46)/1000)</f>
        <v>0</v>
      </c>
      <c r="AE46" s="11" t="str">
        <f>IF(AE$3=0,"",SUMIFS(INDEX(Inputs!$D$4:$AG$150,0,MATCH(AE$2,Inputs!$D$2:$AG$2,0)),Inputs!$B$4:$B$150,$B46)/1000)</f>
        <v/>
      </c>
      <c r="AF46" s="11" t="str">
        <f>IF(AF$3=0,"",SUMIFS(INDEX(Inputs!$D$4:$AG$150,0,MATCH(AF$2,Inputs!$D$2:$AG$2,0)),Inputs!$B$4:$B$150,$B46)/1000)</f>
        <v/>
      </c>
      <c r="AG46" s="12" t="str">
        <f>IF(AF46="","",AF46)</f>
        <v/>
      </c>
    </row>
    <row r="47">
      <c r="B47" s="9" t="n">
        <v>41</v>
      </c>
      <c r="C47" s="15" t="inlineStr">
        <is>
          <t>Retained earnings</t>
        </is>
      </c>
      <c r="D47" s="11">
        <f>IF(D$3=0,"",SUMIFS(INDEX(Inputs!$D$4:$AG$150,0,MATCH(D$2,Inputs!$D$2:$AG$2,0)),Inputs!$B$4:$B$150,$B47)/1000)</f>
        <v>-4750</v>
      </c>
      <c r="E47" s="11">
        <f>IF(E$3=0,"",SUMIFS(INDEX(Inputs!$D$4:$AG$150,0,MATCH(E$2,Inputs!$D$2:$AG$2,0)),Inputs!$B$4:$B$150,$B47)/1000)</f>
        <v>-3608</v>
      </c>
      <c r="F47" s="11">
        <f>IF(F$3=0,"",SUMIFS(INDEX(Inputs!$D$4:$AG$150,0,MATCH(F$2,Inputs!$D$2:$AG$2,0)),Inputs!$B$4:$B$150,$B47)/1000)</f>
        <v>-1990</v>
      </c>
      <c r="G47" s="11">
        <f>IF(G$3=0,"",SUMIFS(INDEX(Inputs!$D$4:$AG$150,0,MATCH(G$2,Inputs!$D$2:$AG$2,0)),Inputs!$B$4:$B$150,$B47)/1000)</f>
        <v>331</v>
      </c>
      <c r="H47" s="12">
        <f>IF(G47="","",G47)</f>
        <v>331</v>
      </c>
      <c r="I47" s="11">
        <f>IF(I$3=0,"",SUMIFS(INDEX(Inputs!$D$4:$AG$150,0,MATCH(I$2,Inputs!$D$2:$AG$2,0)),Inputs!$B$4:$B$150,$B47)/1000)</f>
        <v>3649</v>
      </c>
      <c r="J47" s="11">
        <f>IF(J$3=0,"",SUMIFS(INDEX(Inputs!$D$4:$AG$150,0,MATCH(J$2,Inputs!$D$2:$AG$2,0)),Inputs!$B$4:$B$150,$B47)/1000)</f>
        <v>5908</v>
      </c>
      <c r="K47" s="11">
        <f>IF(K$3=0,"",SUMIFS(INDEX(Inputs!$D$4:$AG$150,0,MATCH(K$2,Inputs!$D$2:$AG$2,0)),Inputs!$B$4:$B$150,$B47)/1000)</f>
        <v>9198</v>
      </c>
      <c r="L47" s="11">
        <f>IF(L$3=0,"",SUMIFS(INDEX(Inputs!$D$4:$AG$150,0,MATCH(L$2,Inputs!$D$2:$AG$2,0)),Inputs!$B$4:$B$150,$B47)/1000)</f>
        <v>12885</v>
      </c>
      <c r="M47" s="12">
        <f>IF(L47="","",L47)</f>
        <v>12885</v>
      </c>
      <c r="N47" s="11">
        <f>IF(N$3=0,"",SUMIFS(INDEX(Inputs!$D$4:$AG$150,0,MATCH(N$2,Inputs!$D$2:$AG$2,0)),Inputs!$B$4:$B$150,$B47)/1000)</f>
        <v>15398</v>
      </c>
      <c r="O47" s="11">
        <f>IF(O$3=0,"",SUMIFS(INDEX(Inputs!$D$4:$AG$150,0,MATCH(O$2,Inputs!$D$2:$AG$2,0)),Inputs!$B$4:$B$150,$B47)/1000)</f>
        <v>18101</v>
      </c>
      <c r="P47" s="11">
        <f>IF(P$3=0,"",SUMIFS(INDEX(Inputs!$D$4:$AG$150,0,MATCH(P$2,Inputs!$D$2:$AG$2,0)),Inputs!$B$4:$B$150,$B47)/1000)</f>
        <v>19954</v>
      </c>
      <c r="Q47" s="11">
        <f>IF(Q$3=0,"",SUMIFS(INDEX(Inputs!$D$4:$AG$150,0,MATCH(Q$2,Inputs!$D$2:$AG$2,0)),Inputs!$B$4:$B$150,$B47)/1000)</f>
        <v>27882</v>
      </c>
      <c r="R47" s="12">
        <f>IF(Q47="","",Q47)</f>
        <v>27882</v>
      </c>
      <c r="S47" s="11">
        <f>IF(S$3=0,"",SUMIFS(INDEX(Inputs!$D$4:$AG$150,0,MATCH(S$2,Inputs!$D$2:$AG$2,0)),Inputs!$B$4:$B$150,$B47)/1000)</f>
        <v>29011</v>
      </c>
      <c r="T47" s="11">
        <f>IF(T$3=0,"",SUMIFS(INDEX(Inputs!$D$4:$AG$150,0,MATCH(T$2,Inputs!$D$2:$AG$2,0)),Inputs!$B$4:$B$150,$B47)/1000)</f>
        <v>30489</v>
      </c>
      <c r="U47" s="11">
        <f>IF(U$3=0,"",SUMIFS(INDEX(Inputs!$D$4:$AG$150,0,MATCH(U$2,Inputs!$D$2:$AG$2,0)),Inputs!$B$4:$B$150,$B47)/1000)</f>
        <v>32656</v>
      </c>
      <c r="V47" s="11">
        <f>IF(V$3=0,"",SUMIFS(INDEX(Inputs!$D$4:$AG$150,0,MATCH(V$2,Inputs!$D$2:$AG$2,0)),Inputs!$B$4:$B$150,$B47)/1000)</f>
        <v>35209</v>
      </c>
      <c r="W47" s="12">
        <f>IF(V47="","",V47)</f>
        <v>35209</v>
      </c>
      <c r="X47" s="11">
        <f>IF(X$3=0,"",SUMIFS(INDEX(Inputs!$D$4:$AG$150,0,MATCH(X$2,Inputs!$D$2:$AG$2,0)),Inputs!$B$4:$B$150,$B47)/1000)</f>
        <v>35618</v>
      </c>
      <c r="Y47" s="11">
        <f>IF(Y$3=0,"",SUMIFS(INDEX(Inputs!$D$4:$AG$150,0,MATCH(Y$2,Inputs!$D$2:$AG$2,0)),Inputs!$B$4:$B$150,$B47)/1000)</f>
        <v>36790</v>
      </c>
      <c r="Z47" s="11">
        <f>IF(Z$3=0,"",SUMIFS(INDEX(Inputs!$D$4:$AG$150,0,MATCH(Z$2,Inputs!$D$2:$AG$2,0)),Inputs!$B$4:$B$150,$B47)/1000)</f>
        <v>38163</v>
      </c>
      <c r="AA47" s="11">
        <f>IF(AA$3=0,"",SUMIFS(INDEX(Inputs!$D$4:$AG$150,0,MATCH(AA$2,Inputs!$D$2:$AG$2,0)),Inputs!$B$4:$B$150,$B47)/1000)</f>
        <v>39003</v>
      </c>
      <c r="AB47" s="12">
        <f>IF(AA47="","",AA47)</f>
        <v>39003</v>
      </c>
      <c r="AC47" s="11">
        <f>IF(AC$3=0,"",SUMIFS(INDEX(Inputs!$D$4:$AG$150,0,MATCH(AC$2,Inputs!$D$2:$AG$2,0)),Inputs!$B$4:$B$150,$B47)/1000)</f>
        <v>39480</v>
      </c>
      <c r="AD47" s="11">
        <f>IF(AD$3=0,"",SUMIFS(INDEX(Inputs!$D$4:$AG$150,0,MATCH(AD$2,Inputs!$D$2:$AG$2,0)),Inputs!$B$4:$B$150,$B47)/1000)</f>
        <v>40594</v>
      </c>
      <c r="AE47" s="11" t="str">
        <f>IF(AE$3=0,"",SUMIFS(INDEX(Inputs!$D$4:$AG$150,0,MATCH(AE$2,Inputs!$D$2:$AG$2,0)),Inputs!$B$4:$B$150,$B47)/1000)</f>
        <v/>
      </c>
      <c r="AF47" s="11" t="str">
        <f>IF(AF$3=0,"",SUMIFS(INDEX(Inputs!$D$4:$AG$150,0,MATCH(AF$2,Inputs!$D$2:$AG$2,0)),Inputs!$B$4:$B$150,$B47)/1000)</f>
        <v/>
      </c>
      <c r="AG47" s="12" t="str">
        <f>IF(AF47="","",AF47)</f>
        <v/>
      </c>
    </row>
    <row r="48"/>
    <row r="49" customFormat="1" s="3">
      <c r="C49" s="4" t="n"/>
      <c r="D49" s="16" t="n"/>
      <c r="E49" s="16" t="n"/>
      <c r="F49" s="16" t="n"/>
      <c r="G49" s="16" t="n"/>
      <c r="H49" s="12" t="n"/>
      <c r="I49" s="16" t="n"/>
      <c r="J49" s="16" t="n"/>
      <c r="K49" s="16" t="n"/>
      <c r="L49" s="16" t="n"/>
      <c r="M49" s="12" t="n"/>
      <c r="N49" s="16" t="n"/>
      <c r="O49" s="16" t="n"/>
      <c r="P49" s="16" t="n"/>
      <c r="Q49" s="16" t="n"/>
      <c r="R49" s="12" t="n"/>
      <c r="S49" s="16" t="n"/>
      <c r="T49" s="16" t="n"/>
      <c r="U49" s="16" t="n"/>
      <c r="V49" s="16" t="n"/>
      <c r="W49" s="12" t="n"/>
      <c r="X49" s="16" t="n"/>
      <c r="Y49" s="16" t="n"/>
      <c r="Z49" s="16" t="n"/>
      <c r="AA49" s="16" t="n"/>
      <c r="AC49" s="16" t="n"/>
      <c r="AD49" s="16" t="n"/>
      <c r="AE49" s="16" t="n"/>
      <c r="AF49" s="16" t="n"/>
    </row>
    <row r="50">
      <c r="B50" s="9" t="n">
        <v>44</v>
      </c>
      <c r="C50" s="10" t="inlineStr">
        <is>
          <t>Net income reported (lucro líquido reportado) — base do check de DRE [Model linha 4]</t>
        </is>
      </c>
      <c r="D50" s="11">
        <f>IF(SUMPRODUCT((Inputs!$B$4:$B$150=$B50)*ISNUMBER(INDEX(Inputs!$D$4:$AG$150,0,MATCH(D$2,Inputs!$D$2:$AG$2,0))))=0,"",SUMIFS(INDEX(Inputs!$D$4:$AG$150,0,MATCH(D$2,Inputs!$D$2:$AG$2,0)),Inputs!$B$4:$B$150,$B50)/1000)</f>
        <v>438</v>
      </c>
      <c r="E50" s="11">
        <f>IF(SUMPRODUCT((Inputs!$B$4:$B$150=$B50)*ISNUMBER(INDEX(Inputs!$D$4:$AG$150,0,MATCH(E$2,Inputs!$D$2:$AG$2,0))))=0,"",SUMIFS(INDEX(Inputs!$D$4:$AG$150,0,MATCH(E$2,Inputs!$D$2:$AG$2,0)),Inputs!$B$4:$B$150,$B50)/1000)</f>
        <v>1142</v>
      </c>
      <c r="F50" s="11">
        <f>IF(SUMPRODUCT((Inputs!$B$4:$B$150=$B50)*ISNUMBER(INDEX(Inputs!$D$4:$AG$150,0,MATCH(F$2,Inputs!$D$2:$AG$2,0))))=0,"",SUMIFS(INDEX(Inputs!$D$4:$AG$150,0,MATCH(F$2,Inputs!$D$2:$AG$2,0)),Inputs!$B$4:$B$150,$B50)/1000)</f>
        <v>1618</v>
      </c>
      <c r="G50" s="11">
        <f>IF(SUMPRODUCT((Inputs!$B$4:$B$150=$B50)*ISNUMBER(INDEX(Inputs!$D$4:$AG$150,0,MATCH(G$2,Inputs!$D$2:$AG$2,0))))=0,"",SUMIFS(INDEX(Inputs!$D$4:$AG$150,0,MATCH(G$2,Inputs!$D$2:$AG$2,0)),Inputs!$B$4:$B$150,$B50)/1000)</f>
        <v>2321</v>
      </c>
      <c r="H50" s="12">
        <f>IF(COUNT(D50:G50)=4,SUM(D50:G50),"")</f>
        <v>5519</v>
      </c>
      <c r="I50" s="11">
        <f>IF(SUMPRODUCT((Inputs!$B$4:$B$150=$B50)*ISNUMBER(INDEX(Inputs!$D$4:$AG$150,0,MATCH(I$2,Inputs!$D$2:$AG$2,0))))=0,"",SUMIFS(INDEX(Inputs!$D$4:$AG$150,0,MATCH(I$2,Inputs!$D$2:$AG$2,0)),Inputs!$B$4:$B$150,$B50)/1000)</f>
        <v>3318</v>
      </c>
      <c r="J50" s="11">
        <f>IF(SUMPRODUCT((Inputs!$B$4:$B$150=$B50)*ISNUMBER(INDEX(Inputs!$D$4:$AG$150,0,MATCH(J$2,Inputs!$D$2:$AG$2,0))))=0,"",SUMIFS(INDEX(Inputs!$D$4:$AG$150,0,MATCH(J$2,Inputs!$D$2:$AG$2,0)),Inputs!$B$4:$B$150,$B50)/1000)</f>
        <v>2259</v>
      </c>
      <c r="K50" s="11">
        <f>IF(SUMPRODUCT((Inputs!$B$4:$B$150=$B50)*ISNUMBER(INDEX(Inputs!$D$4:$AG$150,0,MATCH(K$2,Inputs!$D$2:$AG$2,0))))=0,"",SUMIFS(INDEX(Inputs!$D$4:$AG$150,0,MATCH(K$2,Inputs!$D$2:$AG$2,0)),Inputs!$B$4:$B$150,$B50)/1000)</f>
        <v>3292</v>
      </c>
      <c r="L50" s="11">
        <f>IF(SUMPRODUCT((Inputs!$B$4:$B$150=$B50)*ISNUMBER(INDEX(Inputs!$D$4:$AG$150,0,MATCH(L$2,Inputs!$D$2:$AG$2,0))))=0,"",SUMIFS(INDEX(Inputs!$D$4:$AG$150,0,MATCH(L$2,Inputs!$D$2:$AG$2,0)),Inputs!$B$4:$B$150,$B50)/1000)</f>
        <v>3687</v>
      </c>
      <c r="M50" s="12">
        <f>IF(COUNT(I50:L50)=4,SUM(I50:L50),"")</f>
        <v>12556</v>
      </c>
      <c r="N50" s="11">
        <f>IF(SUMPRODUCT((Inputs!$B$4:$B$150=$B50)*ISNUMBER(INDEX(Inputs!$D$4:$AG$150,0,MATCH(N$2,Inputs!$D$2:$AG$2,0))))=0,"",SUMIFS(INDEX(Inputs!$D$4:$AG$150,0,MATCH(N$2,Inputs!$D$2:$AG$2,0)),Inputs!$B$4:$B$150,$B50)/1000)</f>
        <v>2513</v>
      </c>
      <c r="O50" s="11">
        <f>IF(SUMPRODUCT((Inputs!$B$4:$B$150=$B50)*ISNUMBER(INDEX(Inputs!$D$4:$AG$150,0,MATCH(O$2,Inputs!$D$2:$AG$2,0))))=0,"",SUMIFS(INDEX(Inputs!$D$4:$AG$150,0,MATCH(O$2,Inputs!$D$2:$AG$2,0)),Inputs!$B$4:$B$150,$B50)/1000)</f>
        <v>2703</v>
      </c>
      <c r="P50" s="11">
        <f>IF(SUMPRODUCT((Inputs!$B$4:$B$150=$B50)*ISNUMBER(INDEX(Inputs!$D$4:$AG$150,0,MATCH(P$2,Inputs!$D$2:$AG$2,0))))=0,"",SUMIFS(INDEX(Inputs!$D$4:$AG$150,0,MATCH(P$2,Inputs!$D$2:$AG$2,0)),Inputs!$B$4:$B$150,$B50)/1000)</f>
        <v>1853</v>
      </c>
      <c r="Q50" s="11">
        <f>IF(SUMPRODUCT((Inputs!$B$4:$B$150=$B50)*ISNUMBER(INDEX(Inputs!$D$4:$AG$150,0,MATCH(Q$2,Inputs!$D$2:$AG$2,0))))=0,"",SUMIFS(INDEX(Inputs!$D$4:$AG$150,0,MATCH(Q$2,Inputs!$D$2:$AG$2,0)),Inputs!$B$4:$B$150,$B50)/1000)</f>
        <v>7928</v>
      </c>
      <c r="R50" s="12">
        <f>IF(COUNT(N50:Q50)=4,SUM(N50:Q50),"")</f>
        <v>14997</v>
      </c>
      <c r="S50" s="11">
        <f>IF(SUMPRODUCT((Inputs!$B$4:$B$150=$B50)*ISNUMBER(INDEX(Inputs!$D$4:$AG$150,0,MATCH(S$2,Inputs!$D$2:$AG$2,0))))=0,"",SUMIFS(INDEX(Inputs!$D$4:$AG$150,0,MATCH(S$2,Inputs!$D$2:$AG$2,0)),Inputs!$B$4:$B$150,$B50)/1000)</f>
        <v>1390</v>
      </c>
      <c r="T50" s="11">
        <f>IF(SUMPRODUCT((Inputs!$B$4:$B$150=$B50)*ISNUMBER(INDEX(Inputs!$D$4:$AG$150,0,MATCH(T$2,Inputs!$D$2:$AG$2,0))))=0,"",SUMIFS(INDEX(Inputs!$D$4:$AG$150,0,MATCH(T$2,Inputs!$D$2:$AG$2,0)),Inputs!$B$4:$B$150,$B50)/1000)</f>
        <v>1400</v>
      </c>
      <c r="U50" s="11">
        <f>IF(SUMPRODUCT((Inputs!$B$4:$B$150=$B50)*ISNUMBER(INDEX(Inputs!$D$4:$AG$150,0,MATCH(U$2,Inputs!$D$2:$AG$2,0))))=0,"",SUMIFS(INDEX(Inputs!$D$4:$AG$150,0,MATCH(U$2,Inputs!$D$2:$AG$2,0)),Inputs!$B$4:$B$150,$B50)/1000)</f>
        <v>2173</v>
      </c>
      <c r="V50" s="11">
        <f>IF(SUMPRODUCT((Inputs!$B$4:$B$150=$B50)*ISNUMBER(INDEX(Inputs!$D$4:$AG$150,0,MATCH(V$2,Inputs!$D$2:$AG$2,0))))=0,"",SUMIFS(INDEX(Inputs!$D$4:$AG$150,0,MATCH(V$2,Inputs!$D$2:$AG$2,0)),Inputs!$B$4:$B$150,$B50)/1000)</f>
        <v>2128</v>
      </c>
      <c r="W50" s="12">
        <f>IF(COUNT(S50:V50)=4,SUM(S50:V50),"")</f>
        <v>7091</v>
      </c>
      <c r="X50" s="11">
        <f>IF(SUMPRODUCT((Inputs!$B$4:$B$150=$B50)*ISNUMBER(INDEX(Inputs!$D$4:$AG$150,0,MATCH(X$2,Inputs!$D$2:$AG$2,0))))=0,"",SUMIFS(INDEX(Inputs!$D$4:$AG$150,0,MATCH(X$2,Inputs!$D$2:$AG$2,0)),Inputs!$B$4:$B$150,$B50)/1000)</f>
        <v>409</v>
      </c>
      <c r="Y50" s="11">
        <f>IF(SUMPRODUCT((Inputs!$B$4:$B$150=$B50)*ISNUMBER(INDEX(Inputs!$D$4:$AG$150,0,MATCH(Y$2,Inputs!$D$2:$AG$2,0))))=0,"",SUMIFS(INDEX(Inputs!$D$4:$AG$150,0,MATCH(Y$2,Inputs!$D$2:$AG$2,0)),Inputs!$B$4:$B$150,$B50)/1000)</f>
        <v>1172</v>
      </c>
      <c r="Z50" s="11">
        <f>IF(SUMPRODUCT((Inputs!$B$4:$B$150=$B50)*ISNUMBER(INDEX(Inputs!$D$4:$AG$150,0,MATCH(Z$2,Inputs!$D$2:$AG$2,0))))=0,"",SUMIFS(INDEX(Inputs!$D$4:$AG$150,0,MATCH(Z$2,Inputs!$D$2:$AG$2,0)),Inputs!$B$4:$B$150,$B50)/1000)</f>
        <v>1373</v>
      </c>
      <c r="AA50" s="11">
        <f>IF(SUMPRODUCT((Inputs!$B$4:$B$150=$B50)*ISNUMBER(INDEX(Inputs!$D$4:$AG$150,0,MATCH(AA$2,Inputs!$D$2:$AG$2,0))))=0,"",SUMIFS(INDEX(Inputs!$D$4:$AG$150,0,MATCH(AA$2,Inputs!$D$2:$AG$2,0)),Inputs!$B$4:$B$150,$B50)/1000)</f>
        <v>840</v>
      </c>
      <c r="AB50" s="12">
        <f>IF(COUNT(X50:AA50)=4,SUM(X50:AA50),"")</f>
        <v>3794</v>
      </c>
      <c r="AC50" s="11">
        <f>IF(SUMPRODUCT((Inputs!$B$4:$B$150=$B50)*ISNUMBER(INDEX(Inputs!$D$4:$AG$150,0,MATCH(AC$2,Inputs!$D$2:$AG$2,0))))=0,"",SUMIFS(INDEX(Inputs!$D$4:$AG$150,0,MATCH(AC$2,Inputs!$D$2:$AG$2,0)),Inputs!$B$4:$B$150,$B50)/1000)</f>
        <v>477</v>
      </c>
      <c r="AD50" s="11">
        <f>IF(SUMPRODUCT((Inputs!$B$4:$B$150=$B50)*ISNUMBER(INDEX(Inputs!$D$4:$AG$150,0,MATCH(AD$2,Inputs!$D$2:$AG$2,0))))=0,"",SUMIFS(INDEX(Inputs!$D$4:$AG$150,0,MATCH(AD$2,Inputs!$D$2:$AG$2,0)),Inputs!$B$4:$B$150,$B50)/1000)</f>
        <v>1114</v>
      </c>
      <c r="AE50" s="11" t="str">
        <f>IF(SUMPRODUCT((Inputs!$B$4:$B$150=$B50)*ISNUMBER(INDEX(Inputs!$D$4:$AG$150,0,MATCH(AE$2,Inputs!$D$2:$AG$2,0))))=0,"",SUMIFS(INDEX(Inputs!$D$4:$AG$150,0,MATCH(AE$2,Inputs!$D$2:$AG$2,0)),Inputs!$B$4:$B$150,$B50)/1000)</f>
        <v/>
      </c>
      <c r="AF50" s="11" t="str">
        <f>IF(SUMPRODUCT((Inputs!$B$4:$B$150=$B50)*ISNUMBER(INDEX(Inputs!$D$4:$AG$150,0,MATCH(AF$2,Inputs!$D$2:$AG$2,0))))=0,"",SUMIFS(INDEX(Inputs!$D$4:$AG$150,0,MATCH(AF$2,Inputs!$D$2:$AG$2,0)),Inputs!$B$4:$B$150,$B50)/1000)</f>
        <v/>
      </c>
      <c r="AG50" s="12" t="str">
        <f>IF(COUNT(AC50:AF50)=4,SUM(AC50:AF50),"")</f>
        <v/>
      </c>
    </row>
    <row r="52">
      <c r="C52" t="inlineStr">
        <is>
          <t>Drivers de receita (memo) - codigos 45+ [Model, bloco abaixo da receita liquida]</t>
        </is>
      </c>
    </row>
    <row r="53">
      <c r="B53" s="9" t="n">
        <v>45</v>
      </c>
      <c r="C53" s="10" t="inlineStr">
        <is>
          <t>Segmento Automotivo - receita (USD)</t>
        </is>
      </c>
      <c r="D53" s="11">
        <f>IF(SUMPRODUCT((Inputs!$B$4:$B$150=$B53)*ISNUMBER(INDEX(Inputs!$D$4:$AG$150,0,MATCH(D$2,Inputs!$D$2:$AG$2,0))))=0,"",SUMIFS(INDEX(Inputs!$D$4:$AG$150,0,MATCH(D$2,Inputs!$D$2:$AG$2,0)),Inputs!$B$4:$B$150,$B53)/1000)</f>
        <v>9895</v>
      </c>
      <c r="E53" s="11">
        <f>IF(SUMPRODUCT((Inputs!$B$4:$B$150=$B53)*ISNUMBER(INDEX(Inputs!$D$4:$AG$150,0,MATCH(E$2,Inputs!$D$2:$AG$2,0))))=0,"",SUMIFS(INDEX(Inputs!$D$4:$AG$150,0,MATCH(E$2,Inputs!$D$2:$AG$2,0)),Inputs!$B$4:$B$150,$B53)/1000)</f>
        <v>11157</v>
      </c>
      <c r="F53" s="11">
        <f>IF(SUMPRODUCT((Inputs!$B$4:$B$150=$B53)*ISNUMBER(INDEX(Inputs!$D$4:$AG$150,0,MATCH(F$2,Inputs!$D$2:$AG$2,0))))=0,"",SUMIFS(INDEX(Inputs!$D$4:$AG$150,0,MATCH(F$2,Inputs!$D$2:$AG$2,0)),Inputs!$B$4:$B$150,$B53)/1000)</f>
        <v>12951</v>
      </c>
      <c r="G53" s="11">
        <f>IF(SUMPRODUCT((Inputs!$B$4:$B$150=$B53)*ISNUMBER(INDEX(Inputs!$D$4:$AG$150,0,MATCH(G$2,Inputs!$D$2:$AG$2,0))))=0,"",SUMIFS(INDEX(Inputs!$D$4:$AG$150,0,MATCH(G$2,Inputs!$D$2:$AG$2,0)),Inputs!$B$4:$B$150,$B53)/1000)</f>
        <v>17031</v>
      </c>
      <c r="H53" s="12">
        <f>IF(COUNT(D53:G53)=4,SUM(D53:G53),"")</f>
        <v>51034</v>
      </c>
      <c r="I53" s="11">
        <f>IF(SUMPRODUCT((Inputs!$B$4:$B$150=$B53)*ISNUMBER(INDEX(Inputs!$D$4:$AG$150,0,MATCH(I$2,Inputs!$D$2:$AG$2,0))))=0,"",SUMIFS(INDEX(Inputs!$D$4:$AG$150,0,MATCH(I$2,Inputs!$D$2:$AG$2,0)),Inputs!$B$4:$B$150,$B53)/1000)</f>
        <v>18140</v>
      </c>
      <c r="J53" s="11">
        <f>IF(SUMPRODUCT((Inputs!$B$4:$B$150=$B53)*ISNUMBER(INDEX(Inputs!$D$4:$AG$150,0,MATCH(J$2,Inputs!$D$2:$AG$2,0))))=0,"",SUMIFS(INDEX(Inputs!$D$4:$AG$150,0,MATCH(J$2,Inputs!$D$2:$AG$2,0)),Inputs!$B$4:$B$150,$B53)/1000)</f>
        <v>16068</v>
      </c>
      <c r="K53" s="11">
        <f>IF(SUMPRODUCT((Inputs!$B$4:$B$150=$B53)*ISNUMBER(INDEX(Inputs!$D$4:$AG$150,0,MATCH(K$2,Inputs!$D$2:$AG$2,0))))=0,"",SUMIFS(INDEX(Inputs!$D$4:$AG$150,0,MATCH(K$2,Inputs!$D$2:$AG$2,0)),Inputs!$B$4:$B$150,$B53)/1000)</f>
        <v>20337</v>
      </c>
      <c r="L53" s="11">
        <f>IF(SUMPRODUCT((Inputs!$B$4:$B$150=$B53)*ISNUMBER(INDEX(Inputs!$D$4:$AG$150,0,MATCH(L$2,Inputs!$D$2:$AG$2,0))))=0,"",SUMIFS(INDEX(Inputs!$D$4:$AG$150,0,MATCH(L$2,Inputs!$D$2:$AG$2,0)),Inputs!$B$4:$B$150,$B53)/1000)</f>
        <v>23008</v>
      </c>
      <c r="M53" s="12">
        <f>IF(COUNT(I53:L53)=4,SUM(I53:L53),"")</f>
        <v>77553</v>
      </c>
      <c r="N53" s="11">
        <f>IF(SUMPRODUCT((Inputs!$B$4:$B$150=$B53)*ISNUMBER(INDEX(Inputs!$D$4:$AG$150,0,MATCH(N$2,Inputs!$D$2:$AG$2,0))))=0,"",SUMIFS(INDEX(Inputs!$D$4:$AG$150,0,MATCH(N$2,Inputs!$D$2:$AG$2,0)),Inputs!$B$4:$B$150,$B53)/1000)</f>
        <v>21800</v>
      </c>
      <c r="O53" s="11">
        <f>IF(SUMPRODUCT((Inputs!$B$4:$B$150=$B53)*ISNUMBER(INDEX(Inputs!$D$4:$AG$150,0,MATCH(O$2,Inputs!$D$2:$AG$2,0))))=0,"",SUMIFS(INDEX(Inputs!$D$4:$AG$150,0,MATCH(O$2,Inputs!$D$2:$AG$2,0)),Inputs!$B$4:$B$150,$B53)/1000)</f>
        <v>23418</v>
      </c>
      <c r="P53" s="11">
        <f>IF(SUMPRODUCT((Inputs!$B$4:$B$150=$B53)*ISNUMBER(INDEX(Inputs!$D$4:$AG$150,0,MATCH(P$2,Inputs!$D$2:$AG$2,0))))=0,"",SUMIFS(INDEX(Inputs!$D$4:$AG$150,0,MATCH(P$2,Inputs!$D$2:$AG$2,0)),Inputs!$B$4:$B$150,$B53)/1000)</f>
        <v>21791</v>
      </c>
      <c r="Q53" s="11">
        <f>IF(SUMPRODUCT((Inputs!$B$4:$B$150=$B53)*ISNUMBER(INDEX(Inputs!$D$4:$AG$150,0,MATCH(Q$2,Inputs!$D$2:$AG$2,0))))=0,"",SUMIFS(INDEX(Inputs!$D$4:$AG$150,0,MATCH(Q$2,Inputs!$D$2:$AG$2,0)),Inputs!$B$4:$B$150,$B53)/1000)</f>
        <v>23729</v>
      </c>
      <c r="R53" s="12">
        <f>IF(COUNT(N53:Q53)=4,SUM(N53:Q53),"")</f>
        <v>90738</v>
      </c>
      <c r="S53" s="11">
        <f>IF(SUMPRODUCT((Inputs!$B$4:$B$150=$B53)*ISNUMBER(INDEX(Inputs!$D$4:$AG$150,0,MATCH(S$2,Inputs!$D$2:$AG$2,0))))=0,"",SUMIFS(INDEX(Inputs!$D$4:$AG$150,0,MATCH(S$2,Inputs!$D$2:$AG$2,0)),Inputs!$B$4:$B$150,$B53)/1000)</f>
        <v>19666</v>
      </c>
      <c r="T53" s="11">
        <f>IF(SUMPRODUCT((Inputs!$B$4:$B$150=$B53)*ISNUMBER(INDEX(Inputs!$D$4:$AG$150,0,MATCH(T$2,Inputs!$D$2:$AG$2,0))))=0,"",SUMIFS(INDEX(Inputs!$D$4:$AG$150,0,MATCH(T$2,Inputs!$D$2:$AG$2,0)),Inputs!$B$4:$B$150,$B53)/1000)</f>
        <v>22486</v>
      </c>
      <c r="U53" s="11">
        <f>IF(SUMPRODUCT((Inputs!$B$4:$B$150=$B53)*ISNUMBER(INDEX(Inputs!$D$4:$AG$150,0,MATCH(U$2,Inputs!$D$2:$AG$2,0))))=0,"",SUMIFS(INDEX(Inputs!$D$4:$AG$150,0,MATCH(U$2,Inputs!$D$2:$AG$2,0)),Inputs!$B$4:$B$150,$B53)/1000)</f>
        <v>22806</v>
      </c>
      <c r="V53" s="11">
        <f>IF(SUMPRODUCT((Inputs!$B$4:$B$150=$B53)*ISNUMBER(INDEX(Inputs!$D$4:$AG$150,0,MATCH(V$2,Inputs!$D$2:$AG$2,0))))=0,"",SUMIFS(INDEX(Inputs!$D$4:$AG$150,0,MATCH(V$2,Inputs!$D$2:$AG$2,0)),Inputs!$B$4:$B$150,$B53)/1000)</f>
        <v>22646</v>
      </c>
      <c r="W53" s="12">
        <f>IF(COUNT(S53:V53)=4,SUM(S53:V53),"")</f>
        <v>87604</v>
      </c>
      <c r="X53" s="11">
        <f>IF(SUMPRODUCT((Inputs!$B$4:$B$150=$B53)*ISNUMBER(INDEX(Inputs!$D$4:$AG$150,0,MATCH(X$2,Inputs!$D$2:$AG$2,0))))=0,"",SUMIFS(INDEX(Inputs!$D$4:$AG$150,0,MATCH(X$2,Inputs!$D$2:$AG$2,0)),Inputs!$B$4:$B$150,$B53)/1000)</f>
        <v>16605</v>
      </c>
      <c r="Y53" s="11">
        <f>IF(SUMPRODUCT((Inputs!$B$4:$B$150=$B53)*ISNUMBER(INDEX(Inputs!$D$4:$AG$150,0,MATCH(Y$2,Inputs!$D$2:$AG$2,0))))=0,"",SUMIFS(INDEX(Inputs!$D$4:$AG$150,0,MATCH(Y$2,Inputs!$D$2:$AG$2,0)),Inputs!$B$4:$B$150,$B53)/1000)</f>
        <v>19707</v>
      </c>
      <c r="Z53" s="11">
        <f>IF(SUMPRODUCT((Inputs!$B$4:$B$150=$B53)*ISNUMBER(INDEX(Inputs!$D$4:$AG$150,0,MATCH(Z$2,Inputs!$D$2:$AG$2,0))))=0,"",SUMIFS(INDEX(Inputs!$D$4:$AG$150,0,MATCH(Z$2,Inputs!$D$2:$AG$2,0)),Inputs!$B$4:$B$150,$B53)/1000)</f>
        <v>24680</v>
      </c>
      <c r="AA53" s="11">
        <f>IF(SUMPRODUCT((Inputs!$B$4:$B$150=$B53)*ISNUMBER(INDEX(Inputs!$D$4:$AG$150,0,MATCH(AA$2,Inputs!$D$2:$AG$2,0))))=0,"",SUMIFS(INDEX(Inputs!$D$4:$AG$150,0,MATCH(AA$2,Inputs!$D$2:$AG$2,0)),Inputs!$B$4:$B$150,$B53)/1000)</f>
        <v>21064</v>
      </c>
      <c r="AB53" s="12">
        <f>IF(COUNT(X53:AA53)=4,SUM(X53:AA53),"")</f>
        <v>82056</v>
      </c>
      <c r="AC53" s="11">
        <f>IF(SUMPRODUCT((Inputs!$B$4:$B$150=$B53)*ISNUMBER(INDEX(Inputs!$D$4:$AG$150,0,MATCH(AC$2,Inputs!$D$2:$AG$2,0))))=0,"",SUMIFS(INDEX(Inputs!$D$4:$AG$150,0,MATCH(AC$2,Inputs!$D$2:$AG$2,0)),Inputs!$B$4:$B$150,$B53)/1000)</f>
        <v>19979</v>
      </c>
      <c r="AD53" s="11">
        <f>IF(SUMPRODUCT((Inputs!$B$4:$B$150=$B53)*ISNUMBER(INDEX(Inputs!$D$4:$AG$150,0,MATCH(AD$2,Inputs!$D$2:$AG$2,0))))=0,"",SUMIFS(INDEX(Inputs!$D$4:$AG$150,0,MATCH(AD$2,Inputs!$D$2:$AG$2,0)),Inputs!$B$4:$B$150,$B53)/1000)</f>
        <v>25097</v>
      </c>
      <c r="AE53" s="11" t="str">
        <f>IF(SUMPRODUCT((Inputs!$B$4:$B$150=$B53)*ISNUMBER(INDEX(Inputs!$D$4:$AG$150,0,MATCH(AE$2,Inputs!$D$2:$AG$2,0))))=0,"",SUMIFS(INDEX(Inputs!$D$4:$AG$150,0,MATCH(AE$2,Inputs!$D$2:$AG$2,0)),Inputs!$B$4:$B$150,$B53)/1000)</f>
        <v/>
      </c>
      <c r="AF53" s="11" t="str">
        <f>IF(SUMPRODUCT((Inputs!$B$4:$B$150=$B53)*ISNUMBER(INDEX(Inputs!$D$4:$AG$150,0,MATCH(AF$2,Inputs!$D$2:$AG$2,0))))=0,"",SUMIFS(INDEX(Inputs!$D$4:$AG$150,0,MATCH(AF$2,Inputs!$D$2:$AG$2,0)),Inputs!$B$4:$B$150,$B53)/1000)</f>
        <v/>
      </c>
      <c r="AG53" s="12" t="str">
        <f>IF(COUNT(AC53:AF53)=4,SUM(AC53:AF53),"")</f>
        <v/>
      </c>
    </row>
    <row r="54">
      <c r="B54" s="9" t="n">
        <v>46</v>
      </c>
      <c r="C54" s="10" t="inlineStr">
        <is>
          <t>Segmento Geração e Armazenamento de Energia - receita (USD)</t>
        </is>
      </c>
      <c r="D54" s="11">
        <f>IF(SUMPRODUCT((Inputs!$B$4:$B$150=$B54)*ISNUMBER(INDEX(Inputs!$D$4:$AG$150,0,MATCH(D$2,Inputs!$D$2:$AG$2,0))))=0,"",SUMIFS(INDEX(Inputs!$D$4:$AG$150,0,MATCH(D$2,Inputs!$D$2:$AG$2,0)),Inputs!$B$4:$B$150,$B54)/1000)</f>
        <v>494</v>
      </c>
      <c r="E54" s="11">
        <f>IF(SUMPRODUCT((Inputs!$B$4:$B$150=$B54)*ISNUMBER(INDEX(Inputs!$D$4:$AG$150,0,MATCH(E$2,Inputs!$D$2:$AG$2,0))))=0,"",SUMIFS(INDEX(Inputs!$D$4:$AG$150,0,MATCH(E$2,Inputs!$D$2:$AG$2,0)),Inputs!$B$4:$B$150,$B54)/1000)</f>
        <v>801</v>
      </c>
      <c r="F54" s="11">
        <f>IF(SUMPRODUCT((Inputs!$B$4:$B$150=$B54)*ISNUMBER(INDEX(Inputs!$D$4:$AG$150,0,MATCH(F$2,Inputs!$D$2:$AG$2,0))))=0,"",SUMIFS(INDEX(Inputs!$D$4:$AG$150,0,MATCH(F$2,Inputs!$D$2:$AG$2,0)),Inputs!$B$4:$B$150,$B54)/1000)</f>
        <v>806</v>
      </c>
      <c r="G54" s="11">
        <f>IF(SUMPRODUCT((Inputs!$B$4:$B$150=$B54)*ISNUMBER(INDEX(Inputs!$D$4:$AG$150,0,MATCH(G$2,Inputs!$D$2:$AG$2,0))))=0,"",SUMIFS(INDEX(Inputs!$D$4:$AG$150,0,MATCH(G$2,Inputs!$D$2:$AG$2,0)),Inputs!$B$4:$B$150,$B54)/1000)</f>
        <v>688</v>
      </c>
      <c r="H54" s="12">
        <f>IF(COUNT(D54:G54)=4,SUM(D54:G54),"")</f>
        <v>2789</v>
      </c>
      <c r="I54" s="11">
        <f>IF(SUMPRODUCT((Inputs!$B$4:$B$150=$B54)*ISNUMBER(INDEX(Inputs!$D$4:$AG$150,0,MATCH(I$2,Inputs!$D$2:$AG$2,0))))=0,"",SUMIFS(INDEX(Inputs!$D$4:$AG$150,0,MATCH(I$2,Inputs!$D$2:$AG$2,0)),Inputs!$B$4:$B$150,$B54)/1000)</f>
        <v>616</v>
      </c>
      <c r="J54" s="11">
        <f>IF(SUMPRODUCT((Inputs!$B$4:$B$150=$B54)*ISNUMBER(INDEX(Inputs!$D$4:$AG$150,0,MATCH(J$2,Inputs!$D$2:$AG$2,0))))=0,"",SUMIFS(INDEX(Inputs!$D$4:$AG$150,0,MATCH(J$2,Inputs!$D$2:$AG$2,0)),Inputs!$B$4:$B$150,$B54)/1000)</f>
        <v>866</v>
      </c>
      <c r="K54" s="11">
        <f>IF(SUMPRODUCT((Inputs!$B$4:$B$150=$B54)*ISNUMBER(INDEX(Inputs!$D$4:$AG$150,0,MATCH(K$2,Inputs!$D$2:$AG$2,0))))=0,"",SUMIFS(INDEX(Inputs!$D$4:$AG$150,0,MATCH(K$2,Inputs!$D$2:$AG$2,0)),Inputs!$B$4:$B$150,$B54)/1000)</f>
        <v>1117</v>
      </c>
      <c r="L54" s="11">
        <f>IF(SUMPRODUCT((Inputs!$B$4:$B$150=$B54)*ISNUMBER(INDEX(Inputs!$D$4:$AG$150,0,MATCH(L$2,Inputs!$D$2:$AG$2,0))))=0,"",SUMIFS(INDEX(Inputs!$D$4:$AG$150,0,MATCH(L$2,Inputs!$D$2:$AG$2,0)),Inputs!$B$4:$B$150,$B54)/1000)</f>
        <v>1310</v>
      </c>
      <c r="M54" s="12">
        <f>IF(COUNT(I54:L54)=4,SUM(I54:L54),"")</f>
        <v>3909</v>
      </c>
      <c r="N54" s="11">
        <f>IF(SUMPRODUCT((Inputs!$B$4:$B$150=$B54)*ISNUMBER(INDEX(Inputs!$D$4:$AG$150,0,MATCH(N$2,Inputs!$D$2:$AG$2,0))))=0,"",SUMIFS(INDEX(Inputs!$D$4:$AG$150,0,MATCH(N$2,Inputs!$D$2:$AG$2,0)),Inputs!$B$4:$B$150,$B54)/1000)</f>
        <v>1529</v>
      </c>
      <c r="O54" s="11">
        <f>IF(SUMPRODUCT((Inputs!$B$4:$B$150=$B54)*ISNUMBER(INDEX(Inputs!$D$4:$AG$150,0,MATCH(O$2,Inputs!$D$2:$AG$2,0))))=0,"",SUMIFS(INDEX(Inputs!$D$4:$AG$150,0,MATCH(O$2,Inputs!$D$2:$AG$2,0)),Inputs!$B$4:$B$150,$B54)/1000)</f>
        <v>1509</v>
      </c>
      <c r="P54" s="11">
        <f>IF(SUMPRODUCT((Inputs!$B$4:$B$150=$B54)*ISNUMBER(INDEX(Inputs!$D$4:$AG$150,0,MATCH(P$2,Inputs!$D$2:$AG$2,0))))=0,"",SUMIFS(INDEX(Inputs!$D$4:$AG$150,0,MATCH(P$2,Inputs!$D$2:$AG$2,0)),Inputs!$B$4:$B$150,$B54)/1000)</f>
        <v>1559</v>
      </c>
      <c r="Q54" s="11">
        <f>IF(SUMPRODUCT((Inputs!$B$4:$B$150=$B54)*ISNUMBER(INDEX(Inputs!$D$4:$AG$150,0,MATCH(Q$2,Inputs!$D$2:$AG$2,0))))=0,"",SUMIFS(INDEX(Inputs!$D$4:$AG$150,0,MATCH(Q$2,Inputs!$D$2:$AG$2,0)),Inputs!$B$4:$B$150,$B54)/1000)</f>
        <v>1438</v>
      </c>
      <c r="R54" s="12">
        <f>IF(COUNT(N54:Q54)=4,SUM(N54:Q54),"")</f>
        <v>6035</v>
      </c>
      <c r="S54" s="11">
        <f>IF(SUMPRODUCT((Inputs!$B$4:$B$150=$B54)*ISNUMBER(INDEX(Inputs!$D$4:$AG$150,0,MATCH(S$2,Inputs!$D$2:$AG$2,0))))=0,"",SUMIFS(INDEX(Inputs!$D$4:$AG$150,0,MATCH(S$2,Inputs!$D$2:$AG$2,0)),Inputs!$B$4:$B$150,$B54)/1000)</f>
        <v>1635</v>
      </c>
      <c r="T54" s="11">
        <f>IF(SUMPRODUCT((Inputs!$B$4:$B$150=$B54)*ISNUMBER(INDEX(Inputs!$D$4:$AG$150,0,MATCH(T$2,Inputs!$D$2:$AG$2,0))))=0,"",SUMIFS(INDEX(Inputs!$D$4:$AG$150,0,MATCH(T$2,Inputs!$D$2:$AG$2,0)),Inputs!$B$4:$B$150,$B54)/1000)</f>
        <v>3014</v>
      </c>
      <c r="U54" s="11">
        <f>IF(SUMPRODUCT((Inputs!$B$4:$B$150=$B54)*ISNUMBER(INDEX(Inputs!$D$4:$AG$150,0,MATCH(U$2,Inputs!$D$2:$AG$2,0))))=0,"",SUMIFS(INDEX(Inputs!$D$4:$AG$150,0,MATCH(U$2,Inputs!$D$2:$AG$2,0)),Inputs!$B$4:$B$150,$B54)/1000)</f>
        <v>2376</v>
      </c>
      <c r="V54" s="11">
        <f>IF(SUMPRODUCT((Inputs!$B$4:$B$150=$B54)*ISNUMBER(INDEX(Inputs!$D$4:$AG$150,0,MATCH(V$2,Inputs!$D$2:$AG$2,0))))=0,"",SUMIFS(INDEX(Inputs!$D$4:$AG$150,0,MATCH(V$2,Inputs!$D$2:$AG$2,0)),Inputs!$B$4:$B$150,$B54)/1000)</f>
        <v>3061</v>
      </c>
      <c r="W54" s="12">
        <f>IF(COUNT(S54:V54)=4,SUM(S54:V54),"")</f>
        <v>10086</v>
      </c>
      <c r="X54" s="11">
        <f>IF(SUMPRODUCT((Inputs!$B$4:$B$150=$B54)*ISNUMBER(INDEX(Inputs!$D$4:$AG$150,0,MATCH(X$2,Inputs!$D$2:$AG$2,0))))=0,"",SUMIFS(INDEX(Inputs!$D$4:$AG$150,0,MATCH(X$2,Inputs!$D$2:$AG$2,0)),Inputs!$B$4:$B$150,$B54)/1000)</f>
        <v>2730</v>
      </c>
      <c r="Y54" s="11">
        <f>IF(SUMPRODUCT((Inputs!$B$4:$B$150=$B54)*ISNUMBER(INDEX(Inputs!$D$4:$AG$150,0,MATCH(Y$2,Inputs!$D$2:$AG$2,0))))=0,"",SUMIFS(INDEX(Inputs!$D$4:$AG$150,0,MATCH(Y$2,Inputs!$D$2:$AG$2,0)),Inputs!$B$4:$B$150,$B54)/1000)</f>
        <v>2789</v>
      </c>
      <c r="Z54" s="11">
        <f>IF(SUMPRODUCT((Inputs!$B$4:$B$150=$B54)*ISNUMBER(INDEX(Inputs!$D$4:$AG$150,0,MATCH(Z$2,Inputs!$D$2:$AG$2,0))))=0,"",SUMIFS(INDEX(Inputs!$D$4:$AG$150,0,MATCH(Z$2,Inputs!$D$2:$AG$2,0)),Inputs!$B$4:$B$150,$B54)/1000)</f>
        <v>3415</v>
      </c>
      <c r="AA54" s="11">
        <f>IF(SUMPRODUCT((Inputs!$B$4:$B$150=$B54)*ISNUMBER(INDEX(Inputs!$D$4:$AG$150,0,MATCH(AA$2,Inputs!$D$2:$AG$2,0))))=0,"",SUMIFS(INDEX(Inputs!$D$4:$AG$150,0,MATCH(AA$2,Inputs!$D$2:$AG$2,0)),Inputs!$B$4:$B$150,$B54)/1000)</f>
        <v>3837</v>
      </c>
      <c r="AB54" s="12">
        <f>IF(COUNT(X54:AA54)=4,SUM(X54:AA54),"")</f>
        <v>12771</v>
      </c>
      <c r="AC54" s="11">
        <f>IF(SUMPRODUCT((Inputs!$B$4:$B$150=$B54)*ISNUMBER(INDEX(Inputs!$D$4:$AG$150,0,MATCH(AC$2,Inputs!$D$2:$AG$2,0))))=0,"",SUMIFS(INDEX(Inputs!$D$4:$AG$150,0,MATCH(AC$2,Inputs!$D$2:$AG$2,0)),Inputs!$B$4:$B$150,$B54)/1000)</f>
        <v>2408</v>
      </c>
      <c r="AD54" s="11">
        <f>IF(SUMPRODUCT((Inputs!$B$4:$B$150=$B54)*ISNUMBER(INDEX(Inputs!$D$4:$AG$150,0,MATCH(AD$2,Inputs!$D$2:$AG$2,0))))=0,"",SUMIFS(INDEX(Inputs!$D$4:$AG$150,0,MATCH(AD$2,Inputs!$D$2:$AG$2,0)),Inputs!$B$4:$B$150,$B54)/1000)</f>
        <v>3139</v>
      </c>
      <c r="AE54" s="11" t="str">
        <f>IF(SUMPRODUCT((Inputs!$B$4:$B$150=$B54)*ISNUMBER(INDEX(Inputs!$D$4:$AG$150,0,MATCH(AE$2,Inputs!$D$2:$AG$2,0))))=0,"",SUMIFS(INDEX(Inputs!$D$4:$AG$150,0,MATCH(AE$2,Inputs!$D$2:$AG$2,0)),Inputs!$B$4:$B$150,$B54)/1000)</f>
        <v/>
      </c>
      <c r="AF54" s="11" t="str">
        <f>IF(SUMPRODUCT((Inputs!$B$4:$B$150=$B54)*ISNUMBER(INDEX(Inputs!$D$4:$AG$150,0,MATCH(AF$2,Inputs!$D$2:$AG$2,0))))=0,"",SUMIFS(INDEX(Inputs!$D$4:$AG$150,0,MATCH(AF$2,Inputs!$D$2:$AG$2,0)),Inputs!$B$4:$B$150,$B54)/1000)</f>
        <v/>
      </c>
      <c r="AG54" s="12" t="str">
        <f>IF(COUNT(AC54:AF54)=4,SUM(AC54:AF54),"")</f>
        <v/>
      </c>
    </row>
    <row r="55">
      <c r="B55" s="9" t="n">
        <v>47</v>
      </c>
      <c r="C55" s="10" t="inlineStr">
        <is>
          <t>Segmento Automotivo - lucro bruto (USD)</t>
        </is>
      </c>
      <c r="D55" s="11">
        <f>IF(SUMPRODUCT((Inputs!$B$4:$B$150=$B55)*ISNUMBER(INDEX(Inputs!$D$4:$AG$150,0,MATCH(D$2,Inputs!$D$2:$AG$2,0))))=0,"",SUMIFS(INDEX(Inputs!$D$4:$AG$150,0,MATCH(D$2,Inputs!$D$2:$AG$2,0)),Inputs!$B$4:$B$150,$B55)/1000)</f>
        <v>2316</v>
      </c>
      <c r="E55" s="11">
        <f>IF(SUMPRODUCT((Inputs!$B$4:$B$150=$B55)*ISNUMBER(INDEX(Inputs!$D$4:$AG$150,0,MATCH(E$2,Inputs!$D$2:$AG$2,0))))=0,"",SUMIFS(INDEX(Inputs!$D$4:$AG$150,0,MATCH(E$2,Inputs!$D$2:$AG$2,0)),Inputs!$B$4:$B$150,$B55)/1000)</f>
        <v>2864</v>
      </c>
      <c r="F55" s="11">
        <f>IF(SUMPRODUCT((Inputs!$B$4:$B$150=$B55)*ISNUMBER(INDEX(Inputs!$D$4:$AG$150,0,MATCH(F$2,Inputs!$D$2:$AG$2,0))))=0,"",SUMIFS(INDEX(Inputs!$D$4:$AG$150,0,MATCH(F$2,Inputs!$D$2:$AG$2,0)),Inputs!$B$4:$B$150,$B55)/1000)</f>
        <v>3657</v>
      </c>
      <c r="G55" s="11">
        <f>IF(SUMPRODUCT((Inputs!$B$4:$B$150=$B55)*ISNUMBER(INDEX(Inputs!$D$4:$AG$150,0,MATCH(G$2,Inputs!$D$2:$AG$2,0))))=0,"",SUMIFS(INDEX(Inputs!$D$4:$AG$150,0,MATCH(G$2,Inputs!$D$2:$AG$2,0)),Inputs!$B$4:$B$150,$B55)/1000)</f>
        <v>4898</v>
      </c>
      <c r="H55" s="12">
        <f>IF(COUNT(D55:G55)=4,SUM(D55:G55),"")</f>
        <v>13735</v>
      </c>
      <c r="I55" s="11">
        <f>IF(SUMPRODUCT((Inputs!$B$4:$B$150=$B55)*ISNUMBER(INDEX(Inputs!$D$4:$AG$150,0,MATCH(I$2,Inputs!$D$2:$AG$2,0))))=0,"",SUMIFS(INDEX(Inputs!$D$4:$AG$150,0,MATCH(I$2,Inputs!$D$2:$AG$2,0)),Inputs!$B$4:$B$150,$B55)/1000)</f>
        <v>5532</v>
      </c>
      <c r="J55" s="11">
        <f>IF(SUMPRODUCT((Inputs!$B$4:$B$150=$B55)*ISNUMBER(INDEX(Inputs!$D$4:$AG$150,0,MATCH(J$2,Inputs!$D$2:$AG$2,0))))=0,"",SUMIFS(INDEX(Inputs!$D$4:$AG$150,0,MATCH(J$2,Inputs!$D$2:$AG$2,0)),Inputs!$B$4:$B$150,$B55)/1000)</f>
        <v>4137</v>
      </c>
      <c r="K55" s="11">
        <f>IF(SUMPRODUCT((Inputs!$B$4:$B$150=$B55)*ISNUMBER(INDEX(Inputs!$D$4:$AG$150,0,MATCH(K$2,Inputs!$D$2:$AG$2,0))))=0,"",SUMIFS(INDEX(Inputs!$D$4:$AG$150,0,MATCH(K$2,Inputs!$D$2:$AG$2,0)),Inputs!$B$4:$B$150,$B55)/1000)</f>
        <v>5278</v>
      </c>
      <c r="L55" s="11">
        <f>IF(SUMPRODUCT((Inputs!$B$4:$B$150=$B55)*ISNUMBER(INDEX(Inputs!$D$4:$AG$150,0,MATCH(L$2,Inputs!$D$2:$AG$2,0))))=0,"",SUMIFS(INDEX(Inputs!$D$4:$AG$150,0,MATCH(L$2,Inputs!$D$2:$AG$2,0)),Inputs!$B$4:$B$150,$B55)/1000)</f>
        <v>5618</v>
      </c>
      <c r="M55" s="12">
        <f>IF(COUNT(I55:L55)=4,SUM(I55:L55),"")</f>
        <v>20565</v>
      </c>
      <c r="N55" s="11">
        <f>IF(SUMPRODUCT((Inputs!$B$4:$B$150=$B55)*ISNUMBER(INDEX(Inputs!$D$4:$AG$150,0,MATCH(N$2,Inputs!$D$2:$AG$2,0))))=0,"",SUMIFS(INDEX(Inputs!$D$4:$AG$150,0,MATCH(N$2,Inputs!$D$2:$AG$2,0)),Inputs!$B$4:$B$150,$B55)/1000)</f>
        <v>4343</v>
      </c>
      <c r="O55" s="11">
        <f>IF(SUMPRODUCT((Inputs!$B$4:$B$150=$B55)*ISNUMBER(INDEX(Inputs!$D$4:$AG$150,0,MATCH(O$2,Inputs!$D$2:$AG$2,0))))=0,"",SUMIFS(INDEX(Inputs!$D$4:$AG$150,0,MATCH(O$2,Inputs!$D$2:$AG$2,0)),Inputs!$B$4:$B$150,$B55)/1000)</f>
        <v>4255</v>
      </c>
      <c r="P55" s="11">
        <f>IF(SUMPRODUCT((Inputs!$B$4:$B$150=$B55)*ISNUMBER(INDEX(Inputs!$D$4:$AG$150,0,MATCH(P$2,Inputs!$D$2:$AG$2,0))))=0,"",SUMIFS(INDEX(Inputs!$D$4:$AG$150,0,MATCH(P$2,Inputs!$D$2:$AG$2,0)),Inputs!$B$4:$B$150,$B55)/1000)</f>
        <v>3797</v>
      </c>
      <c r="Q55" s="11">
        <f>IF(SUMPRODUCT((Inputs!$B$4:$B$150=$B55)*ISNUMBER(INDEX(Inputs!$D$4:$AG$150,0,MATCH(Q$2,Inputs!$D$2:$AG$2,0))))=0,"",SUMIFS(INDEX(Inputs!$D$4:$AG$150,0,MATCH(Q$2,Inputs!$D$2:$AG$2,0)),Inputs!$B$4:$B$150,$B55)/1000)</f>
        <v>4124</v>
      </c>
      <c r="R55" s="12">
        <f>IF(COUNT(N55:Q55)=4,SUM(N55:Q55),"")</f>
        <v>16519</v>
      </c>
      <c r="S55" s="11">
        <f>IF(SUMPRODUCT((Inputs!$B$4:$B$150=$B55)*ISNUMBER(INDEX(Inputs!$D$4:$AG$150,0,MATCH(S$2,Inputs!$D$2:$AG$2,0))))=0,"",SUMIFS(INDEX(Inputs!$D$4:$AG$150,0,MATCH(S$2,Inputs!$D$2:$AG$2,0)),Inputs!$B$4:$B$150,$B55)/1000)</f>
        <v>3293</v>
      </c>
      <c r="T55" s="11">
        <f>IF(SUMPRODUCT((Inputs!$B$4:$B$150=$B55)*ISNUMBER(INDEX(Inputs!$D$4:$AG$150,0,MATCH(T$2,Inputs!$D$2:$AG$2,0))))=0,"",SUMIFS(INDEX(Inputs!$D$4:$AG$150,0,MATCH(T$2,Inputs!$D$2:$AG$2,0)),Inputs!$B$4:$B$150,$B55)/1000)</f>
        <v>3838</v>
      </c>
      <c r="U55" s="11">
        <f>IF(SUMPRODUCT((Inputs!$B$4:$B$150=$B55)*ISNUMBER(INDEX(Inputs!$D$4:$AG$150,0,MATCH(U$2,Inputs!$D$2:$AG$2,0))))=0,"",SUMIFS(INDEX(Inputs!$D$4:$AG$150,0,MATCH(U$2,Inputs!$D$2:$AG$2,0)),Inputs!$B$4:$B$150,$B55)/1000)</f>
        <v>4272</v>
      </c>
      <c r="V55" s="11">
        <f>IF(SUMPRODUCT((Inputs!$B$4:$B$150=$B55)*ISNUMBER(INDEX(Inputs!$D$4:$AG$150,0,MATCH(V$2,Inputs!$D$2:$AG$2,0))))=0,"",SUMIFS(INDEX(Inputs!$D$4:$AG$150,0,MATCH(V$2,Inputs!$D$2:$AG$2,0)),Inputs!$B$4:$B$150,$B55)/1000)</f>
        <v>3407</v>
      </c>
      <c r="W55" s="12">
        <f>IF(COUNT(S55:V55)=4,SUM(S55:V55),"")</f>
        <v>14810</v>
      </c>
      <c r="X55" s="11">
        <f>IF(SUMPRODUCT((Inputs!$B$4:$B$150=$B55)*ISNUMBER(INDEX(Inputs!$D$4:$AG$150,0,MATCH(X$2,Inputs!$D$2:$AG$2,0))))=0,"",SUMIFS(INDEX(Inputs!$D$4:$AG$150,0,MATCH(X$2,Inputs!$D$2:$AG$2,0)),Inputs!$B$4:$B$150,$B55)/1000)</f>
        <v>2368</v>
      </c>
      <c r="Y55" s="11">
        <f>IF(SUMPRODUCT((Inputs!$B$4:$B$150=$B55)*ISNUMBER(INDEX(Inputs!$D$4:$AG$150,0,MATCH(Y$2,Inputs!$D$2:$AG$2,0))))=0,"",SUMIFS(INDEX(Inputs!$D$4:$AG$150,0,MATCH(Y$2,Inputs!$D$2:$AG$2,0)),Inputs!$B$4:$B$150,$B55)/1000)</f>
        <v>3032</v>
      </c>
      <c r="Z55" s="11">
        <f>IF(SUMPRODUCT((Inputs!$B$4:$B$150=$B55)*ISNUMBER(INDEX(Inputs!$D$4:$AG$150,0,MATCH(Z$2,Inputs!$D$2:$AG$2,0))))=0,"",SUMIFS(INDEX(Inputs!$D$4:$AG$150,0,MATCH(Z$2,Inputs!$D$2:$AG$2,0)),Inputs!$B$4:$B$150,$B55)/1000)</f>
        <v>3981</v>
      </c>
      <c r="AA55" s="11">
        <f>IF(SUMPRODUCT((Inputs!$B$4:$B$150=$B55)*ISNUMBER(INDEX(Inputs!$D$4:$AG$150,0,MATCH(AA$2,Inputs!$D$2:$AG$2,0))))=0,"",SUMIFS(INDEX(Inputs!$D$4:$AG$150,0,MATCH(AA$2,Inputs!$D$2:$AG$2,0)),Inputs!$B$4:$B$150,$B55)/1000)</f>
        <v>3911</v>
      </c>
      <c r="AB55" s="12">
        <f>IF(COUNT(X55:AA55)=4,SUM(X55:AA55),"")</f>
        <v>13292</v>
      </c>
      <c r="AC55" s="11">
        <f>IF(SUMPRODUCT((Inputs!$B$4:$B$150=$B55)*ISNUMBER(INDEX(Inputs!$D$4:$AG$150,0,MATCH(AC$2,Inputs!$D$2:$AG$2,0))))=0,"",SUMIFS(INDEX(Inputs!$D$4:$AG$150,0,MATCH(AC$2,Inputs!$D$2:$AG$2,0)),Inputs!$B$4:$B$150,$B55)/1000)</f>
        <v>3768</v>
      </c>
      <c r="AD55" s="11">
        <f>IF(SUMPRODUCT((Inputs!$B$4:$B$150=$B55)*ISNUMBER(INDEX(Inputs!$D$4:$AG$150,0,MATCH(AD$2,Inputs!$D$2:$AG$2,0))))=0,"",SUMIFS(INDEX(Inputs!$D$4:$AG$150,0,MATCH(AD$2,Inputs!$D$2:$AG$2,0)),Inputs!$B$4:$B$150,$B55)/1000)</f>
        <v>4111</v>
      </c>
      <c r="AE55" s="11" t="str">
        <f>IF(SUMPRODUCT((Inputs!$B$4:$B$150=$B55)*ISNUMBER(INDEX(Inputs!$D$4:$AG$150,0,MATCH(AE$2,Inputs!$D$2:$AG$2,0))))=0,"",SUMIFS(INDEX(Inputs!$D$4:$AG$150,0,MATCH(AE$2,Inputs!$D$2:$AG$2,0)),Inputs!$B$4:$B$150,$B55)/1000)</f>
        <v/>
      </c>
      <c r="AF55" s="11" t="str">
        <f>IF(SUMPRODUCT((Inputs!$B$4:$B$150=$B55)*ISNUMBER(INDEX(Inputs!$D$4:$AG$150,0,MATCH(AF$2,Inputs!$D$2:$AG$2,0))))=0,"",SUMIFS(INDEX(Inputs!$D$4:$AG$150,0,MATCH(AF$2,Inputs!$D$2:$AG$2,0)),Inputs!$B$4:$B$150,$B55)/1000)</f>
        <v/>
      </c>
      <c r="AG55" s="12" t="str">
        <f>IF(COUNT(AC55:AF55)=4,SUM(AC55:AF55),"")</f>
        <v/>
      </c>
    </row>
    <row r="56">
      <c r="B56" s="9" t="n">
        <v>48</v>
      </c>
      <c r="C56" s="10" t="inlineStr">
        <is>
          <t>Segmento Energia - lucro bruto (USD)</t>
        </is>
      </c>
      <c r="D56" s="11">
        <f>IF(SUMPRODUCT((Inputs!$B$4:$B$150=$B56)*ISNUMBER(INDEX(Inputs!$D$4:$AG$150,0,MATCH(D$2,Inputs!$D$2:$AG$2,0))))=0,"",SUMIFS(INDEX(Inputs!$D$4:$AG$150,0,MATCH(D$2,Inputs!$D$2:$AG$2,0)),Inputs!$B$4:$B$150,$B56)/1000)</f>
        <v>-101</v>
      </c>
      <c r="E56" s="11">
        <f>IF(SUMPRODUCT((Inputs!$B$4:$B$150=$B56)*ISNUMBER(INDEX(Inputs!$D$4:$AG$150,0,MATCH(E$2,Inputs!$D$2:$AG$2,0))))=0,"",SUMIFS(INDEX(Inputs!$D$4:$AG$150,0,MATCH(E$2,Inputs!$D$2:$AG$2,0)),Inputs!$B$4:$B$150,$B56)/1000)</f>
        <v>20</v>
      </c>
      <c r="F56" s="11">
        <f>IF(SUMPRODUCT((Inputs!$B$4:$B$150=$B56)*ISNUMBER(INDEX(Inputs!$D$4:$AG$150,0,MATCH(F$2,Inputs!$D$2:$AG$2,0))))=0,"",SUMIFS(INDEX(Inputs!$D$4:$AG$150,0,MATCH(F$2,Inputs!$D$2:$AG$2,0)),Inputs!$B$4:$B$150,$B56)/1000)</f>
        <v>3</v>
      </c>
      <c r="G56" s="11">
        <f>IF(SUMPRODUCT((Inputs!$B$4:$B$150=$B56)*ISNUMBER(INDEX(Inputs!$D$4:$AG$150,0,MATCH(G$2,Inputs!$D$2:$AG$2,0))))=0,"",SUMIFS(INDEX(Inputs!$D$4:$AG$150,0,MATCH(G$2,Inputs!$D$2:$AG$2,0)),Inputs!$B$4:$B$150,$B56)/1000)</f>
        <v>-51</v>
      </c>
      <c r="H56" s="12">
        <f>IF(COUNT(D56:G56)=4,SUM(D56:G56),"")</f>
        <v>-129</v>
      </c>
      <c r="I56" s="11">
        <f>IF(SUMPRODUCT((Inputs!$B$4:$B$150=$B56)*ISNUMBER(INDEX(Inputs!$D$4:$AG$150,0,MATCH(I$2,Inputs!$D$2:$AG$2,0))))=0,"",SUMIFS(INDEX(Inputs!$D$4:$AG$150,0,MATCH(I$2,Inputs!$D$2:$AG$2,0)),Inputs!$B$4:$B$150,$B56)/1000)</f>
        <v>-72</v>
      </c>
      <c r="J56" s="11">
        <f>IF(SUMPRODUCT((Inputs!$B$4:$B$150=$B56)*ISNUMBER(INDEX(Inputs!$D$4:$AG$150,0,MATCH(J$2,Inputs!$D$2:$AG$2,0))))=0,"",SUMIFS(INDEX(Inputs!$D$4:$AG$150,0,MATCH(J$2,Inputs!$D$2:$AG$2,0)),Inputs!$B$4:$B$150,$B56)/1000)</f>
        <v>97</v>
      </c>
      <c r="K56" s="11">
        <f>IF(SUMPRODUCT((Inputs!$B$4:$B$150=$B56)*ISNUMBER(INDEX(Inputs!$D$4:$AG$150,0,MATCH(K$2,Inputs!$D$2:$AG$2,0))))=0,"",SUMIFS(INDEX(Inputs!$D$4:$AG$150,0,MATCH(K$2,Inputs!$D$2:$AG$2,0)),Inputs!$B$4:$B$150,$B56)/1000)</f>
        <v>104</v>
      </c>
      <c r="L56" s="11">
        <f>IF(SUMPRODUCT((Inputs!$B$4:$B$150=$B56)*ISNUMBER(INDEX(Inputs!$D$4:$AG$150,0,MATCH(L$2,Inputs!$D$2:$AG$2,0))))=0,"",SUMIFS(INDEX(Inputs!$D$4:$AG$150,0,MATCH(L$2,Inputs!$D$2:$AG$2,0)),Inputs!$B$4:$B$150,$B56)/1000)</f>
        <v>159</v>
      </c>
      <c r="M56" s="12">
        <f>IF(COUNT(I56:L56)=4,SUM(I56:L56),"")</f>
        <v>288</v>
      </c>
      <c r="N56" s="11">
        <f>IF(SUMPRODUCT((Inputs!$B$4:$B$150=$B56)*ISNUMBER(INDEX(Inputs!$D$4:$AG$150,0,MATCH(N$2,Inputs!$D$2:$AG$2,0))))=0,"",SUMIFS(INDEX(Inputs!$D$4:$AG$150,0,MATCH(N$2,Inputs!$D$2:$AG$2,0)),Inputs!$B$4:$B$150,$B56)/1000)</f>
        <v>168</v>
      </c>
      <c r="O56" s="11">
        <f>IF(SUMPRODUCT((Inputs!$B$4:$B$150=$B56)*ISNUMBER(INDEX(Inputs!$D$4:$AG$150,0,MATCH(O$2,Inputs!$D$2:$AG$2,0))))=0,"",SUMIFS(INDEX(Inputs!$D$4:$AG$150,0,MATCH(O$2,Inputs!$D$2:$AG$2,0)),Inputs!$B$4:$B$150,$B56)/1000)</f>
        <v>278</v>
      </c>
      <c r="P56" s="11">
        <f>IF(SUMPRODUCT((Inputs!$B$4:$B$150=$B56)*ISNUMBER(INDEX(Inputs!$D$4:$AG$150,0,MATCH(P$2,Inputs!$D$2:$AG$2,0))))=0,"",SUMIFS(INDEX(Inputs!$D$4:$AG$150,0,MATCH(P$2,Inputs!$D$2:$AG$2,0)),Inputs!$B$4:$B$150,$B56)/1000)</f>
        <v>381</v>
      </c>
      <c r="Q56" s="11">
        <f>IF(SUMPRODUCT((Inputs!$B$4:$B$150=$B56)*ISNUMBER(INDEX(Inputs!$D$4:$AG$150,0,MATCH(Q$2,Inputs!$D$2:$AG$2,0))))=0,"",SUMIFS(INDEX(Inputs!$D$4:$AG$150,0,MATCH(Q$2,Inputs!$D$2:$AG$2,0)),Inputs!$B$4:$B$150,$B56)/1000)</f>
        <v>314</v>
      </c>
      <c r="R56" s="12">
        <f>IF(COUNT(N56:Q56)=4,SUM(N56:Q56),"")</f>
        <v>1141</v>
      </c>
      <c r="S56" s="11">
        <f>IF(SUMPRODUCT((Inputs!$B$4:$B$150=$B56)*ISNUMBER(INDEX(Inputs!$D$4:$AG$150,0,MATCH(S$2,Inputs!$D$2:$AG$2,0))))=0,"",SUMIFS(INDEX(Inputs!$D$4:$AG$150,0,MATCH(S$2,Inputs!$D$2:$AG$2,0)),Inputs!$B$4:$B$150,$B56)/1000)</f>
        <v>403</v>
      </c>
      <c r="T56" s="11">
        <f>IF(SUMPRODUCT((Inputs!$B$4:$B$150=$B56)*ISNUMBER(INDEX(Inputs!$D$4:$AG$150,0,MATCH(T$2,Inputs!$D$2:$AG$2,0))))=0,"",SUMIFS(INDEX(Inputs!$D$4:$AG$150,0,MATCH(T$2,Inputs!$D$2:$AG$2,0)),Inputs!$B$4:$B$150,$B56)/1000)</f>
        <v>740</v>
      </c>
      <c r="U56" s="11">
        <f>IF(SUMPRODUCT((Inputs!$B$4:$B$150=$B56)*ISNUMBER(INDEX(Inputs!$D$4:$AG$150,0,MATCH(U$2,Inputs!$D$2:$AG$2,0))))=0,"",SUMIFS(INDEX(Inputs!$D$4:$AG$150,0,MATCH(U$2,Inputs!$D$2:$AG$2,0)),Inputs!$B$4:$B$150,$B56)/1000)</f>
        <v>725</v>
      </c>
      <c r="V56" s="11">
        <f>IF(SUMPRODUCT((Inputs!$B$4:$B$150=$B56)*ISNUMBER(INDEX(Inputs!$D$4:$AG$150,0,MATCH(V$2,Inputs!$D$2:$AG$2,0))))=0,"",SUMIFS(INDEX(Inputs!$D$4:$AG$150,0,MATCH(V$2,Inputs!$D$2:$AG$2,0)),Inputs!$B$4:$B$150,$B56)/1000)</f>
        <v>772</v>
      </c>
      <c r="W56" s="12">
        <f>IF(COUNT(S56:V56)=4,SUM(S56:V56),"")</f>
        <v>2640</v>
      </c>
      <c r="X56" s="11">
        <f>IF(SUMPRODUCT((Inputs!$B$4:$B$150=$B56)*ISNUMBER(INDEX(Inputs!$D$4:$AG$150,0,MATCH(X$2,Inputs!$D$2:$AG$2,0))))=0,"",SUMIFS(INDEX(Inputs!$D$4:$AG$150,0,MATCH(X$2,Inputs!$D$2:$AG$2,0)),Inputs!$B$4:$B$150,$B56)/1000)</f>
        <v>785</v>
      </c>
      <c r="Y56" s="11">
        <f>IF(SUMPRODUCT((Inputs!$B$4:$B$150=$B56)*ISNUMBER(INDEX(Inputs!$D$4:$AG$150,0,MATCH(Y$2,Inputs!$D$2:$AG$2,0))))=0,"",SUMIFS(INDEX(Inputs!$D$4:$AG$150,0,MATCH(Y$2,Inputs!$D$2:$AG$2,0)),Inputs!$B$4:$B$150,$B56)/1000)</f>
        <v>846</v>
      </c>
      <c r="Z56" s="11">
        <f>IF(SUMPRODUCT((Inputs!$B$4:$B$150=$B56)*ISNUMBER(INDEX(Inputs!$D$4:$AG$150,0,MATCH(Z$2,Inputs!$D$2:$AG$2,0))))=0,"",SUMIFS(INDEX(Inputs!$D$4:$AG$150,0,MATCH(Z$2,Inputs!$D$2:$AG$2,0)),Inputs!$B$4:$B$150,$B56)/1000)</f>
        <v>1073</v>
      </c>
      <c r="AA56" s="11">
        <f>IF(SUMPRODUCT((Inputs!$B$4:$B$150=$B56)*ISNUMBER(INDEX(Inputs!$D$4:$AG$150,0,MATCH(AA$2,Inputs!$D$2:$AG$2,0))))=0,"",SUMIFS(INDEX(Inputs!$D$4:$AG$150,0,MATCH(AA$2,Inputs!$D$2:$AG$2,0)),Inputs!$B$4:$B$150,$B56)/1000)</f>
        <v>1098</v>
      </c>
      <c r="AB56" s="12">
        <f>IF(COUNT(X56:AA56)=4,SUM(X56:AA56),"")</f>
        <v>3802</v>
      </c>
      <c r="AC56" s="11">
        <f>IF(SUMPRODUCT((Inputs!$B$4:$B$150=$B56)*ISNUMBER(INDEX(Inputs!$D$4:$AG$150,0,MATCH(AC$2,Inputs!$D$2:$AG$2,0))))=0,"",SUMIFS(INDEX(Inputs!$D$4:$AG$150,0,MATCH(AC$2,Inputs!$D$2:$AG$2,0)),Inputs!$B$4:$B$150,$B56)/1000)</f>
        <v>952</v>
      </c>
      <c r="AD56" s="11">
        <f>IF(SUMPRODUCT((Inputs!$B$4:$B$150=$B56)*ISNUMBER(INDEX(Inputs!$D$4:$AG$150,0,MATCH(AD$2,Inputs!$D$2:$AG$2,0))))=0,"",SUMIFS(INDEX(Inputs!$D$4:$AG$150,0,MATCH(AD$2,Inputs!$D$2:$AG$2,0)),Inputs!$B$4:$B$150,$B56)/1000)</f>
        <v>640</v>
      </c>
      <c r="AE56" s="11" t="str">
        <f>IF(SUMPRODUCT((Inputs!$B$4:$B$150=$B56)*ISNUMBER(INDEX(Inputs!$D$4:$AG$150,0,MATCH(AE$2,Inputs!$D$2:$AG$2,0))))=0,"",SUMIFS(INDEX(Inputs!$D$4:$AG$150,0,MATCH(AE$2,Inputs!$D$2:$AG$2,0)),Inputs!$B$4:$B$150,$B56)/1000)</f>
        <v/>
      </c>
      <c r="AF56" s="11" t="str">
        <f>IF(SUMPRODUCT((Inputs!$B$4:$B$150=$B56)*ISNUMBER(INDEX(Inputs!$D$4:$AG$150,0,MATCH(AF$2,Inputs!$D$2:$AG$2,0))))=0,"",SUMIFS(INDEX(Inputs!$D$4:$AG$150,0,MATCH(AF$2,Inputs!$D$2:$AG$2,0)),Inputs!$B$4:$B$150,$B56)/1000)</f>
        <v/>
      </c>
      <c r="AG56" s="12" t="str">
        <f>IF(COUNT(AC56:AF56)=4,SUM(AC56:AF56),"")</f>
        <v/>
      </c>
    </row>
    <row r="57">
      <c r="B57" s="9" t="n">
        <v>49</v>
      </c>
      <c r="C57" s="10" t="inlineStr">
        <is>
          <t>Vendas de veículos (USD; até 2021 com + sem garantia de recompra)</t>
        </is>
      </c>
      <c r="D57" s="11">
        <f>IF(SUMPRODUCT((Inputs!$B$4:$B$150=$B57)*ISNUMBER(INDEX(Inputs!$D$4:$AG$150,0,MATCH(D$2,Inputs!$D$2:$AG$2,0))))=0,"",SUMIFS(INDEX(Inputs!$D$4:$AG$150,0,MATCH(D$2,Inputs!$D$2:$AG$2,0)),Inputs!$B$4:$B$150,$B57)/1000)</f>
        <v>8187</v>
      </c>
      <c r="E57" s="11">
        <f>IF(SUMPRODUCT((Inputs!$B$4:$B$150=$B57)*ISNUMBER(INDEX(Inputs!$D$4:$AG$150,0,MATCH(E$2,Inputs!$D$2:$AG$2,0))))=0,"",SUMIFS(INDEX(Inputs!$D$4:$AG$150,0,MATCH(E$2,Inputs!$D$2:$AG$2,0)),Inputs!$B$4:$B$150,$B57)/1000)</f>
        <v>9520</v>
      </c>
      <c r="F57" s="11">
        <f>IF(SUMPRODUCT((Inputs!$B$4:$B$150=$B57)*ISNUMBER(INDEX(Inputs!$D$4:$AG$150,0,MATCH(F$2,Inputs!$D$2:$AG$2,0))))=0,"",SUMIFS(INDEX(Inputs!$D$4:$AG$150,0,MATCH(F$2,Inputs!$D$2:$AG$2,0)),Inputs!$B$4:$B$150,$B57)/1000)</f>
        <v>11393</v>
      </c>
      <c r="G57" s="11">
        <f>IF(SUMPRODUCT((Inputs!$B$4:$B$150=$B57)*ISNUMBER(INDEX(Inputs!$D$4:$AG$150,0,MATCH(G$2,Inputs!$D$2:$AG$2,0))))=0,"",SUMIFS(INDEX(Inputs!$D$4:$AG$150,0,MATCH(G$2,Inputs!$D$2:$AG$2,0)),Inputs!$B$4:$B$150,$B57)/1000)</f>
        <v>15025</v>
      </c>
      <c r="H57" s="12">
        <f>IF(COUNT(D57:G57)=4,SUM(D57:G57),"")</f>
        <v>44125</v>
      </c>
      <c r="I57" s="11">
        <f>IF(SUMPRODUCT((Inputs!$B$4:$B$150=$B57)*ISNUMBER(INDEX(Inputs!$D$4:$AG$150,0,MATCH(I$2,Inputs!$D$2:$AG$2,0))))=0,"",SUMIFS(INDEX(Inputs!$D$4:$AG$150,0,MATCH(I$2,Inputs!$D$2:$AG$2,0)),Inputs!$B$4:$B$150,$B57)/1000)</f>
        <v>15514</v>
      </c>
      <c r="J57" s="11">
        <f>IF(SUMPRODUCT((Inputs!$B$4:$B$150=$B57)*ISNUMBER(INDEX(Inputs!$D$4:$AG$150,0,MATCH(J$2,Inputs!$D$2:$AG$2,0))))=0,"",SUMIFS(INDEX(Inputs!$D$4:$AG$150,0,MATCH(J$2,Inputs!$D$2:$AG$2,0)),Inputs!$B$4:$B$150,$B57)/1000)</f>
        <v>13670</v>
      </c>
      <c r="K57" s="11">
        <f>IF(SUMPRODUCT((Inputs!$B$4:$B$150=$B57)*ISNUMBER(INDEX(Inputs!$D$4:$AG$150,0,MATCH(K$2,Inputs!$D$2:$AG$2,0))))=0,"",SUMIFS(INDEX(Inputs!$D$4:$AG$150,0,MATCH(K$2,Inputs!$D$2:$AG$2,0)),Inputs!$B$4:$B$150,$B57)/1000)</f>
        <v>17785</v>
      </c>
      <c r="L57" s="11">
        <f>IF(SUMPRODUCT((Inputs!$B$4:$B$150=$B57)*ISNUMBER(INDEX(Inputs!$D$4:$AG$150,0,MATCH(L$2,Inputs!$D$2:$AG$2,0))))=0,"",SUMIFS(INDEX(Inputs!$D$4:$AG$150,0,MATCH(L$2,Inputs!$D$2:$AG$2,0)),Inputs!$B$4:$B$150,$B57)/1000)</f>
        <v>20241</v>
      </c>
      <c r="M57" s="12">
        <f>IF(COUNT(I57:L57)=4,SUM(I57:L57),"")</f>
        <v>67210</v>
      </c>
      <c r="N57" s="11">
        <f>IF(SUMPRODUCT((Inputs!$B$4:$B$150=$B57)*ISNUMBER(INDEX(Inputs!$D$4:$AG$150,0,MATCH(N$2,Inputs!$D$2:$AG$2,0))))=0,"",SUMIFS(INDEX(Inputs!$D$4:$AG$150,0,MATCH(N$2,Inputs!$D$2:$AG$2,0)),Inputs!$B$4:$B$150,$B57)/1000)</f>
        <v>18878</v>
      </c>
      <c r="O57" s="11">
        <f>IF(SUMPRODUCT((Inputs!$B$4:$B$150=$B57)*ISNUMBER(INDEX(Inputs!$D$4:$AG$150,0,MATCH(O$2,Inputs!$D$2:$AG$2,0))))=0,"",SUMIFS(INDEX(Inputs!$D$4:$AG$150,0,MATCH(O$2,Inputs!$D$2:$AG$2,0)),Inputs!$B$4:$B$150,$B57)/1000)</f>
        <v>20419</v>
      </c>
      <c r="P57" s="11">
        <f>IF(SUMPRODUCT((Inputs!$B$4:$B$150=$B57)*ISNUMBER(INDEX(Inputs!$D$4:$AG$150,0,MATCH(P$2,Inputs!$D$2:$AG$2,0))))=0,"",SUMIFS(INDEX(Inputs!$D$4:$AG$150,0,MATCH(P$2,Inputs!$D$2:$AG$2,0)),Inputs!$B$4:$B$150,$B57)/1000)</f>
        <v>18582</v>
      </c>
      <c r="Q57" s="11">
        <f>IF(SUMPRODUCT((Inputs!$B$4:$B$150=$B57)*ISNUMBER(INDEX(Inputs!$D$4:$AG$150,0,MATCH(Q$2,Inputs!$D$2:$AG$2,0))))=0,"",SUMIFS(INDEX(Inputs!$D$4:$AG$150,0,MATCH(Q$2,Inputs!$D$2:$AG$2,0)),Inputs!$B$4:$B$150,$B57)/1000)</f>
        <v>20630</v>
      </c>
      <c r="R57" s="12">
        <f>IF(COUNT(N57:Q57)=4,SUM(N57:Q57),"")</f>
        <v>78509</v>
      </c>
      <c r="S57" s="11">
        <f>IF(SUMPRODUCT((Inputs!$B$4:$B$150=$B57)*ISNUMBER(INDEX(Inputs!$D$4:$AG$150,0,MATCH(S$2,Inputs!$D$2:$AG$2,0))))=0,"",SUMIFS(INDEX(Inputs!$D$4:$AG$150,0,MATCH(S$2,Inputs!$D$2:$AG$2,0)),Inputs!$B$4:$B$150,$B57)/1000)</f>
        <v>16460</v>
      </c>
      <c r="T57" s="11">
        <f>IF(SUMPRODUCT((Inputs!$B$4:$B$150=$B57)*ISNUMBER(INDEX(Inputs!$D$4:$AG$150,0,MATCH(T$2,Inputs!$D$2:$AG$2,0))))=0,"",SUMIFS(INDEX(Inputs!$D$4:$AG$150,0,MATCH(T$2,Inputs!$D$2:$AG$2,0)),Inputs!$B$4:$B$150,$B57)/1000)</f>
        <v>18530</v>
      </c>
      <c r="U57" s="11">
        <f>IF(SUMPRODUCT((Inputs!$B$4:$B$150=$B57)*ISNUMBER(INDEX(Inputs!$D$4:$AG$150,0,MATCH(U$2,Inputs!$D$2:$AG$2,0))))=0,"",SUMIFS(INDEX(Inputs!$D$4:$AG$150,0,MATCH(U$2,Inputs!$D$2:$AG$2,0)),Inputs!$B$4:$B$150,$B57)/1000)</f>
        <v>18831</v>
      </c>
      <c r="V57" s="11">
        <f>IF(SUMPRODUCT((Inputs!$B$4:$B$150=$B57)*ISNUMBER(INDEX(Inputs!$D$4:$AG$150,0,MATCH(V$2,Inputs!$D$2:$AG$2,0))))=0,"",SUMIFS(INDEX(Inputs!$D$4:$AG$150,0,MATCH(V$2,Inputs!$D$2:$AG$2,0)),Inputs!$B$4:$B$150,$B57)/1000)</f>
        <v>18659</v>
      </c>
      <c r="W57" s="12">
        <f>IF(COUNT(S57:V57)=4,SUM(S57:V57),"")</f>
        <v>72480</v>
      </c>
      <c r="X57" s="11">
        <f>IF(SUMPRODUCT((Inputs!$B$4:$B$150=$B57)*ISNUMBER(INDEX(Inputs!$D$4:$AG$150,0,MATCH(X$2,Inputs!$D$2:$AG$2,0))))=0,"",SUMIFS(INDEX(Inputs!$D$4:$AG$150,0,MATCH(X$2,Inputs!$D$2:$AG$2,0)),Inputs!$B$4:$B$150,$B57)/1000)</f>
        <v>12925</v>
      </c>
      <c r="Y57" s="11">
        <f>IF(SUMPRODUCT((Inputs!$B$4:$B$150=$B57)*ISNUMBER(INDEX(Inputs!$D$4:$AG$150,0,MATCH(Y$2,Inputs!$D$2:$AG$2,0))))=0,"",SUMIFS(INDEX(Inputs!$D$4:$AG$150,0,MATCH(Y$2,Inputs!$D$2:$AG$2,0)),Inputs!$B$4:$B$150,$B57)/1000)</f>
        <v>15787</v>
      </c>
      <c r="Z57" s="11">
        <f>IF(SUMPRODUCT((Inputs!$B$4:$B$150=$B57)*ISNUMBER(INDEX(Inputs!$D$4:$AG$150,0,MATCH(Z$2,Inputs!$D$2:$AG$2,0))))=0,"",SUMIFS(INDEX(Inputs!$D$4:$AG$150,0,MATCH(Z$2,Inputs!$D$2:$AG$2,0)),Inputs!$B$4:$B$150,$B57)/1000)</f>
        <v>20359</v>
      </c>
      <c r="AA57" s="11">
        <f>IF(SUMPRODUCT((Inputs!$B$4:$B$150=$B57)*ISNUMBER(INDEX(Inputs!$D$4:$AG$150,0,MATCH(AA$2,Inputs!$D$2:$AG$2,0))))=0,"",SUMIFS(INDEX(Inputs!$D$4:$AG$150,0,MATCH(AA$2,Inputs!$D$2:$AG$2,0)),Inputs!$B$4:$B$150,$B57)/1000)</f>
        <v>16750</v>
      </c>
      <c r="AB57" s="12">
        <f>IF(COUNT(X57:AA57)=4,SUM(X57:AA57),"")</f>
        <v>65821</v>
      </c>
      <c r="AC57" s="11">
        <f>IF(SUMPRODUCT((Inputs!$B$4:$B$150=$B57)*ISNUMBER(INDEX(Inputs!$D$4:$AG$150,0,MATCH(AC$2,Inputs!$D$2:$AG$2,0))))=0,"",SUMIFS(INDEX(Inputs!$D$4:$AG$150,0,MATCH(AC$2,Inputs!$D$2:$AG$2,0)),Inputs!$B$4:$B$150,$B57)/1000)</f>
        <v>15473</v>
      </c>
      <c r="AD57" s="11">
        <f>IF(SUMPRODUCT((Inputs!$B$4:$B$150=$B57)*ISNUMBER(INDEX(Inputs!$D$4:$AG$150,0,MATCH(AD$2,Inputs!$D$2:$AG$2,0))))=0,"",SUMIFS(INDEX(Inputs!$D$4:$AG$150,0,MATCH(AD$2,Inputs!$D$2:$AG$2,0)),Inputs!$B$4:$B$150,$B57)/1000)</f>
        <v>20006</v>
      </c>
      <c r="AE57" s="11" t="str">
        <f>IF(SUMPRODUCT((Inputs!$B$4:$B$150=$B57)*ISNUMBER(INDEX(Inputs!$D$4:$AG$150,0,MATCH(AE$2,Inputs!$D$2:$AG$2,0))))=0,"",SUMIFS(INDEX(Inputs!$D$4:$AG$150,0,MATCH(AE$2,Inputs!$D$2:$AG$2,0)),Inputs!$B$4:$B$150,$B57)/1000)</f>
        <v/>
      </c>
      <c r="AF57" s="11" t="str">
        <f>IF(SUMPRODUCT((Inputs!$B$4:$B$150=$B57)*ISNUMBER(INDEX(Inputs!$D$4:$AG$150,0,MATCH(AF$2,Inputs!$D$2:$AG$2,0))))=0,"",SUMIFS(INDEX(Inputs!$D$4:$AG$150,0,MATCH(AF$2,Inputs!$D$2:$AG$2,0)),Inputs!$B$4:$B$150,$B57)/1000)</f>
        <v/>
      </c>
      <c r="AG57" s="12" t="str">
        <f>IF(COUNT(AC57:AF57)=4,SUM(AC57:AF57),"")</f>
        <v/>
      </c>
    </row>
    <row r="58">
      <c r="B58" s="9" t="n">
        <v>50</v>
      </c>
      <c r="C58" s="10" t="inlineStr">
        <is>
          <t>Créditos regulatórios (USD)</t>
        </is>
      </c>
      <c r="D58" s="11">
        <f>IF(SUMPRODUCT((Inputs!$B$4:$B$150=$B58)*ISNUMBER(INDEX(Inputs!$D$4:$AG$150,0,MATCH(D$2,Inputs!$D$2:$AG$2,0))))=0,"",SUMIFS(INDEX(Inputs!$D$4:$AG$150,0,MATCH(D$2,Inputs!$D$2:$AG$2,0)),Inputs!$B$4:$B$150,$B58)/1000)</f>
        <v>518</v>
      </c>
      <c r="E58" s="11">
        <f>IF(SUMPRODUCT((Inputs!$B$4:$B$150=$B58)*ISNUMBER(INDEX(Inputs!$D$4:$AG$150,0,MATCH(E$2,Inputs!$D$2:$AG$2,0))))=0,"",SUMIFS(INDEX(Inputs!$D$4:$AG$150,0,MATCH(E$2,Inputs!$D$2:$AG$2,0)),Inputs!$B$4:$B$150,$B58)/1000)</f>
        <v>354</v>
      </c>
      <c r="F58" s="11">
        <f>IF(SUMPRODUCT((Inputs!$B$4:$B$150=$B58)*ISNUMBER(INDEX(Inputs!$D$4:$AG$150,0,MATCH(F$2,Inputs!$D$2:$AG$2,0))))=0,"",SUMIFS(INDEX(Inputs!$D$4:$AG$150,0,MATCH(F$2,Inputs!$D$2:$AG$2,0)),Inputs!$B$4:$B$150,$B58)/1000)</f>
        <v>279</v>
      </c>
      <c r="G58" s="11">
        <f>IF(SUMPRODUCT((Inputs!$B$4:$B$150=$B58)*ISNUMBER(INDEX(Inputs!$D$4:$AG$150,0,MATCH(G$2,Inputs!$D$2:$AG$2,0))))=0,"",SUMIFS(INDEX(Inputs!$D$4:$AG$150,0,MATCH(G$2,Inputs!$D$2:$AG$2,0)),Inputs!$B$4:$B$150,$B58)/1000)</f>
        <v>314</v>
      </c>
      <c r="H58" s="12">
        <f>IF(COUNT(D58:G58)=4,SUM(D58:G58),"")</f>
        <v>1465</v>
      </c>
      <c r="I58" s="11">
        <f>IF(SUMPRODUCT((Inputs!$B$4:$B$150=$B58)*ISNUMBER(INDEX(Inputs!$D$4:$AG$150,0,MATCH(I$2,Inputs!$D$2:$AG$2,0))))=0,"",SUMIFS(INDEX(Inputs!$D$4:$AG$150,0,MATCH(I$2,Inputs!$D$2:$AG$2,0)),Inputs!$B$4:$B$150,$B58)/1000)</f>
        <v>679</v>
      </c>
      <c r="J58" s="11">
        <f>IF(SUMPRODUCT((Inputs!$B$4:$B$150=$B58)*ISNUMBER(INDEX(Inputs!$D$4:$AG$150,0,MATCH(J$2,Inputs!$D$2:$AG$2,0))))=0,"",SUMIFS(INDEX(Inputs!$D$4:$AG$150,0,MATCH(J$2,Inputs!$D$2:$AG$2,0)),Inputs!$B$4:$B$150,$B58)/1000)</f>
        <v>344</v>
      </c>
      <c r="K58" s="11">
        <f>IF(SUMPRODUCT((Inputs!$B$4:$B$150=$B58)*ISNUMBER(INDEX(Inputs!$D$4:$AG$150,0,MATCH(K$2,Inputs!$D$2:$AG$2,0))))=0,"",SUMIFS(INDEX(Inputs!$D$4:$AG$150,0,MATCH(K$2,Inputs!$D$2:$AG$2,0)),Inputs!$B$4:$B$150,$B58)/1000)</f>
        <v>286</v>
      </c>
      <c r="L58" s="11">
        <f>IF(SUMPRODUCT((Inputs!$B$4:$B$150=$B58)*ISNUMBER(INDEX(Inputs!$D$4:$AG$150,0,MATCH(L$2,Inputs!$D$2:$AG$2,0))))=0,"",SUMIFS(INDEX(Inputs!$D$4:$AG$150,0,MATCH(L$2,Inputs!$D$2:$AG$2,0)),Inputs!$B$4:$B$150,$B58)/1000)</f>
        <v>467</v>
      </c>
      <c r="M58" s="12">
        <f>IF(COUNT(I58:L58)=4,SUM(I58:L58),"")</f>
        <v>1776</v>
      </c>
      <c r="N58" s="11">
        <f>IF(SUMPRODUCT((Inputs!$B$4:$B$150=$B58)*ISNUMBER(INDEX(Inputs!$D$4:$AG$150,0,MATCH(N$2,Inputs!$D$2:$AG$2,0))))=0,"",SUMIFS(INDEX(Inputs!$D$4:$AG$150,0,MATCH(N$2,Inputs!$D$2:$AG$2,0)),Inputs!$B$4:$B$150,$B58)/1000)</f>
        <v>521</v>
      </c>
      <c r="O58" s="11">
        <f>IF(SUMPRODUCT((Inputs!$B$4:$B$150=$B58)*ISNUMBER(INDEX(Inputs!$D$4:$AG$150,0,MATCH(O$2,Inputs!$D$2:$AG$2,0))))=0,"",SUMIFS(INDEX(Inputs!$D$4:$AG$150,0,MATCH(O$2,Inputs!$D$2:$AG$2,0)),Inputs!$B$4:$B$150,$B58)/1000)</f>
        <v>282</v>
      </c>
      <c r="P58" s="11">
        <f>IF(SUMPRODUCT((Inputs!$B$4:$B$150=$B58)*ISNUMBER(INDEX(Inputs!$D$4:$AG$150,0,MATCH(P$2,Inputs!$D$2:$AG$2,0))))=0,"",SUMIFS(INDEX(Inputs!$D$4:$AG$150,0,MATCH(P$2,Inputs!$D$2:$AG$2,0)),Inputs!$B$4:$B$150,$B58)/1000)</f>
        <v>554</v>
      </c>
      <c r="Q58" s="11">
        <f>IF(SUMPRODUCT((Inputs!$B$4:$B$150=$B58)*ISNUMBER(INDEX(Inputs!$D$4:$AG$150,0,MATCH(Q$2,Inputs!$D$2:$AG$2,0))))=0,"",SUMIFS(INDEX(Inputs!$D$4:$AG$150,0,MATCH(Q$2,Inputs!$D$2:$AG$2,0)),Inputs!$B$4:$B$150,$B58)/1000)</f>
        <v>433</v>
      </c>
      <c r="R58" s="12">
        <f>IF(COUNT(N58:Q58)=4,SUM(N58:Q58),"")</f>
        <v>1790</v>
      </c>
      <c r="S58" s="11">
        <f>IF(SUMPRODUCT((Inputs!$B$4:$B$150=$B58)*ISNUMBER(INDEX(Inputs!$D$4:$AG$150,0,MATCH(S$2,Inputs!$D$2:$AG$2,0))))=0,"",SUMIFS(INDEX(Inputs!$D$4:$AG$150,0,MATCH(S$2,Inputs!$D$2:$AG$2,0)),Inputs!$B$4:$B$150,$B58)/1000)</f>
        <v>442</v>
      </c>
      <c r="T58" s="11">
        <f>IF(SUMPRODUCT((Inputs!$B$4:$B$150=$B58)*ISNUMBER(INDEX(Inputs!$D$4:$AG$150,0,MATCH(T$2,Inputs!$D$2:$AG$2,0))))=0,"",SUMIFS(INDEX(Inputs!$D$4:$AG$150,0,MATCH(T$2,Inputs!$D$2:$AG$2,0)),Inputs!$B$4:$B$150,$B58)/1000)</f>
        <v>890</v>
      </c>
      <c r="U58" s="11">
        <f>IF(SUMPRODUCT((Inputs!$B$4:$B$150=$B58)*ISNUMBER(INDEX(Inputs!$D$4:$AG$150,0,MATCH(U$2,Inputs!$D$2:$AG$2,0))))=0,"",SUMIFS(INDEX(Inputs!$D$4:$AG$150,0,MATCH(U$2,Inputs!$D$2:$AG$2,0)),Inputs!$B$4:$B$150,$B58)/1000)</f>
        <v>739</v>
      </c>
      <c r="V58" s="11">
        <f>IF(SUMPRODUCT((Inputs!$B$4:$B$150=$B58)*ISNUMBER(INDEX(Inputs!$D$4:$AG$150,0,MATCH(V$2,Inputs!$D$2:$AG$2,0))))=0,"",SUMIFS(INDEX(Inputs!$D$4:$AG$150,0,MATCH(V$2,Inputs!$D$2:$AG$2,0)),Inputs!$B$4:$B$150,$B58)/1000)</f>
        <v>692</v>
      </c>
      <c r="W58" s="12">
        <f>IF(COUNT(S58:V58)=4,SUM(S58:V58),"")</f>
        <v>2763</v>
      </c>
      <c r="X58" s="11">
        <f>IF(SUMPRODUCT((Inputs!$B$4:$B$150=$B58)*ISNUMBER(INDEX(Inputs!$D$4:$AG$150,0,MATCH(X$2,Inputs!$D$2:$AG$2,0))))=0,"",SUMIFS(INDEX(Inputs!$D$4:$AG$150,0,MATCH(X$2,Inputs!$D$2:$AG$2,0)),Inputs!$B$4:$B$150,$B58)/1000)</f>
        <v>595</v>
      </c>
      <c r="Y58" s="11">
        <f>IF(SUMPRODUCT((Inputs!$B$4:$B$150=$B58)*ISNUMBER(INDEX(Inputs!$D$4:$AG$150,0,MATCH(Y$2,Inputs!$D$2:$AG$2,0))))=0,"",SUMIFS(INDEX(Inputs!$D$4:$AG$150,0,MATCH(Y$2,Inputs!$D$2:$AG$2,0)),Inputs!$B$4:$B$150,$B58)/1000)</f>
        <v>439</v>
      </c>
      <c r="Z58" s="11">
        <f>IF(SUMPRODUCT((Inputs!$B$4:$B$150=$B58)*ISNUMBER(INDEX(Inputs!$D$4:$AG$150,0,MATCH(Z$2,Inputs!$D$2:$AG$2,0))))=0,"",SUMIFS(INDEX(Inputs!$D$4:$AG$150,0,MATCH(Z$2,Inputs!$D$2:$AG$2,0)),Inputs!$B$4:$B$150,$B58)/1000)</f>
        <v>417</v>
      </c>
      <c r="AA58" s="11">
        <f>IF(SUMPRODUCT((Inputs!$B$4:$B$150=$B58)*ISNUMBER(INDEX(Inputs!$D$4:$AG$150,0,MATCH(AA$2,Inputs!$D$2:$AG$2,0))))=0,"",SUMIFS(INDEX(Inputs!$D$4:$AG$150,0,MATCH(AA$2,Inputs!$D$2:$AG$2,0)),Inputs!$B$4:$B$150,$B58)/1000)</f>
        <v>542</v>
      </c>
      <c r="AB58" s="12">
        <f>IF(COUNT(X58:AA58)=4,SUM(X58:AA58),"")</f>
        <v>1993</v>
      </c>
      <c r="AC58" s="11">
        <f>IF(SUMPRODUCT((Inputs!$B$4:$B$150=$B58)*ISNUMBER(INDEX(Inputs!$D$4:$AG$150,0,MATCH(AC$2,Inputs!$D$2:$AG$2,0))))=0,"",SUMIFS(INDEX(Inputs!$D$4:$AG$150,0,MATCH(AC$2,Inputs!$D$2:$AG$2,0)),Inputs!$B$4:$B$150,$B58)/1000)</f>
        <v>380</v>
      </c>
      <c r="AD58" s="11">
        <f>IF(SUMPRODUCT((Inputs!$B$4:$B$150=$B58)*ISNUMBER(INDEX(Inputs!$D$4:$AG$150,0,MATCH(AD$2,Inputs!$D$2:$AG$2,0))))=0,"",SUMIFS(INDEX(Inputs!$D$4:$AG$150,0,MATCH(AD$2,Inputs!$D$2:$AG$2,0)),Inputs!$B$4:$B$150,$B58)/1000)</f>
        <v>146</v>
      </c>
      <c r="AE58" s="11" t="str">
        <f>IF(SUMPRODUCT((Inputs!$B$4:$B$150=$B58)*ISNUMBER(INDEX(Inputs!$D$4:$AG$150,0,MATCH(AE$2,Inputs!$D$2:$AG$2,0))))=0,"",SUMIFS(INDEX(Inputs!$D$4:$AG$150,0,MATCH(AE$2,Inputs!$D$2:$AG$2,0)),Inputs!$B$4:$B$150,$B58)/1000)</f>
        <v/>
      </c>
      <c r="AF58" s="11" t="str">
        <f>IF(SUMPRODUCT((Inputs!$B$4:$B$150=$B58)*ISNUMBER(INDEX(Inputs!$D$4:$AG$150,0,MATCH(AF$2,Inputs!$D$2:$AG$2,0))))=0,"",SUMIFS(INDEX(Inputs!$D$4:$AG$150,0,MATCH(AF$2,Inputs!$D$2:$AG$2,0)),Inputs!$B$4:$B$150,$B58)/1000)</f>
        <v/>
      </c>
      <c r="AG58" s="12" t="str">
        <f>IF(COUNT(AC58:AF58)=4,SUM(AC58:AF58),"")</f>
        <v/>
      </c>
    </row>
    <row r="59">
      <c r="B59" s="9" t="n">
        <v>51</v>
      </c>
      <c r="C59" s="10" t="inlineStr">
        <is>
          <t>Leasing automotivo (USD)</t>
        </is>
      </c>
      <c r="D59" s="11">
        <f>IF(SUMPRODUCT((Inputs!$B$4:$B$150=$B59)*ISNUMBER(INDEX(Inputs!$D$4:$AG$150,0,MATCH(D$2,Inputs!$D$2:$AG$2,0))))=0,"",SUMIFS(INDEX(Inputs!$D$4:$AG$150,0,MATCH(D$2,Inputs!$D$2:$AG$2,0)),Inputs!$B$4:$B$150,$B59)/1000)</f>
        <v>297</v>
      </c>
      <c r="E59" s="11">
        <f>IF(SUMPRODUCT((Inputs!$B$4:$B$150=$B59)*ISNUMBER(INDEX(Inputs!$D$4:$AG$150,0,MATCH(E$2,Inputs!$D$2:$AG$2,0))))=0,"",SUMIFS(INDEX(Inputs!$D$4:$AG$150,0,MATCH(E$2,Inputs!$D$2:$AG$2,0)),Inputs!$B$4:$B$150,$B59)/1000)</f>
        <v>332</v>
      </c>
      <c r="F59" s="11">
        <f>IF(SUMPRODUCT((Inputs!$B$4:$B$150=$B59)*ISNUMBER(INDEX(Inputs!$D$4:$AG$150,0,MATCH(F$2,Inputs!$D$2:$AG$2,0))))=0,"",SUMIFS(INDEX(Inputs!$D$4:$AG$150,0,MATCH(F$2,Inputs!$D$2:$AG$2,0)),Inputs!$B$4:$B$150,$B59)/1000)</f>
        <v>385</v>
      </c>
      <c r="G59" s="11">
        <f>IF(SUMPRODUCT((Inputs!$B$4:$B$150=$B59)*ISNUMBER(INDEX(Inputs!$D$4:$AG$150,0,MATCH(G$2,Inputs!$D$2:$AG$2,0))))=0,"",SUMIFS(INDEX(Inputs!$D$4:$AG$150,0,MATCH(G$2,Inputs!$D$2:$AG$2,0)),Inputs!$B$4:$B$150,$B59)/1000)</f>
        <v>628</v>
      </c>
      <c r="H59" s="12">
        <f>IF(COUNT(D59:G59)=4,SUM(D59:G59),"")</f>
        <v>1642</v>
      </c>
      <c r="I59" s="11">
        <f>IF(SUMPRODUCT((Inputs!$B$4:$B$150=$B59)*ISNUMBER(INDEX(Inputs!$D$4:$AG$150,0,MATCH(I$2,Inputs!$D$2:$AG$2,0))))=0,"",SUMIFS(INDEX(Inputs!$D$4:$AG$150,0,MATCH(I$2,Inputs!$D$2:$AG$2,0)),Inputs!$B$4:$B$150,$B59)/1000)</f>
        <v>668</v>
      </c>
      <c r="J59" s="11">
        <f>IF(SUMPRODUCT((Inputs!$B$4:$B$150=$B59)*ISNUMBER(INDEX(Inputs!$D$4:$AG$150,0,MATCH(J$2,Inputs!$D$2:$AG$2,0))))=0,"",SUMIFS(INDEX(Inputs!$D$4:$AG$150,0,MATCH(J$2,Inputs!$D$2:$AG$2,0)),Inputs!$B$4:$B$150,$B59)/1000)</f>
        <v>588</v>
      </c>
      <c r="K59" s="11">
        <f>IF(SUMPRODUCT((Inputs!$B$4:$B$150=$B59)*ISNUMBER(INDEX(Inputs!$D$4:$AG$150,0,MATCH(K$2,Inputs!$D$2:$AG$2,0))))=0,"",SUMIFS(INDEX(Inputs!$D$4:$AG$150,0,MATCH(K$2,Inputs!$D$2:$AG$2,0)),Inputs!$B$4:$B$150,$B59)/1000)</f>
        <v>621</v>
      </c>
      <c r="L59" s="11">
        <f>IF(SUMPRODUCT((Inputs!$B$4:$B$150=$B59)*ISNUMBER(INDEX(Inputs!$D$4:$AG$150,0,MATCH(L$2,Inputs!$D$2:$AG$2,0))))=0,"",SUMIFS(INDEX(Inputs!$D$4:$AG$150,0,MATCH(L$2,Inputs!$D$2:$AG$2,0)),Inputs!$B$4:$B$150,$B59)/1000)</f>
        <v>599</v>
      </c>
      <c r="M59" s="12">
        <f>IF(COUNT(I59:L59)=4,SUM(I59:L59),"")</f>
        <v>2476</v>
      </c>
      <c r="N59" s="11">
        <f>IF(SUMPRODUCT((Inputs!$B$4:$B$150=$B59)*ISNUMBER(INDEX(Inputs!$D$4:$AG$150,0,MATCH(N$2,Inputs!$D$2:$AG$2,0))))=0,"",SUMIFS(INDEX(Inputs!$D$4:$AG$150,0,MATCH(N$2,Inputs!$D$2:$AG$2,0)),Inputs!$B$4:$B$150,$B59)/1000)</f>
        <v>564</v>
      </c>
      <c r="O59" s="11">
        <f>IF(SUMPRODUCT((Inputs!$B$4:$B$150=$B59)*ISNUMBER(INDEX(Inputs!$D$4:$AG$150,0,MATCH(O$2,Inputs!$D$2:$AG$2,0))))=0,"",SUMIFS(INDEX(Inputs!$D$4:$AG$150,0,MATCH(O$2,Inputs!$D$2:$AG$2,0)),Inputs!$B$4:$B$150,$B59)/1000)</f>
        <v>567</v>
      </c>
      <c r="P59" s="11">
        <f>IF(SUMPRODUCT((Inputs!$B$4:$B$150=$B59)*ISNUMBER(INDEX(Inputs!$D$4:$AG$150,0,MATCH(P$2,Inputs!$D$2:$AG$2,0))))=0,"",SUMIFS(INDEX(Inputs!$D$4:$AG$150,0,MATCH(P$2,Inputs!$D$2:$AG$2,0)),Inputs!$B$4:$B$150,$B59)/1000)</f>
        <v>489</v>
      </c>
      <c r="Q59" s="11">
        <f>IF(SUMPRODUCT((Inputs!$B$4:$B$150=$B59)*ISNUMBER(INDEX(Inputs!$D$4:$AG$150,0,MATCH(Q$2,Inputs!$D$2:$AG$2,0))))=0,"",SUMIFS(INDEX(Inputs!$D$4:$AG$150,0,MATCH(Q$2,Inputs!$D$2:$AG$2,0)),Inputs!$B$4:$B$150,$B59)/1000)</f>
        <v>500</v>
      </c>
      <c r="R59" s="12">
        <f>IF(COUNT(N59:Q59)=4,SUM(N59:Q59),"")</f>
        <v>2120</v>
      </c>
      <c r="S59" s="11">
        <f>IF(SUMPRODUCT((Inputs!$B$4:$B$150=$B59)*ISNUMBER(INDEX(Inputs!$D$4:$AG$150,0,MATCH(S$2,Inputs!$D$2:$AG$2,0))))=0,"",SUMIFS(INDEX(Inputs!$D$4:$AG$150,0,MATCH(S$2,Inputs!$D$2:$AG$2,0)),Inputs!$B$4:$B$150,$B59)/1000)</f>
        <v>476</v>
      </c>
      <c r="T59" s="11">
        <f>IF(SUMPRODUCT((Inputs!$B$4:$B$150=$B59)*ISNUMBER(INDEX(Inputs!$D$4:$AG$150,0,MATCH(T$2,Inputs!$D$2:$AG$2,0))))=0,"",SUMIFS(INDEX(Inputs!$D$4:$AG$150,0,MATCH(T$2,Inputs!$D$2:$AG$2,0)),Inputs!$B$4:$B$150,$B59)/1000)</f>
        <v>458</v>
      </c>
      <c r="U59" s="11">
        <f>IF(SUMPRODUCT((Inputs!$B$4:$B$150=$B59)*ISNUMBER(INDEX(Inputs!$D$4:$AG$150,0,MATCH(U$2,Inputs!$D$2:$AG$2,0))))=0,"",SUMIFS(INDEX(Inputs!$D$4:$AG$150,0,MATCH(U$2,Inputs!$D$2:$AG$2,0)),Inputs!$B$4:$B$150,$B59)/1000)</f>
        <v>446</v>
      </c>
      <c r="V59" s="11">
        <f>IF(SUMPRODUCT((Inputs!$B$4:$B$150=$B59)*ISNUMBER(INDEX(Inputs!$D$4:$AG$150,0,MATCH(V$2,Inputs!$D$2:$AG$2,0))))=0,"",SUMIFS(INDEX(Inputs!$D$4:$AG$150,0,MATCH(V$2,Inputs!$D$2:$AG$2,0)),Inputs!$B$4:$B$150,$B59)/1000)</f>
        <v>447</v>
      </c>
      <c r="W59" s="12">
        <f>IF(COUNT(S59:V59)=4,SUM(S59:V59),"")</f>
        <v>1827</v>
      </c>
      <c r="X59" s="11">
        <f>IF(SUMPRODUCT((Inputs!$B$4:$B$150=$B59)*ISNUMBER(INDEX(Inputs!$D$4:$AG$150,0,MATCH(X$2,Inputs!$D$2:$AG$2,0))))=0,"",SUMIFS(INDEX(Inputs!$D$4:$AG$150,0,MATCH(X$2,Inputs!$D$2:$AG$2,0)),Inputs!$B$4:$B$150,$B59)/1000)</f>
        <v>447</v>
      </c>
      <c r="Y59" s="11">
        <f>IF(SUMPRODUCT((Inputs!$B$4:$B$150=$B59)*ISNUMBER(INDEX(Inputs!$D$4:$AG$150,0,MATCH(Y$2,Inputs!$D$2:$AG$2,0))))=0,"",SUMIFS(INDEX(Inputs!$D$4:$AG$150,0,MATCH(Y$2,Inputs!$D$2:$AG$2,0)),Inputs!$B$4:$B$150,$B59)/1000)</f>
        <v>435</v>
      </c>
      <c r="Z59" s="11">
        <f>IF(SUMPRODUCT((Inputs!$B$4:$B$150=$B59)*ISNUMBER(INDEX(Inputs!$D$4:$AG$150,0,MATCH(Z$2,Inputs!$D$2:$AG$2,0))))=0,"",SUMIFS(INDEX(Inputs!$D$4:$AG$150,0,MATCH(Z$2,Inputs!$D$2:$AG$2,0)),Inputs!$B$4:$B$150,$B59)/1000)</f>
        <v>429</v>
      </c>
      <c r="AA59" s="11">
        <f>IF(SUMPRODUCT((Inputs!$B$4:$B$150=$B59)*ISNUMBER(INDEX(Inputs!$D$4:$AG$150,0,MATCH(AA$2,Inputs!$D$2:$AG$2,0))))=0,"",SUMIFS(INDEX(Inputs!$D$4:$AG$150,0,MATCH(AA$2,Inputs!$D$2:$AG$2,0)),Inputs!$B$4:$B$150,$B59)/1000)</f>
        <v>401</v>
      </c>
      <c r="AB59" s="12">
        <f>IF(COUNT(X59:AA59)=4,SUM(X59:AA59),"")</f>
        <v>1712</v>
      </c>
      <c r="AC59" s="11">
        <f>IF(SUMPRODUCT((Inputs!$B$4:$B$150=$B59)*ISNUMBER(INDEX(Inputs!$D$4:$AG$150,0,MATCH(AC$2,Inputs!$D$2:$AG$2,0))))=0,"",SUMIFS(INDEX(Inputs!$D$4:$AG$150,0,MATCH(AC$2,Inputs!$D$2:$AG$2,0)),Inputs!$B$4:$B$150,$B59)/1000)</f>
        <v>381</v>
      </c>
      <c r="AD59" s="11">
        <f>IF(SUMPRODUCT((Inputs!$B$4:$B$150=$B59)*ISNUMBER(INDEX(Inputs!$D$4:$AG$150,0,MATCH(AD$2,Inputs!$D$2:$AG$2,0))))=0,"",SUMIFS(INDEX(Inputs!$D$4:$AG$150,0,MATCH(AD$2,Inputs!$D$2:$AG$2,0)),Inputs!$B$4:$B$150,$B59)/1000)</f>
        <v>364</v>
      </c>
      <c r="AE59" s="11" t="str">
        <f>IF(SUMPRODUCT((Inputs!$B$4:$B$150=$B59)*ISNUMBER(INDEX(Inputs!$D$4:$AG$150,0,MATCH(AE$2,Inputs!$D$2:$AG$2,0))))=0,"",SUMIFS(INDEX(Inputs!$D$4:$AG$150,0,MATCH(AE$2,Inputs!$D$2:$AG$2,0)),Inputs!$B$4:$B$150,$B59)/1000)</f>
        <v/>
      </c>
      <c r="AF59" s="11" t="str">
        <f>IF(SUMPRODUCT((Inputs!$B$4:$B$150=$B59)*ISNUMBER(INDEX(Inputs!$D$4:$AG$150,0,MATCH(AF$2,Inputs!$D$2:$AG$2,0))))=0,"",SUMIFS(INDEX(Inputs!$D$4:$AG$150,0,MATCH(AF$2,Inputs!$D$2:$AG$2,0)),Inputs!$B$4:$B$150,$B59)/1000)</f>
        <v/>
      </c>
      <c r="AG59" s="12" t="str">
        <f>IF(COUNT(AC59:AF59)=4,SUM(AC59:AF59),"")</f>
        <v/>
      </c>
    </row>
    <row r="60">
      <c r="B60" s="9" t="n">
        <v>52</v>
      </c>
      <c r="C60" s="10" t="inlineStr">
        <is>
          <t>Serviços e outros (USD)</t>
        </is>
      </c>
      <c r="D60" s="11">
        <f>IF(SUMPRODUCT((Inputs!$B$4:$B$150=$B60)*ISNUMBER(INDEX(Inputs!$D$4:$AG$150,0,MATCH(D$2,Inputs!$D$2:$AG$2,0))))=0,"",SUMIFS(INDEX(Inputs!$D$4:$AG$150,0,MATCH(D$2,Inputs!$D$2:$AG$2,0)),Inputs!$B$4:$B$150,$B60)/1000)</f>
        <v>893</v>
      </c>
      <c r="E60" s="11">
        <f>IF(SUMPRODUCT((Inputs!$B$4:$B$150=$B60)*ISNUMBER(INDEX(Inputs!$D$4:$AG$150,0,MATCH(E$2,Inputs!$D$2:$AG$2,0))))=0,"",SUMIFS(INDEX(Inputs!$D$4:$AG$150,0,MATCH(E$2,Inputs!$D$2:$AG$2,0)),Inputs!$B$4:$B$150,$B60)/1000)</f>
        <v>951</v>
      </c>
      <c r="F60" s="11">
        <f>IF(SUMPRODUCT((Inputs!$B$4:$B$150=$B60)*ISNUMBER(INDEX(Inputs!$D$4:$AG$150,0,MATCH(F$2,Inputs!$D$2:$AG$2,0))))=0,"",SUMIFS(INDEX(Inputs!$D$4:$AG$150,0,MATCH(F$2,Inputs!$D$2:$AG$2,0)),Inputs!$B$4:$B$150,$B60)/1000)</f>
        <v>894</v>
      </c>
      <c r="G60" s="11">
        <f>IF(SUMPRODUCT((Inputs!$B$4:$B$150=$B60)*ISNUMBER(INDEX(Inputs!$D$4:$AG$150,0,MATCH(G$2,Inputs!$D$2:$AG$2,0))))=0,"",SUMIFS(INDEX(Inputs!$D$4:$AG$150,0,MATCH(G$2,Inputs!$D$2:$AG$2,0)),Inputs!$B$4:$B$150,$B60)/1000)</f>
        <v>1064</v>
      </c>
      <c r="H60" s="12">
        <f>IF(COUNT(D60:G60)=4,SUM(D60:G60),"")</f>
        <v>3802</v>
      </c>
      <c r="I60" s="11">
        <f>IF(SUMPRODUCT((Inputs!$B$4:$B$150=$B60)*ISNUMBER(INDEX(Inputs!$D$4:$AG$150,0,MATCH(I$2,Inputs!$D$2:$AG$2,0))))=0,"",SUMIFS(INDEX(Inputs!$D$4:$AG$150,0,MATCH(I$2,Inputs!$D$2:$AG$2,0)),Inputs!$B$4:$B$150,$B60)/1000)</f>
        <v>1279</v>
      </c>
      <c r="J60" s="11">
        <f>IF(SUMPRODUCT((Inputs!$B$4:$B$150=$B60)*ISNUMBER(INDEX(Inputs!$D$4:$AG$150,0,MATCH(J$2,Inputs!$D$2:$AG$2,0))))=0,"",SUMIFS(INDEX(Inputs!$D$4:$AG$150,0,MATCH(J$2,Inputs!$D$2:$AG$2,0)),Inputs!$B$4:$B$150,$B60)/1000)</f>
        <v>1466</v>
      </c>
      <c r="K60" s="11">
        <f>IF(SUMPRODUCT((Inputs!$B$4:$B$150=$B60)*ISNUMBER(INDEX(Inputs!$D$4:$AG$150,0,MATCH(K$2,Inputs!$D$2:$AG$2,0))))=0,"",SUMIFS(INDEX(Inputs!$D$4:$AG$150,0,MATCH(K$2,Inputs!$D$2:$AG$2,0)),Inputs!$B$4:$B$150,$B60)/1000)</f>
        <v>1645</v>
      </c>
      <c r="L60" s="11">
        <f>IF(SUMPRODUCT((Inputs!$B$4:$B$150=$B60)*ISNUMBER(INDEX(Inputs!$D$4:$AG$150,0,MATCH(L$2,Inputs!$D$2:$AG$2,0))))=0,"",SUMIFS(INDEX(Inputs!$D$4:$AG$150,0,MATCH(L$2,Inputs!$D$2:$AG$2,0)),Inputs!$B$4:$B$150,$B60)/1000)</f>
        <v>1701</v>
      </c>
      <c r="M60" s="12">
        <f>IF(COUNT(I60:L60)=4,SUM(I60:L60),"")</f>
        <v>6091</v>
      </c>
      <c r="N60" s="11">
        <f>IF(SUMPRODUCT((Inputs!$B$4:$B$150=$B60)*ISNUMBER(INDEX(Inputs!$D$4:$AG$150,0,MATCH(N$2,Inputs!$D$2:$AG$2,0))))=0,"",SUMIFS(INDEX(Inputs!$D$4:$AG$150,0,MATCH(N$2,Inputs!$D$2:$AG$2,0)),Inputs!$B$4:$B$150,$B60)/1000)</f>
        <v>1837</v>
      </c>
      <c r="O60" s="11">
        <f>IF(SUMPRODUCT((Inputs!$B$4:$B$150=$B60)*ISNUMBER(INDEX(Inputs!$D$4:$AG$150,0,MATCH(O$2,Inputs!$D$2:$AG$2,0))))=0,"",SUMIFS(INDEX(Inputs!$D$4:$AG$150,0,MATCH(O$2,Inputs!$D$2:$AG$2,0)),Inputs!$B$4:$B$150,$B60)/1000)</f>
        <v>2150</v>
      </c>
      <c r="P60" s="11">
        <f>IF(SUMPRODUCT((Inputs!$B$4:$B$150=$B60)*ISNUMBER(INDEX(Inputs!$D$4:$AG$150,0,MATCH(P$2,Inputs!$D$2:$AG$2,0))))=0,"",SUMIFS(INDEX(Inputs!$D$4:$AG$150,0,MATCH(P$2,Inputs!$D$2:$AG$2,0)),Inputs!$B$4:$B$150,$B60)/1000)</f>
        <v>2166</v>
      </c>
      <c r="Q60" s="11">
        <f>IF(SUMPRODUCT((Inputs!$B$4:$B$150=$B60)*ISNUMBER(INDEX(Inputs!$D$4:$AG$150,0,MATCH(Q$2,Inputs!$D$2:$AG$2,0))))=0,"",SUMIFS(INDEX(Inputs!$D$4:$AG$150,0,MATCH(Q$2,Inputs!$D$2:$AG$2,0)),Inputs!$B$4:$B$150,$B60)/1000)</f>
        <v>2166</v>
      </c>
      <c r="R60" s="12">
        <f>IF(COUNT(N60:Q60)=4,SUM(N60:Q60),"")</f>
        <v>8319</v>
      </c>
      <c r="S60" s="11">
        <f>IF(SUMPRODUCT((Inputs!$B$4:$B$150=$B60)*ISNUMBER(INDEX(Inputs!$D$4:$AG$150,0,MATCH(S$2,Inputs!$D$2:$AG$2,0))))=0,"",SUMIFS(INDEX(Inputs!$D$4:$AG$150,0,MATCH(S$2,Inputs!$D$2:$AG$2,0)),Inputs!$B$4:$B$150,$B60)/1000)</f>
        <v>2288</v>
      </c>
      <c r="T60" s="11">
        <f>IF(SUMPRODUCT((Inputs!$B$4:$B$150=$B60)*ISNUMBER(INDEX(Inputs!$D$4:$AG$150,0,MATCH(T$2,Inputs!$D$2:$AG$2,0))))=0,"",SUMIFS(INDEX(Inputs!$D$4:$AG$150,0,MATCH(T$2,Inputs!$D$2:$AG$2,0)),Inputs!$B$4:$B$150,$B60)/1000)</f>
        <v>2608</v>
      </c>
      <c r="U60" s="11">
        <f>IF(SUMPRODUCT((Inputs!$B$4:$B$150=$B60)*ISNUMBER(INDEX(Inputs!$D$4:$AG$150,0,MATCH(U$2,Inputs!$D$2:$AG$2,0))))=0,"",SUMIFS(INDEX(Inputs!$D$4:$AG$150,0,MATCH(U$2,Inputs!$D$2:$AG$2,0)),Inputs!$B$4:$B$150,$B60)/1000)</f>
        <v>2790</v>
      </c>
      <c r="V60" s="11">
        <f>IF(SUMPRODUCT((Inputs!$B$4:$B$150=$B60)*ISNUMBER(INDEX(Inputs!$D$4:$AG$150,0,MATCH(V$2,Inputs!$D$2:$AG$2,0))))=0,"",SUMIFS(INDEX(Inputs!$D$4:$AG$150,0,MATCH(V$2,Inputs!$D$2:$AG$2,0)),Inputs!$B$4:$B$150,$B60)/1000)</f>
        <v>2848</v>
      </c>
      <c r="W60" s="12">
        <f>IF(COUNT(S60:V60)=4,SUM(S60:V60),"")</f>
        <v>10534</v>
      </c>
      <c r="X60" s="11">
        <f>IF(SUMPRODUCT((Inputs!$B$4:$B$150=$B60)*ISNUMBER(INDEX(Inputs!$D$4:$AG$150,0,MATCH(X$2,Inputs!$D$2:$AG$2,0))))=0,"",SUMIFS(INDEX(Inputs!$D$4:$AG$150,0,MATCH(X$2,Inputs!$D$2:$AG$2,0)),Inputs!$B$4:$B$150,$B60)/1000)</f>
        <v>2638</v>
      </c>
      <c r="Y60" s="11">
        <f>IF(SUMPRODUCT((Inputs!$B$4:$B$150=$B60)*ISNUMBER(INDEX(Inputs!$D$4:$AG$150,0,MATCH(Y$2,Inputs!$D$2:$AG$2,0))))=0,"",SUMIFS(INDEX(Inputs!$D$4:$AG$150,0,MATCH(Y$2,Inputs!$D$2:$AG$2,0)),Inputs!$B$4:$B$150,$B60)/1000)</f>
        <v>3046</v>
      </c>
      <c r="Z60" s="11">
        <f>IF(SUMPRODUCT((Inputs!$B$4:$B$150=$B60)*ISNUMBER(INDEX(Inputs!$D$4:$AG$150,0,MATCH(Z$2,Inputs!$D$2:$AG$2,0))))=0,"",SUMIFS(INDEX(Inputs!$D$4:$AG$150,0,MATCH(Z$2,Inputs!$D$2:$AG$2,0)),Inputs!$B$4:$B$150,$B60)/1000)</f>
        <v>3475</v>
      </c>
      <c r="AA60" s="11">
        <f>IF(SUMPRODUCT((Inputs!$B$4:$B$150=$B60)*ISNUMBER(INDEX(Inputs!$D$4:$AG$150,0,MATCH(AA$2,Inputs!$D$2:$AG$2,0))))=0,"",SUMIFS(INDEX(Inputs!$D$4:$AG$150,0,MATCH(AA$2,Inputs!$D$2:$AG$2,0)),Inputs!$B$4:$B$150,$B60)/1000)</f>
        <v>3371</v>
      </c>
      <c r="AB60" s="12">
        <f>IF(COUNT(X60:AA60)=4,SUM(X60:AA60),"")</f>
        <v>12530</v>
      </c>
      <c r="AC60" s="11">
        <f>IF(SUMPRODUCT((Inputs!$B$4:$B$150=$B60)*ISNUMBER(INDEX(Inputs!$D$4:$AG$150,0,MATCH(AC$2,Inputs!$D$2:$AG$2,0))))=0,"",SUMIFS(INDEX(Inputs!$D$4:$AG$150,0,MATCH(AC$2,Inputs!$D$2:$AG$2,0)),Inputs!$B$4:$B$150,$B60)/1000)</f>
        <v>3745</v>
      </c>
      <c r="AD60" s="11">
        <f>IF(SUMPRODUCT((Inputs!$B$4:$B$150=$B60)*ISNUMBER(INDEX(Inputs!$D$4:$AG$150,0,MATCH(AD$2,Inputs!$D$2:$AG$2,0))))=0,"",SUMIFS(INDEX(Inputs!$D$4:$AG$150,0,MATCH(AD$2,Inputs!$D$2:$AG$2,0)),Inputs!$B$4:$B$150,$B60)/1000)</f>
        <v>4581</v>
      </c>
      <c r="AE60" s="11" t="str">
        <f>IF(SUMPRODUCT((Inputs!$B$4:$B$150=$B60)*ISNUMBER(INDEX(Inputs!$D$4:$AG$150,0,MATCH(AE$2,Inputs!$D$2:$AG$2,0))))=0,"",SUMIFS(INDEX(Inputs!$D$4:$AG$150,0,MATCH(AE$2,Inputs!$D$2:$AG$2,0)),Inputs!$B$4:$B$150,$B60)/1000)</f>
        <v/>
      </c>
      <c r="AF60" s="11" t="str">
        <f>IF(SUMPRODUCT((Inputs!$B$4:$B$150=$B60)*ISNUMBER(INDEX(Inputs!$D$4:$AG$150,0,MATCH(AF$2,Inputs!$D$2:$AG$2,0))))=0,"",SUMIFS(INDEX(Inputs!$D$4:$AG$150,0,MATCH(AF$2,Inputs!$D$2:$AG$2,0)),Inputs!$B$4:$B$150,$B60)/1000)</f>
        <v/>
      </c>
      <c r="AG60" s="12" t="str">
        <f>IF(COUNT(AC60:AF60)=4,SUM(AC60:AF60),"")</f>
        <v/>
      </c>
    </row>
    <row r="61">
      <c r="B61" s="9" t="n">
        <v>53</v>
      </c>
      <c r="C61" s="10" t="inlineStr">
        <is>
          <t>Receita Estados Unidos (USD)</t>
        </is>
      </c>
      <c r="D61" s="11">
        <f>IF(SUMPRODUCT((Inputs!$B$4:$B$150=$B61)*ISNUMBER(INDEX(Inputs!$D$4:$AG$150,0,MATCH(D$2,Inputs!$D$2:$AG$2,0))))=0,"",SUMIFS(INDEX(Inputs!$D$4:$AG$150,0,MATCH(D$2,Inputs!$D$2:$AG$2,0)),Inputs!$B$4:$B$150,$B61)/1000)</f>
        <v>4424</v>
      </c>
      <c r="E61" s="11">
        <f>IF(SUMPRODUCT((Inputs!$B$4:$B$150=$B61)*ISNUMBER(INDEX(Inputs!$D$4:$AG$150,0,MATCH(E$2,Inputs!$D$2:$AG$2,0))))=0,"",SUMIFS(INDEX(Inputs!$D$4:$AG$150,0,MATCH(E$2,Inputs!$D$2:$AG$2,0)),Inputs!$B$4:$B$150,$B61)/1000)</f>
        <v>5205</v>
      </c>
      <c r="F61" s="11">
        <f>IF(SUMPRODUCT((Inputs!$B$4:$B$150=$B61)*ISNUMBER(INDEX(Inputs!$D$4:$AG$150,0,MATCH(F$2,Inputs!$D$2:$AG$2,0))))=0,"",SUMIFS(INDEX(Inputs!$D$4:$AG$150,0,MATCH(F$2,Inputs!$D$2:$AG$2,0)),Inputs!$B$4:$B$150,$B61)/1000)</f>
        <v>6414</v>
      </c>
      <c r="G61" s="11">
        <f>IF(SUMPRODUCT((Inputs!$B$4:$B$150=$B61)*ISNUMBER(INDEX(Inputs!$D$4:$AG$150,0,MATCH(G$2,Inputs!$D$2:$AG$2,0))))=0,"",SUMIFS(INDEX(Inputs!$D$4:$AG$150,0,MATCH(G$2,Inputs!$D$2:$AG$2,0)),Inputs!$B$4:$B$150,$B61)/1000)</f>
        <v>7930</v>
      </c>
      <c r="H61" s="12">
        <f>IF(COUNT(D61:G61)=4,SUM(D61:G61),"")</f>
        <v>23973</v>
      </c>
      <c r="I61" s="11">
        <f>IF(SUMPRODUCT((Inputs!$B$4:$B$150=$B61)*ISNUMBER(INDEX(Inputs!$D$4:$AG$150,0,MATCH(I$2,Inputs!$D$2:$AG$2,0))))=0,"",SUMIFS(INDEX(Inputs!$D$4:$AG$150,0,MATCH(I$2,Inputs!$D$2:$AG$2,0)),Inputs!$B$4:$B$150,$B61)/1000)</f>
        <v>8734</v>
      </c>
      <c r="J61" s="11">
        <f>IF(SUMPRODUCT((Inputs!$B$4:$B$150=$B61)*ISNUMBER(INDEX(Inputs!$D$4:$AG$150,0,MATCH(J$2,Inputs!$D$2:$AG$2,0))))=0,"",SUMIFS(INDEX(Inputs!$D$4:$AG$150,0,MATCH(J$2,Inputs!$D$2:$AG$2,0)),Inputs!$B$4:$B$150,$B61)/1000)</f>
        <v>9614</v>
      </c>
      <c r="K61" s="11">
        <f>IF(SUMPRODUCT((Inputs!$B$4:$B$150=$B61)*ISNUMBER(INDEX(Inputs!$D$4:$AG$150,0,MATCH(K$2,Inputs!$D$2:$AG$2,0))))=0,"",SUMIFS(INDEX(Inputs!$D$4:$AG$150,0,MATCH(K$2,Inputs!$D$2:$AG$2,0)),Inputs!$B$4:$B$150,$B61)/1000)</f>
        <v>10236</v>
      </c>
      <c r="L61" s="11">
        <f>IF(SUMPRODUCT((Inputs!$B$4:$B$150=$B61)*ISNUMBER(INDEX(Inputs!$D$4:$AG$150,0,MATCH(L$2,Inputs!$D$2:$AG$2,0))))=0,"",SUMIFS(INDEX(Inputs!$D$4:$AG$150,0,MATCH(L$2,Inputs!$D$2:$AG$2,0)),Inputs!$B$4:$B$150,$B61)/1000)</f>
        <v>11969</v>
      </c>
      <c r="M61" s="12">
        <f>IF(COUNT(I61:L61)=4,SUM(I61:L61),"")</f>
        <v>40553</v>
      </c>
      <c r="N61" s="11">
        <f>IF(SUMPRODUCT((Inputs!$B$4:$B$150=$B61)*ISNUMBER(INDEX(Inputs!$D$4:$AG$150,0,MATCH(N$2,Inputs!$D$2:$AG$2,0))))=0,"",SUMIFS(INDEX(Inputs!$D$4:$AG$150,0,MATCH(N$2,Inputs!$D$2:$AG$2,0)),Inputs!$B$4:$B$150,$B61)/1000)</f>
        <v>11247</v>
      </c>
      <c r="O61" s="11">
        <f>IF(SUMPRODUCT((Inputs!$B$4:$B$150=$B61)*ISNUMBER(INDEX(Inputs!$D$4:$AG$150,0,MATCH(O$2,Inputs!$D$2:$AG$2,0))))=0,"",SUMIFS(INDEX(Inputs!$D$4:$AG$150,0,MATCH(O$2,Inputs!$D$2:$AG$2,0)),Inputs!$B$4:$B$150,$B61)/1000)</f>
        <v>11332</v>
      </c>
      <c r="P61" s="11">
        <f>IF(SUMPRODUCT((Inputs!$B$4:$B$150=$B61)*ISNUMBER(INDEX(Inputs!$D$4:$AG$150,0,MATCH(P$2,Inputs!$D$2:$AG$2,0))))=0,"",SUMIFS(INDEX(Inputs!$D$4:$AG$150,0,MATCH(P$2,Inputs!$D$2:$AG$2,0)),Inputs!$B$4:$B$150,$B61)/1000)</f>
        <v>10893</v>
      </c>
      <c r="Q61" s="11">
        <f>IF(SUMPRODUCT((Inputs!$B$4:$B$150=$B61)*ISNUMBER(INDEX(Inputs!$D$4:$AG$150,0,MATCH(Q$2,Inputs!$D$2:$AG$2,0))))=0,"",SUMIFS(INDEX(Inputs!$D$4:$AG$150,0,MATCH(Q$2,Inputs!$D$2:$AG$2,0)),Inputs!$B$4:$B$150,$B61)/1000)</f>
        <v>11763</v>
      </c>
      <c r="R61" s="12">
        <f>IF(COUNT(N61:Q61)=4,SUM(N61:Q61),"")</f>
        <v>45235</v>
      </c>
      <c r="S61" s="11">
        <f>IF(SUMPRODUCT((Inputs!$B$4:$B$150=$B61)*ISNUMBER(INDEX(Inputs!$D$4:$AG$150,0,MATCH(S$2,Inputs!$D$2:$AG$2,0))))=0,"",SUMIFS(INDEX(Inputs!$D$4:$AG$150,0,MATCH(S$2,Inputs!$D$2:$AG$2,0)),Inputs!$B$4:$B$150,$B61)/1000)</f>
        <v>9762</v>
      </c>
      <c r="T61" s="11">
        <f>IF(SUMPRODUCT((Inputs!$B$4:$B$150=$B61)*ISNUMBER(INDEX(Inputs!$D$4:$AG$150,0,MATCH(T$2,Inputs!$D$2:$AG$2,0))))=0,"",SUMIFS(INDEX(Inputs!$D$4:$AG$150,0,MATCH(T$2,Inputs!$D$2:$AG$2,0)),Inputs!$B$4:$B$150,$B61)/1000)</f>
        <v>13256</v>
      </c>
      <c r="U61" s="11">
        <f>IF(SUMPRODUCT((Inputs!$B$4:$B$150=$B61)*ISNUMBER(INDEX(Inputs!$D$4:$AG$150,0,MATCH(U$2,Inputs!$D$2:$AG$2,0))))=0,"",SUMIFS(INDEX(Inputs!$D$4:$AG$150,0,MATCH(U$2,Inputs!$D$2:$AG$2,0)),Inputs!$B$4:$B$150,$B61)/1000)</f>
        <v>12584</v>
      </c>
      <c r="V61" s="11">
        <f>IF(SUMPRODUCT((Inputs!$B$4:$B$150=$B61)*ISNUMBER(INDEX(Inputs!$D$4:$AG$150,0,MATCH(V$2,Inputs!$D$2:$AG$2,0))))=0,"",SUMIFS(INDEX(Inputs!$D$4:$AG$150,0,MATCH(V$2,Inputs!$D$2:$AG$2,0)),Inputs!$B$4:$B$150,$B61)/1000)</f>
        <v>12123</v>
      </c>
      <c r="W61" s="12">
        <f>IF(COUNT(S61:V61)=4,SUM(S61:V61),"")</f>
        <v>47725</v>
      </c>
      <c r="X61" s="11">
        <f>IF(SUMPRODUCT((Inputs!$B$4:$B$150=$B61)*ISNUMBER(INDEX(Inputs!$D$4:$AG$150,0,MATCH(X$2,Inputs!$D$2:$AG$2,0))))=0,"",SUMIFS(INDEX(Inputs!$D$4:$AG$150,0,MATCH(X$2,Inputs!$D$2:$AG$2,0)),Inputs!$B$4:$B$150,$B61)/1000)</f>
        <v>10333</v>
      </c>
      <c r="Y61" s="11">
        <f>IF(SUMPRODUCT((Inputs!$B$4:$B$150=$B61)*ISNUMBER(INDEX(Inputs!$D$4:$AG$150,0,MATCH(Y$2,Inputs!$D$2:$AG$2,0))))=0,"",SUMIFS(INDEX(Inputs!$D$4:$AG$150,0,MATCH(Y$2,Inputs!$D$2:$AG$2,0)),Inputs!$B$4:$B$150,$B61)/1000)</f>
        <v>11809</v>
      </c>
      <c r="Z61" s="11">
        <f>IF(SUMPRODUCT((Inputs!$B$4:$B$150=$B61)*ISNUMBER(INDEX(Inputs!$D$4:$AG$150,0,MATCH(Z$2,Inputs!$D$2:$AG$2,0))))=0,"",SUMIFS(INDEX(Inputs!$D$4:$AG$150,0,MATCH(Z$2,Inputs!$D$2:$AG$2,0)),Inputs!$B$4:$B$150,$B61)/1000)</f>
        <v>14598</v>
      </c>
      <c r="AA61" s="11">
        <f>IF(SUMPRODUCT((Inputs!$B$4:$B$150=$B61)*ISNUMBER(INDEX(Inputs!$D$4:$AG$150,0,MATCH(AA$2,Inputs!$D$2:$AG$2,0))))=0,"",SUMIFS(INDEX(Inputs!$D$4:$AG$150,0,MATCH(AA$2,Inputs!$D$2:$AG$2,0)),Inputs!$B$4:$B$150,$B61)/1000)</f>
        <v>10887</v>
      </c>
      <c r="AB61" s="12">
        <f>IF(COUNT(X61:AA61)=4,SUM(X61:AA61),"")</f>
        <v>47627</v>
      </c>
      <c r="AC61" s="11">
        <f>IF(SUMPRODUCT((Inputs!$B$4:$B$150=$B61)*ISNUMBER(INDEX(Inputs!$D$4:$AG$150,0,MATCH(AC$2,Inputs!$D$2:$AG$2,0))))=0,"",SUMIFS(INDEX(Inputs!$D$4:$AG$150,0,MATCH(AC$2,Inputs!$D$2:$AG$2,0)),Inputs!$B$4:$B$150,$B61)/1000)</f>
        <v>10677</v>
      </c>
      <c r="AD61" s="11">
        <f>IF(SUMPRODUCT((Inputs!$B$4:$B$150=$B61)*ISNUMBER(INDEX(Inputs!$D$4:$AG$150,0,MATCH(AD$2,Inputs!$D$2:$AG$2,0))))=0,"",SUMIFS(INDEX(Inputs!$D$4:$AG$150,0,MATCH(AD$2,Inputs!$D$2:$AG$2,0)),Inputs!$B$4:$B$150,$B61)/1000)</f>
        <v>13208</v>
      </c>
      <c r="AE61" s="11" t="str">
        <f>IF(SUMPRODUCT((Inputs!$B$4:$B$150=$B61)*ISNUMBER(INDEX(Inputs!$D$4:$AG$150,0,MATCH(AE$2,Inputs!$D$2:$AG$2,0))))=0,"",SUMIFS(INDEX(Inputs!$D$4:$AG$150,0,MATCH(AE$2,Inputs!$D$2:$AG$2,0)),Inputs!$B$4:$B$150,$B61)/1000)</f>
        <v/>
      </c>
      <c r="AF61" s="11" t="str">
        <f>IF(SUMPRODUCT((Inputs!$B$4:$B$150=$B61)*ISNUMBER(INDEX(Inputs!$D$4:$AG$150,0,MATCH(AF$2,Inputs!$D$2:$AG$2,0))))=0,"",SUMIFS(INDEX(Inputs!$D$4:$AG$150,0,MATCH(AF$2,Inputs!$D$2:$AG$2,0)),Inputs!$B$4:$B$150,$B61)/1000)</f>
        <v/>
      </c>
      <c r="AG61" s="12" t="str">
        <f>IF(COUNT(AC61:AF61)=4,SUM(AC61:AF61),"")</f>
        <v/>
      </c>
    </row>
    <row r="62">
      <c r="B62" s="9" t="n">
        <v>54</v>
      </c>
      <c r="C62" s="10" t="inlineStr">
        <is>
          <t>Receita China (USD)</t>
        </is>
      </c>
      <c r="D62" s="11">
        <f>IF(SUMPRODUCT((Inputs!$B$4:$B$150=$B62)*ISNUMBER(INDEX(Inputs!$D$4:$AG$150,0,MATCH(D$2,Inputs!$D$2:$AG$2,0))))=0,"",SUMIFS(INDEX(Inputs!$D$4:$AG$150,0,MATCH(D$2,Inputs!$D$2:$AG$2,0)),Inputs!$B$4:$B$150,$B62)/1000)</f>
        <v>3043</v>
      </c>
      <c r="E62" s="11">
        <f>IF(SUMPRODUCT((Inputs!$B$4:$B$150=$B62)*ISNUMBER(INDEX(Inputs!$D$4:$AG$150,0,MATCH(E$2,Inputs!$D$2:$AG$2,0))))=0,"",SUMIFS(INDEX(Inputs!$D$4:$AG$150,0,MATCH(E$2,Inputs!$D$2:$AG$2,0)),Inputs!$B$4:$B$150,$B62)/1000)</f>
        <v>2859</v>
      </c>
      <c r="F62" s="11">
        <f>IF(SUMPRODUCT((Inputs!$B$4:$B$150=$B62)*ISNUMBER(INDEX(Inputs!$D$4:$AG$150,0,MATCH(F$2,Inputs!$D$2:$AG$2,0))))=0,"",SUMIFS(INDEX(Inputs!$D$4:$AG$150,0,MATCH(F$2,Inputs!$D$2:$AG$2,0)),Inputs!$B$4:$B$150,$B62)/1000)</f>
        <v>3113</v>
      </c>
      <c r="G62" s="11">
        <f>IF(SUMPRODUCT((Inputs!$B$4:$B$150=$B62)*ISNUMBER(INDEX(Inputs!$D$4:$AG$150,0,MATCH(G$2,Inputs!$D$2:$AG$2,0))))=0,"",SUMIFS(INDEX(Inputs!$D$4:$AG$150,0,MATCH(G$2,Inputs!$D$2:$AG$2,0)),Inputs!$B$4:$B$150,$B62)/1000)</f>
        <v>4829</v>
      </c>
      <c r="H62" s="12">
        <f>IF(COUNT(D62:G62)=4,SUM(D62:G62),"")</f>
        <v>13844</v>
      </c>
      <c r="I62" s="11">
        <f>IF(SUMPRODUCT((Inputs!$B$4:$B$150=$B62)*ISNUMBER(INDEX(Inputs!$D$4:$AG$150,0,MATCH(I$2,Inputs!$D$2:$AG$2,0))))=0,"",SUMIFS(INDEX(Inputs!$D$4:$AG$150,0,MATCH(I$2,Inputs!$D$2:$AG$2,0)),Inputs!$B$4:$B$150,$B62)/1000)</f>
        <v>4650</v>
      </c>
      <c r="J62" s="11">
        <f>IF(SUMPRODUCT((Inputs!$B$4:$B$150=$B62)*ISNUMBER(INDEX(Inputs!$D$4:$AG$150,0,MATCH(J$2,Inputs!$D$2:$AG$2,0))))=0,"",SUMIFS(INDEX(Inputs!$D$4:$AG$150,0,MATCH(J$2,Inputs!$D$2:$AG$2,0)),Inputs!$B$4:$B$150,$B62)/1000)</f>
        <v>3787</v>
      </c>
      <c r="K62" s="11">
        <f>IF(SUMPRODUCT((Inputs!$B$4:$B$150=$B62)*ISNUMBER(INDEX(Inputs!$D$4:$AG$150,0,MATCH(K$2,Inputs!$D$2:$AG$2,0))))=0,"",SUMIFS(INDEX(Inputs!$D$4:$AG$150,0,MATCH(K$2,Inputs!$D$2:$AG$2,0)),Inputs!$B$4:$B$150,$B62)/1000)</f>
        <v>5131</v>
      </c>
      <c r="L62" s="11">
        <f>IF(SUMPRODUCT((Inputs!$B$4:$B$150=$B62)*ISNUMBER(INDEX(Inputs!$D$4:$AG$150,0,MATCH(L$2,Inputs!$D$2:$AG$2,0))))=0,"",SUMIFS(INDEX(Inputs!$D$4:$AG$150,0,MATCH(L$2,Inputs!$D$2:$AG$2,0)),Inputs!$B$4:$B$150,$B62)/1000)</f>
        <v>4577</v>
      </c>
      <c r="M62" s="12">
        <f>IF(COUNT(I62:L62)=4,SUM(I62:L62),"")</f>
        <v>18145</v>
      </c>
      <c r="N62" s="11">
        <f>IF(SUMPRODUCT((Inputs!$B$4:$B$150=$B62)*ISNUMBER(INDEX(Inputs!$D$4:$AG$150,0,MATCH(N$2,Inputs!$D$2:$AG$2,0))))=0,"",SUMIFS(INDEX(Inputs!$D$4:$AG$150,0,MATCH(N$2,Inputs!$D$2:$AG$2,0)),Inputs!$B$4:$B$150,$B62)/1000)</f>
        <v>4891</v>
      </c>
      <c r="O62" s="11">
        <f>IF(SUMPRODUCT((Inputs!$B$4:$B$150=$B62)*ISNUMBER(INDEX(Inputs!$D$4:$AG$150,0,MATCH(O$2,Inputs!$D$2:$AG$2,0))))=0,"",SUMIFS(INDEX(Inputs!$D$4:$AG$150,0,MATCH(O$2,Inputs!$D$2:$AG$2,0)),Inputs!$B$4:$B$150,$B62)/1000)</f>
        <v>5731</v>
      </c>
      <c r="P62" s="11">
        <f>IF(SUMPRODUCT((Inputs!$B$4:$B$150=$B62)*ISNUMBER(INDEX(Inputs!$D$4:$AG$150,0,MATCH(P$2,Inputs!$D$2:$AG$2,0))))=0,"",SUMIFS(INDEX(Inputs!$D$4:$AG$150,0,MATCH(P$2,Inputs!$D$2:$AG$2,0)),Inputs!$B$4:$B$150,$B62)/1000)</f>
        <v>5020</v>
      </c>
      <c r="Q62" s="11">
        <f>IF(SUMPRODUCT((Inputs!$B$4:$B$150=$B62)*ISNUMBER(INDEX(Inputs!$D$4:$AG$150,0,MATCH(Q$2,Inputs!$D$2:$AG$2,0))))=0,"",SUMIFS(INDEX(Inputs!$D$4:$AG$150,0,MATCH(Q$2,Inputs!$D$2:$AG$2,0)),Inputs!$B$4:$B$150,$B62)/1000)</f>
        <v>6103</v>
      </c>
      <c r="R62" s="12">
        <f>IF(COUNT(N62:Q62)=4,SUM(N62:Q62),"")</f>
        <v>21745</v>
      </c>
      <c r="S62" s="11">
        <f>IF(SUMPRODUCT((Inputs!$B$4:$B$150=$B62)*ISNUMBER(INDEX(Inputs!$D$4:$AG$150,0,MATCH(S$2,Inputs!$D$2:$AG$2,0))))=0,"",SUMIFS(INDEX(Inputs!$D$4:$AG$150,0,MATCH(S$2,Inputs!$D$2:$AG$2,0)),Inputs!$B$4:$B$150,$B62)/1000)</f>
        <v>4592</v>
      </c>
      <c r="T62" s="11">
        <f>IF(SUMPRODUCT((Inputs!$B$4:$B$150=$B62)*ISNUMBER(INDEX(Inputs!$D$4:$AG$150,0,MATCH(T$2,Inputs!$D$2:$AG$2,0))))=0,"",SUMIFS(INDEX(Inputs!$D$4:$AG$150,0,MATCH(T$2,Inputs!$D$2:$AG$2,0)),Inputs!$B$4:$B$150,$B62)/1000)</f>
        <v>4636</v>
      </c>
      <c r="U62" s="11">
        <f>IF(SUMPRODUCT((Inputs!$B$4:$B$150=$B62)*ISNUMBER(INDEX(Inputs!$D$4:$AG$150,0,MATCH(U$2,Inputs!$D$2:$AG$2,0))))=0,"",SUMIFS(INDEX(Inputs!$D$4:$AG$150,0,MATCH(U$2,Inputs!$D$2:$AG$2,0)),Inputs!$B$4:$B$150,$B62)/1000)</f>
        <v>5665</v>
      </c>
      <c r="V62" s="11">
        <f>IF(SUMPRODUCT((Inputs!$B$4:$B$150=$B62)*ISNUMBER(INDEX(Inputs!$D$4:$AG$150,0,MATCH(V$2,Inputs!$D$2:$AG$2,0))))=0,"",SUMIFS(INDEX(Inputs!$D$4:$AG$150,0,MATCH(V$2,Inputs!$D$2:$AG$2,0)),Inputs!$B$4:$B$150,$B62)/1000)</f>
        <v>6051</v>
      </c>
      <c r="W62" s="12">
        <f>IF(COUNT(S62:V62)=4,SUM(S62:V62),"")</f>
        <v>20944</v>
      </c>
      <c r="X62" s="11">
        <f>IF(SUMPRODUCT((Inputs!$B$4:$B$150=$B62)*ISNUMBER(INDEX(Inputs!$D$4:$AG$150,0,MATCH(X$2,Inputs!$D$2:$AG$2,0))))=0,"",SUMIFS(INDEX(Inputs!$D$4:$AG$150,0,MATCH(X$2,Inputs!$D$2:$AG$2,0)),Inputs!$B$4:$B$150,$B62)/1000)</f>
        <v>4303</v>
      </c>
      <c r="Y62" s="11">
        <f>IF(SUMPRODUCT((Inputs!$B$4:$B$150=$B62)*ISNUMBER(INDEX(Inputs!$D$4:$AG$150,0,MATCH(Y$2,Inputs!$D$2:$AG$2,0))))=0,"",SUMIFS(INDEX(Inputs!$D$4:$AG$150,0,MATCH(Y$2,Inputs!$D$2:$AG$2,0)),Inputs!$B$4:$B$150,$B62)/1000)</f>
        <v>4305</v>
      </c>
      <c r="Z62" s="11">
        <f>IF(SUMPRODUCT((Inputs!$B$4:$B$150=$B62)*ISNUMBER(INDEX(Inputs!$D$4:$AG$150,0,MATCH(Z$2,Inputs!$D$2:$AG$2,0))))=0,"",SUMIFS(INDEX(Inputs!$D$4:$AG$150,0,MATCH(Z$2,Inputs!$D$2:$AG$2,0)),Inputs!$B$4:$B$150,$B62)/1000)</f>
        <v>5653</v>
      </c>
      <c r="AA62" s="11">
        <f>IF(SUMPRODUCT((Inputs!$B$4:$B$150=$B62)*ISNUMBER(INDEX(Inputs!$D$4:$AG$150,0,MATCH(AA$2,Inputs!$D$2:$AG$2,0))))=0,"",SUMIFS(INDEX(Inputs!$D$4:$AG$150,0,MATCH(AA$2,Inputs!$D$2:$AG$2,0)),Inputs!$B$4:$B$150,$B62)/1000)</f>
        <v>6701</v>
      </c>
      <c r="AB62" s="12">
        <f>IF(COUNT(X62:AA62)=4,SUM(X62:AA62),"")</f>
        <v>20962</v>
      </c>
      <c r="AC62" s="11">
        <f>IF(SUMPRODUCT((Inputs!$B$4:$B$150=$B62)*ISNUMBER(INDEX(Inputs!$D$4:$AG$150,0,MATCH(AC$2,Inputs!$D$2:$AG$2,0))))=0,"",SUMIFS(INDEX(Inputs!$D$4:$AG$150,0,MATCH(AC$2,Inputs!$D$2:$AG$2,0)),Inputs!$B$4:$B$150,$B62)/1000)</f>
        <v>4184</v>
      </c>
      <c r="AD62" s="11">
        <f>IF(SUMPRODUCT((Inputs!$B$4:$B$150=$B62)*ISNUMBER(INDEX(Inputs!$D$4:$AG$150,0,MATCH(AD$2,Inputs!$D$2:$AG$2,0))))=0,"",SUMIFS(INDEX(Inputs!$D$4:$AG$150,0,MATCH(AD$2,Inputs!$D$2:$AG$2,0)),Inputs!$B$4:$B$150,$B62)/1000)</f>
        <v>4675</v>
      </c>
      <c r="AE62" s="11" t="str">
        <f>IF(SUMPRODUCT((Inputs!$B$4:$B$150=$B62)*ISNUMBER(INDEX(Inputs!$D$4:$AG$150,0,MATCH(AE$2,Inputs!$D$2:$AG$2,0))))=0,"",SUMIFS(INDEX(Inputs!$D$4:$AG$150,0,MATCH(AE$2,Inputs!$D$2:$AG$2,0)),Inputs!$B$4:$B$150,$B62)/1000)</f>
        <v/>
      </c>
      <c r="AF62" s="11" t="str">
        <f>IF(SUMPRODUCT((Inputs!$B$4:$B$150=$B62)*ISNUMBER(INDEX(Inputs!$D$4:$AG$150,0,MATCH(AF$2,Inputs!$D$2:$AG$2,0))))=0,"",SUMIFS(INDEX(Inputs!$D$4:$AG$150,0,MATCH(AF$2,Inputs!$D$2:$AG$2,0)),Inputs!$B$4:$B$150,$B62)/1000)</f>
        <v/>
      </c>
      <c r="AG62" s="12" t="str">
        <f>IF(COUNT(AC62:AF62)=4,SUM(AC62:AF62),"")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86"/>
  <sheetViews>
    <sheetView showGridLines="0" zoomScaleNormal="100" workbookViewId="0">
      <pane xSplit="3" ySplit="11" topLeftCell="D270" activePane="bottomRight" state="frozen"/>
      <selection pane="topRight" activeCell="D1" sqref="D1"/>
      <selection pane="bottomLeft" activeCell="A12" sqref="A12"/>
      <selection pane="bottomRight" activeCell="O315" sqref="O315"/>
    </sheetView>
  </sheetViews>
  <sheetFormatPr baseColWidth="8" defaultColWidth="10.42578125" defaultRowHeight="12.75" outlineLevelRow="1"/>
  <cols>
    <col width="2" customWidth="1" style="3" min="1" max="1"/>
    <col width="8.85546875" customWidth="1" style="3" min="2" max="2"/>
    <col width="96.140625" customWidth="1" style="4" min="3" max="3"/>
    <col width="13" customWidth="1" style="4" min="4" max="24"/>
    <col width="12.7109375" customWidth="1" style="4" min="25" max="25"/>
    <col width="13" customWidth="1" style="4" min="26" max="27"/>
    <col width="12.7109375" customWidth="1" style="4" min="28" max="28"/>
    <col width="14" customWidth="1" style="4" min="29" max="29"/>
    <col width="15.140625" customWidth="1" style="4" min="30" max="30"/>
    <col width="12.42578125" customWidth="1" style="4" min="31" max="31"/>
    <col width="11.5703125" customWidth="1" style="4" min="32" max="32"/>
    <col width="12.42578125" customWidth="1" style="4" min="33" max="33"/>
    <col width="11.5703125" customWidth="1" style="4" min="34" max="34"/>
    <col width="12.7109375" customWidth="1" style="4" min="35" max="35"/>
    <col width="11.5703125" customWidth="1" style="4" min="36" max="37"/>
    <col width="11.28515625" customWidth="1" style="4" min="38" max="38"/>
    <col width="11.5703125" customWidth="1" style="4" min="39" max="39"/>
    <col width="12.7109375" customWidth="1" style="4" min="40" max="40"/>
    <col width="11.5703125" customWidth="1" style="4" min="41" max="42"/>
    <col width="11.28515625" customWidth="1" style="4" min="43" max="43"/>
    <col width="11.5703125" customWidth="1" style="4" min="44" max="44"/>
    <col width="12.7109375" customWidth="1" style="4" min="45" max="45"/>
    <col width="11.5703125" customWidth="1" style="4" min="46" max="47"/>
    <col width="11.28515625" customWidth="1" style="4" min="48" max="48"/>
    <col width="11.5703125" customWidth="1" style="4" min="49" max="49"/>
    <col width="12.7109375" customWidth="1" style="4" min="50" max="50"/>
    <col width="11.5703125" customWidth="1" style="4" min="51" max="52"/>
    <col width="11.28515625" customWidth="1" style="4" min="53" max="53"/>
    <col width="11.5703125" customWidth="1" style="4" min="54" max="54"/>
    <col width="12.7109375" customWidth="1" style="4" min="55" max="55"/>
    <col width="11.5703125" customWidth="1" style="4" min="56" max="57"/>
    <col width="11.28515625" customWidth="1" style="4" min="58" max="58"/>
    <col width="11.5703125" customWidth="1" style="4" min="59" max="59"/>
    <col width="12.7109375" customWidth="1" style="4" min="60" max="60"/>
    <col width="11.5703125" customWidth="1" style="4" min="61" max="62"/>
    <col width="11.28515625" customWidth="1" style="4" min="63" max="63"/>
    <col width="11.5703125" customWidth="1" style="4" min="64" max="64"/>
    <col width="12.7109375" customWidth="1" style="4" min="65" max="65"/>
    <col width="11.5703125" customWidth="1" style="4" min="66" max="67"/>
    <col width="11.28515625" customWidth="1" style="4" min="68" max="68"/>
    <col width="11.5703125" customWidth="1" style="4" min="69" max="69"/>
    <col width="12.7109375" customWidth="1" style="4" min="70" max="70"/>
    <col width="11.5703125" customWidth="1" style="4" min="71" max="72"/>
    <col width="11.28515625" customWidth="1" style="4" min="73" max="73"/>
    <col width="11.5703125" customWidth="1" style="4" min="74" max="74"/>
    <col width="12.7109375" customWidth="1" style="4" min="75" max="75"/>
    <col width="11.5703125" customWidth="1" style="4" min="76" max="77"/>
    <col width="11.28515625" customWidth="1" style="4" min="78" max="78"/>
    <col width="11.5703125" customWidth="1" style="4" min="79" max="79"/>
    <col width="12.7109375" customWidth="1" style="4" min="80" max="80"/>
    <col width="11.5703125" customWidth="1" style="4" min="81" max="82"/>
    <col width="11.28515625" customWidth="1" style="4" min="83" max="83"/>
    <col width="11.5703125" customWidth="1" style="4" min="84" max="84"/>
    <col width="12.7109375" customWidth="1" style="4" min="85" max="85"/>
    <col width="11.5703125" customWidth="1" style="4" min="86" max="87"/>
    <col width="11.28515625" customWidth="1" style="4" min="88" max="88"/>
    <col width="11.5703125" customWidth="1" style="4" min="89" max="89"/>
    <col width="12.7109375" customWidth="1" style="4" min="90" max="90"/>
    <col width="11.5703125" customWidth="1" style="4" min="91" max="92"/>
    <col width="11.28515625" customWidth="1" style="4" min="93" max="93"/>
    <col width="11.5703125" customWidth="1" style="4" min="94" max="94"/>
    <col width="12.7109375" customWidth="1" style="4" min="95" max="95"/>
    <col width="11.5703125" customWidth="1" style="4" min="96" max="97"/>
    <col width="11.28515625" customWidth="1" style="4" min="98" max="98"/>
    <col width="11.5703125" customWidth="1" style="4" min="99" max="99"/>
    <col width="12.7109375" customWidth="1" style="4" min="100" max="100"/>
    <col width="11.5703125" customWidth="1" style="4" min="101" max="102"/>
    <col width="11.28515625" customWidth="1" style="4" min="103" max="103"/>
    <col width="10.42578125" customWidth="1" style="4" min="104" max="106"/>
    <col width="10.42578125" customWidth="1" style="4" min="107" max="16384"/>
  </cols>
  <sheetData>
    <row r="1">
      <c r="C1" s="17" t="inlineStr">
        <is>
          <t>CHECKS</t>
        </is>
      </c>
      <c r="D1" s="12" t="n"/>
      <c r="E1" s="12" t="n"/>
      <c r="F1" s="12" t="n"/>
      <c r="G1" s="12" t="n"/>
      <c r="H1" s="12" t="n"/>
      <c r="I1" s="12">
        <f>IF(I2="","",SUM(I2,I3))</f>
        <v>0</v>
      </c>
      <c r="J1" s="12">
        <f>IF(J2="","",SUM(J2,J3))</f>
        <v>0</v>
      </c>
      <c r="K1" s="12">
        <f>IF(K2="","",SUM(K2,K3))</f>
        <v>0</v>
      </c>
      <c r="L1" s="12">
        <f>IF(L2="","",SUM(L2,L3))</f>
        <v>0</v>
      </c>
      <c r="M1" s="12">
        <f>IF(M2="","",SUM(M2,M3))</f>
        <v>0</v>
      </c>
      <c r="N1" s="12">
        <f>IF(N2="","",SUM(N2,N3))</f>
        <v>0</v>
      </c>
      <c r="O1" s="12">
        <f>IF(O2="","",SUM(O2,O3))</f>
        <v>0</v>
      </c>
      <c r="P1" s="12">
        <f>IF(P2="","",SUM(P2,P3))</f>
        <v>0</v>
      </c>
      <c r="Q1" s="12">
        <f>IF(Q2="","",SUM(Q2,Q3))</f>
        <v>0</v>
      </c>
      <c r="R1" s="12">
        <f>IF(R2="","",SUM(R2,R3))</f>
        <v>0</v>
      </c>
      <c r="S1" s="12">
        <f>IF(S2="","",SUM(S2,S3))</f>
        <v>0</v>
      </c>
      <c r="T1" s="12">
        <f>IF(T2="","",SUM(T2,T3))</f>
        <v>0</v>
      </c>
      <c r="U1" s="12">
        <f>IF(U2="","",SUM(U2,U3))</f>
        <v>0</v>
      </c>
      <c r="V1" s="12">
        <f>IF(V2="","",SUM(V2,V3))</f>
        <v>0</v>
      </c>
      <c r="W1" s="12">
        <f>IF(W2="","",SUM(W2,W3))</f>
        <v>0</v>
      </c>
      <c r="X1" s="12">
        <f>IF(X2="","",SUM(X2,X3))</f>
        <v>0</v>
      </c>
      <c r="Y1" s="12">
        <f>IF(Y2="","",SUM(Y2,Y3))</f>
        <v>0</v>
      </c>
      <c r="Z1" s="12">
        <f>IF(Z2="","",SUM(Z2,Z3))</f>
        <v>0</v>
      </c>
      <c r="AA1" s="12">
        <f>IF(AA2="","",SUM(AA2,AA3))</f>
        <v>0</v>
      </c>
      <c r="AB1" s="12">
        <f>IF(AB2="","",SUM(AB2,AB3))</f>
        <v>0</v>
      </c>
      <c r="AC1" s="12">
        <f>IF(AC2="","",SUM(AC2,AC3))</f>
        <v>0</v>
      </c>
      <c r="AD1" s="12">
        <f>IF(AD2="","",SUM(AD2,AD3))</f>
        <v>0</v>
      </c>
      <c r="AE1" s="12">
        <f>IF(AE2="","",SUM(AE2,AE3))</f>
        <v>0</v>
      </c>
      <c r="AF1" s="12">
        <f>IF(AF2="","",SUM(AF2,AF3))</f>
        <v>0</v>
      </c>
      <c r="AG1" s="12">
        <f>IF(AG2="","",SUM(AG2,AG3))</f>
        <v>0</v>
      </c>
      <c r="AH1" s="12">
        <f>IF(AH2="","",SUM(AH2,AH3))</f>
        <v>0</v>
      </c>
      <c r="AI1" s="12">
        <f>IF(AI2="","",SUM(AI2,AI3))</f>
        <v>0</v>
      </c>
      <c r="AJ1" s="12">
        <f>IF(AJ2="","",SUM(AJ2,AJ3))</f>
        <v>1163.18480687373</v>
      </c>
      <c r="AK1" s="12">
        <f>IF(AK2="","",SUM(AK2,AK3))</f>
        <v>1030.94731717255</v>
      </c>
      <c r="AL1" s="12">
        <f>IF(AL2="","",SUM(AL2,AL3))</f>
        <v>3785.13212404628</v>
      </c>
      <c r="AM1" s="12">
        <f>IF(AM2="","",SUM(AM2,AM3))</f>
        <v>926.863081383952</v>
      </c>
      <c r="AN1" s="12">
        <f>IF(AN2="","",SUM(AN2,AN3))</f>
        <v>1169.02246687619</v>
      </c>
      <c r="AO1" s="12">
        <f>IF(AO2="","",SUM(AO2,AO3))</f>
        <v>1218.86828841323</v>
      </c>
      <c r="AP1" s="12">
        <f>IF(AP2="","",SUM(AP2,AP3))</f>
        <v>1080.30038262246</v>
      </c>
      <c r="AQ1" s="12">
        <f>IF(AQ2="","",SUM(AQ2,AQ3))</f>
        <v>4395.05421929584</v>
      </c>
      <c r="AR1" s="12">
        <f>IF(AR2="","",SUM(AR2,AR3))</f>
        <v>966.599155769699</v>
      </c>
      <c r="AS1" s="12">
        <f>IF(AS2="","",SUM(AS2,AS3))</f>
        <v>1219.14029402391</v>
      </c>
      <c r="AT1" s="12">
        <f>IF(AT2="","",SUM(AT2,AT3))</f>
        <v>1271.12308412966</v>
      </c>
      <c r="AU1" s="12">
        <f>IF(AU2="","",SUM(AU2,AU3))</f>
        <v>1126.61455482871</v>
      </c>
      <c r="AV1" s="12">
        <f>IF(AV2="","",SUM(AV2,AV3))</f>
        <v>4583.47708875197</v>
      </c>
      <c r="AW1" s="12">
        <f>IF(AW2="","",SUM(AW2,AW3))</f>
        <v>1003.20578222449</v>
      </c>
      <c r="AX1" s="12">
        <f>IF(AX2="","",SUM(AX2,AX3))</f>
        <v>1265.31104957747</v>
      </c>
      <c r="AY1" s="12">
        <f>IF(AY2="","",SUM(AY2,AY3))</f>
        <v>1319.26250949647</v>
      </c>
      <c r="AZ1" s="12">
        <f>IF(AZ2="","",SUM(AZ2,AZ3))</f>
        <v>1169.28121548217</v>
      </c>
      <c r="BA1" s="12">
        <f>IF(BA2="","",SUM(BA2,BA3))</f>
        <v>4757.06055678061</v>
      </c>
      <c r="BB1" s="12">
        <f>IF(BB2="","",SUM(BB2,BB3))</f>
        <v>1036.18273014143</v>
      </c>
      <c r="BC1" s="12">
        <f>IF(BC2="","",SUM(BC2,BC3))</f>
        <v>1306.90380882984</v>
      </c>
      <c r="BD1" s="12">
        <f>IF(BD2="","",SUM(BD2,BD3))</f>
        <v>1362.62873787683</v>
      </c>
      <c r="BE1" s="12">
        <f>IF(BE2="","",SUM(BE2,BE3))</f>
        <v>1207.71732343374</v>
      </c>
      <c r="BF1" s="12">
        <f>IF(BF2="","",SUM(BF2,BF3))</f>
        <v>4913.43260028183</v>
      </c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</row>
    <row r="2">
      <c r="C2" s="18" t="inlineStr">
        <is>
          <t>BS</t>
        </is>
      </c>
      <c r="D2" s="12" t="n"/>
      <c r="E2" s="12" t="n"/>
      <c r="F2" s="12" t="n"/>
      <c r="G2" s="12" t="n"/>
      <c r="H2" s="12" t="n"/>
      <c r="I2" s="12">
        <f>IF(COUNT(I191,I267)&lt;2,"",ABS(I191-I267))</f>
        <v>0</v>
      </c>
      <c r="J2" s="12">
        <f>IF(COUNT(J191,J267)&lt;2,"",ABS(J191-J267))</f>
        <v>0</v>
      </c>
      <c r="K2" s="12">
        <f>IF(COUNT(K191,K267)&lt;2,"",ABS(K191-K267))</f>
        <v>0</v>
      </c>
      <c r="L2" s="12">
        <f>IF(COUNT(L191,L267)&lt;2,"",ABS(L191-L267))</f>
        <v>0</v>
      </c>
      <c r="M2" s="12">
        <f>IF(COUNT(M191,M267)&lt;2,"",ABS(M191-M267))</f>
        <v>0</v>
      </c>
      <c r="N2" s="12">
        <f>IF(COUNT(N191,N267)&lt;2,"",ABS(N191-N267))</f>
        <v>0</v>
      </c>
      <c r="O2" s="12">
        <f>IF(COUNT(O191,O267)&lt;2,"",ABS(O191-O267))</f>
        <v>0</v>
      </c>
      <c r="P2" s="12">
        <f>IF(COUNT(P191,P267)&lt;2,"",ABS(P191-P267))</f>
        <v>0</v>
      </c>
      <c r="Q2" s="12">
        <f>IF(COUNT(Q191,Q267)&lt;2,"",ABS(Q191-Q267))</f>
        <v>0</v>
      </c>
      <c r="R2" s="12">
        <f>IF(COUNT(R191,R267)&lt;2,"",ABS(R191-R267))</f>
        <v>0</v>
      </c>
      <c r="S2" s="12">
        <f>IF(COUNT(S191,S267)&lt;2,"",ABS(S191-S267))</f>
        <v>0</v>
      </c>
      <c r="T2" s="12">
        <f>IF(COUNT(T191,T267)&lt;2,"",ABS(T191-T267))</f>
        <v>0</v>
      </c>
      <c r="U2" s="12">
        <f>IF(COUNT(U191,U267)&lt;2,"",ABS(U191-U267))</f>
        <v>0</v>
      </c>
      <c r="V2" s="12">
        <f>IF(COUNT(V191,V267)&lt;2,"",ABS(V191-V267))</f>
        <v>0</v>
      </c>
      <c r="W2" s="12">
        <f>IF(COUNT(W191,W267)&lt;2,"",ABS(W191-W267))</f>
        <v>0</v>
      </c>
      <c r="X2" s="12">
        <f>IF(COUNT(X191,X267)&lt;2,"",ABS(X191-X267))</f>
        <v>0</v>
      </c>
      <c r="Y2" s="12">
        <f>IF(COUNT(Y191,Y267)&lt;2,"",ABS(Y191-Y267))</f>
        <v>0</v>
      </c>
      <c r="Z2" s="12">
        <f>IF(COUNT(Z191,Z267)&lt;2,"",ABS(Z191-Z267))</f>
        <v>0</v>
      </c>
      <c r="AA2" s="12">
        <f>IF(COUNT(AA191,AA267)&lt;2,"",ABS(AA191-AA267))</f>
        <v>0</v>
      </c>
      <c r="AB2" s="12">
        <f>IF(COUNT(AB191,AB267)&lt;2,"",ABS(AB191-AB267))</f>
        <v>0</v>
      </c>
      <c r="AC2" s="12">
        <f>IF(COUNT(AC191,AC267)&lt;2,"",ABS(AC191-AC267))</f>
        <v>0</v>
      </c>
      <c r="AD2" s="12">
        <f>IF(COUNT(AD191,AD267)&lt;2,"",ABS(AD191-AD267))</f>
        <v>0</v>
      </c>
      <c r="AE2" s="12">
        <f>IF(COUNT(AE191,AE267)&lt;2,"",ABS(AE191-AE267))</f>
        <v>0</v>
      </c>
      <c r="AF2" s="12">
        <f>IF(COUNT(AF191,AF267)&lt;2,"",ABS(AF191-AF267))</f>
        <v>0</v>
      </c>
      <c r="AG2" s="12">
        <f>IF(COUNT(AG191,AG267)&lt;2,"",ABS(AG191-AG267))</f>
        <v>0</v>
      </c>
      <c r="AH2" s="12">
        <f>IF(COUNT(AH191,AH267)&lt;2,"",ABS(AH191-AH267))</f>
        <v>0</v>
      </c>
      <c r="AI2" s="12">
        <f>IF(COUNT(AI191,AI267)&lt;2,"",ABS(AI191-AI267))</f>
        <v>0</v>
      </c>
      <c r="AJ2" s="12">
        <f>IF(COUNT(AJ191,AJ267)&lt;2,"",ABS(AJ191-AJ267))</f>
        <v>0</v>
      </c>
      <c r="AK2" s="12">
        <f>IF(COUNT(AK191,AK267)&lt;2,"",ABS(AK191-AK267))</f>
        <v>0</v>
      </c>
      <c r="AL2" s="12">
        <f>IF(COUNT(AL191,AL267)&lt;2,"",ABS(AL191-AL267))</f>
        <v>0</v>
      </c>
      <c r="AM2" s="12">
        <f>IF(COUNT(AM191,AM267)&lt;2,"",ABS(AM191-AM267))</f>
        <v>0</v>
      </c>
      <c r="AN2" s="12">
        <f>IF(COUNT(AN191,AN267)&lt;2,"",ABS(AN191-AN267))</f>
        <v>0</v>
      </c>
      <c r="AO2" s="12">
        <f>IF(COUNT(AO191,AO267)&lt;2,"",ABS(AO191-AO267))</f>
        <v>0</v>
      </c>
      <c r="AP2" s="12">
        <f>IF(COUNT(AP191,AP267)&lt;2,"",ABS(AP191-AP267))</f>
        <v>0</v>
      </c>
      <c r="AQ2" s="12">
        <f>IF(COUNT(AQ191,AQ267)&lt;2,"",ABS(AQ191-AQ267))</f>
        <v>0</v>
      </c>
      <c r="AR2" s="12">
        <f>IF(COUNT(AR191,AR267)&lt;2,"",ABS(AR191-AR267))</f>
        <v>0</v>
      </c>
      <c r="AS2" s="12">
        <f>IF(COUNT(AS191,AS267)&lt;2,"",ABS(AS191-AS267))</f>
        <v>0</v>
      </c>
      <c r="AT2" s="12">
        <f>IF(COUNT(AT191,AT267)&lt;2,"",ABS(AT191-AT267))</f>
        <v>0</v>
      </c>
      <c r="AU2" s="12">
        <f>IF(COUNT(AU191,AU267)&lt;2,"",ABS(AU191-AU267))</f>
        <v>0</v>
      </c>
      <c r="AV2" s="12">
        <f>IF(COUNT(AV191,AV267)&lt;2,"",ABS(AV191-AV267))</f>
        <v>0</v>
      </c>
      <c r="AW2" s="12">
        <f>IF(COUNT(AW191,AW267)&lt;2,"",ABS(AW191-AW267))</f>
        <v>0</v>
      </c>
      <c r="AX2" s="12">
        <f>IF(COUNT(AX191,AX267)&lt;2,"",ABS(AX191-AX267))</f>
        <v>0</v>
      </c>
      <c r="AY2" s="12">
        <f>IF(COUNT(AY191,AY267)&lt;2,"",ABS(AY191-AY267))</f>
        <v>0</v>
      </c>
      <c r="AZ2" s="12">
        <f>IF(COUNT(AZ191,AZ267)&lt;2,"",ABS(AZ191-AZ267))</f>
        <v>0</v>
      </c>
      <c r="BA2" s="12">
        <f>IF(COUNT(BA191,BA267)&lt;2,"",ABS(BA191-BA267))</f>
        <v>0</v>
      </c>
      <c r="BB2" s="12">
        <f>IF(COUNT(BB191,BB267)&lt;2,"",ABS(BB191-BB267))</f>
        <v>0</v>
      </c>
      <c r="BC2" s="12">
        <f>IF(COUNT(BC191,BC267)&lt;2,"",ABS(BC191-BC267))</f>
        <v>0</v>
      </c>
      <c r="BD2" s="12">
        <f>IF(COUNT(BD191,BD267)&lt;2,"",ABS(BD191-BD267))</f>
        <v>0</v>
      </c>
      <c r="BE2" s="12">
        <f>IF(COUNT(BE191,BE267)&lt;2,"",ABS(BE191-BE267))</f>
        <v>0</v>
      </c>
      <c r="BF2" s="12">
        <f>IF(COUNT(BF191,BF267)&lt;2,"",ABS(BF191-BF267))</f>
        <v>0</v>
      </c>
      <c r="BG2" s="12" t="n"/>
      <c r="BH2" s="12" t="n"/>
      <c r="BI2" s="12" t="n"/>
      <c r="BJ2" s="12" t="n"/>
      <c r="BK2" s="12" t="n"/>
      <c r="BL2" s="12" t="n"/>
      <c r="BM2" s="12" t="n"/>
      <c r="BN2" s="12" t="n"/>
      <c r="BO2" s="12" t="n"/>
      <c r="BP2" s="12" t="n"/>
      <c r="BQ2" s="12" t="n"/>
      <c r="BR2" s="12" t="n"/>
      <c r="BS2" s="12" t="n"/>
      <c r="BT2" s="12" t="n"/>
      <c r="BU2" s="12" t="n"/>
      <c r="BV2" s="12" t="n"/>
      <c r="BW2" s="12" t="n"/>
      <c r="BX2" s="12" t="n"/>
      <c r="BY2" s="12" t="n"/>
      <c r="BZ2" s="12" t="n"/>
      <c r="CA2" s="12" t="n"/>
      <c r="CB2" s="12" t="n"/>
      <c r="CC2" s="12" t="n"/>
      <c r="CD2" s="12" t="n"/>
      <c r="CE2" s="12" t="n"/>
      <c r="CF2" s="12" t="n"/>
      <c r="CG2" s="12" t="n"/>
      <c r="CH2" s="12" t="n"/>
      <c r="CI2" s="12" t="n"/>
      <c r="CJ2" s="12" t="n"/>
      <c r="CK2" s="12" t="n"/>
      <c r="CL2" s="12" t="n"/>
      <c r="CM2" s="12" t="n"/>
      <c r="CN2" s="12" t="n"/>
      <c r="CO2" s="12" t="n"/>
      <c r="CP2" s="12" t="n"/>
      <c r="CQ2" s="12" t="n"/>
      <c r="CR2" s="12" t="n"/>
      <c r="CS2" s="12" t="n"/>
      <c r="CT2" s="12" t="n"/>
      <c r="CU2" s="12" t="n"/>
      <c r="CV2" s="12" t="n"/>
      <c r="CW2" s="12" t="n"/>
      <c r="CX2" s="12" t="n"/>
      <c r="CY2" s="12" t="n"/>
    </row>
    <row r="3">
      <c r="C3" s="18" t="inlineStr">
        <is>
          <t>IS</t>
        </is>
      </c>
      <c r="D3" s="12" t="n"/>
      <c r="E3" s="12" t="n"/>
      <c r="F3" s="12" t="n"/>
      <c r="G3" s="12" t="n"/>
      <c r="H3" s="12" t="n"/>
      <c r="I3" s="12">
        <f>IF(COUNT(I131,I4)&lt;2,"",ABS(I131-I4))</f>
        <v>0</v>
      </c>
      <c r="J3" s="12">
        <f>IF(COUNT(J131,J4)&lt;2,"",ABS(J131-J4))</f>
        <v>0</v>
      </c>
      <c r="K3" s="12">
        <f>IF(COUNT(K131,K4)&lt;2,"",ABS(K131-K4))</f>
        <v>0</v>
      </c>
      <c r="L3" s="12">
        <f>IF(COUNT(L131,L4)&lt;2,"",ABS(L131-L4))</f>
        <v>0</v>
      </c>
      <c r="M3" s="12">
        <f>IF(COUNT(M131,M4)&lt;2,"",ABS(M131-M4))</f>
        <v>0</v>
      </c>
      <c r="N3" s="12">
        <f>IF(COUNT(N131,N4)&lt;2,"",ABS(N131-N4))</f>
        <v>0</v>
      </c>
      <c r="O3" s="12">
        <f>IF(COUNT(O131,O4)&lt;2,"",ABS(O131-O4))</f>
        <v>0</v>
      </c>
      <c r="P3" s="12">
        <f>IF(COUNT(P131,P4)&lt;2,"",ABS(P131-P4))</f>
        <v>0</v>
      </c>
      <c r="Q3" s="12">
        <f>IF(COUNT(Q131,Q4)&lt;2,"",ABS(Q131-Q4))</f>
        <v>0</v>
      </c>
      <c r="R3" s="12">
        <f>IF(COUNT(R131,R4)&lt;2,"",ABS(R131-R4))</f>
        <v>0</v>
      </c>
      <c r="S3" s="12">
        <f>IF(COUNT(S131,S4)&lt;2,"",ABS(S131-S4))</f>
        <v>0</v>
      </c>
      <c r="T3" s="12">
        <f>IF(COUNT(T131,T4)&lt;2,"",ABS(T131-T4))</f>
        <v>0</v>
      </c>
      <c r="U3" s="12">
        <f>IF(COUNT(U131,U4)&lt;2,"",ABS(U131-U4))</f>
        <v>0</v>
      </c>
      <c r="V3" s="12">
        <f>IF(COUNT(V131,V4)&lt;2,"",ABS(V131-V4))</f>
        <v>0</v>
      </c>
      <c r="W3" s="12">
        <f>IF(COUNT(W131,W4)&lt;2,"",ABS(W131-W4))</f>
        <v>0</v>
      </c>
      <c r="X3" s="12">
        <f>IF(COUNT(X131,X4)&lt;2,"",ABS(X131-X4))</f>
        <v>0</v>
      </c>
      <c r="Y3" s="12">
        <f>IF(COUNT(Y131,Y4)&lt;2,"",ABS(Y131-Y4))</f>
        <v>0</v>
      </c>
      <c r="Z3" s="12">
        <f>IF(COUNT(Z131,Z4)&lt;2,"",ABS(Z131-Z4))</f>
        <v>0</v>
      </c>
      <c r="AA3" s="12">
        <f>IF(COUNT(AA131,AA4)&lt;2,"",ABS(AA131-AA4))</f>
        <v>0</v>
      </c>
      <c r="AB3" s="12">
        <f>IF(COUNT(AB131,AB4)&lt;2,"",ABS(AB131-AB4))</f>
        <v>0</v>
      </c>
      <c r="AC3" s="12">
        <f>IF(COUNT(AC131,AC4)&lt;2,"",ABS(AC131-AC4))</f>
        <v>0</v>
      </c>
      <c r="AD3" s="12">
        <f>IF(COUNT(AD131,AD4)&lt;2,"",ABS(AD131-AD4))</f>
        <v>0</v>
      </c>
      <c r="AE3" s="12">
        <f>IF(COUNT(AE131,AE4)&lt;2,"",ABS(AE131-AE4))</f>
        <v>0</v>
      </c>
      <c r="AF3" s="12">
        <f>IF(COUNT(AF131,AF4)&lt;2,"",ABS(AF131-AF4))</f>
        <v>0</v>
      </c>
      <c r="AG3" s="12">
        <f>IF(COUNT(AG131,AG4)&lt;2,"",ABS(AG131-AG4))</f>
        <v>0</v>
      </c>
      <c r="AH3" s="12">
        <f>IF(COUNT(AH131,AH4)&lt;2,"",ABS(AH131-AH4))</f>
        <v>0</v>
      </c>
      <c r="AI3" s="12">
        <f>IF(COUNT(AI131,AI4)&lt;2,"",ABS(AI131-AI4))</f>
        <v>0</v>
      </c>
      <c r="AJ3" s="12">
        <f>ABS(AJ131-AJ4)</f>
        <v>1163.18480687373</v>
      </c>
      <c r="AK3" s="12">
        <f>ABS(AK131-AK4)</f>
        <v>1030.94731717255</v>
      </c>
      <c r="AL3" s="12">
        <f>ABS(AL131-AL4)</f>
        <v>3785.13212404628</v>
      </c>
      <c r="AM3" s="12">
        <f>ABS(AM131-AM4)</f>
        <v>926.863081383952</v>
      </c>
      <c r="AN3" s="12">
        <f>ABS(AN131-AN4)</f>
        <v>1169.02246687619</v>
      </c>
      <c r="AO3" s="12">
        <f>ABS(AO131-AO4)</f>
        <v>1218.86828841323</v>
      </c>
      <c r="AP3" s="12">
        <f>ABS(AP131-AP4)</f>
        <v>1080.30038262246</v>
      </c>
      <c r="AQ3" s="12">
        <f>ABS(AQ131-AQ4)</f>
        <v>4395.05421929584</v>
      </c>
      <c r="AR3" s="12">
        <f>ABS(AR131-AR4)</f>
        <v>966.599155769699</v>
      </c>
      <c r="AS3" s="12">
        <f>ABS(AS131-AS4)</f>
        <v>1219.14029402391</v>
      </c>
      <c r="AT3" s="12">
        <f>ABS(AT131-AT4)</f>
        <v>1271.12308412966</v>
      </c>
      <c r="AU3" s="12">
        <f>ABS(AU131-AU4)</f>
        <v>1126.61455482871</v>
      </c>
      <c r="AV3" s="12">
        <f>ABS(AV131-AV4)</f>
        <v>4583.47708875197</v>
      </c>
      <c r="AW3" s="12">
        <f>ABS(AW131-AW4)</f>
        <v>1003.20578222449</v>
      </c>
      <c r="AX3" s="12">
        <f>ABS(AX131-AX4)</f>
        <v>1265.31104957747</v>
      </c>
      <c r="AY3" s="12">
        <f>ABS(AY131-AY4)</f>
        <v>1319.26250949647</v>
      </c>
      <c r="AZ3" s="12">
        <f>ABS(AZ131-AZ4)</f>
        <v>1169.28121548217</v>
      </c>
      <c r="BA3" s="12">
        <f>ABS(BA131-BA4)</f>
        <v>4757.06055678061</v>
      </c>
      <c r="BB3" s="12">
        <f>ABS(BB131-BB4)</f>
        <v>1036.18273014143</v>
      </c>
      <c r="BC3" s="12">
        <f>ABS(BC131-BC4)</f>
        <v>1306.90380882984</v>
      </c>
      <c r="BD3" s="12">
        <f>ABS(BD131-BD4)</f>
        <v>1362.62873787683</v>
      </c>
      <c r="BE3" s="12">
        <f>ABS(BE131-BE4)</f>
        <v>1207.71732343374</v>
      </c>
      <c r="BF3" s="12">
        <f>ABS(BF131-BF4)</f>
        <v>4913.43260028183</v>
      </c>
      <c r="BG3" s="12" t="n"/>
      <c r="BH3" s="12" t="n"/>
      <c r="BI3" s="12" t="n"/>
      <c r="BJ3" s="12" t="n"/>
      <c r="BK3" s="12" t="n"/>
      <c r="BL3" s="12" t="n"/>
      <c r="BM3" s="12" t="n"/>
      <c r="BN3" s="12" t="n"/>
      <c r="BO3" s="12" t="n"/>
      <c r="BP3" s="12" t="n"/>
      <c r="BQ3" s="12" t="n"/>
      <c r="BR3" s="12" t="n"/>
      <c r="BS3" s="12" t="n"/>
      <c r="BT3" s="12" t="n"/>
      <c r="BU3" s="12" t="n"/>
      <c r="BV3" s="12" t="n"/>
      <c r="BW3" s="12" t="n"/>
      <c r="BX3" s="12" t="n"/>
      <c r="BY3" s="12" t="n"/>
      <c r="BZ3" s="12" t="n"/>
      <c r="CA3" s="12" t="n"/>
      <c r="CB3" s="12" t="n"/>
      <c r="CC3" s="12" t="n"/>
      <c r="CD3" s="12" t="n"/>
      <c r="CE3" s="12" t="n"/>
      <c r="CF3" s="12" t="n"/>
      <c r="CG3" s="12" t="n"/>
      <c r="CH3" s="12" t="n"/>
      <c r="CI3" s="12" t="n"/>
      <c r="CJ3" s="12" t="n"/>
      <c r="CK3" s="12" t="n"/>
      <c r="CL3" s="12" t="n"/>
      <c r="CM3" s="12" t="n"/>
      <c r="CN3" s="12" t="n"/>
      <c r="CO3" s="12" t="n"/>
      <c r="CP3" s="12" t="n"/>
      <c r="CQ3" s="12" t="n"/>
      <c r="CR3" s="12" t="n"/>
      <c r="CS3" s="12" t="n"/>
      <c r="CT3" s="12" t="n"/>
      <c r="CU3" s="12" t="n"/>
      <c r="CV3" s="12" t="n"/>
      <c r="CW3" s="12" t="n"/>
      <c r="CX3" s="12" t="n"/>
      <c r="CY3" s="12" t="n"/>
    </row>
    <row r="4">
      <c r="C4" s="17" t="inlineStr">
        <is>
          <t>Net Income reportado (lucro líquido) — base do check de DRE</t>
        </is>
      </c>
      <c r="H4" s="11" t="n"/>
      <c r="I4">
        <f>IF(ISNUMBER('Inputs (2)'!D50),'Inputs (2)'!D50,"")</f>
        <v>438</v>
      </c>
      <c r="J4">
        <f>IF(ISNUMBER('Inputs (2)'!E50),'Inputs (2)'!E50,"")</f>
        <v>1142</v>
      </c>
      <c r="K4">
        <f>IF(ISNUMBER('Inputs (2)'!F50),'Inputs (2)'!F50,"")</f>
        <v>1618</v>
      </c>
      <c r="L4">
        <f>IF(ISNUMBER('Inputs (2)'!G50),'Inputs (2)'!G50,"")</f>
        <v>2321</v>
      </c>
      <c r="M4" s="11">
        <f>IF(COUNT(I4:L4)=4,SUM(I4:L4),"")</f>
        <v>5519</v>
      </c>
      <c r="N4">
        <f>IF(ISNUMBER('Inputs (2)'!I50),'Inputs (2)'!I50,"")</f>
        <v>3318</v>
      </c>
      <c r="O4">
        <f>IF(ISNUMBER('Inputs (2)'!J50),'Inputs (2)'!J50,"")</f>
        <v>2259</v>
      </c>
      <c r="P4">
        <f>IF(ISNUMBER('Inputs (2)'!K50),'Inputs (2)'!K50,"")</f>
        <v>3292</v>
      </c>
      <c r="Q4">
        <f>IF(ISNUMBER('Inputs (2)'!L50),'Inputs (2)'!L50,"")</f>
        <v>3687</v>
      </c>
      <c r="R4" s="11">
        <f>IF(COUNT(N4:Q4)=4,SUM(N4:Q4),"")</f>
        <v>12556</v>
      </c>
      <c r="S4">
        <f>IF(ISNUMBER('Inputs (2)'!N50),'Inputs (2)'!N50,"")</f>
        <v>2513</v>
      </c>
      <c r="T4">
        <f>IF(ISNUMBER('Inputs (2)'!O50),'Inputs (2)'!O50,"")</f>
        <v>2703</v>
      </c>
      <c r="U4">
        <f>IF(ISNUMBER('Inputs (2)'!P50),'Inputs (2)'!P50,"")</f>
        <v>1853</v>
      </c>
      <c r="V4">
        <f>IF(ISNUMBER('Inputs (2)'!Q50),'Inputs (2)'!Q50,"")</f>
        <v>7928</v>
      </c>
      <c r="W4" s="11">
        <f>IF(COUNT(S4:V4)=4,SUM(S4:V4),"")</f>
        <v>14997</v>
      </c>
      <c r="X4">
        <f>IF(ISNUMBER('Inputs (2)'!S50),'Inputs (2)'!S50,"")</f>
        <v>1390</v>
      </c>
      <c r="Y4">
        <f>IF(ISNUMBER('Inputs (2)'!T50),'Inputs (2)'!T50,"")</f>
        <v>1400</v>
      </c>
      <c r="Z4">
        <f>IF(ISNUMBER('Inputs (2)'!U50),'Inputs (2)'!U50,"")</f>
        <v>2173</v>
      </c>
      <c r="AA4">
        <f>IF(ISNUMBER('Inputs (2)'!V50),'Inputs (2)'!V50,"")</f>
        <v>2128</v>
      </c>
      <c r="AB4" s="11">
        <f>IF(COUNT(X4:AA4)=4,SUM(X4:AA4),"")</f>
        <v>7091</v>
      </c>
      <c r="AC4">
        <f>IF(ISNUMBER('Inputs (2)'!X50),'Inputs (2)'!X50,"")</f>
        <v>409</v>
      </c>
      <c r="AD4">
        <f>IF(ISNUMBER('Inputs (2)'!Y50),'Inputs (2)'!Y50,"")</f>
        <v>1172</v>
      </c>
      <c r="AE4">
        <f>IF(ISNUMBER('Inputs (2)'!Z50),'Inputs (2)'!Z50,"")</f>
        <v>1373</v>
      </c>
      <c r="AF4">
        <f>IF(ISNUMBER('Inputs (2)'!AA50),'Inputs (2)'!AA50,"")</f>
        <v>840</v>
      </c>
      <c r="AG4" s="11">
        <f>IF(COUNT(AC4:AF4)=4,SUM(AC4:AF4),"")</f>
        <v>3794</v>
      </c>
      <c r="AH4" s="11">
        <f>IF(ISNUMBER('Inputs (2)'!AC50),'Inputs (2)'!AC50,"")</f>
        <v>477</v>
      </c>
      <c r="AI4" s="11">
        <f>IF(ISNUMBER('Inputs (2)'!AD50),'Inputs (2)'!AD50,"")</f>
        <v>1114</v>
      </c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  <c r="BO4" s="11" t="n"/>
      <c r="BP4" s="11" t="n"/>
      <c r="BQ4" s="11" t="n"/>
      <c r="BR4" s="11" t="n"/>
      <c r="BS4" s="11" t="n"/>
      <c r="BT4" s="11" t="n"/>
      <c r="BU4" s="11" t="n"/>
      <c r="BV4" s="11" t="n"/>
      <c r="BW4" s="11" t="n"/>
      <c r="BX4" s="11" t="n"/>
      <c r="BY4" s="11" t="n"/>
      <c r="BZ4" s="11" t="n"/>
      <c r="CA4" s="11" t="n"/>
      <c r="CB4" s="11" t="n"/>
      <c r="CC4" s="11" t="n"/>
      <c r="CD4" s="11" t="n"/>
      <c r="CE4" s="11" t="n"/>
      <c r="CF4" s="11" t="n"/>
      <c r="CG4" s="11" t="n"/>
      <c r="CH4" s="11" t="n"/>
      <c r="CI4" s="11" t="n"/>
      <c r="CJ4" s="11" t="n"/>
      <c r="CK4" s="11" t="n"/>
      <c r="CL4" s="11" t="n"/>
      <c r="CM4" s="11" t="n"/>
      <c r="CN4" s="11" t="n"/>
      <c r="CO4" s="11" t="n"/>
      <c r="CP4" s="11" t="n"/>
      <c r="CQ4" s="11" t="n"/>
      <c r="CR4" s="11" t="n"/>
      <c r="CS4" s="11" t="n"/>
      <c r="CT4" s="11" t="n"/>
      <c r="CU4" s="11" t="n"/>
      <c r="CV4" s="11" t="n"/>
      <c r="CW4" s="11" t="n"/>
      <c r="CX4" s="11" t="n"/>
      <c r="CY4" s="11" t="n"/>
    </row>
    <row r="5">
      <c r="B5" s="19" t="n">
        <v>45930</v>
      </c>
      <c r="D5" s="20" t="n"/>
      <c r="E5" s="21" t="n"/>
      <c r="F5" s="21" t="n"/>
      <c r="G5" s="21" t="n"/>
      <c r="H5" s="266" t="n">
        <v>44196</v>
      </c>
      <c r="I5" s="20" t="n">
        <v>44286</v>
      </c>
      <c r="J5" s="21">
        <f>DATE(YEAR(I5),MONTH(I5)+3,DAY(I5)-1)</f>
        <v>44377.0</v>
      </c>
      <c r="K5" s="21">
        <f>DATE(YEAR(J5),MONTH(J5)+3,DAY(J5))</f>
        <v>44469.0</v>
      </c>
      <c r="L5" s="21">
        <f>DATE(YEAR(K5),MONTH(K5)+3,DAY(K5)+1)</f>
        <v>44561.0</v>
      </c>
      <c r="M5" s="22">
        <f>L5</f>
        <v>44561.0</v>
      </c>
      <c r="N5" s="21">
        <f>DATE(YEAR(M5),MONTH(M5)+3,DAY(M5))</f>
        <v>44651.0</v>
      </c>
      <c r="O5" s="21">
        <f>DATE(YEAR(N5),MONTH(N5)+3,DAY(N5)-1)</f>
        <v>44742.0</v>
      </c>
      <c r="P5" s="21">
        <f>DATE(YEAR(O5),MONTH(O5)+3,DAY(O5))</f>
        <v>44834.0</v>
      </c>
      <c r="Q5" s="21">
        <f>DATE(YEAR(P5),MONTH(P5)+3,DAY(P5)+1)</f>
        <v>44926.0</v>
      </c>
      <c r="R5" s="22">
        <f>Q5</f>
        <v>44926.0</v>
      </c>
      <c r="S5" s="21">
        <f>DATE(YEAR(R5),MONTH(R5)+3,DAY(R5))</f>
        <v>45016.0</v>
      </c>
      <c r="T5" s="21">
        <f>DATE(YEAR(S5),MONTH(S5)+3,DAY(S5))-1</f>
        <v>45107.0</v>
      </c>
      <c r="U5" s="21">
        <f>DATE(YEAR(T5),MONTH(T5)+3,DAY(T5))</f>
        <v>45199.0</v>
      </c>
      <c r="V5" s="21">
        <f>DATE(YEAR(U5),MONTH(U5)+3,DAY(U5))+1</f>
        <v>45291.0</v>
      </c>
      <c r="W5" s="22">
        <f>V5</f>
        <v>45291.0</v>
      </c>
      <c r="X5" s="21">
        <f>DATE(YEAR(W5),MONTH(W5)+3,DAY(W5))</f>
        <v>45382.0</v>
      </c>
      <c r="Y5" s="21">
        <f>DATE(YEAR(X5),MONTH(X5)+3,DAY(X5))-1</f>
        <v>45473.0</v>
      </c>
      <c r="Z5" s="21">
        <f>DATE(YEAR(Y5),MONTH(Y5)+3,DAY(Y5))</f>
        <v>45565.0</v>
      </c>
      <c r="AA5" s="21">
        <f>DATE(YEAR(Z5),MONTH(Z5)+3,DAY(Z5))+1</f>
        <v>45657.0</v>
      </c>
      <c r="AB5" s="22">
        <f>AA5</f>
        <v>45657.0</v>
      </c>
      <c r="AC5" s="21">
        <f>DATE(YEAR(AB5),MONTH(AB5)+3,DAY(AB5))</f>
        <v>45747.0</v>
      </c>
      <c r="AD5" s="21">
        <f>DATE(YEAR(AC5),MONTH(AC5)+3,DAY(AC5))-1</f>
        <v>45838.0</v>
      </c>
      <c r="AE5" s="21">
        <f>DATE(YEAR(AD5),MONTH(AD5)+3,DAY(AD5))</f>
        <v>45930.0</v>
      </c>
      <c r="AF5" s="21">
        <f>DATE(YEAR(AE5),MONTH(AE5)+3,DAY(AE5))+1</f>
        <v>46022.0</v>
      </c>
      <c r="AG5" s="22">
        <f>AF5</f>
        <v>46022.0</v>
      </c>
      <c r="AH5" s="21">
        <f>DATE(YEAR(AG5),MONTH(AG5)+3,DAY(AG5))</f>
        <v>46112.0</v>
      </c>
      <c r="AI5" s="21">
        <f>DATE(YEAR(AH5),MONTH(AH5)+3,DAY(AH5))-1</f>
        <v>46203.0</v>
      </c>
      <c r="AJ5" s="21">
        <f>DATE(YEAR(AI5),MONTH(AI5)+3,DAY(AI5))</f>
        <v>46295.0</v>
      </c>
      <c r="AK5" s="21">
        <f>DATE(YEAR(AJ5),MONTH(AJ5)+3,DAY(AJ5))+1</f>
        <v>46387.0</v>
      </c>
      <c r="AL5" s="22">
        <f>AK5</f>
        <v>46387.0</v>
      </c>
      <c r="AM5" s="21">
        <f>DATE(YEAR(AL5),MONTH(AL5)+3,DAY(AL5))</f>
        <v>46477.0</v>
      </c>
      <c r="AN5" s="21">
        <f>DATE(YEAR(AM5),MONTH(AM5)+3,DAY(AM5))-1</f>
        <v>46568.0</v>
      </c>
      <c r="AO5" s="21">
        <f>DATE(YEAR(AN5),MONTH(AN5)+3,DAY(AN5))</f>
        <v>46660.0</v>
      </c>
      <c r="AP5" s="21">
        <f>DATE(YEAR(AO5),MONTH(AO5)+3,DAY(AO5))+1</f>
        <v>46752.0</v>
      </c>
      <c r="AQ5" s="22">
        <f>AP5</f>
        <v>46752.0</v>
      </c>
      <c r="AR5" s="21">
        <f>DATE(YEAR(AQ5),MONTH(AQ5)+3,DAY(AQ5))</f>
        <v>46843.0</v>
      </c>
      <c r="AS5" s="21">
        <f>DATE(YEAR(AR5),MONTH(AR5)+3,DAY(AR5))-1</f>
        <v>46934.0</v>
      </c>
      <c r="AT5" s="21">
        <f>DATE(YEAR(AS5),MONTH(AS5)+3,DAY(AS5))</f>
        <v>47026.0</v>
      </c>
      <c r="AU5" s="21">
        <f>DATE(YEAR(AT5),MONTH(AT5)+3,DAY(AT5))+1</f>
        <v>47118.0</v>
      </c>
      <c r="AV5" s="22">
        <f>AU5</f>
        <v>47118.0</v>
      </c>
      <c r="AW5" s="21">
        <f>DATE(YEAR(AV5),MONTH(AV5)+3,DAY(AV5))</f>
        <v>47208.0</v>
      </c>
      <c r="AX5" s="21">
        <f>DATE(YEAR(AW5),MONTH(AW5)+3,DAY(AW5))-1</f>
        <v>47299.0</v>
      </c>
      <c r="AY5" s="21">
        <f>DATE(YEAR(AX5),MONTH(AX5)+3,DAY(AX5))</f>
        <v>47391.0</v>
      </c>
      <c r="AZ5" s="21">
        <f>DATE(YEAR(AY5),MONTH(AY5)+3,DAY(AY5))+1</f>
        <v>47483.0</v>
      </c>
      <c r="BA5" s="22">
        <f>AZ5</f>
        <v>47483.0</v>
      </c>
      <c r="BB5" s="21">
        <f>DATE(YEAR(BA5),MONTH(BA5)+3,DAY(BA5))</f>
        <v>47573.0</v>
      </c>
      <c r="BC5" s="21">
        <f>DATE(YEAR(BB5),MONTH(BB5)+3,DAY(BB5))-1</f>
        <v>47664.0</v>
      </c>
      <c r="BD5" s="21">
        <f>DATE(YEAR(BC5),MONTH(BC5)+3,DAY(BC5))</f>
        <v>47756.0</v>
      </c>
      <c r="BE5" s="21">
        <f>DATE(YEAR(BD5),MONTH(BD5)+3,DAY(BD5))+1</f>
        <v>47848.0</v>
      </c>
      <c r="BF5" s="22">
        <f>BE5</f>
        <v>47848.0</v>
      </c>
      <c r="BG5" s="21" t="n"/>
      <c r="BH5" s="21" t="n"/>
      <c r="BI5" s="21" t="n"/>
      <c r="BJ5" s="21" t="n"/>
      <c r="BK5" s="22" t="n"/>
      <c r="BL5" s="21" t="n"/>
      <c r="BM5" s="21" t="n"/>
      <c r="BN5" s="21" t="n"/>
      <c r="BO5" s="21" t="n"/>
      <c r="BP5" s="22" t="n"/>
      <c r="BQ5" s="21" t="n"/>
      <c r="BR5" s="21" t="n"/>
      <c r="BS5" s="21" t="n"/>
      <c r="BT5" s="21" t="n"/>
      <c r="BU5" s="22" t="n"/>
      <c r="BV5" s="21" t="n"/>
      <c r="BW5" s="21" t="n"/>
      <c r="BX5" s="21" t="n"/>
      <c r="BY5" s="21" t="n"/>
      <c r="BZ5" s="22" t="n"/>
      <c r="CA5" s="21" t="n"/>
      <c r="CB5" s="21" t="n"/>
      <c r="CC5" s="21" t="n"/>
      <c r="CD5" s="21" t="n"/>
      <c r="CE5" s="22" t="n"/>
      <c r="CF5" s="21" t="n"/>
      <c r="CG5" s="21" t="n"/>
      <c r="CH5" s="21" t="n"/>
      <c r="CI5" s="21" t="n"/>
      <c r="CJ5" s="22" t="n"/>
      <c r="CK5" s="21" t="n"/>
      <c r="CL5" s="21" t="n"/>
      <c r="CM5" s="21" t="n"/>
      <c r="CN5" s="21" t="n"/>
      <c r="CO5" s="22" t="n"/>
      <c r="CP5" s="21" t="n"/>
      <c r="CQ5" s="21" t="n"/>
      <c r="CR5" s="21" t="n"/>
      <c r="CS5" s="21" t="n"/>
      <c r="CT5" s="22" t="n"/>
      <c r="CU5" s="21" t="n"/>
      <c r="CV5" s="21" t="n"/>
      <c r="CW5" s="21" t="n"/>
      <c r="CX5" s="21" t="n"/>
      <c r="CY5" s="22" t="n"/>
    </row>
    <row r="6">
      <c r="B6" s="23" t="n"/>
      <c r="D6" s="24" t="n"/>
      <c r="E6" s="24" t="n"/>
      <c r="F6" s="24" t="n"/>
      <c r="G6" s="24" t="n"/>
      <c r="H6" s="24" t="n"/>
      <c r="I6" s="24">
        <f>YEAR(I5)</f>
        <v>2021</v>
      </c>
      <c r="J6" s="24">
        <f>YEAR(J5)</f>
        <v>2021</v>
      </c>
      <c r="K6" s="24">
        <f>YEAR(K5)</f>
        <v>2021</v>
      </c>
      <c r="L6" s="24">
        <f>YEAR(L5)</f>
        <v>2021</v>
      </c>
      <c r="M6" s="24">
        <f>YEAR(M5)</f>
        <v>2021</v>
      </c>
      <c r="N6" s="24">
        <f>YEAR(N5)</f>
        <v>2022</v>
      </c>
      <c r="O6" s="24">
        <f>YEAR(O5)</f>
        <v>2022</v>
      </c>
      <c r="P6" s="24">
        <f>YEAR(P5)</f>
        <v>2022</v>
      </c>
      <c r="Q6" s="24">
        <f>YEAR(Q5)</f>
        <v>2022</v>
      </c>
      <c r="R6" s="24">
        <f>YEAR(R5)</f>
        <v>2022</v>
      </c>
      <c r="S6" s="24">
        <f>YEAR(S5)</f>
        <v>2023</v>
      </c>
      <c r="T6" s="24">
        <f>YEAR(T5)</f>
        <v>2023</v>
      </c>
      <c r="U6" s="24">
        <f>YEAR(U5)</f>
        <v>2023</v>
      </c>
      <c r="V6" s="24">
        <f>YEAR(V5)</f>
        <v>2023</v>
      </c>
      <c r="W6" s="24">
        <f>YEAR(W5)</f>
        <v>2023</v>
      </c>
      <c r="X6" s="24">
        <f>YEAR(X5)</f>
        <v>2024</v>
      </c>
      <c r="Y6" s="24">
        <f>YEAR(Y5)</f>
        <v>2024</v>
      </c>
      <c r="Z6" s="24">
        <f>YEAR(Z5)</f>
        <v>2024</v>
      </c>
      <c r="AA6" s="24">
        <f>YEAR(AA5)</f>
        <v>2024</v>
      </c>
      <c r="AB6" s="24">
        <f>YEAR(AB5)</f>
        <v>2024</v>
      </c>
      <c r="AC6" s="24">
        <f>YEAR(AC5)</f>
        <v>2025</v>
      </c>
      <c r="AD6" s="24">
        <f>YEAR(AD5)</f>
        <v>2025</v>
      </c>
      <c r="AE6" s="24">
        <f>YEAR(AE5)</f>
        <v>2025</v>
      </c>
      <c r="AF6" s="24">
        <f>YEAR(AF5)</f>
        <v>2025</v>
      </c>
      <c r="AG6" s="24">
        <f>YEAR(AG5)</f>
        <v>2025</v>
      </c>
      <c r="AH6" s="24">
        <f>YEAR(AH5)</f>
        <v>2026</v>
      </c>
      <c r="AI6" s="24">
        <f>YEAR(AI5)</f>
        <v>2026</v>
      </c>
      <c r="AJ6" s="24">
        <f>YEAR(AJ5)</f>
        <v>2026</v>
      </c>
      <c r="AK6" s="24">
        <f>YEAR(AK5)</f>
        <v>2026</v>
      </c>
      <c r="AL6" s="24">
        <f>YEAR(AL5)</f>
        <v>2026</v>
      </c>
      <c r="AM6" s="24">
        <f>YEAR(AM5)</f>
        <v>2027</v>
      </c>
      <c r="AN6" s="24">
        <f>YEAR(AN5)</f>
        <v>2027</v>
      </c>
      <c r="AO6" s="24">
        <f>YEAR(AO5)</f>
        <v>2027</v>
      </c>
      <c r="AP6" s="24">
        <f>YEAR(AP5)</f>
        <v>2027</v>
      </c>
      <c r="AQ6" s="24">
        <f>YEAR(AQ5)</f>
        <v>2027</v>
      </c>
      <c r="AR6" s="24">
        <f>YEAR(AR5)</f>
        <v>2028</v>
      </c>
      <c r="AS6" s="24">
        <f>YEAR(AS5)</f>
        <v>2028</v>
      </c>
      <c r="AT6" s="24">
        <f>YEAR(AT5)</f>
        <v>2028</v>
      </c>
      <c r="AU6" s="24">
        <f>YEAR(AU5)</f>
        <v>2028</v>
      </c>
      <c r="AV6" s="24">
        <f>YEAR(AV5)</f>
        <v>2028</v>
      </c>
      <c r="AW6" s="24">
        <f>YEAR(AW5)</f>
        <v>2029</v>
      </c>
      <c r="AX6" s="24">
        <f>YEAR(AX5)</f>
        <v>2029</v>
      </c>
      <c r="AY6" s="24">
        <f>YEAR(AY5)</f>
        <v>2029</v>
      </c>
      <c r="AZ6" s="24">
        <f>YEAR(AZ5)</f>
        <v>2029</v>
      </c>
      <c r="BA6" s="24">
        <f>YEAR(BA5)</f>
        <v>2029</v>
      </c>
      <c r="BB6" s="24">
        <f>YEAR(BB5)</f>
        <v>2030</v>
      </c>
      <c r="BC6" s="24">
        <f>YEAR(BC5)</f>
        <v>2030</v>
      </c>
      <c r="BD6" s="24">
        <f>YEAR(BD5)</f>
        <v>2030</v>
      </c>
      <c r="BE6" s="24">
        <f>YEAR(BE5)</f>
        <v>2030</v>
      </c>
      <c r="BF6" s="24">
        <f>YEAR(BF5)</f>
        <v>2030</v>
      </c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</row>
    <row r="7">
      <c r="B7" s="4" t="n"/>
      <c r="D7" s="25" t="n"/>
      <c r="E7" s="25" t="n"/>
      <c r="F7" s="25" t="n"/>
      <c r="G7" s="25" t="n"/>
      <c r="H7" s="26" t="n">
        <v>2020</v>
      </c>
      <c r="I7" s="25" t="str">
        <f>"1Q"&amp;RIGHT(I6,2)</f>
        <v>1Q21</v>
      </c>
      <c r="J7" s="25" t="str">
        <f>"2Q"&amp;RIGHT(J6,2)</f>
        <v>2Q21</v>
      </c>
      <c r="K7" s="25" t="str">
        <f>"3Q"&amp;RIGHT(K6,2)</f>
        <v>3Q21</v>
      </c>
      <c r="L7" s="25" t="str">
        <f>"4Q"&amp;RIGHT(L6,2)</f>
        <v>4Q21</v>
      </c>
      <c r="M7" s="26">
        <f>H7+1</f>
        <v>2021</v>
      </c>
      <c r="N7" s="25" t="str">
        <f>"1Q"&amp;RIGHT(N6,2)</f>
        <v>1Q22</v>
      </c>
      <c r="O7" s="25" t="str">
        <f>"2Q"&amp;RIGHT(O6,2)</f>
        <v>2Q22</v>
      </c>
      <c r="P7" s="25" t="str">
        <f>"3Q"&amp;RIGHT(P6,2)</f>
        <v>3Q22</v>
      </c>
      <c r="Q7" s="25" t="str">
        <f>"4Q"&amp;RIGHT(Q6,2)</f>
        <v>4Q22</v>
      </c>
      <c r="R7" s="26">
        <f>M7+1</f>
        <v>2022</v>
      </c>
      <c r="S7" s="25" t="str">
        <f>"1Q"&amp;RIGHT(S6,2)</f>
        <v>1Q23</v>
      </c>
      <c r="T7" s="25" t="str">
        <f>"2Q"&amp;RIGHT(T6,2)</f>
        <v>2Q23</v>
      </c>
      <c r="U7" s="25" t="str">
        <f>"3Q"&amp;RIGHT(U6,2)</f>
        <v>3Q23</v>
      </c>
      <c r="V7" s="25" t="str">
        <f>"4Q"&amp;RIGHT(V6,2)</f>
        <v>4Q23</v>
      </c>
      <c r="W7" s="26">
        <f>R7+1</f>
        <v>2023</v>
      </c>
      <c r="X7" s="25" t="str">
        <f>"1Q"&amp;RIGHT(X6,2)</f>
        <v>1Q24</v>
      </c>
      <c r="Y7" s="25" t="str">
        <f>"2Q"&amp;RIGHT(Y6,2)</f>
        <v>2Q24</v>
      </c>
      <c r="Z7" s="25" t="str">
        <f>"3Q"&amp;RIGHT(Z6,2)</f>
        <v>3Q24</v>
      </c>
      <c r="AA7" s="25" t="str">
        <f>"4Q"&amp;RIGHT(AA6,2)</f>
        <v>4Q24</v>
      </c>
      <c r="AB7" s="26">
        <f>W7+1</f>
        <v>2024</v>
      </c>
      <c r="AC7" s="25" t="str">
        <f>"1Q"&amp;RIGHT(AC6,2)</f>
        <v>1Q25</v>
      </c>
      <c r="AD7" s="25" t="str">
        <f>"2Q"&amp;RIGHT(AD6,2)</f>
        <v>2Q25</v>
      </c>
      <c r="AE7" s="25" t="str">
        <f>"3Q"&amp;RIGHT(AE6,2)</f>
        <v>3Q25</v>
      </c>
      <c r="AF7" s="25" t="str">
        <f>"4Q"&amp;RIGHT(AF6,2)</f>
        <v>4Q25</v>
      </c>
      <c r="AG7" s="26">
        <f>AB7+1</f>
        <v>2025</v>
      </c>
      <c r="AH7" s="25" t="str">
        <f>"1Q"&amp;RIGHT(AH6,2)</f>
        <v>1Q26</v>
      </c>
      <c r="AI7" s="25" t="str">
        <f>"2Q"&amp;RIGHT(AI6,2)</f>
        <v>2Q26</v>
      </c>
      <c r="AJ7" s="25" t="str">
        <f>"3Q"&amp;RIGHT(AJ6,2)</f>
        <v>3Q26</v>
      </c>
      <c r="AK7" s="25" t="str">
        <f>"4Q"&amp;RIGHT(AK6,2)</f>
        <v>4Q26</v>
      </c>
      <c r="AL7" s="26">
        <f>AG7+1</f>
        <v>2026</v>
      </c>
      <c r="AM7" s="25" t="str">
        <f>"1Q"&amp;RIGHT(AM6,2)</f>
        <v>1Q27</v>
      </c>
      <c r="AN7" s="25" t="str">
        <f>"2Q"&amp;RIGHT(AN6,2)</f>
        <v>2Q27</v>
      </c>
      <c r="AO7" s="25" t="str">
        <f>"3Q"&amp;RIGHT(AO6,2)</f>
        <v>3Q27</v>
      </c>
      <c r="AP7" s="25" t="str">
        <f>"4Q"&amp;RIGHT(AP6,2)</f>
        <v>4Q27</v>
      </c>
      <c r="AQ7" s="26">
        <f>AL7+1</f>
        <v>2027</v>
      </c>
      <c r="AR7" s="25" t="str">
        <f>"1Q"&amp;RIGHT(AR6,2)</f>
        <v>1Q28</v>
      </c>
      <c r="AS7" s="25" t="str">
        <f>"2Q"&amp;RIGHT(AS6,2)</f>
        <v>2Q28</v>
      </c>
      <c r="AT7" s="25" t="str">
        <f>"3Q"&amp;RIGHT(AT6,2)</f>
        <v>3Q28</v>
      </c>
      <c r="AU7" s="25" t="str">
        <f>"4Q"&amp;RIGHT(AU6,2)</f>
        <v>4Q28</v>
      </c>
      <c r="AV7" s="26">
        <f>AQ7+1</f>
        <v>2028</v>
      </c>
      <c r="AW7" s="25" t="str">
        <f>"1Q"&amp;RIGHT(AW6,2)</f>
        <v>1Q29</v>
      </c>
      <c r="AX7" s="25" t="str">
        <f>"2Q"&amp;RIGHT(AX6,2)</f>
        <v>2Q29</v>
      </c>
      <c r="AY7" s="25" t="str">
        <f>"3Q"&amp;RIGHT(AY6,2)</f>
        <v>3Q29</v>
      </c>
      <c r="AZ7" s="25" t="str">
        <f>"4Q"&amp;RIGHT(AZ6,2)</f>
        <v>4Q29</v>
      </c>
      <c r="BA7" s="26">
        <f>AV7+1</f>
        <v>2029</v>
      </c>
      <c r="BB7" s="25" t="str">
        <f>"1Q"&amp;RIGHT(BB6,2)</f>
        <v>1Q30</v>
      </c>
      <c r="BC7" s="25" t="str">
        <f>"2Q"&amp;RIGHT(BC6,2)</f>
        <v>2Q30</v>
      </c>
      <c r="BD7" s="25" t="str">
        <f>"3Q"&amp;RIGHT(BD6,2)</f>
        <v>3Q30</v>
      </c>
      <c r="BE7" s="25" t="str">
        <f>"4Q"&amp;RIGHT(BE6,2)</f>
        <v>4Q30</v>
      </c>
      <c r="BF7" s="26">
        <f>BA7+1</f>
        <v>2030</v>
      </c>
      <c r="BG7" s="25" t="n"/>
      <c r="BH7" s="25" t="n"/>
      <c r="BI7" s="25" t="n"/>
      <c r="BJ7" s="25" t="n"/>
      <c r="BK7" s="26" t="n"/>
      <c r="BL7" s="25" t="n"/>
      <c r="BM7" s="25" t="n"/>
      <c r="BN7" s="25" t="n"/>
      <c r="BO7" s="25" t="n"/>
      <c r="BP7" s="26" t="n"/>
      <c r="BQ7" s="25" t="n"/>
      <c r="BR7" s="25" t="n"/>
      <c r="BS7" s="25" t="n"/>
      <c r="BT7" s="25" t="n"/>
      <c r="BU7" s="26" t="n"/>
      <c r="BV7" s="25" t="n"/>
      <c r="BW7" s="25" t="n"/>
      <c r="BX7" s="25" t="n"/>
      <c r="BY7" s="25" t="n"/>
      <c r="BZ7" s="26" t="n"/>
      <c r="CA7" s="25" t="n"/>
      <c r="CB7" s="25" t="n"/>
      <c r="CC7" s="25" t="n"/>
      <c r="CD7" s="25" t="n"/>
      <c r="CE7" s="26" t="n"/>
      <c r="CF7" s="25" t="n"/>
      <c r="CG7" s="25" t="n"/>
      <c r="CH7" s="25" t="n"/>
      <c r="CI7" s="25" t="n"/>
      <c r="CJ7" s="26" t="n"/>
      <c r="CK7" s="25" t="n"/>
      <c r="CL7" s="25" t="n"/>
      <c r="CM7" s="25" t="n"/>
      <c r="CN7" s="25" t="n"/>
      <c r="CO7" s="26" t="n"/>
      <c r="CP7" s="25" t="n"/>
      <c r="CQ7" s="25" t="n"/>
      <c r="CR7" s="25" t="n"/>
      <c r="CS7" s="25" t="n"/>
      <c r="CT7" s="26" t="n"/>
      <c r="CU7" s="25" t="n"/>
      <c r="CV7" s="25" t="n"/>
      <c r="CW7" s="25" t="n"/>
      <c r="CX7" s="25" t="n"/>
      <c r="CY7" s="26" t="n"/>
    </row>
    <row r="8">
      <c r="B8" s="4" t="n"/>
      <c r="C8" s="4" t="inlineStr">
        <is>
          <t>IPCA</t>
        </is>
      </c>
      <c r="D8" s="25" t="n"/>
      <c r="E8" s="25" t="n"/>
      <c r="F8" s="25" t="n"/>
      <c r="G8" s="25" t="n"/>
      <c r="H8" s="27" t="n"/>
      <c r="I8" s="25" t="n"/>
      <c r="J8" s="25" t="n"/>
      <c r="K8" s="25" t="n"/>
      <c r="L8" s="25" t="n"/>
      <c r="M8" s="27" t="n">
        <v>0.1006</v>
      </c>
      <c r="N8" s="25" t="n"/>
      <c r="O8" s="25" t="n"/>
      <c r="P8" s="25" t="n"/>
      <c r="Q8" s="25" t="n"/>
      <c r="R8" s="27" t="n">
        <v>0.0579</v>
      </c>
      <c r="S8" s="25" t="n"/>
      <c r="T8" s="25" t="n"/>
      <c r="U8" s="25" t="n"/>
      <c r="V8" s="25" t="n"/>
      <c r="W8" s="27" t="n">
        <v>0.0468</v>
      </c>
      <c r="X8" s="25" t="n"/>
      <c r="Y8" s="25" t="n"/>
      <c r="Z8" s="25" t="n"/>
      <c r="AA8" s="25" t="n"/>
      <c r="AB8" s="27" t="n">
        <v>0.0483</v>
      </c>
      <c r="AC8" s="25" t="n"/>
      <c r="AD8" s="25" t="n"/>
      <c r="AE8" s="25" t="n"/>
      <c r="AF8" s="25" t="n"/>
      <c r="AG8" s="27" t="n">
        <v>0.0468</v>
      </c>
      <c r="AH8" s="25" t="n"/>
      <c r="AI8" s="25" t="n"/>
      <c r="AJ8" s="25" t="n"/>
      <c r="AK8" s="25" t="n"/>
      <c r="AL8" s="28" t="n"/>
      <c r="AM8" s="25" t="n"/>
      <c r="AN8" s="25" t="n"/>
      <c r="AO8" s="25" t="n"/>
      <c r="AP8" s="25" t="n"/>
      <c r="AQ8" s="28" t="n"/>
      <c r="AR8" s="25" t="n"/>
      <c r="AS8" s="25" t="n"/>
      <c r="AT8" s="25" t="n"/>
      <c r="AU8" s="25" t="n"/>
      <c r="AV8" s="28" t="n"/>
      <c r="AW8" s="25" t="n"/>
      <c r="AX8" s="25" t="n"/>
      <c r="AY8" s="25" t="n"/>
      <c r="AZ8" s="25" t="n"/>
      <c r="BA8" s="28" t="n"/>
      <c r="BB8" s="25" t="n"/>
      <c r="BC8" s="25" t="n"/>
      <c r="BD8" s="25" t="n"/>
      <c r="BE8" s="25" t="n"/>
      <c r="BF8" s="28" t="n"/>
      <c r="BG8" s="25" t="n"/>
      <c r="BH8" s="25" t="n"/>
      <c r="BI8" s="25" t="n"/>
      <c r="BJ8" s="25" t="n"/>
      <c r="BK8" s="28" t="n"/>
      <c r="BL8" s="25" t="n"/>
      <c r="BM8" s="25" t="n"/>
      <c r="BN8" s="25" t="n"/>
      <c r="BO8" s="25" t="n"/>
      <c r="BP8" s="28" t="n"/>
      <c r="BQ8" s="25" t="n"/>
      <c r="BR8" s="25" t="n"/>
      <c r="BS8" s="25" t="n"/>
      <c r="BT8" s="25" t="n"/>
      <c r="BU8" s="28" t="n"/>
      <c r="BV8" s="25" t="n"/>
      <c r="BW8" s="25" t="n"/>
      <c r="BX8" s="25" t="n"/>
      <c r="BY8" s="25" t="n"/>
      <c r="BZ8" s="28" t="n"/>
      <c r="CA8" s="25" t="n"/>
      <c r="CB8" s="25" t="n"/>
      <c r="CC8" s="25" t="n"/>
      <c r="CD8" s="25" t="n"/>
      <c r="CE8" s="28" t="n"/>
      <c r="CF8" s="25" t="n"/>
      <c r="CG8" s="25" t="n"/>
      <c r="CH8" s="25" t="n"/>
      <c r="CI8" s="25" t="n"/>
      <c r="CJ8" s="28" t="n"/>
      <c r="CK8" s="25" t="n"/>
      <c r="CL8" s="25" t="n"/>
      <c r="CM8" s="25" t="n"/>
      <c r="CN8" s="25" t="n"/>
      <c r="CO8" s="28" t="n"/>
      <c r="CP8" s="25" t="n"/>
      <c r="CQ8" s="25" t="n"/>
      <c r="CR8" s="25" t="n"/>
      <c r="CS8" s="25" t="n"/>
      <c r="CT8" s="28" t="n"/>
      <c r="CU8" s="25" t="n"/>
      <c r="CV8" s="25" t="n"/>
      <c r="CW8" s="25" t="n"/>
      <c r="CX8" s="25" t="n"/>
      <c r="CY8" s="28" t="n"/>
    </row>
    <row r="9">
      <c r="B9" s="4" t="n"/>
      <c r="C9" s="4" t="inlineStr">
        <is>
          <t>GDP BRAZIL</t>
        </is>
      </c>
      <c r="D9" s="25" t="n"/>
      <c r="E9" s="25" t="n"/>
      <c r="F9" s="25" t="n"/>
      <c r="G9" s="25" t="n"/>
      <c r="H9" s="29" t="n"/>
      <c r="I9" s="25" t="n"/>
      <c r="J9" s="25" t="n"/>
      <c r="K9" s="25" t="n"/>
      <c r="L9" s="25" t="n"/>
      <c r="M9" s="29" t="n">
        <v>0.046</v>
      </c>
      <c r="N9" s="25" t="n"/>
      <c r="O9" s="25" t="n"/>
      <c r="P9" s="25" t="n"/>
      <c r="Q9" s="25" t="n"/>
      <c r="R9" s="29" t="n"/>
      <c r="S9" s="25" t="n"/>
      <c r="T9" s="25" t="n"/>
      <c r="U9" s="25" t="n"/>
      <c r="V9" s="25" t="n"/>
      <c r="W9" s="29" t="n"/>
      <c r="X9" s="25" t="n"/>
      <c r="Y9" s="25" t="n"/>
      <c r="Z9" s="25" t="n"/>
      <c r="AA9" s="25" t="n"/>
      <c r="AB9" s="29" t="n"/>
      <c r="AC9" s="25" t="n"/>
      <c r="AD9" s="25" t="n"/>
      <c r="AE9" s="25" t="n"/>
      <c r="AF9" s="25" t="n"/>
      <c r="AG9" s="29" t="n"/>
      <c r="AH9" s="25" t="n"/>
      <c r="AI9" s="25" t="n"/>
      <c r="AJ9" s="25" t="n"/>
      <c r="AK9" s="25" t="n"/>
      <c r="AL9" s="28" t="n"/>
      <c r="AM9" s="25" t="n"/>
      <c r="AN9" s="25" t="n"/>
      <c r="AO9" s="25" t="n"/>
      <c r="AP9" s="25" t="n"/>
      <c r="AQ9" s="28" t="n"/>
      <c r="AR9" s="25" t="n"/>
      <c r="AS9" s="25" t="n"/>
      <c r="AT9" s="25" t="n"/>
      <c r="AU9" s="25" t="n"/>
      <c r="AV9" s="28" t="n"/>
      <c r="AW9" s="25" t="n"/>
      <c r="AX9" s="25" t="n"/>
      <c r="AY9" s="25" t="n"/>
      <c r="AZ9" s="25" t="n"/>
      <c r="BA9" s="28" t="n"/>
      <c r="BB9" s="25" t="n"/>
      <c r="BC9" s="25" t="n"/>
      <c r="BD9" s="25" t="n"/>
      <c r="BE9" s="25" t="n"/>
      <c r="BF9" s="28" t="n"/>
      <c r="BG9" s="25" t="n"/>
      <c r="BH9" s="25" t="n"/>
      <c r="BI9" s="25" t="n"/>
      <c r="BJ9" s="25" t="n"/>
      <c r="BK9" s="28" t="n"/>
      <c r="BL9" s="25" t="n"/>
      <c r="BM9" s="25" t="n"/>
      <c r="BN9" s="25" t="n"/>
      <c r="BO9" s="25" t="n"/>
      <c r="BP9" s="28" t="n"/>
      <c r="BQ9" s="25" t="n"/>
      <c r="BR9" s="25" t="n"/>
      <c r="BS9" s="25" t="n"/>
      <c r="BT9" s="25" t="n"/>
      <c r="BU9" s="28" t="n"/>
      <c r="BV9" s="25" t="n"/>
      <c r="BW9" s="25" t="n"/>
      <c r="BX9" s="25" t="n"/>
      <c r="BY9" s="25" t="n"/>
      <c r="BZ9" s="28" t="n"/>
      <c r="CA9" s="25" t="n"/>
      <c r="CB9" s="25" t="n"/>
      <c r="CC9" s="25" t="n"/>
      <c r="CD9" s="25" t="n"/>
      <c r="CE9" s="28" t="n"/>
      <c r="CF9" s="25" t="n"/>
      <c r="CG9" s="25" t="n"/>
      <c r="CH9" s="25" t="n"/>
      <c r="CI9" s="25" t="n"/>
      <c r="CJ9" s="28" t="n"/>
      <c r="CK9" s="25" t="n"/>
      <c r="CL9" s="25" t="n"/>
      <c r="CM9" s="25" t="n"/>
      <c r="CN9" s="25" t="n"/>
      <c r="CO9" s="28" t="n"/>
      <c r="CP9" s="25" t="n"/>
      <c r="CQ9" s="25" t="n"/>
      <c r="CR9" s="25" t="n"/>
      <c r="CS9" s="25" t="n"/>
      <c r="CT9" s="28" t="n"/>
      <c r="CU9" s="25" t="n"/>
      <c r="CV9" s="25" t="n"/>
      <c r="CW9" s="25" t="n"/>
      <c r="CX9" s="25" t="n"/>
      <c r="CY9" s="28" t="n"/>
    </row>
    <row r="10">
      <c r="C10" s="4" t="inlineStr">
        <is>
          <t>CDI</t>
        </is>
      </c>
      <c r="H10" s="29" t="n"/>
      <c r="M10" s="29" t="n">
        <v>0.0442</v>
      </c>
      <c r="R10" s="29" t="n">
        <v>0.1239</v>
      </c>
      <c r="W10" s="29" t="n">
        <v>0.1304</v>
      </c>
      <c r="AB10" s="29" t="n">
        <v>0.1064</v>
      </c>
      <c r="AG10" s="29" t="n">
        <v>0.1464</v>
      </c>
    </row>
    <row r="11"/>
    <row r="12"/>
    <row r="13" customFormat="1" s="32">
      <c r="A13" s="30" t="n"/>
      <c r="B13" s="30" t="n"/>
      <c r="C13" s="31" t="inlineStr">
        <is>
          <t>Income Statement</t>
        </is>
      </c>
      <c r="D13" s="31" t="n"/>
      <c r="E13" s="31" t="n"/>
      <c r="F13" s="31" t="n"/>
      <c r="G13" s="31" t="n"/>
      <c r="H13" s="31" t="n"/>
      <c r="I13" s="31" t="str">
        <f>I7</f>
        <v>1Q21</v>
      </c>
      <c r="J13" s="31" t="str">
        <f>J7</f>
        <v>2Q21</v>
      </c>
      <c r="K13" s="31" t="str">
        <f>K7</f>
        <v>3Q21</v>
      </c>
      <c r="L13" s="31" t="str">
        <f>L7</f>
        <v>4Q21</v>
      </c>
      <c r="M13" s="31">
        <f>M7</f>
        <v>2021</v>
      </c>
      <c r="N13" s="31" t="str">
        <f>N7</f>
        <v>1Q22</v>
      </c>
      <c r="O13" s="31" t="str">
        <f>O7</f>
        <v>2Q22</v>
      </c>
      <c r="P13" s="31" t="str">
        <f>P7</f>
        <v>3Q22</v>
      </c>
      <c r="Q13" s="31" t="str">
        <f>Q7</f>
        <v>4Q22</v>
      </c>
      <c r="R13" s="31">
        <f>R7</f>
        <v>2022</v>
      </c>
      <c r="S13" s="31" t="str">
        <f>S7</f>
        <v>1Q23</v>
      </c>
      <c r="T13" s="31" t="str">
        <f>T7</f>
        <v>2Q23</v>
      </c>
      <c r="U13" s="31" t="str">
        <f>U7</f>
        <v>3Q23</v>
      </c>
      <c r="V13" s="31" t="str">
        <f>V7</f>
        <v>4Q23</v>
      </c>
      <c r="W13" s="31">
        <f>W7</f>
        <v>2023</v>
      </c>
      <c r="X13" s="31" t="str">
        <f>X7</f>
        <v>1Q24</v>
      </c>
      <c r="Y13" s="31" t="str">
        <f>Y7</f>
        <v>2Q24</v>
      </c>
      <c r="Z13" s="31" t="str">
        <f>Z7</f>
        <v>3Q24</v>
      </c>
      <c r="AA13" s="31" t="str">
        <f>AA7</f>
        <v>4Q24</v>
      </c>
      <c r="AB13" s="31">
        <f>AB7</f>
        <v>2024</v>
      </c>
      <c r="AC13" s="31" t="str">
        <f>AC7</f>
        <v>1Q25</v>
      </c>
      <c r="AD13" s="31" t="str">
        <f>AD7</f>
        <v>2Q25</v>
      </c>
      <c r="AE13" s="31" t="str">
        <f>AE7</f>
        <v>3Q25</v>
      </c>
      <c r="AF13" s="31" t="str">
        <f>AF7</f>
        <v>4Q25</v>
      </c>
      <c r="AG13" s="31">
        <f>AG7</f>
        <v>2025</v>
      </c>
      <c r="AH13" s="31" t="str">
        <f>AH7</f>
        <v>1Q26</v>
      </c>
      <c r="AI13" s="31" t="str">
        <f>AI7</f>
        <v>2Q26</v>
      </c>
      <c r="AJ13" s="31" t="str">
        <f>AJ7</f>
        <v>3Q26</v>
      </c>
      <c r="AK13" s="31" t="str">
        <f>AK7</f>
        <v>4Q26</v>
      </c>
      <c r="AL13" s="31">
        <f>AL7</f>
        <v>2026</v>
      </c>
      <c r="AM13" s="31" t="str">
        <f>AM7</f>
        <v>1Q27</v>
      </c>
      <c r="AN13" s="31" t="str">
        <f>AN7</f>
        <v>2Q27</v>
      </c>
      <c r="AO13" s="31" t="str">
        <f>AO7</f>
        <v>3Q27</v>
      </c>
      <c r="AP13" s="31" t="str">
        <f>AP7</f>
        <v>4Q27</v>
      </c>
      <c r="AQ13" s="31">
        <f>AQ7</f>
        <v>2027</v>
      </c>
      <c r="AR13" s="31" t="str">
        <f>AR7</f>
        <v>1Q28</v>
      </c>
      <c r="AS13" s="31" t="str">
        <f>AS7</f>
        <v>2Q28</v>
      </c>
      <c r="AT13" s="31" t="str">
        <f>AT7</f>
        <v>3Q28</v>
      </c>
      <c r="AU13" s="31" t="str">
        <f>AU7</f>
        <v>4Q28</v>
      </c>
      <c r="AV13" s="31">
        <f>AV7</f>
        <v>2028</v>
      </c>
      <c r="AW13" s="31" t="str">
        <f>AW7</f>
        <v>1Q29</v>
      </c>
      <c r="AX13" s="31" t="str">
        <f>AX7</f>
        <v>2Q29</v>
      </c>
      <c r="AY13" s="31" t="str">
        <f>AY7</f>
        <v>3Q29</v>
      </c>
      <c r="AZ13" s="31" t="str">
        <f>AZ7</f>
        <v>4Q29</v>
      </c>
      <c r="BA13" s="31">
        <f>BA7</f>
        <v>2029</v>
      </c>
      <c r="BB13" s="31" t="str">
        <f>BB7</f>
        <v>1Q30</v>
      </c>
      <c r="BC13" s="31" t="str">
        <f>BC7</f>
        <v>2Q30</v>
      </c>
      <c r="BD13" s="31" t="str">
        <f>BD7</f>
        <v>3Q30</v>
      </c>
      <c r="BE13" s="31" t="str">
        <f>BE7</f>
        <v>4Q30</v>
      </c>
      <c r="BF13" s="31">
        <f>BF7</f>
        <v>2030</v>
      </c>
      <c r="BG13" s="31" t="n"/>
      <c r="BH13" s="31" t="n"/>
      <c r="BI13" s="31" t="n"/>
      <c r="BJ13" s="31" t="n"/>
      <c r="BK13" s="31" t="n"/>
      <c r="BL13" s="31" t="n"/>
      <c r="BM13" s="31" t="n"/>
      <c r="BN13" s="31" t="n"/>
      <c r="BO13" s="31" t="n"/>
      <c r="BP13" s="31" t="n"/>
      <c r="BQ13" s="31" t="n"/>
      <c r="BR13" s="31" t="n"/>
      <c r="BS13" s="31" t="n"/>
      <c r="BT13" s="31" t="n"/>
      <c r="BU13" s="31" t="n"/>
      <c r="BV13" s="31" t="n"/>
      <c r="BW13" s="31" t="n"/>
      <c r="BX13" s="31" t="n"/>
      <c r="BY13" s="31" t="n"/>
      <c r="BZ13" s="31" t="n"/>
      <c r="CA13" s="31" t="n"/>
      <c r="CB13" s="31" t="n"/>
      <c r="CC13" s="31" t="n"/>
      <c r="CD13" s="31" t="n"/>
      <c r="CE13" s="31" t="n"/>
      <c r="CF13" s="31" t="n"/>
      <c r="CG13" s="31" t="n"/>
      <c r="CH13" s="31" t="n"/>
      <c r="CI13" s="31" t="n"/>
      <c r="CJ13" s="31" t="n"/>
      <c r="CK13" s="31" t="n"/>
      <c r="CL13" s="31" t="n"/>
      <c r="CM13" s="31" t="n"/>
      <c r="CN13" s="31" t="n"/>
      <c r="CO13" s="31" t="n"/>
      <c r="CP13" s="31" t="n"/>
      <c r="CQ13" s="31" t="n"/>
      <c r="CR13" s="31" t="n"/>
      <c r="CS13" s="31" t="n"/>
      <c r="CT13" s="31" t="n"/>
      <c r="CU13" s="31" t="n"/>
      <c r="CV13" s="31" t="n"/>
      <c r="CW13" s="31" t="n"/>
      <c r="CX13" s="31" t="n"/>
      <c r="CY13" s="31" t="n"/>
    </row>
    <row r="14">
      <c r="C14" s="17" t="n"/>
    </row>
    <row r="15" customFormat="1" s="32">
      <c r="A15" s="30" t="n"/>
      <c r="B15" s="3" t="n"/>
      <c r="C15" s="33" t="inlineStr">
        <is>
          <t>Net Revenues</t>
        </is>
      </c>
      <c r="D15" s="34" t="n"/>
      <c r="E15" s="34" t="n"/>
      <c r="F15" s="34" t="n"/>
      <c r="G15" s="34" t="n"/>
      <c r="H15" s="35" t="n"/>
      <c r="I15" s="34">
        <f>'Inputs (2)'!D4</f>
        <v>10389</v>
      </c>
      <c r="J15" s="34">
        <f>'Inputs (2)'!E4</f>
        <v>11958</v>
      </c>
      <c r="K15" s="34">
        <f>'Inputs (2)'!F4</f>
        <v>13757</v>
      </c>
      <c r="L15" s="34">
        <f>'Inputs (2)'!G4</f>
        <v>17719</v>
      </c>
      <c r="M15" s="35">
        <f>'Inputs (2)'!H4</f>
        <v>53823</v>
      </c>
      <c r="N15" s="34">
        <f>'Inputs (2)'!I4</f>
        <v>18756</v>
      </c>
      <c r="O15" s="34">
        <f>'Inputs (2)'!J4</f>
        <v>16934</v>
      </c>
      <c r="P15" s="34">
        <f>'Inputs (2)'!K4</f>
        <v>21454</v>
      </c>
      <c r="Q15" s="34">
        <f>'Inputs (2)'!L4</f>
        <v>24318</v>
      </c>
      <c r="R15" s="35">
        <f>'Inputs (2)'!M4</f>
        <v>81462</v>
      </c>
      <c r="S15" s="34">
        <f>'Inputs (2)'!N4</f>
        <v>23329</v>
      </c>
      <c r="T15" s="34">
        <f>'Inputs (2)'!O4</f>
        <v>24927</v>
      </c>
      <c r="U15" s="34">
        <f>'Inputs (2)'!P4</f>
        <v>23350</v>
      </c>
      <c r="V15" s="34">
        <f>'Inputs (2)'!Q4</f>
        <v>25167</v>
      </c>
      <c r="W15" s="35">
        <f>'Inputs (2)'!R4</f>
        <v>96773</v>
      </c>
      <c r="X15" s="34">
        <f>'Inputs (2)'!S4</f>
        <v>21301</v>
      </c>
      <c r="Y15" s="34">
        <f>'Inputs (2)'!T4</f>
        <v>25500</v>
      </c>
      <c r="Z15" s="34">
        <f>'Inputs (2)'!U4</f>
        <v>25182</v>
      </c>
      <c r="AA15" s="34">
        <f>'Inputs (2)'!V4</f>
        <v>25707</v>
      </c>
      <c r="AB15" s="35">
        <f>'Inputs (2)'!W4</f>
        <v>97690</v>
      </c>
      <c r="AC15" s="34">
        <f>'Inputs (2)'!X4</f>
        <v>19335</v>
      </c>
      <c r="AD15" s="34">
        <f>'Inputs (2)'!Y4</f>
        <v>22496</v>
      </c>
      <c r="AE15" s="34">
        <f>'Inputs (2)'!Z4</f>
        <v>28095</v>
      </c>
      <c r="AF15" s="34">
        <f>'Inputs (2)'!AA4</f>
        <v>24901</v>
      </c>
      <c r="AG15" s="35">
        <f>'Inputs (2)'!AB4</f>
        <v>94827</v>
      </c>
      <c r="AH15" s="35">
        <f>'Inputs (2)'!AC4</f>
        <v>22387</v>
      </c>
      <c r="AI15" s="35">
        <f>'Inputs (2)'!AD4</f>
        <v>28236</v>
      </c>
      <c r="AJ15" s="35">
        <f>AE15*(1+AJ16)</f>
        <v>29439.9517261639</v>
      </c>
      <c r="AK15" s="35">
        <f>AF15*(1+AK16)</f>
        <v>26093.0499353339</v>
      </c>
      <c r="AL15" s="35">
        <f>SUM(AH15:AK15)</f>
        <v>106156.001661498</v>
      </c>
      <c r="AM15" s="35">
        <f>AH15*(1+AM16)</f>
        <v>23458.7008113056</v>
      </c>
      <c r="AN15" s="35">
        <f>AI15*(1+AN16)</f>
        <v>29587.7016173683</v>
      </c>
      <c r="AO15" s="35">
        <f>AJ15*(1+AO16)</f>
        <v>30849.2884014543</v>
      </c>
      <c r="AP15" s="35">
        <f>AK15*(1+AP16)</f>
        <v>27342.1651711911</v>
      </c>
      <c r="AQ15" s="35">
        <f>SUM(AM15:AP15)</f>
        <v>111237.856001319</v>
      </c>
      <c r="AR15" s="35">
        <f>AM15*(1+AR16)</f>
        <v>24464.4121177038</v>
      </c>
      <c r="AS15" s="35">
        <f>AN15*(1+AS16)</f>
        <v>30856.1728036577</v>
      </c>
      <c r="AT15" s="35">
        <f>AO15*(1+AT16)</f>
        <v>32171.8457923875</v>
      </c>
      <c r="AU15" s="35">
        <f>AP15*(1+AU16)</f>
        <v>28514.3666871771</v>
      </c>
      <c r="AV15" s="35">
        <f>SUM(AR15:AU15)</f>
        <v>116006.797400926</v>
      </c>
      <c r="AW15" s="35">
        <f>AR15*(1+AW16)</f>
        <v>25390.9177850048</v>
      </c>
      <c r="AX15" s="35">
        <f>AS15*(1+AX16)</f>
        <v>32024.7444756955</v>
      </c>
      <c r="AY15" s="35">
        <f>AT15*(1+AY16)</f>
        <v>33390.2440645704</v>
      </c>
      <c r="AZ15" s="35">
        <f>AU15*(1+AZ16)</f>
        <v>29594.2504876977</v>
      </c>
      <c r="BA15" s="35">
        <f>SUM(AW15:AZ15)</f>
        <v>120400.156812968</v>
      </c>
      <c r="BB15" s="35">
        <f>AW15*(1+BB16)</f>
        <v>26225.5570865275</v>
      </c>
      <c r="BC15" s="35">
        <f>AX15*(1+BC16)</f>
        <v>33077.4480678604</v>
      </c>
      <c r="BD15" s="35">
        <f>AY15*(1+BD16)</f>
        <v>34487.8337704527</v>
      </c>
      <c r="BE15" s="35">
        <f>AZ15*(1+BE16)</f>
        <v>30567.0599294552</v>
      </c>
      <c r="BF15" s="35">
        <f>SUM(BB15:BE15)</f>
        <v>124357.898854296</v>
      </c>
      <c r="BG15" s="35" t="n"/>
      <c r="BH15" s="35" t="n"/>
      <c r="BI15" s="35" t="n"/>
      <c r="BJ15" s="35" t="n"/>
      <c r="BK15" s="35" t="n"/>
      <c r="BL15" s="35" t="n"/>
      <c r="BM15" s="35" t="n"/>
      <c r="BN15" s="35" t="n"/>
      <c r="BO15" s="35" t="n"/>
      <c r="BP15" s="35" t="n"/>
      <c r="BQ15" s="35" t="n"/>
      <c r="BR15" s="35" t="n"/>
      <c r="BS15" s="35" t="n"/>
      <c r="BT15" s="35" t="n"/>
      <c r="BU15" s="35" t="n"/>
      <c r="BV15" s="35" t="n"/>
      <c r="BW15" s="35" t="n"/>
      <c r="BX15" s="35" t="n"/>
      <c r="BY15" s="35" t="n"/>
      <c r="BZ15" s="35" t="n"/>
      <c r="CA15" s="35" t="n"/>
      <c r="CB15" s="35" t="n"/>
      <c r="CC15" s="35" t="n"/>
      <c r="CD15" s="35" t="n"/>
      <c r="CE15" s="35" t="n"/>
      <c r="CF15" s="35" t="n"/>
      <c r="CG15" s="35" t="n"/>
      <c r="CH15" s="35" t="n"/>
      <c r="CI15" s="35" t="n"/>
      <c r="CJ15" s="35" t="n"/>
      <c r="CK15" s="35" t="n"/>
      <c r="CL15" s="35" t="n"/>
      <c r="CM15" s="35" t="n"/>
      <c r="CN15" s="35" t="n"/>
      <c r="CO15" s="35" t="n"/>
      <c r="CP15" s="35" t="n"/>
      <c r="CQ15" s="35" t="n"/>
      <c r="CR15" s="35" t="n"/>
      <c r="CS15" s="35" t="n"/>
      <c r="CT15" s="35" t="n"/>
      <c r="CU15" s="35" t="n"/>
      <c r="CV15" s="35" t="n"/>
      <c r="CW15" s="35" t="n"/>
      <c r="CX15" s="35" t="n"/>
      <c r="CY15" s="35" t="n"/>
    </row>
    <row r="16" hidden="1" outlineLevel="1" customFormat="1" s="43">
      <c r="A16" s="36" t="n"/>
      <c r="B16" s="37" t="n"/>
      <c r="C16" s="38" t="inlineStr">
        <is>
          <t>% YoY</t>
        </is>
      </c>
      <c r="D16" s="39" t="n"/>
      <c r="E16" s="40" t="n"/>
      <c r="F16" s="40" t="n"/>
      <c r="G16" s="40" t="n"/>
      <c r="H16" s="39" t="n"/>
      <c r="I16" s="39" t="n"/>
      <c r="J16" s="40" t="n"/>
      <c r="K16" s="40" t="n"/>
      <c r="L16" s="40" t="n"/>
      <c r="M16" s="39" t="n"/>
      <c r="N16" s="40">
        <f>IFERROR(N15/I15-1,"")</f>
        <v>0.805371065550101</v>
      </c>
      <c r="O16" s="40">
        <f>IFERROR(O15/J15-1,"")</f>
        <v>0.416123097507944</v>
      </c>
      <c r="P16" s="40">
        <f>IFERROR(P15/K15-1,"")</f>
        <v>0.559496983353929</v>
      </c>
      <c r="Q16" s="40">
        <f>IFERROR(Q15/L15-1,"")</f>
        <v>0.372425080422146</v>
      </c>
      <c r="R16" s="40">
        <f>IFERROR(R15/M15-1,"")</f>
        <v>0.513516526392063</v>
      </c>
      <c r="S16" s="40">
        <f>IFERROR(S15/N15-1,"")</f>
        <v>0.243815312433355</v>
      </c>
      <c r="T16" s="40">
        <f>IFERROR(T15/O15-1,"")</f>
        <v>0.472008976024566</v>
      </c>
      <c r="U16" s="40">
        <f>IFERROR(U15/P15-1,"")</f>
        <v>0.0883751281812248</v>
      </c>
      <c r="V16" s="40">
        <f>IFERROR(V15/Q15-1,"")</f>
        <v>0.0349124105600789</v>
      </c>
      <c r="W16" s="40">
        <f>IFERROR(W15/R15-1,"")</f>
        <v>0.187952665046279</v>
      </c>
      <c r="X16" s="40">
        <f>IFERROR(X15/S15-1,"")</f>
        <v>-0.0869304299369883</v>
      </c>
      <c r="Y16" s="40">
        <f>IFERROR(Y15/T15-1,"")</f>
        <v>0.0229871223974003</v>
      </c>
      <c r="Z16" s="40">
        <f>IFERROR(Z15/U15-1,"")</f>
        <v>0.0784582441113491</v>
      </c>
      <c r="AA16" s="40">
        <f>IFERROR(AA15/V15-1,"")</f>
        <v>0.0214566694480869</v>
      </c>
      <c r="AB16" s="40">
        <f>IFERROR(AB15/W15-1,"")</f>
        <v>0.0094757835346635</v>
      </c>
      <c r="AC16" s="40">
        <f>IFERROR(AC15/X15-1,"")</f>
        <v>-0.0922961363316276</v>
      </c>
      <c r="AD16" s="40">
        <f>IFERROR(AD15/Y15-1,"")</f>
        <v>-0.117803921568627</v>
      </c>
      <c r="AE16" s="40">
        <f>IFERROR(AE15/Z15-1,"")</f>
        <v>0.115677865141768</v>
      </c>
      <c r="AF16" s="41">
        <f>IFERROR(AF15/AA15-1,"")</f>
        <v>-0.0313533278873459</v>
      </c>
      <c r="AG16" s="40">
        <f>IFERROR(AG15/AB15-1,"")</f>
        <v>-0.0293069915037363</v>
      </c>
      <c r="AH16" s="41">
        <f>IFERROR(AH15/AC15-1,"")</f>
        <v>0.15784846133954</v>
      </c>
      <c r="AI16" s="41">
        <f>IFERROR(AI15/AD15-1,"")</f>
        <v>0.255156472261735</v>
      </c>
      <c r="AJ16" s="41">
        <f>Control!$B$18</f>
        <v>0.047871568825907</v>
      </c>
      <c r="AK16" s="41">
        <f>Control!$B$18</f>
        <v>0.047871568825907</v>
      </c>
      <c r="AL16" s="42">
        <f>IFERROR(AL15/AG15-1,"")</f>
        <v>0.119470210609824</v>
      </c>
      <c r="AM16" s="41">
        <f>Control!$C$18</f>
        <v>0.047871568825907</v>
      </c>
      <c r="AN16" s="41">
        <f>Control!$C$18</f>
        <v>0.047871568825907</v>
      </c>
      <c r="AO16" s="41">
        <f>Control!$C$18</f>
        <v>0.047871568825907</v>
      </c>
      <c r="AP16" s="41">
        <f>Control!$C$18</f>
        <v>0.047871568825907</v>
      </c>
      <c r="AQ16" s="42">
        <f>IFERROR(AQ15/AL15-1,"")</f>
        <v>0.047871568825907</v>
      </c>
      <c r="AR16" s="41">
        <f>Control!$D$18</f>
        <v>0.042871568825907</v>
      </c>
      <c r="AS16" s="41">
        <f>Control!$D$18</f>
        <v>0.042871568825907</v>
      </c>
      <c r="AT16" s="41">
        <f>Control!$D$18</f>
        <v>0.042871568825907</v>
      </c>
      <c r="AU16" s="41">
        <f>Control!$D$18</f>
        <v>0.042871568825907</v>
      </c>
      <c r="AV16" s="42">
        <f>IFERROR(AV15/AQ15-1,"")</f>
        <v>0.0428715688259072</v>
      </c>
      <c r="AW16" s="41">
        <f>Control!$E$18</f>
        <v>0.037871568825907</v>
      </c>
      <c r="AX16" s="41">
        <f>Control!$E$18</f>
        <v>0.037871568825907</v>
      </c>
      <c r="AY16" s="41">
        <f>Control!$E$18</f>
        <v>0.037871568825907</v>
      </c>
      <c r="AZ16" s="41">
        <f>Control!$E$18</f>
        <v>0.037871568825907</v>
      </c>
      <c r="BA16" s="42">
        <f>IFERROR(BA15/AV15-1,"")</f>
        <v>0.037871568825907</v>
      </c>
      <c r="BB16" s="41">
        <f>Control!$F$18</f>
        <v>0.0328715688259071</v>
      </c>
      <c r="BC16" s="41">
        <f>Control!$F$18</f>
        <v>0.0328715688259071</v>
      </c>
      <c r="BD16" s="41">
        <f>Control!$F$18</f>
        <v>0.0328715688259071</v>
      </c>
      <c r="BE16" s="41">
        <f>Control!$F$18</f>
        <v>0.0328715688259071</v>
      </c>
      <c r="BF16" s="42">
        <f>IFERROR(BF15/BA15-1,"")</f>
        <v>0.0328715688259071</v>
      </c>
      <c r="BG16" s="41" t="n"/>
      <c r="BH16" s="41" t="n"/>
      <c r="BI16" s="41" t="n"/>
      <c r="BJ16" s="41" t="n"/>
      <c r="BK16" s="42" t="n"/>
      <c r="BL16" s="41" t="n"/>
      <c r="BM16" s="41" t="n"/>
      <c r="BN16" s="41" t="n"/>
      <c r="BO16" s="41" t="n"/>
      <c r="BP16" s="42" t="n"/>
      <c r="BQ16" s="41" t="n"/>
      <c r="BR16" s="41" t="n"/>
      <c r="BS16" s="41" t="n"/>
      <c r="BT16" s="41" t="n"/>
      <c r="BU16" s="42" t="n"/>
      <c r="BV16" s="41" t="n"/>
      <c r="BW16" s="41" t="n"/>
      <c r="BX16" s="41" t="n"/>
      <c r="BY16" s="41" t="n"/>
      <c r="BZ16" s="42" t="n"/>
      <c r="CA16" s="41" t="n"/>
      <c r="CB16" s="41" t="n"/>
      <c r="CC16" s="41" t="n"/>
      <c r="CD16" s="41" t="n"/>
      <c r="CE16" s="42" t="n"/>
      <c r="CF16" s="41" t="n"/>
      <c r="CG16" s="41" t="n"/>
      <c r="CH16" s="41" t="n"/>
      <c r="CI16" s="41" t="n"/>
      <c r="CJ16" s="42" t="n"/>
      <c r="CK16" s="41" t="n"/>
      <c r="CL16" s="41" t="n"/>
      <c r="CM16" s="41" t="n"/>
      <c r="CN16" s="41" t="n"/>
      <c r="CO16" s="42" t="n"/>
      <c r="CP16" s="41" t="n"/>
      <c r="CQ16" s="41" t="n"/>
      <c r="CR16" s="41" t="n"/>
      <c r="CS16" s="41" t="n"/>
      <c r="CT16" s="42" t="n"/>
      <c r="CU16" s="41" t="n"/>
      <c r="CV16" s="41" t="n"/>
      <c r="CW16" s="41" t="n"/>
      <c r="CX16" s="41" t="n"/>
      <c r="CY16" s="42" t="n"/>
    </row>
    <row r="17" hidden="1" outlineLevel="1" customFormat="1" s="43">
      <c r="A17" s="36" t="n"/>
      <c r="B17" s="37" t="n"/>
      <c r="C17" s="44" t="inlineStr">
        <is>
          <t>Check Receita</t>
        </is>
      </c>
      <c r="D17" s="39" t="n"/>
      <c r="E17" s="40" t="n"/>
      <c r="F17" s="40" t="n"/>
      <c r="G17" s="40" t="n"/>
      <c r="H17" s="39" t="n"/>
      <c r="I17" s="39">
        <f>IF(ISNUMBER(I22),I22,"")</f>
        <v>0</v>
      </c>
      <c r="J17" s="40">
        <f>IF(ISNUMBER(J22),J22,"")</f>
        <v>0</v>
      </c>
      <c r="K17" s="40">
        <f>IF(ISNUMBER(K22),K22,"")</f>
        <v>0</v>
      </c>
      <c r="L17" s="40">
        <f>IF(ISNUMBER(L22),L22,"")</f>
        <v>0</v>
      </c>
      <c r="M17" s="39">
        <f>IF(ISNUMBER(M22),M22,"")</f>
        <v>0</v>
      </c>
      <c r="N17" s="40">
        <f>IF(ISNUMBER(N22),N22,"")</f>
        <v>0</v>
      </c>
      <c r="O17" s="40">
        <f>IF(ISNUMBER(O22),O22,"")</f>
        <v>0</v>
      </c>
      <c r="P17" s="40">
        <f>IF(ISNUMBER(P22),P22,"")</f>
        <v>0</v>
      </c>
      <c r="Q17" s="40">
        <f>IF(ISNUMBER(Q22),Q22,"")</f>
        <v>0</v>
      </c>
      <c r="R17" s="40">
        <f>IF(ISNUMBER(R22),R22,"")</f>
        <v>0</v>
      </c>
      <c r="S17" s="40">
        <f>IF(ISNUMBER(S22),S22,"")</f>
        <v>0</v>
      </c>
      <c r="T17" s="40">
        <f>IF(ISNUMBER(T22),T22,"")</f>
        <v>0</v>
      </c>
      <c r="U17" s="40">
        <f>IF(ISNUMBER(U22),U22,"")</f>
        <v>0</v>
      </c>
      <c r="V17" s="40">
        <f>IF(ISNUMBER(V22),V22,"")</f>
        <v>0</v>
      </c>
      <c r="W17" s="40">
        <f>IF(ISNUMBER(W22),W22,"")</f>
        <v>0</v>
      </c>
      <c r="X17" s="40">
        <f>IF(ISNUMBER(X22),X22,"")</f>
        <v>0</v>
      </c>
      <c r="Y17" s="40">
        <f>IF(ISNUMBER(Y22),Y22,"")</f>
        <v>0</v>
      </c>
      <c r="Z17" s="40">
        <f>IF(ISNUMBER(Z22),Z22,"")</f>
        <v>0</v>
      </c>
      <c r="AA17" s="40">
        <f>IF(ISNUMBER(AA22),AA22,"")</f>
        <v>0</v>
      </c>
      <c r="AB17" s="40">
        <f>IF(ISNUMBER(AB22),AB22,"")</f>
        <v>0</v>
      </c>
      <c r="AC17" s="40">
        <f>IF(ISNUMBER(AC22),AC22,"")</f>
        <v>0</v>
      </c>
      <c r="AD17" s="40">
        <f>IF(ISNUMBER(AD22),AD22,"")</f>
        <v>0</v>
      </c>
      <c r="AE17" s="40">
        <f>IF(ISNUMBER(AE22),AE22,"")</f>
        <v>0</v>
      </c>
      <c r="AF17" s="40">
        <f>IF(ISNUMBER(AF22),AF22,"")</f>
        <v>0</v>
      </c>
      <c r="AG17" s="40">
        <f>IF(ISNUMBER(AG22),AG22,"")</f>
        <v>0</v>
      </c>
      <c r="AH17" s="41">
        <f>IF(ISNUMBER(AH22),AH22,"")</f>
        <v>0</v>
      </c>
      <c r="AI17" s="41">
        <f>IF(ISNUMBER(AI22),AI22,"")</f>
        <v>0</v>
      </c>
      <c r="AJ17" s="41" t="n"/>
      <c r="AK17" s="41" t="n"/>
      <c r="AL17" s="42" t="n"/>
      <c r="AM17" s="41" t="n"/>
      <c r="AN17" s="41" t="n"/>
      <c r="AO17" s="41" t="n"/>
      <c r="AP17" s="41" t="n"/>
      <c r="AQ17" s="42" t="n"/>
      <c r="AR17" s="41" t="n"/>
      <c r="AS17" s="41" t="n"/>
      <c r="AT17" s="41" t="n"/>
      <c r="AU17" s="41" t="n"/>
      <c r="AV17" s="42" t="n"/>
      <c r="AW17" s="41" t="n"/>
      <c r="AX17" s="41" t="n"/>
      <c r="AY17" s="41" t="n"/>
      <c r="AZ17" s="41" t="n"/>
      <c r="BA17" s="42" t="n"/>
      <c r="BB17" s="41" t="n"/>
      <c r="BC17" s="41" t="n"/>
      <c r="BD17" s="41" t="n"/>
      <c r="BE17" s="41" t="n"/>
      <c r="BF17" s="42" t="n"/>
      <c r="BG17" s="41" t="n"/>
      <c r="BH17" s="41" t="n"/>
      <c r="BI17" s="41" t="n"/>
      <c r="BJ17" s="41" t="n"/>
      <c r="BK17" s="42" t="n"/>
      <c r="BL17" s="41" t="n"/>
      <c r="BM17" s="41" t="n"/>
      <c r="BN17" s="41" t="n"/>
      <c r="BO17" s="41" t="n"/>
      <c r="BP17" s="42" t="n"/>
      <c r="BQ17" s="41" t="n"/>
      <c r="BR17" s="41" t="n"/>
      <c r="BS17" s="41" t="n"/>
      <c r="BT17" s="41" t="n"/>
      <c r="BU17" s="42" t="n"/>
      <c r="BV17" s="41" t="n"/>
      <c r="BW17" s="41" t="n"/>
      <c r="BX17" s="41" t="n"/>
      <c r="BY17" s="41" t="n"/>
      <c r="BZ17" s="42" t="n"/>
      <c r="CA17" s="41" t="n"/>
      <c r="CB17" s="41" t="n"/>
      <c r="CC17" s="41" t="n"/>
      <c r="CD17" s="41" t="n"/>
      <c r="CE17" s="42" t="n"/>
      <c r="CF17" s="41" t="n"/>
      <c r="CG17" s="41" t="n"/>
      <c r="CH17" s="41" t="n"/>
      <c r="CI17" s="41" t="n"/>
      <c r="CJ17" s="42" t="n"/>
      <c r="CK17" s="41" t="n"/>
      <c r="CL17" s="41" t="n"/>
      <c r="CM17" s="41" t="n"/>
      <c r="CN17" s="41" t="n"/>
      <c r="CO17" s="42" t="n"/>
      <c r="CP17" s="41" t="n"/>
      <c r="CQ17" s="41" t="n"/>
      <c r="CR17" s="41" t="n"/>
      <c r="CS17" s="41" t="n"/>
      <c r="CT17" s="42" t="n"/>
      <c r="CU17" s="41" t="n"/>
      <c r="CV17" s="41" t="n"/>
      <c r="CW17" s="41" t="n"/>
      <c r="CX17" s="41" t="n"/>
      <c r="CY17" s="42" t="n"/>
    </row>
    <row r="18">
      <c r="C18" s="267" t="inlineStr">
        <is>
          <t>Segmentos - como a Tesla divulga (USD milhões)</t>
        </is>
      </c>
      <c r="D18" s="267">
        <f>D7</f>
        <v>0</v>
      </c>
      <c r="E18" s="267">
        <f>E7</f>
        <v>0</v>
      </c>
      <c r="F18" s="267">
        <f>F7</f>
        <v>0</v>
      </c>
      <c r="G18" s="267">
        <f>G7</f>
        <v>0</v>
      </c>
      <c r="H18" s="267">
        <f>H7</f>
        <v>2020</v>
      </c>
      <c r="I18" s="267" t="str">
        <f>I7</f>
        <v>1Q21</v>
      </c>
      <c r="J18" s="267" t="str">
        <f>J7</f>
        <v>2Q21</v>
      </c>
      <c r="K18" s="267" t="str">
        <f>K7</f>
        <v>3Q21</v>
      </c>
      <c r="L18" s="267" t="str">
        <f>L7</f>
        <v>4Q21</v>
      </c>
      <c r="M18" s="267">
        <f>M7</f>
        <v>2021</v>
      </c>
      <c r="N18" s="267" t="str">
        <f>N7</f>
        <v>1Q22</v>
      </c>
      <c r="O18" s="267" t="str">
        <f>O7</f>
        <v>2Q22</v>
      </c>
      <c r="P18" s="267" t="str">
        <f>P7</f>
        <v>3Q22</v>
      </c>
      <c r="Q18" s="267" t="str">
        <f>Q7</f>
        <v>4Q22</v>
      </c>
      <c r="R18" s="267">
        <f>R7</f>
        <v>2022</v>
      </c>
      <c r="S18" s="267" t="str">
        <f>S7</f>
        <v>1Q23</v>
      </c>
      <c r="T18" s="267" t="str">
        <f>T7</f>
        <v>2Q23</v>
      </c>
      <c r="U18" s="267" t="str">
        <f>U7</f>
        <v>3Q23</v>
      </c>
      <c r="V18" s="267" t="str">
        <f>V7</f>
        <v>4Q23</v>
      </c>
      <c r="W18" s="267">
        <f>W7</f>
        <v>2023</v>
      </c>
      <c r="X18" s="267" t="str">
        <f>X7</f>
        <v>1Q24</v>
      </c>
      <c r="Y18" s="267" t="str">
        <f>Y7</f>
        <v>2Q24</v>
      </c>
      <c r="Z18" s="267" t="str">
        <f>Z7</f>
        <v>3Q24</v>
      </c>
      <c r="AA18" s="267" t="str">
        <f>AA7</f>
        <v>4Q24</v>
      </c>
      <c r="AB18" s="267">
        <f>AB7</f>
        <v>2024</v>
      </c>
      <c r="AC18" s="267" t="str">
        <f>AC7</f>
        <v>1Q25</v>
      </c>
      <c r="AD18" s="267" t="str">
        <f>AD7</f>
        <v>2Q25</v>
      </c>
      <c r="AE18" s="267" t="str">
        <f>AE7</f>
        <v>3Q25</v>
      </c>
      <c r="AF18" s="267" t="str">
        <f>AF7</f>
        <v>4Q25</v>
      </c>
      <c r="AG18" s="267">
        <f>AG7</f>
        <v>2025</v>
      </c>
      <c r="AH18" s="267" t="str">
        <f>AH7</f>
        <v>1Q26</v>
      </c>
      <c r="AI18" s="267" t="str">
        <f>AI7</f>
        <v>2Q26</v>
      </c>
    </row>
    <row r="19">
      <c r="C19" s="268" t="inlineStr">
        <is>
          <t>Automotivo (inclui serviços e outros)</t>
        </is>
      </c>
      <c r="D19" s="269" t="str">
        <f>IFERROR(INDEX('Inputs (2)'!$D$53:$AL$53,MATCH(D$7&amp;"",'Inputs (2)'!$D$2:$AL$2,0)),"")</f>
        <v/>
      </c>
      <c r="E19" s="269" t="str">
        <f>IFERROR(INDEX('Inputs (2)'!$D$53:$AL$53,MATCH(E$7&amp;"",'Inputs (2)'!$D$2:$AL$2,0)),"")</f>
        <v/>
      </c>
      <c r="F19" s="269" t="str">
        <f>IFERROR(INDEX('Inputs (2)'!$D$53:$AL$53,MATCH(F$7&amp;"",'Inputs (2)'!$D$2:$AL$2,0)),"")</f>
        <v/>
      </c>
      <c r="G19" s="269" t="str">
        <f>IFERROR(INDEX('Inputs (2)'!$D$53:$AL$53,MATCH(G$7&amp;"",'Inputs (2)'!$D$2:$AL$2,0)),"")</f>
        <v/>
      </c>
      <c r="H19" s="270" t="str">
        <f>IF(COUNT(D19:G19)=4,SUM(D19:G19),"")</f>
        <v/>
      </c>
      <c r="I19" s="269">
        <f>IFERROR(INDEX('Inputs (2)'!$D$53:$AL$53,MATCH(I$7&amp;"",'Inputs (2)'!$D$2:$AL$2,0)),"")</f>
        <v>9895</v>
      </c>
      <c r="J19" s="269">
        <f>IFERROR(INDEX('Inputs (2)'!$D$53:$AL$53,MATCH(J$7&amp;"",'Inputs (2)'!$D$2:$AL$2,0)),"")</f>
        <v>11157</v>
      </c>
      <c r="K19" s="269">
        <f>IFERROR(INDEX('Inputs (2)'!$D$53:$AL$53,MATCH(K$7&amp;"",'Inputs (2)'!$D$2:$AL$2,0)),"")</f>
        <v>12951</v>
      </c>
      <c r="L19" s="269">
        <f>IFERROR(INDEX('Inputs (2)'!$D$53:$AL$53,MATCH(L$7&amp;"",'Inputs (2)'!$D$2:$AL$2,0)),"")</f>
        <v>17031</v>
      </c>
      <c r="M19" s="270">
        <f>IF(COUNT(I19:L19)=4,SUM(I19:L19),"")</f>
        <v>51034</v>
      </c>
      <c r="N19" s="269">
        <f>IFERROR(INDEX('Inputs (2)'!$D$53:$AL$53,MATCH(N$7&amp;"",'Inputs (2)'!$D$2:$AL$2,0)),"")</f>
        <v>18140</v>
      </c>
      <c r="O19" s="269">
        <f>IFERROR(INDEX('Inputs (2)'!$D$53:$AL$53,MATCH(O$7&amp;"",'Inputs (2)'!$D$2:$AL$2,0)),"")</f>
        <v>16068</v>
      </c>
      <c r="P19" s="269">
        <f>IFERROR(INDEX('Inputs (2)'!$D$53:$AL$53,MATCH(P$7&amp;"",'Inputs (2)'!$D$2:$AL$2,0)),"")</f>
        <v>20337</v>
      </c>
      <c r="Q19" s="269">
        <f>IFERROR(INDEX('Inputs (2)'!$D$53:$AL$53,MATCH(Q$7&amp;"",'Inputs (2)'!$D$2:$AL$2,0)),"")</f>
        <v>23008</v>
      </c>
      <c r="R19" s="270">
        <f>IF(COUNT(N19:Q19)=4,SUM(N19:Q19),"")</f>
        <v>77553</v>
      </c>
      <c r="S19" s="269">
        <f>IFERROR(INDEX('Inputs (2)'!$D$53:$AL$53,MATCH(S$7&amp;"",'Inputs (2)'!$D$2:$AL$2,0)),"")</f>
        <v>21800</v>
      </c>
      <c r="T19" s="269">
        <f>IFERROR(INDEX('Inputs (2)'!$D$53:$AL$53,MATCH(T$7&amp;"",'Inputs (2)'!$D$2:$AL$2,0)),"")</f>
        <v>23418</v>
      </c>
      <c r="U19" s="269">
        <f>IFERROR(INDEX('Inputs (2)'!$D$53:$AL$53,MATCH(U$7&amp;"",'Inputs (2)'!$D$2:$AL$2,0)),"")</f>
        <v>21791</v>
      </c>
      <c r="V19" s="269">
        <f>IFERROR(INDEX('Inputs (2)'!$D$53:$AL$53,MATCH(V$7&amp;"",'Inputs (2)'!$D$2:$AL$2,0)),"")</f>
        <v>23729</v>
      </c>
      <c r="W19" s="270">
        <f>IF(COUNT(S19:V19)=4,SUM(S19:V19),"")</f>
        <v>90738</v>
      </c>
      <c r="X19" s="269">
        <f>IFERROR(INDEX('Inputs (2)'!$D$53:$AL$53,MATCH(X$7&amp;"",'Inputs (2)'!$D$2:$AL$2,0)),"")</f>
        <v>19666</v>
      </c>
      <c r="Y19" s="269">
        <f>IFERROR(INDEX('Inputs (2)'!$D$53:$AL$53,MATCH(Y$7&amp;"",'Inputs (2)'!$D$2:$AL$2,0)),"")</f>
        <v>22486</v>
      </c>
      <c r="Z19" s="269">
        <f>IFERROR(INDEX('Inputs (2)'!$D$53:$AL$53,MATCH(Z$7&amp;"",'Inputs (2)'!$D$2:$AL$2,0)),"")</f>
        <v>22806</v>
      </c>
      <c r="AA19" s="269">
        <f>IFERROR(INDEX('Inputs (2)'!$D$53:$AL$53,MATCH(AA$7&amp;"",'Inputs (2)'!$D$2:$AL$2,0)),"")</f>
        <v>22646</v>
      </c>
      <c r="AB19" s="270">
        <f>IF(COUNT(X19:AA19)=4,SUM(X19:AA19),"")</f>
        <v>87604</v>
      </c>
      <c r="AC19" s="269">
        <f>IFERROR(INDEX('Inputs (2)'!$D$53:$AL$53,MATCH(AC$7&amp;"",'Inputs (2)'!$D$2:$AL$2,0)),"")</f>
        <v>16605</v>
      </c>
      <c r="AD19" s="269">
        <f>IFERROR(INDEX('Inputs (2)'!$D$53:$AL$53,MATCH(AD$7&amp;"",'Inputs (2)'!$D$2:$AL$2,0)),"")</f>
        <v>19707</v>
      </c>
      <c r="AE19" s="269">
        <f>IFERROR(INDEX('Inputs (2)'!$D$53:$AL$53,MATCH(AE$7&amp;"",'Inputs (2)'!$D$2:$AL$2,0)),"")</f>
        <v>24680</v>
      </c>
      <c r="AF19" s="269">
        <f>IFERROR(INDEX('Inputs (2)'!$D$53:$AL$53,MATCH(AF$7&amp;"",'Inputs (2)'!$D$2:$AL$2,0)),"")</f>
        <v>21064</v>
      </c>
      <c r="AG19" s="270">
        <f>IF(COUNT(AC19:AF19)=4,SUM(AC19:AF19),"")</f>
        <v>82056</v>
      </c>
      <c r="AH19" s="270">
        <f>IFERROR(INDEX('Inputs (2)'!$D$53:$AL$53,MATCH(AH$7&amp;"",'Inputs (2)'!$D$2:$AL$2,0)),"")</f>
        <v>19979</v>
      </c>
      <c r="AI19" s="270">
        <f>IFERROR(INDEX('Inputs (2)'!$D$53:$AL$53,MATCH(AI$7&amp;"",'Inputs (2)'!$D$2:$AL$2,0)),"")</f>
        <v>25097</v>
      </c>
    </row>
    <row r="20">
      <c r="C20" s="268" t="inlineStr">
        <is>
          <t>Geração e armazenamento de energia</t>
        </is>
      </c>
      <c r="D20" s="269" t="str">
        <f>IFERROR(INDEX('Inputs (2)'!$D$54:$AL$54,MATCH(D$7&amp;"",'Inputs (2)'!$D$2:$AL$2,0)),"")</f>
        <v/>
      </c>
      <c r="E20" s="269" t="str">
        <f>IFERROR(INDEX('Inputs (2)'!$D$54:$AL$54,MATCH(E$7&amp;"",'Inputs (2)'!$D$2:$AL$2,0)),"")</f>
        <v/>
      </c>
      <c r="F20" s="269" t="str">
        <f>IFERROR(INDEX('Inputs (2)'!$D$54:$AL$54,MATCH(F$7&amp;"",'Inputs (2)'!$D$2:$AL$2,0)),"")</f>
        <v/>
      </c>
      <c r="G20" s="269" t="str">
        <f>IFERROR(INDEX('Inputs (2)'!$D$54:$AL$54,MATCH(G$7&amp;"",'Inputs (2)'!$D$2:$AL$2,0)),"")</f>
        <v/>
      </c>
      <c r="H20" s="270" t="str">
        <f>IF(COUNT(D20:G20)=4,SUM(D20:G20),"")</f>
        <v/>
      </c>
      <c r="I20" s="269">
        <f>IFERROR(INDEX('Inputs (2)'!$D$54:$AL$54,MATCH(I$7&amp;"",'Inputs (2)'!$D$2:$AL$2,0)),"")</f>
        <v>494</v>
      </c>
      <c r="J20" s="269">
        <f>IFERROR(INDEX('Inputs (2)'!$D$54:$AL$54,MATCH(J$7&amp;"",'Inputs (2)'!$D$2:$AL$2,0)),"")</f>
        <v>801</v>
      </c>
      <c r="K20" s="269">
        <f>IFERROR(INDEX('Inputs (2)'!$D$54:$AL$54,MATCH(K$7&amp;"",'Inputs (2)'!$D$2:$AL$2,0)),"")</f>
        <v>806</v>
      </c>
      <c r="L20" s="269">
        <f>IFERROR(INDEX('Inputs (2)'!$D$54:$AL$54,MATCH(L$7&amp;"",'Inputs (2)'!$D$2:$AL$2,0)),"")</f>
        <v>688</v>
      </c>
      <c r="M20" s="270">
        <f>IF(COUNT(I20:L20)=4,SUM(I20:L20),"")</f>
        <v>2789</v>
      </c>
      <c r="N20" s="269">
        <f>IFERROR(INDEX('Inputs (2)'!$D$54:$AL$54,MATCH(N$7&amp;"",'Inputs (2)'!$D$2:$AL$2,0)),"")</f>
        <v>616</v>
      </c>
      <c r="O20" s="269">
        <f>IFERROR(INDEX('Inputs (2)'!$D$54:$AL$54,MATCH(O$7&amp;"",'Inputs (2)'!$D$2:$AL$2,0)),"")</f>
        <v>866</v>
      </c>
      <c r="P20" s="269">
        <f>IFERROR(INDEX('Inputs (2)'!$D$54:$AL$54,MATCH(P$7&amp;"",'Inputs (2)'!$D$2:$AL$2,0)),"")</f>
        <v>1117</v>
      </c>
      <c r="Q20" s="269">
        <f>IFERROR(INDEX('Inputs (2)'!$D$54:$AL$54,MATCH(Q$7&amp;"",'Inputs (2)'!$D$2:$AL$2,0)),"")</f>
        <v>1310</v>
      </c>
      <c r="R20" s="270">
        <f>IF(COUNT(N20:Q20)=4,SUM(N20:Q20),"")</f>
        <v>3909</v>
      </c>
      <c r="S20" s="269">
        <f>IFERROR(INDEX('Inputs (2)'!$D$54:$AL$54,MATCH(S$7&amp;"",'Inputs (2)'!$D$2:$AL$2,0)),"")</f>
        <v>1529</v>
      </c>
      <c r="T20" s="269">
        <f>IFERROR(INDEX('Inputs (2)'!$D$54:$AL$54,MATCH(T$7&amp;"",'Inputs (2)'!$D$2:$AL$2,0)),"")</f>
        <v>1509</v>
      </c>
      <c r="U20" s="269">
        <f>IFERROR(INDEX('Inputs (2)'!$D$54:$AL$54,MATCH(U$7&amp;"",'Inputs (2)'!$D$2:$AL$2,0)),"")</f>
        <v>1559</v>
      </c>
      <c r="V20" s="269">
        <f>IFERROR(INDEX('Inputs (2)'!$D$54:$AL$54,MATCH(V$7&amp;"",'Inputs (2)'!$D$2:$AL$2,0)),"")</f>
        <v>1438</v>
      </c>
      <c r="W20" s="270">
        <f>IF(COUNT(S20:V20)=4,SUM(S20:V20),"")</f>
        <v>6035</v>
      </c>
      <c r="X20" s="269">
        <f>IFERROR(INDEX('Inputs (2)'!$D$54:$AL$54,MATCH(X$7&amp;"",'Inputs (2)'!$D$2:$AL$2,0)),"")</f>
        <v>1635</v>
      </c>
      <c r="Y20" s="269">
        <f>IFERROR(INDEX('Inputs (2)'!$D$54:$AL$54,MATCH(Y$7&amp;"",'Inputs (2)'!$D$2:$AL$2,0)),"")</f>
        <v>3014</v>
      </c>
      <c r="Z20" s="269">
        <f>IFERROR(INDEX('Inputs (2)'!$D$54:$AL$54,MATCH(Z$7&amp;"",'Inputs (2)'!$D$2:$AL$2,0)),"")</f>
        <v>2376</v>
      </c>
      <c r="AA20" s="269">
        <f>IFERROR(INDEX('Inputs (2)'!$D$54:$AL$54,MATCH(AA$7&amp;"",'Inputs (2)'!$D$2:$AL$2,0)),"")</f>
        <v>3061</v>
      </c>
      <c r="AB20" s="270">
        <f>IF(COUNT(X20:AA20)=4,SUM(X20:AA20),"")</f>
        <v>10086</v>
      </c>
      <c r="AC20" s="269">
        <f>IFERROR(INDEX('Inputs (2)'!$D$54:$AL$54,MATCH(AC$7&amp;"",'Inputs (2)'!$D$2:$AL$2,0)),"")</f>
        <v>2730</v>
      </c>
      <c r="AD20" s="269">
        <f>IFERROR(INDEX('Inputs (2)'!$D$54:$AL$54,MATCH(AD$7&amp;"",'Inputs (2)'!$D$2:$AL$2,0)),"")</f>
        <v>2789</v>
      </c>
      <c r="AE20" s="269">
        <f>IFERROR(INDEX('Inputs (2)'!$D$54:$AL$54,MATCH(AE$7&amp;"",'Inputs (2)'!$D$2:$AL$2,0)),"")</f>
        <v>3415</v>
      </c>
      <c r="AF20" s="269">
        <f>IFERROR(INDEX('Inputs (2)'!$D$54:$AL$54,MATCH(AF$7&amp;"",'Inputs (2)'!$D$2:$AL$2,0)),"")</f>
        <v>3837</v>
      </c>
      <c r="AG20" s="270">
        <f>IF(COUNT(AC20:AF20)=4,SUM(AC20:AF20),"")</f>
        <v>12771</v>
      </c>
      <c r="AH20" s="270">
        <f>IFERROR(INDEX('Inputs (2)'!$D$54:$AL$54,MATCH(AH$7&amp;"",'Inputs (2)'!$D$2:$AL$2,0)),"")</f>
        <v>2408</v>
      </c>
      <c r="AI20" s="270">
        <f>IFERROR(INDEX('Inputs (2)'!$D$54:$AL$54,MATCH(AI$7&amp;"",'Inputs (2)'!$D$2:$AL$2,0)),"")</f>
        <v>3139</v>
      </c>
    </row>
    <row r="21">
      <c r="C21" s="271" t="inlineStr">
        <is>
          <t>Receita (soma dos segmentos)</t>
        </is>
      </c>
      <c r="D21" s="269" t="str">
        <f>IF(COUNT(D19,D20)=0,"",N(D19)+N(D20))</f>
        <v/>
      </c>
      <c r="E21" s="269" t="str">
        <f>IF(COUNT(E19,E20)=0,"",N(E19)+N(E20))</f>
        <v/>
      </c>
      <c r="F21" s="269" t="str">
        <f>IF(COUNT(F19,F20)=0,"",N(F19)+N(F20))</f>
        <v/>
      </c>
      <c r="G21" s="269" t="str">
        <f>IF(COUNT(G19,G20)=0,"",N(G19)+N(G20))</f>
        <v/>
      </c>
      <c r="H21" s="270" t="str">
        <f>IF(COUNT(H19,H20)=0,"",N(H19)+N(H20))</f>
        <v/>
      </c>
      <c r="I21" s="269">
        <f>IF(COUNT(I19,I20)=0,"",N(I19)+N(I20))</f>
        <v>10389</v>
      </c>
      <c r="J21" s="269">
        <f>IF(COUNT(J19,J20)=0,"",N(J19)+N(J20))</f>
        <v>11958</v>
      </c>
      <c r="K21" s="269">
        <f>IF(COUNT(K19,K20)=0,"",N(K19)+N(K20))</f>
        <v>13757</v>
      </c>
      <c r="L21" s="269">
        <f>IF(COUNT(L19,L20)=0,"",N(L19)+N(L20))</f>
        <v>17719</v>
      </c>
      <c r="M21" s="270">
        <f>IF(COUNT(M19,M20)=0,"",N(M19)+N(M20))</f>
        <v>53823</v>
      </c>
      <c r="N21" s="269">
        <f>IF(COUNT(N19,N20)=0,"",N(N19)+N(N20))</f>
        <v>18756</v>
      </c>
      <c r="O21" s="269">
        <f>IF(COUNT(O19,O20)=0,"",N(O19)+N(O20))</f>
        <v>16934</v>
      </c>
      <c r="P21" s="269">
        <f>IF(COUNT(P19,P20)=0,"",N(P19)+N(P20))</f>
        <v>21454</v>
      </c>
      <c r="Q21" s="269">
        <f>IF(COUNT(Q19,Q20)=0,"",N(Q19)+N(Q20))</f>
        <v>24318</v>
      </c>
      <c r="R21" s="270">
        <f>IF(COUNT(R19,R20)=0,"",N(R19)+N(R20))</f>
        <v>81462</v>
      </c>
      <c r="S21" s="269">
        <f>IF(COUNT(S19,S20)=0,"",N(S19)+N(S20))</f>
        <v>23329</v>
      </c>
      <c r="T21" s="269">
        <f>IF(COUNT(T19,T20)=0,"",N(T19)+N(T20))</f>
        <v>24927</v>
      </c>
      <c r="U21" s="269">
        <f>IF(COUNT(U19,U20)=0,"",N(U19)+N(U20))</f>
        <v>23350</v>
      </c>
      <c r="V21" s="269">
        <f>IF(COUNT(V19,V20)=0,"",N(V19)+N(V20))</f>
        <v>25167</v>
      </c>
      <c r="W21" s="270">
        <f>IF(COUNT(W19,W20)=0,"",N(W19)+N(W20))</f>
        <v>96773</v>
      </c>
      <c r="X21" s="269">
        <f>IF(COUNT(X19,X20)=0,"",N(X19)+N(X20))</f>
        <v>21301</v>
      </c>
      <c r="Y21" s="269">
        <f>IF(COUNT(Y19,Y20)=0,"",N(Y19)+N(Y20))</f>
        <v>25500</v>
      </c>
      <c r="Z21" s="269">
        <f>IF(COUNT(Z19,Z20)=0,"",N(Z19)+N(Z20))</f>
        <v>25182</v>
      </c>
      <c r="AA21" s="269">
        <f>IF(COUNT(AA19,AA20)=0,"",N(AA19)+N(AA20))</f>
        <v>25707</v>
      </c>
      <c r="AB21" s="270">
        <f>IF(COUNT(AB19,AB20)=0,"",N(AB19)+N(AB20))</f>
        <v>97690</v>
      </c>
      <c r="AC21" s="269">
        <f>IF(COUNT(AC19,AC20)=0,"",N(AC19)+N(AC20))</f>
        <v>19335</v>
      </c>
      <c r="AD21" s="269">
        <f>IF(COUNT(AD19,AD20)=0,"",N(AD19)+N(AD20))</f>
        <v>22496</v>
      </c>
      <c r="AE21" s="269">
        <f>IF(COUNT(AE19,AE20)=0,"",N(AE19)+N(AE20))</f>
        <v>28095</v>
      </c>
      <c r="AF21" s="269">
        <f>IF(COUNT(AF19,AF20)=0,"",N(AF19)+N(AF20))</f>
        <v>24901</v>
      </c>
      <c r="AG21" s="270">
        <f>IF(COUNT(AG19,AG20)=0,"",N(AG19)+N(AG20))</f>
        <v>94827</v>
      </c>
      <c r="AH21" s="270">
        <f>IF(COUNT(AH19,AH20)=0,"",N(AH19)+N(AH20))</f>
        <v>22387</v>
      </c>
      <c r="AI21" s="270">
        <f>IF(COUNT(AI19,AI20)=0,"",N(AI19)+N(AI20))</f>
        <v>28236</v>
      </c>
    </row>
    <row r="22">
      <c r="C22" s="268" t="inlineStr">
        <is>
          <t>Check vs Net Revenues (linha 15)</t>
        </is>
      </c>
      <c r="D22" s="269" t="str">
        <f>IF(COUNT(D21)=0,"",ROUND(D15-D21,1))</f>
        <v/>
      </c>
      <c r="E22" s="269" t="str">
        <f>IF(COUNT(E21)=0,"",ROUND(E15-E21,1))</f>
        <v/>
      </c>
      <c r="F22" s="269" t="str">
        <f>IF(COUNT(F21)=0,"",ROUND(F15-F21,1))</f>
        <v/>
      </c>
      <c r="G22" s="269" t="str">
        <f>IF(COUNT(G21)=0,"",ROUND(G15-G21,1))</f>
        <v/>
      </c>
      <c r="H22" s="270" t="str">
        <f>IF(COUNT(H21)=0,"",ROUND(H15-H21,1))</f>
        <v/>
      </c>
      <c r="I22" s="269">
        <f>IF(COUNT(I21)=0,"",ROUND(I15-I21,1))</f>
        <v>0</v>
      </c>
      <c r="J22" s="269">
        <f>IF(COUNT(J21)=0,"",ROUND(J15-J21,1))</f>
        <v>0</v>
      </c>
      <c r="K22" s="269">
        <f>IF(COUNT(K21)=0,"",ROUND(K15-K21,1))</f>
        <v>0</v>
      </c>
      <c r="L22" s="269">
        <f>IF(COUNT(L21)=0,"",ROUND(L15-L21,1))</f>
        <v>0</v>
      </c>
      <c r="M22" s="270">
        <f>IF(COUNT(M21)=0,"",ROUND(M15-M21,1))</f>
        <v>0</v>
      </c>
      <c r="N22" s="269">
        <f>IF(COUNT(N21)=0,"",ROUND(N15-N21,1))</f>
        <v>0</v>
      </c>
      <c r="O22" s="269">
        <f>IF(COUNT(O21)=0,"",ROUND(O15-O21,1))</f>
        <v>0</v>
      </c>
      <c r="P22" s="269">
        <f>IF(COUNT(P21)=0,"",ROUND(P15-P21,1))</f>
        <v>0</v>
      </c>
      <c r="Q22" s="269">
        <f>IF(COUNT(Q21)=0,"",ROUND(Q15-Q21,1))</f>
        <v>0</v>
      </c>
      <c r="R22" s="270">
        <f>IF(COUNT(R21)=0,"",ROUND(R15-R21,1))</f>
        <v>0</v>
      </c>
      <c r="S22" s="269">
        <f>IF(COUNT(S21)=0,"",ROUND(S15-S21,1))</f>
        <v>0</v>
      </c>
      <c r="T22" s="269">
        <f>IF(COUNT(T21)=0,"",ROUND(T15-T21,1))</f>
        <v>0</v>
      </c>
      <c r="U22" s="269">
        <f>IF(COUNT(U21)=0,"",ROUND(U15-U21,1))</f>
        <v>0</v>
      </c>
      <c r="V22" s="269">
        <f>IF(COUNT(V21)=0,"",ROUND(V15-V21,1))</f>
        <v>0</v>
      </c>
      <c r="W22" s="270">
        <f>IF(COUNT(W21)=0,"",ROUND(W15-W21,1))</f>
        <v>0</v>
      </c>
      <c r="X22" s="269">
        <f>IF(COUNT(X21)=0,"",ROUND(X15-X21,1))</f>
        <v>0</v>
      </c>
      <c r="Y22" s="269">
        <f>IF(COUNT(Y21)=0,"",ROUND(Y15-Y21,1))</f>
        <v>0</v>
      </c>
      <c r="Z22" s="269">
        <f>IF(COUNT(Z21)=0,"",ROUND(Z15-Z21,1))</f>
        <v>0</v>
      </c>
      <c r="AA22" s="269">
        <f>IF(COUNT(AA21)=0,"",ROUND(AA15-AA21,1))</f>
        <v>0</v>
      </c>
      <c r="AB22" s="270">
        <f>IF(COUNT(AB21)=0,"",ROUND(AB15-AB21,1))</f>
        <v>0</v>
      </c>
      <c r="AC22" s="269">
        <f>IF(COUNT(AC21)=0,"",ROUND(AC15-AC21,1))</f>
        <v>0</v>
      </c>
      <c r="AD22" s="269">
        <f>IF(COUNT(AD21)=0,"",ROUND(AD15-AD21,1))</f>
        <v>0</v>
      </c>
      <c r="AE22" s="269">
        <f>IF(COUNT(AE21)=0,"",ROUND(AE15-AE21,1))</f>
        <v>0</v>
      </c>
      <c r="AF22" s="269">
        <f>IF(COUNT(AF21)=0,"",ROUND(AF15-AF21,1))</f>
        <v>0</v>
      </c>
      <c r="AG22" s="270">
        <f>IF(COUNT(AG21)=0,"",ROUND(AG15-AG21,1))</f>
        <v>0</v>
      </c>
      <c r="AH22" s="270">
        <f>IF(COUNT(AH21)=0,"",ROUND(AH15-AH21,1))</f>
        <v>0</v>
      </c>
      <c r="AI22" s="270">
        <f>IF(COUNT(AI21)=0,"",ROUND(AI15-AI21,1))</f>
        <v>0</v>
      </c>
    </row>
    <row r="23">
      <c r="C23" s="268" t="inlineStr">
        <is>
          <t xml:space="preserve">   % YoY Automotivo</t>
        </is>
      </c>
      <c r="D23" s="272" t="str">
        <f>""</f>
        <v/>
      </c>
      <c r="E23" s="272" t="str">
        <f>""</f>
        <v/>
      </c>
      <c r="F23" s="272" t="str">
        <f>""</f>
        <v/>
      </c>
      <c r="G23" s="272" t="str">
        <f>""</f>
        <v/>
      </c>
      <c r="H23" s="273" t="str">
        <f>""</f>
        <v/>
      </c>
      <c r="I23" s="272" t="str">
        <f>IFERROR(I19/D19-1,"")</f>
        <v/>
      </c>
      <c r="J23" s="272" t="str">
        <f>IFERROR(J19/E19-1,"")</f>
        <v/>
      </c>
      <c r="K23" s="272" t="str">
        <f>IFERROR(K19/F19-1,"")</f>
        <v/>
      </c>
      <c r="L23" s="272" t="str">
        <f>IFERROR(L19/G19-1,"")</f>
        <v/>
      </c>
      <c r="M23" s="273" t="str">
        <f>IFERROR(M19/H19-1,"")</f>
        <v/>
      </c>
      <c r="N23" s="272">
        <f>IFERROR(N19/I19-1,"")</f>
        <v>0.833249115715008</v>
      </c>
      <c r="O23" s="272">
        <f>IFERROR(O19/J19-1,"")</f>
        <v>0.440172089271309</v>
      </c>
      <c r="P23" s="272">
        <f>IFERROR(P19/K19-1,"")</f>
        <v>0.570303451470929</v>
      </c>
      <c r="Q23" s="272">
        <f>IFERROR(Q19/L19-1,"")</f>
        <v>0.350948270800305</v>
      </c>
      <c r="R23" s="273">
        <f>IFERROR(R19/M19-1,"")</f>
        <v>0.519633969510522</v>
      </c>
      <c r="S23" s="272">
        <f>IFERROR(S19/N19-1,"")</f>
        <v>0.201764057331863</v>
      </c>
      <c r="T23" s="272">
        <f>IFERROR(T19/O19-1,"")</f>
        <v>0.457430918595967</v>
      </c>
      <c r="U23" s="272">
        <f>IFERROR(U19/P19-1,"")</f>
        <v>0.0714953041254856</v>
      </c>
      <c r="V23" s="272">
        <f>IFERROR(V19/Q19-1,"")</f>
        <v>0.0313369262865091</v>
      </c>
      <c r="W23" s="273">
        <f>IFERROR(W19/R19-1,"")</f>
        <v>0.170012765463618</v>
      </c>
      <c r="X23" s="272">
        <f>IFERROR(X19/S19-1,"")</f>
        <v>-0.0978899082568807</v>
      </c>
      <c r="Y23" s="272">
        <f>IFERROR(Y19/T19-1,"")</f>
        <v>-0.0397984456401059</v>
      </c>
      <c r="Z23" s="272">
        <f>IFERROR(Z19/U19-1,"")</f>
        <v>0.0465788628332797</v>
      </c>
      <c r="AA23" s="272">
        <f>IFERROR(AA19/V19-1,"")</f>
        <v>-0.0456403556829197</v>
      </c>
      <c r="AB23" s="273">
        <f>IFERROR(AB19/W19-1,"")</f>
        <v>-0.0345390024025215</v>
      </c>
      <c r="AC23" s="272">
        <f>IFERROR(AC19/X19-1,"")</f>
        <v>-0.155649344045561</v>
      </c>
      <c r="AD23" s="272">
        <f>IFERROR(AD19/Y19-1,"")</f>
        <v>-0.123588010317531</v>
      </c>
      <c r="AE23" s="272">
        <f>IFERROR(AE19/Z19-1,"")</f>
        <v>0.0821713584144523</v>
      </c>
      <c r="AF23" s="272">
        <f>IFERROR(AF19/AA19-1,"")</f>
        <v>-0.0698578115340458</v>
      </c>
      <c r="AG23" s="273">
        <f>IFERROR(AG19/AB19-1,"")</f>
        <v>-0.0633304415323501</v>
      </c>
      <c r="AH23" s="273">
        <f>IFERROR(AH19/AC19-1,"")</f>
        <v>0.203191809695875</v>
      </c>
      <c r="AI23" s="273">
        <f>IFERROR(AI19/AD19-1,"")</f>
        <v>0.273506875729436</v>
      </c>
    </row>
    <row r="24">
      <c r="C24" s="268" t="inlineStr">
        <is>
          <t xml:space="preserve">   % YoY Energia</t>
        </is>
      </c>
      <c r="D24" s="272" t="str">
        <f>""</f>
        <v/>
      </c>
      <c r="E24" s="272" t="str">
        <f>""</f>
        <v/>
      </c>
      <c r="F24" s="272" t="str">
        <f>""</f>
        <v/>
      </c>
      <c r="G24" s="272" t="str">
        <f>""</f>
        <v/>
      </c>
      <c r="H24" s="273" t="str">
        <f>""</f>
        <v/>
      </c>
      <c r="I24" s="272" t="str">
        <f>IFERROR(I20/D20-1,"")</f>
        <v/>
      </c>
      <c r="J24" s="272" t="str">
        <f>IFERROR(J20/E20-1,"")</f>
        <v/>
      </c>
      <c r="K24" s="272" t="str">
        <f>IFERROR(K20/F20-1,"")</f>
        <v/>
      </c>
      <c r="L24" s="272" t="str">
        <f>IFERROR(L20/G20-1,"")</f>
        <v/>
      </c>
      <c r="M24" s="273" t="str">
        <f>IFERROR(M20/H20-1,"")</f>
        <v/>
      </c>
      <c r="N24" s="272">
        <f>IFERROR(N20/I20-1,"")</f>
        <v>0.246963562753036</v>
      </c>
      <c r="O24" s="272">
        <f>IFERROR(O20/J20-1,"")</f>
        <v>0.0811485642946317</v>
      </c>
      <c r="P24" s="272">
        <f>IFERROR(P20/K20-1,"")</f>
        <v>0.385856079404467</v>
      </c>
      <c r="Q24" s="272">
        <f>IFERROR(Q20/L20-1,"")</f>
        <v>0.904069767441861</v>
      </c>
      <c r="R24" s="273">
        <f>IFERROR(R20/M20-1,"")</f>
        <v>0.401577626389387</v>
      </c>
      <c r="S24" s="272">
        <f>IFERROR(S20/N20-1,"")</f>
        <v>1.48214285714286</v>
      </c>
      <c r="T24" s="272">
        <f>IFERROR(T20/O20-1,"")</f>
        <v>0.742494226327945</v>
      </c>
      <c r="U24" s="272">
        <f>IFERROR(U20/P20-1,"")</f>
        <v>0.395702775290958</v>
      </c>
      <c r="V24" s="272">
        <f>IFERROR(V20/Q20-1,"")</f>
        <v>0.0977099236641221</v>
      </c>
      <c r="W24" s="273">
        <f>IFERROR(W20/R20-1,"")</f>
        <v>0.543873113328217</v>
      </c>
      <c r="X24" s="272">
        <f>IFERROR(X20/S20-1,"")</f>
        <v>0.0693263570961413</v>
      </c>
      <c r="Y24" s="272">
        <f>IFERROR(Y20/T20-1,"")</f>
        <v>0.997349237905898</v>
      </c>
      <c r="Z24" s="272">
        <f>IFERROR(Z20/U20-1,"")</f>
        <v>0.524053880692752</v>
      </c>
      <c r="AA24" s="272">
        <f>IFERROR(AA20/V20-1,"")</f>
        <v>1.12865090403338</v>
      </c>
      <c r="AB24" s="273">
        <f>IFERROR(AB20/W20-1,"")</f>
        <v>0.671251035625518</v>
      </c>
      <c r="AC24" s="272">
        <f>IFERROR(AC20/X20-1,"")</f>
        <v>0.669724770642202</v>
      </c>
      <c r="AD24" s="272">
        <f>IFERROR(AD20/Y20-1,"")</f>
        <v>-0.0746516257465163</v>
      </c>
      <c r="AE24" s="272">
        <f>IFERROR(AE20/Z20-1,"")</f>
        <v>0.437289562289562</v>
      </c>
      <c r="AF24" s="272">
        <f>IFERROR(AF20/AA20-1,"")</f>
        <v>0.253511924207775</v>
      </c>
      <c r="AG24" s="273">
        <f>IFERROR(AG20/AB20-1,"")</f>
        <v>0.266210588935158</v>
      </c>
      <c r="AH24" s="273">
        <f>IFERROR(AH20/AC20-1,"")</f>
        <v>-0.117948717948718</v>
      </c>
      <c r="AI24" s="273">
        <f>IFERROR(AI20/AD20-1,"")</f>
        <v>0.125493008246683</v>
      </c>
    </row>
    <row r="25">
      <c r="C25" s="268" t="inlineStr">
        <is>
          <t xml:space="preserve">   Lucro bruto Automotivo</t>
        </is>
      </c>
      <c r="D25" s="269" t="str">
        <f>IFERROR(INDEX('Inputs (2)'!$D$55:$AL$55,MATCH(D$7&amp;"",'Inputs (2)'!$D$2:$AL$2,0)),"")</f>
        <v/>
      </c>
      <c r="E25" s="269" t="str">
        <f>IFERROR(INDEX('Inputs (2)'!$D$55:$AL$55,MATCH(E$7&amp;"",'Inputs (2)'!$D$2:$AL$2,0)),"")</f>
        <v/>
      </c>
      <c r="F25" s="269" t="str">
        <f>IFERROR(INDEX('Inputs (2)'!$D$55:$AL$55,MATCH(F$7&amp;"",'Inputs (2)'!$D$2:$AL$2,0)),"")</f>
        <v/>
      </c>
      <c r="G25" s="269" t="str">
        <f>IFERROR(INDEX('Inputs (2)'!$D$55:$AL$55,MATCH(G$7&amp;"",'Inputs (2)'!$D$2:$AL$2,0)),"")</f>
        <v/>
      </c>
      <c r="H25" s="270" t="str">
        <f>IF(COUNT(D25:G25)=4,SUM(D25:G25),"")</f>
        <v/>
      </c>
      <c r="I25" s="269">
        <f>IFERROR(INDEX('Inputs (2)'!$D$55:$AL$55,MATCH(I$7&amp;"",'Inputs (2)'!$D$2:$AL$2,0)),"")</f>
        <v>2316</v>
      </c>
      <c r="J25" s="269">
        <f>IFERROR(INDEX('Inputs (2)'!$D$55:$AL$55,MATCH(J$7&amp;"",'Inputs (2)'!$D$2:$AL$2,0)),"")</f>
        <v>2864</v>
      </c>
      <c r="K25" s="269">
        <f>IFERROR(INDEX('Inputs (2)'!$D$55:$AL$55,MATCH(K$7&amp;"",'Inputs (2)'!$D$2:$AL$2,0)),"")</f>
        <v>3657</v>
      </c>
      <c r="L25" s="269">
        <f>IFERROR(INDEX('Inputs (2)'!$D$55:$AL$55,MATCH(L$7&amp;"",'Inputs (2)'!$D$2:$AL$2,0)),"")</f>
        <v>4898</v>
      </c>
      <c r="M25" s="270">
        <f>IF(COUNT(I25:L25)=4,SUM(I25:L25),"")</f>
        <v>13735</v>
      </c>
      <c r="N25" s="269">
        <f>IFERROR(INDEX('Inputs (2)'!$D$55:$AL$55,MATCH(N$7&amp;"",'Inputs (2)'!$D$2:$AL$2,0)),"")</f>
        <v>5532</v>
      </c>
      <c r="O25" s="269">
        <f>IFERROR(INDEX('Inputs (2)'!$D$55:$AL$55,MATCH(O$7&amp;"",'Inputs (2)'!$D$2:$AL$2,0)),"")</f>
        <v>4137</v>
      </c>
      <c r="P25" s="269">
        <f>IFERROR(INDEX('Inputs (2)'!$D$55:$AL$55,MATCH(P$7&amp;"",'Inputs (2)'!$D$2:$AL$2,0)),"")</f>
        <v>5278</v>
      </c>
      <c r="Q25" s="269">
        <f>IFERROR(INDEX('Inputs (2)'!$D$55:$AL$55,MATCH(Q$7&amp;"",'Inputs (2)'!$D$2:$AL$2,0)),"")</f>
        <v>5618</v>
      </c>
      <c r="R25" s="270">
        <f>IF(COUNT(N25:Q25)=4,SUM(N25:Q25),"")</f>
        <v>20565</v>
      </c>
      <c r="S25" s="269">
        <f>IFERROR(INDEX('Inputs (2)'!$D$55:$AL$55,MATCH(S$7&amp;"",'Inputs (2)'!$D$2:$AL$2,0)),"")</f>
        <v>4343</v>
      </c>
      <c r="T25" s="269">
        <f>IFERROR(INDEX('Inputs (2)'!$D$55:$AL$55,MATCH(T$7&amp;"",'Inputs (2)'!$D$2:$AL$2,0)),"")</f>
        <v>4255</v>
      </c>
      <c r="U25" s="269">
        <f>IFERROR(INDEX('Inputs (2)'!$D$55:$AL$55,MATCH(U$7&amp;"",'Inputs (2)'!$D$2:$AL$2,0)),"")</f>
        <v>3797</v>
      </c>
      <c r="V25" s="269">
        <f>IFERROR(INDEX('Inputs (2)'!$D$55:$AL$55,MATCH(V$7&amp;"",'Inputs (2)'!$D$2:$AL$2,0)),"")</f>
        <v>4124</v>
      </c>
      <c r="W25" s="270">
        <f>IF(COUNT(S25:V25)=4,SUM(S25:V25),"")</f>
        <v>16519</v>
      </c>
      <c r="X25" s="269">
        <f>IFERROR(INDEX('Inputs (2)'!$D$55:$AL$55,MATCH(X$7&amp;"",'Inputs (2)'!$D$2:$AL$2,0)),"")</f>
        <v>3293</v>
      </c>
      <c r="Y25" s="269">
        <f>IFERROR(INDEX('Inputs (2)'!$D$55:$AL$55,MATCH(Y$7&amp;"",'Inputs (2)'!$D$2:$AL$2,0)),"")</f>
        <v>3838</v>
      </c>
      <c r="Z25" s="269">
        <f>IFERROR(INDEX('Inputs (2)'!$D$55:$AL$55,MATCH(Z$7&amp;"",'Inputs (2)'!$D$2:$AL$2,0)),"")</f>
        <v>4272</v>
      </c>
      <c r="AA25" s="269">
        <f>IFERROR(INDEX('Inputs (2)'!$D$55:$AL$55,MATCH(AA$7&amp;"",'Inputs (2)'!$D$2:$AL$2,0)),"")</f>
        <v>3407</v>
      </c>
      <c r="AB25" s="270">
        <f>IF(COUNT(X25:AA25)=4,SUM(X25:AA25),"")</f>
        <v>14810</v>
      </c>
      <c r="AC25" s="269">
        <f>IFERROR(INDEX('Inputs (2)'!$D$55:$AL$55,MATCH(AC$7&amp;"",'Inputs (2)'!$D$2:$AL$2,0)),"")</f>
        <v>2368</v>
      </c>
      <c r="AD25" s="269">
        <f>IFERROR(INDEX('Inputs (2)'!$D$55:$AL$55,MATCH(AD$7&amp;"",'Inputs (2)'!$D$2:$AL$2,0)),"")</f>
        <v>3032</v>
      </c>
      <c r="AE25" s="269">
        <f>IFERROR(INDEX('Inputs (2)'!$D$55:$AL$55,MATCH(AE$7&amp;"",'Inputs (2)'!$D$2:$AL$2,0)),"")</f>
        <v>3981</v>
      </c>
      <c r="AF25" s="269">
        <f>IFERROR(INDEX('Inputs (2)'!$D$55:$AL$55,MATCH(AF$7&amp;"",'Inputs (2)'!$D$2:$AL$2,0)),"")</f>
        <v>3911</v>
      </c>
      <c r="AG25" s="270">
        <f>IF(COUNT(AC25:AF25)=4,SUM(AC25:AF25),"")</f>
        <v>13292</v>
      </c>
      <c r="AH25" s="270">
        <f>IFERROR(INDEX('Inputs (2)'!$D$55:$AL$55,MATCH(AH$7&amp;"",'Inputs (2)'!$D$2:$AL$2,0)),"")</f>
        <v>3768</v>
      </c>
      <c r="AI25" s="270">
        <f>IFERROR(INDEX('Inputs (2)'!$D$55:$AL$55,MATCH(AI$7&amp;"",'Inputs (2)'!$D$2:$AL$2,0)),"")</f>
        <v>4111</v>
      </c>
    </row>
    <row r="26">
      <c r="C26" s="268" t="inlineStr">
        <is>
          <t xml:space="preserve">   Lucro bruto Energia</t>
        </is>
      </c>
      <c r="D26" s="269" t="str">
        <f>IFERROR(INDEX('Inputs (2)'!$D$56:$AL$56,MATCH(D$7&amp;"",'Inputs (2)'!$D$2:$AL$2,0)),"")</f>
        <v/>
      </c>
      <c r="E26" s="269" t="str">
        <f>IFERROR(INDEX('Inputs (2)'!$D$56:$AL$56,MATCH(E$7&amp;"",'Inputs (2)'!$D$2:$AL$2,0)),"")</f>
        <v/>
      </c>
      <c r="F26" s="269" t="str">
        <f>IFERROR(INDEX('Inputs (2)'!$D$56:$AL$56,MATCH(F$7&amp;"",'Inputs (2)'!$D$2:$AL$2,0)),"")</f>
        <v/>
      </c>
      <c r="G26" s="269" t="str">
        <f>IFERROR(INDEX('Inputs (2)'!$D$56:$AL$56,MATCH(G$7&amp;"",'Inputs (2)'!$D$2:$AL$2,0)),"")</f>
        <v/>
      </c>
      <c r="H26" s="270" t="str">
        <f>IF(COUNT(D26:G26)=4,SUM(D26:G26),"")</f>
        <v/>
      </c>
      <c r="I26" s="269">
        <f>IFERROR(INDEX('Inputs (2)'!$D$56:$AL$56,MATCH(I$7&amp;"",'Inputs (2)'!$D$2:$AL$2,0)),"")</f>
        <v>-101</v>
      </c>
      <c r="J26" s="269">
        <f>IFERROR(INDEX('Inputs (2)'!$D$56:$AL$56,MATCH(J$7&amp;"",'Inputs (2)'!$D$2:$AL$2,0)),"")</f>
        <v>20</v>
      </c>
      <c r="K26" s="269">
        <f>IFERROR(INDEX('Inputs (2)'!$D$56:$AL$56,MATCH(K$7&amp;"",'Inputs (2)'!$D$2:$AL$2,0)),"")</f>
        <v>3</v>
      </c>
      <c r="L26" s="269">
        <f>IFERROR(INDEX('Inputs (2)'!$D$56:$AL$56,MATCH(L$7&amp;"",'Inputs (2)'!$D$2:$AL$2,0)),"")</f>
        <v>-51</v>
      </c>
      <c r="M26" s="270">
        <f>IF(COUNT(I26:L26)=4,SUM(I26:L26),"")</f>
        <v>-129</v>
      </c>
      <c r="N26" s="269">
        <f>IFERROR(INDEX('Inputs (2)'!$D$56:$AL$56,MATCH(N$7&amp;"",'Inputs (2)'!$D$2:$AL$2,0)),"")</f>
        <v>-72</v>
      </c>
      <c r="O26" s="269">
        <f>IFERROR(INDEX('Inputs (2)'!$D$56:$AL$56,MATCH(O$7&amp;"",'Inputs (2)'!$D$2:$AL$2,0)),"")</f>
        <v>97</v>
      </c>
      <c r="P26" s="269">
        <f>IFERROR(INDEX('Inputs (2)'!$D$56:$AL$56,MATCH(P$7&amp;"",'Inputs (2)'!$D$2:$AL$2,0)),"")</f>
        <v>104</v>
      </c>
      <c r="Q26" s="269">
        <f>IFERROR(INDEX('Inputs (2)'!$D$56:$AL$56,MATCH(Q$7&amp;"",'Inputs (2)'!$D$2:$AL$2,0)),"")</f>
        <v>159</v>
      </c>
      <c r="R26" s="270">
        <f>IF(COUNT(N26:Q26)=4,SUM(N26:Q26),"")</f>
        <v>288</v>
      </c>
      <c r="S26" s="269">
        <f>IFERROR(INDEX('Inputs (2)'!$D$56:$AL$56,MATCH(S$7&amp;"",'Inputs (2)'!$D$2:$AL$2,0)),"")</f>
        <v>168</v>
      </c>
      <c r="T26" s="269">
        <f>IFERROR(INDEX('Inputs (2)'!$D$56:$AL$56,MATCH(T$7&amp;"",'Inputs (2)'!$D$2:$AL$2,0)),"")</f>
        <v>278</v>
      </c>
      <c r="U26" s="269">
        <f>IFERROR(INDEX('Inputs (2)'!$D$56:$AL$56,MATCH(U$7&amp;"",'Inputs (2)'!$D$2:$AL$2,0)),"")</f>
        <v>381</v>
      </c>
      <c r="V26" s="269">
        <f>IFERROR(INDEX('Inputs (2)'!$D$56:$AL$56,MATCH(V$7&amp;"",'Inputs (2)'!$D$2:$AL$2,0)),"")</f>
        <v>314</v>
      </c>
      <c r="W26" s="270">
        <f>IF(COUNT(S26:V26)=4,SUM(S26:V26),"")</f>
        <v>1141</v>
      </c>
      <c r="X26" s="269">
        <f>IFERROR(INDEX('Inputs (2)'!$D$56:$AL$56,MATCH(X$7&amp;"",'Inputs (2)'!$D$2:$AL$2,0)),"")</f>
        <v>403</v>
      </c>
      <c r="Y26" s="269">
        <f>IFERROR(INDEX('Inputs (2)'!$D$56:$AL$56,MATCH(Y$7&amp;"",'Inputs (2)'!$D$2:$AL$2,0)),"")</f>
        <v>740</v>
      </c>
      <c r="Z26" s="269">
        <f>IFERROR(INDEX('Inputs (2)'!$D$56:$AL$56,MATCH(Z$7&amp;"",'Inputs (2)'!$D$2:$AL$2,0)),"")</f>
        <v>725</v>
      </c>
      <c r="AA26" s="269">
        <f>IFERROR(INDEX('Inputs (2)'!$D$56:$AL$56,MATCH(AA$7&amp;"",'Inputs (2)'!$D$2:$AL$2,0)),"")</f>
        <v>772</v>
      </c>
      <c r="AB26" s="270">
        <f>IF(COUNT(X26:AA26)=4,SUM(X26:AA26),"")</f>
        <v>2640</v>
      </c>
      <c r="AC26" s="269">
        <f>IFERROR(INDEX('Inputs (2)'!$D$56:$AL$56,MATCH(AC$7&amp;"",'Inputs (2)'!$D$2:$AL$2,0)),"")</f>
        <v>785</v>
      </c>
      <c r="AD26" s="269">
        <f>IFERROR(INDEX('Inputs (2)'!$D$56:$AL$56,MATCH(AD$7&amp;"",'Inputs (2)'!$D$2:$AL$2,0)),"")</f>
        <v>846</v>
      </c>
      <c r="AE26" s="269">
        <f>IFERROR(INDEX('Inputs (2)'!$D$56:$AL$56,MATCH(AE$7&amp;"",'Inputs (2)'!$D$2:$AL$2,0)),"")</f>
        <v>1073</v>
      </c>
      <c r="AF26" s="269">
        <f>IFERROR(INDEX('Inputs (2)'!$D$56:$AL$56,MATCH(AF$7&amp;"",'Inputs (2)'!$D$2:$AL$2,0)),"")</f>
        <v>1098</v>
      </c>
      <c r="AG26" s="270">
        <f>IF(COUNT(AC26:AF26)=4,SUM(AC26:AF26),"")</f>
        <v>3802</v>
      </c>
      <c r="AH26" s="270">
        <f>IFERROR(INDEX('Inputs (2)'!$D$56:$AL$56,MATCH(AH$7&amp;"",'Inputs (2)'!$D$2:$AL$2,0)),"")</f>
        <v>952</v>
      </c>
      <c r="AI26" s="270">
        <f>IFERROR(INDEX('Inputs (2)'!$D$56:$AL$56,MATCH(AI$7&amp;"",'Inputs (2)'!$D$2:$AL$2,0)),"")</f>
        <v>640</v>
      </c>
    </row>
    <row r="27">
      <c r="C27" s="268" t="inlineStr">
        <is>
          <t xml:space="preserve">   Margem bruta Automotivo</t>
        </is>
      </c>
      <c r="D27" s="272" t="str">
        <f>IFERROR(D25/D19,"")</f>
        <v/>
      </c>
      <c r="E27" s="272" t="str">
        <f>IFERROR(E25/E19,"")</f>
        <v/>
      </c>
      <c r="F27" s="272" t="str">
        <f>IFERROR(F25/F19,"")</f>
        <v/>
      </c>
      <c r="G27" s="272" t="str">
        <f>IFERROR(G25/G19,"")</f>
        <v/>
      </c>
      <c r="H27" s="273" t="str">
        <f>IFERROR(H25/H19,"")</f>
        <v/>
      </c>
      <c r="I27" s="272">
        <f>IFERROR(I25/I19,"")</f>
        <v>0.234057604850935</v>
      </c>
      <c r="J27" s="272">
        <f>IFERROR(J25/J19,"")</f>
        <v>0.256699829703325</v>
      </c>
      <c r="K27" s="272">
        <f>IFERROR(K25/K19,"")</f>
        <v>0.282372017604818</v>
      </c>
      <c r="L27" s="272">
        <f>IFERROR(L25/L19,"")</f>
        <v>0.287593212377429</v>
      </c>
      <c r="M27" s="273">
        <f>IFERROR(M25/M19,"")</f>
        <v>0.269134302621782</v>
      </c>
      <c r="N27" s="272">
        <f>IFERROR(N25/N19,"")</f>
        <v>0.304961411245866</v>
      </c>
      <c r="O27" s="272">
        <f>IFERROR(O25/O19,"")</f>
        <v>0.257468259895444</v>
      </c>
      <c r="P27" s="272">
        <f>IFERROR(P25/P19,"")</f>
        <v>0.259526970546295</v>
      </c>
      <c r="Q27" s="272">
        <f>IFERROR(Q25/Q19,"")</f>
        <v>0.244175938803894</v>
      </c>
      <c r="R27" s="273">
        <f>IFERROR(R25/R19,"")</f>
        <v>0.265173494255541</v>
      </c>
      <c r="S27" s="272">
        <f>IFERROR(S25/S19,"")</f>
        <v>0.199220183486239</v>
      </c>
      <c r="T27" s="272">
        <f>IFERROR(T25/T19,"")</f>
        <v>0.181697839268938</v>
      </c>
      <c r="U27" s="272">
        <f>IFERROR(U25/U19,"")</f>
        <v>0.174246248451195</v>
      </c>
      <c r="V27" s="272">
        <f>IFERROR(V25/V19,"")</f>
        <v>0.173795777318893</v>
      </c>
      <c r="W27" s="273">
        <f>IFERROR(W25/W19,"")</f>
        <v>0.182051621151006</v>
      </c>
      <c r="X27" s="272">
        <f>IFERROR(X25/X19,"")</f>
        <v>0.167446354113699</v>
      </c>
      <c r="Y27" s="272">
        <f>IFERROR(Y25/Y19,"")</f>
        <v>0.170683981143823</v>
      </c>
      <c r="Z27" s="272">
        <f>IFERROR(Z25/Z19,"")</f>
        <v>0.187319126545646</v>
      </c>
      <c r="AA27" s="272">
        <f>IFERROR(AA25/AA19,"")</f>
        <v>0.150445994877683</v>
      </c>
      <c r="AB27" s="273">
        <f>IFERROR(AB25/AB19,"")</f>
        <v>0.169056207479111</v>
      </c>
      <c r="AC27" s="272">
        <f>IFERROR(AC25/AC19,"")</f>
        <v>0.142607648298705</v>
      </c>
      <c r="AD27" s="272">
        <f>IFERROR(AD25/AD19,"")</f>
        <v>0.153853960521642</v>
      </c>
      <c r="AE27" s="272">
        <f>IFERROR(AE25/AE19,"")</f>
        <v>0.161304700162075</v>
      </c>
      <c r="AF27" s="272">
        <f>IFERROR(AF25/AF19,"")</f>
        <v>0.185672236992024</v>
      </c>
      <c r="AG27" s="273">
        <f>IFERROR(AG25/AG19,"")</f>
        <v>0.161986935751194</v>
      </c>
      <c r="AH27" s="273">
        <f>IFERROR(AH25/AH19,"")</f>
        <v>0.188598027929326</v>
      </c>
      <c r="AI27" s="273">
        <f>IFERROR(AI25/AI19,"")</f>
        <v>0.163804438777543</v>
      </c>
    </row>
    <row r="28">
      <c r="C28" s="268" t="inlineStr">
        <is>
          <t xml:space="preserve">   Margem bruta Energia</t>
        </is>
      </c>
      <c r="D28" s="272" t="str">
        <f>IFERROR(D26/D20,"")</f>
        <v/>
      </c>
      <c r="E28" s="272" t="str">
        <f>IFERROR(E26/E20,"")</f>
        <v/>
      </c>
      <c r="F28" s="272" t="str">
        <f>IFERROR(F26/F20,"")</f>
        <v/>
      </c>
      <c r="G28" s="272" t="str">
        <f>IFERROR(G26/G20,"")</f>
        <v/>
      </c>
      <c r="H28" s="273" t="str">
        <f>IFERROR(H26/H20,"")</f>
        <v/>
      </c>
      <c r="I28" s="272">
        <f>IFERROR(I26/I20,"")</f>
        <v>-0.204453441295547</v>
      </c>
      <c r="J28" s="272">
        <f>IFERROR(J26/J20,"")</f>
        <v>0.0249687890137328</v>
      </c>
      <c r="K28" s="272">
        <f>IFERROR(K26/K20,"")</f>
        <v>0.00372208436724566</v>
      </c>
      <c r="L28" s="272">
        <f>IFERROR(L26/L20,"")</f>
        <v>-0.0741279069767442</v>
      </c>
      <c r="M28" s="273">
        <f>IFERROR(M26/M20,"")</f>
        <v>-0.0462531373252062</v>
      </c>
      <c r="N28" s="272">
        <f>IFERROR(N26/N20,"")</f>
        <v>-0.116883116883117</v>
      </c>
      <c r="O28" s="272">
        <f>IFERROR(O26/O20,"")</f>
        <v>0.112009237875289</v>
      </c>
      <c r="P28" s="272">
        <f>IFERROR(P26/P20,"")</f>
        <v>0.0931065353625783</v>
      </c>
      <c r="Q28" s="272">
        <f>IFERROR(Q26/Q20,"")</f>
        <v>0.121374045801527</v>
      </c>
      <c r="R28" s="273">
        <f>IFERROR(R26/R20,"")</f>
        <v>0.0736761320030698</v>
      </c>
      <c r="S28" s="272">
        <f>IFERROR(S26/S20,"")</f>
        <v>0.109875735775016</v>
      </c>
      <c r="T28" s="272">
        <f>IFERROR(T26/T20,"")</f>
        <v>0.184227965540093</v>
      </c>
      <c r="U28" s="272">
        <f>IFERROR(U26/U20,"")</f>
        <v>0.244387427838358</v>
      </c>
      <c r="V28" s="272">
        <f>IFERROR(V26/V20,"")</f>
        <v>0.218358831710709</v>
      </c>
      <c r="W28" s="273">
        <f>IFERROR(W26/W20,"")</f>
        <v>0.189063794531897</v>
      </c>
      <c r="X28" s="272">
        <f>IFERROR(X26/X20,"")</f>
        <v>0.246483180428135</v>
      </c>
      <c r="Y28" s="272">
        <f>IFERROR(Y26/Y20,"")</f>
        <v>0.245520902455209</v>
      </c>
      <c r="Z28" s="272">
        <f>IFERROR(Z26/Z20,"")</f>
        <v>0.30513468013468</v>
      </c>
      <c r="AA28" s="272">
        <f>IFERROR(AA26/AA20,"")</f>
        <v>0.252205161711859</v>
      </c>
      <c r="AB28" s="273">
        <f>IFERROR(AB26/AB20,"")</f>
        <v>0.261748958953004</v>
      </c>
      <c r="AC28" s="272">
        <f>IFERROR(AC26/AC20,"")</f>
        <v>0.287545787545788</v>
      </c>
      <c r="AD28" s="272">
        <f>IFERROR(AD26/AD20,"")</f>
        <v>0.30333452850484</v>
      </c>
      <c r="AE28" s="272">
        <f>IFERROR(AE26/AE20,"")</f>
        <v>0.314202049780381</v>
      </c>
      <c r="AF28" s="272">
        <f>IFERROR(AF26/AF20,"")</f>
        <v>0.286161063330727</v>
      </c>
      <c r="AG28" s="273">
        <f>IFERROR(AG26/AG20,"")</f>
        <v>0.297705739566205</v>
      </c>
      <c r="AH28" s="273">
        <f>IFERROR(AH26/AH20,"")</f>
        <v>0.395348837209302</v>
      </c>
      <c r="AI28" s="273">
        <f>IFERROR(AI26/AI20,"")</f>
        <v>0.203886588085378</v>
      </c>
    </row>
    <row r="29"/>
    <row r="30">
      <c r="C30" s="267" t="inlineStr">
        <is>
          <t>Receita automotiva por linha (USD milhões)</t>
        </is>
      </c>
      <c r="D30" s="267">
        <f>D7</f>
        <v>0</v>
      </c>
      <c r="E30" s="267">
        <f>E7</f>
        <v>0</v>
      </c>
      <c r="F30" s="267">
        <f>F7</f>
        <v>0</v>
      </c>
      <c r="G30" s="267">
        <f>G7</f>
        <v>0</v>
      </c>
      <c r="H30" s="267">
        <f>H7</f>
        <v>2020</v>
      </c>
      <c r="I30" s="267" t="str">
        <f>I7</f>
        <v>1Q21</v>
      </c>
      <c r="J30" s="267" t="str">
        <f>J7</f>
        <v>2Q21</v>
      </c>
      <c r="K30" s="267" t="str">
        <f>K7</f>
        <v>3Q21</v>
      </c>
      <c r="L30" s="267" t="str">
        <f>L7</f>
        <v>4Q21</v>
      </c>
      <c r="M30" s="267">
        <f>M7</f>
        <v>2021</v>
      </c>
      <c r="N30" s="267" t="str">
        <f>N7</f>
        <v>1Q22</v>
      </c>
      <c r="O30" s="267" t="str">
        <f>O7</f>
        <v>2Q22</v>
      </c>
      <c r="P30" s="267" t="str">
        <f>P7</f>
        <v>3Q22</v>
      </c>
      <c r="Q30" s="267" t="str">
        <f>Q7</f>
        <v>4Q22</v>
      </c>
      <c r="R30" s="267">
        <f>R7</f>
        <v>2022</v>
      </c>
      <c r="S30" s="267" t="str">
        <f>S7</f>
        <v>1Q23</v>
      </c>
      <c r="T30" s="267" t="str">
        <f>T7</f>
        <v>2Q23</v>
      </c>
      <c r="U30" s="267" t="str">
        <f>U7</f>
        <v>3Q23</v>
      </c>
      <c r="V30" s="267" t="str">
        <f>V7</f>
        <v>4Q23</v>
      </c>
      <c r="W30" s="267">
        <f>W7</f>
        <v>2023</v>
      </c>
      <c r="X30" s="267" t="str">
        <f>X7</f>
        <v>1Q24</v>
      </c>
      <c r="Y30" s="267" t="str">
        <f>Y7</f>
        <v>2Q24</v>
      </c>
      <c r="Z30" s="267" t="str">
        <f>Z7</f>
        <v>3Q24</v>
      </c>
      <c r="AA30" s="267" t="str">
        <f>AA7</f>
        <v>4Q24</v>
      </c>
      <c r="AB30" s="267">
        <f>AB7</f>
        <v>2024</v>
      </c>
      <c r="AC30" s="267" t="str">
        <f>AC7</f>
        <v>1Q25</v>
      </c>
      <c r="AD30" s="267" t="str">
        <f>AD7</f>
        <v>2Q25</v>
      </c>
      <c r="AE30" s="267" t="str">
        <f>AE7</f>
        <v>3Q25</v>
      </c>
      <c r="AF30" s="267" t="str">
        <f>AF7</f>
        <v>4Q25</v>
      </c>
      <c r="AG30" s="267">
        <f>AG7</f>
        <v>2025</v>
      </c>
      <c r="AH30" s="267" t="str">
        <f>AH7</f>
        <v>1Q26</v>
      </c>
      <c r="AI30" s="267" t="str">
        <f>AI7</f>
        <v>2Q26</v>
      </c>
    </row>
    <row r="31">
      <c r="C31" s="268" t="inlineStr">
        <is>
          <t xml:space="preserve">   Vendas de veículos</t>
        </is>
      </c>
      <c r="D31" s="269" t="str">
        <f>IFERROR(INDEX('Inputs (2)'!$D$57:$AL$57,MATCH(D$7&amp;"",'Inputs (2)'!$D$2:$AL$2,0)),"")</f>
        <v/>
      </c>
      <c r="E31" s="269" t="str">
        <f>IFERROR(INDEX('Inputs (2)'!$D$57:$AL$57,MATCH(E$7&amp;"",'Inputs (2)'!$D$2:$AL$2,0)),"")</f>
        <v/>
      </c>
      <c r="F31" s="269" t="str">
        <f>IFERROR(INDEX('Inputs (2)'!$D$57:$AL$57,MATCH(F$7&amp;"",'Inputs (2)'!$D$2:$AL$2,0)),"")</f>
        <v/>
      </c>
      <c r="G31" s="269" t="str">
        <f>IFERROR(INDEX('Inputs (2)'!$D$57:$AL$57,MATCH(G$7&amp;"",'Inputs (2)'!$D$2:$AL$2,0)),"")</f>
        <v/>
      </c>
      <c r="H31" s="270" t="str">
        <f>IF(COUNT(D31:G31)=4,SUM(D31:G31),"")</f>
        <v/>
      </c>
      <c r="I31" s="269">
        <f>IFERROR(INDEX('Inputs (2)'!$D$57:$AL$57,MATCH(I$7&amp;"",'Inputs (2)'!$D$2:$AL$2,0)),"")</f>
        <v>8187</v>
      </c>
      <c r="J31" s="269">
        <f>IFERROR(INDEX('Inputs (2)'!$D$57:$AL$57,MATCH(J$7&amp;"",'Inputs (2)'!$D$2:$AL$2,0)),"")</f>
        <v>9520</v>
      </c>
      <c r="K31" s="269">
        <f>IFERROR(INDEX('Inputs (2)'!$D$57:$AL$57,MATCH(K$7&amp;"",'Inputs (2)'!$D$2:$AL$2,0)),"")</f>
        <v>11393</v>
      </c>
      <c r="L31" s="269">
        <f>IFERROR(INDEX('Inputs (2)'!$D$57:$AL$57,MATCH(L$7&amp;"",'Inputs (2)'!$D$2:$AL$2,0)),"")</f>
        <v>15025</v>
      </c>
      <c r="M31" s="270">
        <f>IF(COUNT(I31:L31)=4,SUM(I31:L31),"")</f>
        <v>44125</v>
      </c>
      <c r="N31" s="269">
        <f>IFERROR(INDEX('Inputs (2)'!$D$57:$AL$57,MATCH(N$7&amp;"",'Inputs (2)'!$D$2:$AL$2,0)),"")</f>
        <v>15514</v>
      </c>
      <c r="O31" s="269">
        <f>IFERROR(INDEX('Inputs (2)'!$D$57:$AL$57,MATCH(O$7&amp;"",'Inputs (2)'!$D$2:$AL$2,0)),"")</f>
        <v>13670</v>
      </c>
      <c r="P31" s="269">
        <f>IFERROR(INDEX('Inputs (2)'!$D$57:$AL$57,MATCH(P$7&amp;"",'Inputs (2)'!$D$2:$AL$2,0)),"")</f>
        <v>17785</v>
      </c>
      <c r="Q31" s="269">
        <f>IFERROR(INDEX('Inputs (2)'!$D$57:$AL$57,MATCH(Q$7&amp;"",'Inputs (2)'!$D$2:$AL$2,0)),"")</f>
        <v>20241</v>
      </c>
      <c r="R31" s="270">
        <f>IF(COUNT(N31:Q31)=4,SUM(N31:Q31),"")</f>
        <v>67210</v>
      </c>
      <c r="S31" s="269">
        <f>IFERROR(INDEX('Inputs (2)'!$D$57:$AL$57,MATCH(S$7&amp;"",'Inputs (2)'!$D$2:$AL$2,0)),"")</f>
        <v>18878</v>
      </c>
      <c r="T31" s="269">
        <f>IFERROR(INDEX('Inputs (2)'!$D$57:$AL$57,MATCH(T$7&amp;"",'Inputs (2)'!$D$2:$AL$2,0)),"")</f>
        <v>20419</v>
      </c>
      <c r="U31" s="269">
        <f>IFERROR(INDEX('Inputs (2)'!$D$57:$AL$57,MATCH(U$7&amp;"",'Inputs (2)'!$D$2:$AL$2,0)),"")</f>
        <v>18582</v>
      </c>
      <c r="V31" s="269">
        <f>IFERROR(INDEX('Inputs (2)'!$D$57:$AL$57,MATCH(V$7&amp;"",'Inputs (2)'!$D$2:$AL$2,0)),"")</f>
        <v>20630</v>
      </c>
      <c r="W31" s="270">
        <f>IF(COUNT(S31:V31)=4,SUM(S31:V31),"")</f>
        <v>78509</v>
      </c>
      <c r="X31" s="269">
        <f>IFERROR(INDEX('Inputs (2)'!$D$57:$AL$57,MATCH(X$7&amp;"",'Inputs (2)'!$D$2:$AL$2,0)),"")</f>
        <v>16460</v>
      </c>
      <c r="Y31" s="269">
        <f>IFERROR(INDEX('Inputs (2)'!$D$57:$AL$57,MATCH(Y$7&amp;"",'Inputs (2)'!$D$2:$AL$2,0)),"")</f>
        <v>18530</v>
      </c>
      <c r="Z31" s="269">
        <f>IFERROR(INDEX('Inputs (2)'!$D$57:$AL$57,MATCH(Z$7&amp;"",'Inputs (2)'!$D$2:$AL$2,0)),"")</f>
        <v>18831</v>
      </c>
      <c r="AA31" s="269">
        <f>IFERROR(INDEX('Inputs (2)'!$D$57:$AL$57,MATCH(AA$7&amp;"",'Inputs (2)'!$D$2:$AL$2,0)),"")</f>
        <v>18659</v>
      </c>
      <c r="AB31" s="270">
        <f>IF(COUNT(X31:AA31)=4,SUM(X31:AA31),"")</f>
        <v>72480</v>
      </c>
      <c r="AC31" s="269">
        <f>IFERROR(INDEX('Inputs (2)'!$D$57:$AL$57,MATCH(AC$7&amp;"",'Inputs (2)'!$D$2:$AL$2,0)),"")</f>
        <v>12925</v>
      </c>
      <c r="AD31" s="269">
        <f>IFERROR(INDEX('Inputs (2)'!$D$57:$AL$57,MATCH(AD$7&amp;"",'Inputs (2)'!$D$2:$AL$2,0)),"")</f>
        <v>15787</v>
      </c>
      <c r="AE31" s="269">
        <f>IFERROR(INDEX('Inputs (2)'!$D$57:$AL$57,MATCH(AE$7&amp;"",'Inputs (2)'!$D$2:$AL$2,0)),"")</f>
        <v>20359</v>
      </c>
      <c r="AF31" s="269">
        <f>IFERROR(INDEX('Inputs (2)'!$D$57:$AL$57,MATCH(AF$7&amp;"",'Inputs (2)'!$D$2:$AL$2,0)),"")</f>
        <v>16750</v>
      </c>
      <c r="AG31" s="270">
        <f>IF(COUNT(AC31:AF31)=4,SUM(AC31:AF31),"")</f>
        <v>65821</v>
      </c>
      <c r="AH31" s="270">
        <f>IFERROR(INDEX('Inputs (2)'!$D$57:$AL$57,MATCH(AH$7&amp;"",'Inputs (2)'!$D$2:$AL$2,0)),"")</f>
        <v>15473</v>
      </c>
      <c r="AI31" s="270">
        <f>IFERROR(INDEX('Inputs (2)'!$D$57:$AL$57,MATCH(AI$7&amp;"",'Inputs (2)'!$D$2:$AL$2,0)),"")</f>
        <v>20006</v>
      </c>
    </row>
    <row r="32">
      <c r="C32" s="268" t="inlineStr">
        <is>
          <t xml:space="preserve">   Créditos regulatórios</t>
        </is>
      </c>
      <c r="D32" s="269" t="str">
        <f>IFERROR(INDEX('Inputs (2)'!$D$58:$AL$58,MATCH(D$7&amp;"",'Inputs (2)'!$D$2:$AL$2,0)),"")</f>
        <v/>
      </c>
      <c r="E32" s="269" t="str">
        <f>IFERROR(INDEX('Inputs (2)'!$D$58:$AL$58,MATCH(E$7&amp;"",'Inputs (2)'!$D$2:$AL$2,0)),"")</f>
        <v/>
      </c>
      <c r="F32" s="269" t="str">
        <f>IFERROR(INDEX('Inputs (2)'!$D$58:$AL$58,MATCH(F$7&amp;"",'Inputs (2)'!$D$2:$AL$2,0)),"")</f>
        <v/>
      </c>
      <c r="G32" s="269" t="str">
        <f>IFERROR(INDEX('Inputs (2)'!$D$58:$AL$58,MATCH(G$7&amp;"",'Inputs (2)'!$D$2:$AL$2,0)),"")</f>
        <v/>
      </c>
      <c r="H32" s="270" t="str">
        <f>IF(COUNT(D32:G32)=4,SUM(D32:G32),"")</f>
        <v/>
      </c>
      <c r="I32" s="269">
        <f>IFERROR(INDEX('Inputs (2)'!$D$58:$AL$58,MATCH(I$7&amp;"",'Inputs (2)'!$D$2:$AL$2,0)),"")</f>
        <v>518</v>
      </c>
      <c r="J32" s="269">
        <f>IFERROR(INDEX('Inputs (2)'!$D$58:$AL$58,MATCH(J$7&amp;"",'Inputs (2)'!$D$2:$AL$2,0)),"")</f>
        <v>354</v>
      </c>
      <c r="K32" s="269">
        <f>IFERROR(INDEX('Inputs (2)'!$D$58:$AL$58,MATCH(K$7&amp;"",'Inputs (2)'!$D$2:$AL$2,0)),"")</f>
        <v>279</v>
      </c>
      <c r="L32" s="269">
        <f>IFERROR(INDEX('Inputs (2)'!$D$58:$AL$58,MATCH(L$7&amp;"",'Inputs (2)'!$D$2:$AL$2,0)),"")</f>
        <v>314</v>
      </c>
      <c r="M32" s="270">
        <f>IF(COUNT(I32:L32)=4,SUM(I32:L32),"")</f>
        <v>1465</v>
      </c>
      <c r="N32" s="269">
        <f>IFERROR(INDEX('Inputs (2)'!$D$58:$AL$58,MATCH(N$7&amp;"",'Inputs (2)'!$D$2:$AL$2,0)),"")</f>
        <v>679</v>
      </c>
      <c r="O32" s="269">
        <f>IFERROR(INDEX('Inputs (2)'!$D$58:$AL$58,MATCH(O$7&amp;"",'Inputs (2)'!$D$2:$AL$2,0)),"")</f>
        <v>344</v>
      </c>
      <c r="P32" s="269">
        <f>IFERROR(INDEX('Inputs (2)'!$D$58:$AL$58,MATCH(P$7&amp;"",'Inputs (2)'!$D$2:$AL$2,0)),"")</f>
        <v>286</v>
      </c>
      <c r="Q32" s="269">
        <f>IFERROR(INDEX('Inputs (2)'!$D$58:$AL$58,MATCH(Q$7&amp;"",'Inputs (2)'!$D$2:$AL$2,0)),"")</f>
        <v>467</v>
      </c>
      <c r="R32" s="270">
        <f>IF(COUNT(N32:Q32)=4,SUM(N32:Q32),"")</f>
        <v>1776</v>
      </c>
      <c r="S32" s="269">
        <f>IFERROR(INDEX('Inputs (2)'!$D$58:$AL$58,MATCH(S$7&amp;"",'Inputs (2)'!$D$2:$AL$2,0)),"")</f>
        <v>521</v>
      </c>
      <c r="T32" s="269">
        <f>IFERROR(INDEX('Inputs (2)'!$D$58:$AL$58,MATCH(T$7&amp;"",'Inputs (2)'!$D$2:$AL$2,0)),"")</f>
        <v>282</v>
      </c>
      <c r="U32" s="269">
        <f>IFERROR(INDEX('Inputs (2)'!$D$58:$AL$58,MATCH(U$7&amp;"",'Inputs (2)'!$D$2:$AL$2,0)),"")</f>
        <v>554</v>
      </c>
      <c r="V32" s="269">
        <f>IFERROR(INDEX('Inputs (2)'!$D$58:$AL$58,MATCH(V$7&amp;"",'Inputs (2)'!$D$2:$AL$2,0)),"")</f>
        <v>433</v>
      </c>
      <c r="W32" s="270">
        <f>IF(COUNT(S32:V32)=4,SUM(S32:V32),"")</f>
        <v>1790</v>
      </c>
      <c r="X32" s="269">
        <f>IFERROR(INDEX('Inputs (2)'!$D$58:$AL$58,MATCH(X$7&amp;"",'Inputs (2)'!$D$2:$AL$2,0)),"")</f>
        <v>442</v>
      </c>
      <c r="Y32" s="269">
        <f>IFERROR(INDEX('Inputs (2)'!$D$58:$AL$58,MATCH(Y$7&amp;"",'Inputs (2)'!$D$2:$AL$2,0)),"")</f>
        <v>890</v>
      </c>
      <c r="Z32" s="269">
        <f>IFERROR(INDEX('Inputs (2)'!$D$58:$AL$58,MATCH(Z$7&amp;"",'Inputs (2)'!$D$2:$AL$2,0)),"")</f>
        <v>739</v>
      </c>
      <c r="AA32" s="269">
        <f>IFERROR(INDEX('Inputs (2)'!$D$58:$AL$58,MATCH(AA$7&amp;"",'Inputs (2)'!$D$2:$AL$2,0)),"")</f>
        <v>692</v>
      </c>
      <c r="AB32" s="270">
        <f>IF(COUNT(X32:AA32)=4,SUM(X32:AA32),"")</f>
        <v>2763</v>
      </c>
      <c r="AC32" s="269">
        <f>IFERROR(INDEX('Inputs (2)'!$D$58:$AL$58,MATCH(AC$7&amp;"",'Inputs (2)'!$D$2:$AL$2,0)),"")</f>
        <v>595</v>
      </c>
      <c r="AD32" s="269">
        <f>IFERROR(INDEX('Inputs (2)'!$D$58:$AL$58,MATCH(AD$7&amp;"",'Inputs (2)'!$D$2:$AL$2,0)),"")</f>
        <v>439</v>
      </c>
      <c r="AE32" s="269">
        <f>IFERROR(INDEX('Inputs (2)'!$D$58:$AL$58,MATCH(AE$7&amp;"",'Inputs (2)'!$D$2:$AL$2,0)),"")</f>
        <v>417</v>
      </c>
      <c r="AF32" s="269">
        <f>IFERROR(INDEX('Inputs (2)'!$D$58:$AL$58,MATCH(AF$7&amp;"",'Inputs (2)'!$D$2:$AL$2,0)),"")</f>
        <v>542</v>
      </c>
      <c r="AG32" s="270">
        <f>IF(COUNT(AC32:AF32)=4,SUM(AC32:AF32),"")</f>
        <v>1993</v>
      </c>
      <c r="AH32" s="270">
        <f>IFERROR(INDEX('Inputs (2)'!$D$58:$AL$58,MATCH(AH$7&amp;"",'Inputs (2)'!$D$2:$AL$2,0)),"")</f>
        <v>380</v>
      </c>
      <c r="AI32" s="270">
        <f>IFERROR(INDEX('Inputs (2)'!$D$58:$AL$58,MATCH(AI$7&amp;"",'Inputs (2)'!$D$2:$AL$2,0)),"")</f>
        <v>146</v>
      </c>
    </row>
    <row r="33">
      <c r="C33" s="268" t="inlineStr">
        <is>
          <t xml:space="preserve">   Leasing</t>
        </is>
      </c>
      <c r="D33" s="269" t="str">
        <f>IFERROR(INDEX('Inputs (2)'!$D$59:$AL$59,MATCH(D$7&amp;"",'Inputs (2)'!$D$2:$AL$2,0)),"")</f>
        <v/>
      </c>
      <c r="E33" s="269" t="str">
        <f>IFERROR(INDEX('Inputs (2)'!$D$59:$AL$59,MATCH(E$7&amp;"",'Inputs (2)'!$D$2:$AL$2,0)),"")</f>
        <v/>
      </c>
      <c r="F33" s="269" t="str">
        <f>IFERROR(INDEX('Inputs (2)'!$D$59:$AL$59,MATCH(F$7&amp;"",'Inputs (2)'!$D$2:$AL$2,0)),"")</f>
        <v/>
      </c>
      <c r="G33" s="269" t="str">
        <f>IFERROR(INDEX('Inputs (2)'!$D$59:$AL$59,MATCH(G$7&amp;"",'Inputs (2)'!$D$2:$AL$2,0)),"")</f>
        <v/>
      </c>
      <c r="H33" s="270" t="str">
        <f>IF(COUNT(D33:G33)=4,SUM(D33:G33),"")</f>
        <v/>
      </c>
      <c r="I33" s="269">
        <f>IFERROR(INDEX('Inputs (2)'!$D$59:$AL$59,MATCH(I$7&amp;"",'Inputs (2)'!$D$2:$AL$2,0)),"")</f>
        <v>297</v>
      </c>
      <c r="J33" s="269">
        <f>IFERROR(INDEX('Inputs (2)'!$D$59:$AL$59,MATCH(J$7&amp;"",'Inputs (2)'!$D$2:$AL$2,0)),"")</f>
        <v>332</v>
      </c>
      <c r="K33" s="269">
        <f>IFERROR(INDEX('Inputs (2)'!$D$59:$AL$59,MATCH(K$7&amp;"",'Inputs (2)'!$D$2:$AL$2,0)),"")</f>
        <v>385</v>
      </c>
      <c r="L33" s="269">
        <f>IFERROR(INDEX('Inputs (2)'!$D$59:$AL$59,MATCH(L$7&amp;"",'Inputs (2)'!$D$2:$AL$2,0)),"")</f>
        <v>628</v>
      </c>
      <c r="M33" s="270">
        <f>IF(COUNT(I33:L33)=4,SUM(I33:L33),"")</f>
        <v>1642</v>
      </c>
      <c r="N33" s="269">
        <f>IFERROR(INDEX('Inputs (2)'!$D$59:$AL$59,MATCH(N$7&amp;"",'Inputs (2)'!$D$2:$AL$2,0)),"")</f>
        <v>668</v>
      </c>
      <c r="O33" s="269">
        <f>IFERROR(INDEX('Inputs (2)'!$D$59:$AL$59,MATCH(O$7&amp;"",'Inputs (2)'!$D$2:$AL$2,0)),"")</f>
        <v>588</v>
      </c>
      <c r="P33" s="269">
        <f>IFERROR(INDEX('Inputs (2)'!$D$59:$AL$59,MATCH(P$7&amp;"",'Inputs (2)'!$D$2:$AL$2,0)),"")</f>
        <v>621</v>
      </c>
      <c r="Q33" s="269">
        <f>IFERROR(INDEX('Inputs (2)'!$D$59:$AL$59,MATCH(Q$7&amp;"",'Inputs (2)'!$D$2:$AL$2,0)),"")</f>
        <v>599</v>
      </c>
      <c r="R33" s="270">
        <f>IF(COUNT(N33:Q33)=4,SUM(N33:Q33),"")</f>
        <v>2476</v>
      </c>
      <c r="S33" s="269">
        <f>IFERROR(INDEX('Inputs (2)'!$D$59:$AL$59,MATCH(S$7&amp;"",'Inputs (2)'!$D$2:$AL$2,0)),"")</f>
        <v>564</v>
      </c>
      <c r="T33" s="269">
        <f>IFERROR(INDEX('Inputs (2)'!$D$59:$AL$59,MATCH(T$7&amp;"",'Inputs (2)'!$D$2:$AL$2,0)),"")</f>
        <v>567</v>
      </c>
      <c r="U33" s="269">
        <f>IFERROR(INDEX('Inputs (2)'!$D$59:$AL$59,MATCH(U$7&amp;"",'Inputs (2)'!$D$2:$AL$2,0)),"")</f>
        <v>489</v>
      </c>
      <c r="V33" s="269">
        <f>IFERROR(INDEX('Inputs (2)'!$D$59:$AL$59,MATCH(V$7&amp;"",'Inputs (2)'!$D$2:$AL$2,0)),"")</f>
        <v>500</v>
      </c>
      <c r="W33" s="270">
        <f>IF(COUNT(S33:V33)=4,SUM(S33:V33),"")</f>
        <v>2120</v>
      </c>
      <c r="X33" s="269">
        <f>IFERROR(INDEX('Inputs (2)'!$D$59:$AL$59,MATCH(X$7&amp;"",'Inputs (2)'!$D$2:$AL$2,0)),"")</f>
        <v>476</v>
      </c>
      <c r="Y33" s="269">
        <f>IFERROR(INDEX('Inputs (2)'!$D$59:$AL$59,MATCH(Y$7&amp;"",'Inputs (2)'!$D$2:$AL$2,0)),"")</f>
        <v>458</v>
      </c>
      <c r="Z33" s="269">
        <f>IFERROR(INDEX('Inputs (2)'!$D$59:$AL$59,MATCH(Z$7&amp;"",'Inputs (2)'!$D$2:$AL$2,0)),"")</f>
        <v>446</v>
      </c>
      <c r="AA33" s="269">
        <f>IFERROR(INDEX('Inputs (2)'!$D$59:$AL$59,MATCH(AA$7&amp;"",'Inputs (2)'!$D$2:$AL$2,0)),"")</f>
        <v>447</v>
      </c>
      <c r="AB33" s="270">
        <f>IF(COUNT(X33:AA33)=4,SUM(X33:AA33),"")</f>
        <v>1827</v>
      </c>
      <c r="AC33" s="269">
        <f>IFERROR(INDEX('Inputs (2)'!$D$59:$AL$59,MATCH(AC$7&amp;"",'Inputs (2)'!$D$2:$AL$2,0)),"")</f>
        <v>447</v>
      </c>
      <c r="AD33" s="269">
        <f>IFERROR(INDEX('Inputs (2)'!$D$59:$AL$59,MATCH(AD$7&amp;"",'Inputs (2)'!$D$2:$AL$2,0)),"")</f>
        <v>435</v>
      </c>
      <c r="AE33" s="269">
        <f>IFERROR(INDEX('Inputs (2)'!$D$59:$AL$59,MATCH(AE$7&amp;"",'Inputs (2)'!$D$2:$AL$2,0)),"")</f>
        <v>429</v>
      </c>
      <c r="AF33" s="269">
        <f>IFERROR(INDEX('Inputs (2)'!$D$59:$AL$59,MATCH(AF$7&amp;"",'Inputs (2)'!$D$2:$AL$2,0)),"")</f>
        <v>401</v>
      </c>
      <c r="AG33" s="270">
        <f>IF(COUNT(AC33:AF33)=4,SUM(AC33:AF33),"")</f>
        <v>1712</v>
      </c>
      <c r="AH33" s="270">
        <f>IFERROR(INDEX('Inputs (2)'!$D$59:$AL$59,MATCH(AH$7&amp;"",'Inputs (2)'!$D$2:$AL$2,0)),"")</f>
        <v>381</v>
      </c>
      <c r="AI33" s="270">
        <f>IFERROR(INDEX('Inputs (2)'!$D$59:$AL$59,MATCH(AI$7&amp;"",'Inputs (2)'!$D$2:$AL$2,0)),"")</f>
        <v>364</v>
      </c>
    </row>
    <row r="34">
      <c r="C34" s="268" t="inlineStr">
        <is>
          <t xml:space="preserve">   Serviços e outros</t>
        </is>
      </c>
      <c r="D34" s="269" t="str">
        <f>IFERROR(INDEX('Inputs (2)'!$D$60:$AL$60,MATCH(D$7&amp;"",'Inputs (2)'!$D$2:$AL$2,0)),"")</f>
        <v/>
      </c>
      <c r="E34" s="269" t="str">
        <f>IFERROR(INDEX('Inputs (2)'!$D$60:$AL$60,MATCH(E$7&amp;"",'Inputs (2)'!$D$2:$AL$2,0)),"")</f>
        <v/>
      </c>
      <c r="F34" s="269" t="str">
        <f>IFERROR(INDEX('Inputs (2)'!$D$60:$AL$60,MATCH(F$7&amp;"",'Inputs (2)'!$D$2:$AL$2,0)),"")</f>
        <v/>
      </c>
      <c r="G34" s="269" t="str">
        <f>IFERROR(INDEX('Inputs (2)'!$D$60:$AL$60,MATCH(G$7&amp;"",'Inputs (2)'!$D$2:$AL$2,0)),"")</f>
        <v/>
      </c>
      <c r="H34" s="270" t="str">
        <f>IF(COUNT(D34:G34)=4,SUM(D34:G34),"")</f>
        <v/>
      </c>
      <c r="I34" s="269">
        <f>IFERROR(INDEX('Inputs (2)'!$D$60:$AL$60,MATCH(I$7&amp;"",'Inputs (2)'!$D$2:$AL$2,0)),"")</f>
        <v>893</v>
      </c>
      <c r="J34" s="269">
        <f>IFERROR(INDEX('Inputs (2)'!$D$60:$AL$60,MATCH(J$7&amp;"",'Inputs (2)'!$D$2:$AL$2,0)),"")</f>
        <v>951</v>
      </c>
      <c r="K34" s="269">
        <f>IFERROR(INDEX('Inputs (2)'!$D$60:$AL$60,MATCH(K$7&amp;"",'Inputs (2)'!$D$2:$AL$2,0)),"")</f>
        <v>894</v>
      </c>
      <c r="L34" s="269">
        <f>IFERROR(INDEX('Inputs (2)'!$D$60:$AL$60,MATCH(L$7&amp;"",'Inputs (2)'!$D$2:$AL$2,0)),"")</f>
        <v>1064</v>
      </c>
      <c r="M34" s="270">
        <f>IF(COUNT(I34:L34)=4,SUM(I34:L34),"")</f>
        <v>3802</v>
      </c>
      <c r="N34" s="269">
        <f>IFERROR(INDEX('Inputs (2)'!$D$60:$AL$60,MATCH(N$7&amp;"",'Inputs (2)'!$D$2:$AL$2,0)),"")</f>
        <v>1279</v>
      </c>
      <c r="O34" s="269">
        <f>IFERROR(INDEX('Inputs (2)'!$D$60:$AL$60,MATCH(O$7&amp;"",'Inputs (2)'!$D$2:$AL$2,0)),"")</f>
        <v>1466</v>
      </c>
      <c r="P34" s="269">
        <f>IFERROR(INDEX('Inputs (2)'!$D$60:$AL$60,MATCH(P$7&amp;"",'Inputs (2)'!$D$2:$AL$2,0)),"")</f>
        <v>1645</v>
      </c>
      <c r="Q34" s="269">
        <f>IFERROR(INDEX('Inputs (2)'!$D$60:$AL$60,MATCH(Q$7&amp;"",'Inputs (2)'!$D$2:$AL$2,0)),"")</f>
        <v>1701</v>
      </c>
      <c r="R34" s="270">
        <f>IF(COUNT(N34:Q34)=4,SUM(N34:Q34),"")</f>
        <v>6091</v>
      </c>
      <c r="S34" s="269">
        <f>IFERROR(INDEX('Inputs (2)'!$D$60:$AL$60,MATCH(S$7&amp;"",'Inputs (2)'!$D$2:$AL$2,0)),"")</f>
        <v>1837</v>
      </c>
      <c r="T34" s="269">
        <f>IFERROR(INDEX('Inputs (2)'!$D$60:$AL$60,MATCH(T$7&amp;"",'Inputs (2)'!$D$2:$AL$2,0)),"")</f>
        <v>2150</v>
      </c>
      <c r="U34" s="269">
        <f>IFERROR(INDEX('Inputs (2)'!$D$60:$AL$60,MATCH(U$7&amp;"",'Inputs (2)'!$D$2:$AL$2,0)),"")</f>
        <v>2166</v>
      </c>
      <c r="V34" s="269">
        <f>IFERROR(INDEX('Inputs (2)'!$D$60:$AL$60,MATCH(V$7&amp;"",'Inputs (2)'!$D$2:$AL$2,0)),"")</f>
        <v>2166</v>
      </c>
      <c r="W34" s="270">
        <f>IF(COUNT(S34:V34)=4,SUM(S34:V34),"")</f>
        <v>8319</v>
      </c>
      <c r="X34" s="269">
        <f>IFERROR(INDEX('Inputs (2)'!$D$60:$AL$60,MATCH(X$7&amp;"",'Inputs (2)'!$D$2:$AL$2,0)),"")</f>
        <v>2288</v>
      </c>
      <c r="Y34" s="269">
        <f>IFERROR(INDEX('Inputs (2)'!$D$60:$AL$60,MATCH(Y$7&amp;"",'Inputs (2)'!$D$2:$AL$2,0)),"")</f>
        <v>2608</v>
      </c>
      <c r="Z34" s="269">
        <f>IFERROR(INDEX('Inputs (2)'!$D$60:$AL$60,MATCH(Z$7&amp;"",'Inputs (2)'!$D$2:$AL$2,0)),"")</f>
        <v>2790</v>
      </c>
      <c r="AA34" s="269">
        <f>IFERROR(INDEX('Inputs (2)'!$D$60:$AL$60,MATCH(AA$7&amp;"",'Inputs (2)'!$D$2:$AL$2,0)),"")</f>
        <v>2848</v>
      </c>
      <c r="AB34" s="270">
        <f>IF(COUNT(X34:AA34)=4,SUM(X34:AA34),"")</f>
        <v>10534</v>
      </c>
      <c r="AC34" s="269">
        <f>IFERROR(INDEX('Inputs (2)'!$D$60:$AL$60,MATCH(AC$7&amp;"",'Inputs (2)'!$D$2:$AL$2,0)),"")</f>
        <v>2638</v>
      </c>
      <c r="AD34" s="269">
        <f>IFERROR(INDEX('Inputs (2)'!$D$60:$AL$60,MATCH(AD$7&amp;"",'Inputs (2)'!$D$2:$AL$2,0)),"")</f>
        <v>3046</v>
      </c>
      <c r="AE34" s="269">
        <f>IFERROR(INDEX('Inputs (2)'!$D$60:$AL$60,MATCH(AE$7&amp;"",'Inputs (2)'!$D$2:$AL$2,0)),"")</f>
        <v>3475</v>
      </c>
      <c r="AF34" s="269">
        <f>IFERROR(INDEX('Inputs (2)'!$D$60:$AL$60,MATCH(AF$7&amp;"",'Inputs (2)'!$D$2:$AL$2,0)),"")</f>
        <v>3371</v>
      </c>
      <c r="AG34" s="270">
        <f>IF(COUNT(AC34:AF34)=4,SUM(AC34:AF34),"")</f>
        <v>12530</v>
      </c>
      <c r="AH34" s="270">
        <f>IFERROR(INDEX('Inputs (2)'!$D$60:$AL$60,MATCH(AH$7&amp;"",'Inputs (2)'!$D$2:$AL$2,0)),"")</f>
        <v>3745</v>
      </c>
      <c r="AI34" s="270">
        <f>IFERROR(INDEX('Inputs (2)'!$D$60:$AL$60,MATCH(AI$7&amp;"",'Inputs (2)'!$D$2:$AL$2,0)),"")</f>
        <v>4581</v>
      </c>
    </row>
    <row r="35">
      <c r="C35" s="268" t="inlineStr">
        <is>
          <t xml:space="preserve">   % créditos regulatórios na receita</t>
        </is>
      </c>
      <c r="D35" s="272" t="str">
        <f>IFERROR(D32/D21,"")</f>
        <v/>
      </c>
      <c r="E35" s="272" t="str">
        <f>IFERROR(E32/E21,"")</f>
        <v/>
      </c>
      <c r="F35" s="272" t="str">
        <f>IFERROR(F32/F21,"")</f>
        <v/>
      </c>
      <c r="G35" s="272" t="str">
        <f>IFERROR(G32/G21,"")</f>
        <v/>
      </c>
      <c r="H35" s="273" t="str">
        <f>IFERROR(H32/H21,"")</f>
        <v/>
      </c>
      <c r="I35" s="272">
        <f>IFERROR(I32/I21,"")</f>
        <v>0.0498604293002214</v>
      </c>
      <c r="J35" s="272">
        <f>IFERROR(J32/J21,"")</f>
        <v>0.0296036126442549</v>
      </c>
      <c r="K35" s="272">
        <f>IFERROR(K32/K21,"")</f>
        <v>0.0202805844297449</v>
      </c>
      <c r="L35" s="272">
        <f>IFERROR(L32/L21,"")</f>
        <v>0.0177210903549862</v>
      </c>
      <c r="M35" s="273">
        <f>IFERROR(M32/M21,"")</f>
        <v>0.0272188469613362</v>
      </c>
      <c r="N35" s="272">
        <f>IFERROR(N32/N21,"")</f>
        <v>0.0362017487737257</v>
      </c>
      <c r="O35" s="272">
        <f>IFERROR(O32/O21,"")</f>
        <v>0.0203141608598087</v>
      </c>
      <c r="P35" s="272">
        <f>IFERROR(P32/P21,"")</f>
        <v>0.0133308473944253</v>
      </c>
      <c r="Q35" s="272">
        <f>IFERROR(Q32/Q21,"")</f>
        <v>0.0192038818981824</v>
      </c>
      <c r="R35" s="273">
        <f>IFERROR(R32/R21,"")</f>
        <v>0.0218015761950357</v>
      </c>
      <c r="S35" s="272">
        <f>IFERROR(S32/S21,"")</f>
        <v>0.0223327189335162</v>
      </c>
      <c r="T35" s="272">
        <f>IFERROR(T32/T21,"")</f>
        <v>0.0113130340594536</v>
      </c>
      <c r="U35" s="272">
        <f>IFERROR(U32/U21,"")</f>
        <v>0.0237259100642398</v>
      </c>
      <c r="V35" s="272">
        <f>IFERROR(V32/V21,"")</f>
        <v>0.0172050701315214</v>
      </c>
      <c r="W35" s="273">
        <f>IFERROR(W32/W21,"")</f>
        <v>0.0184968947950358</v>
      </c>
      <c r="X35" s="272">
        <f>IFERROR(X32/X21,"")</f>
        <v>0.0207501995211492</v>
      </c>
      <c r="Y35" s="272">
        <f>IFERROR(Y32/Y21,"")</f>
        <v>0.0349019607843137</v>
      </c>
      <c r="Z35" s="272">
        <f>IFERROR(Z32/Z21,"")</f>
        <v>0.0293463585100469</v>
      </c>
      <c r="AA35" s="272">
        <f>IFERROR(AA32/AA21,"")</f>
        <v>0.0269187380869024</v>
      </c>
      <c r="AB35" s="273">
        <f>IFERROR(AB32/AB21,"")</f>
        <v>0.0282833452758727</v>
      </c>
      <c r="AC35" s="272">
        <f>IFERROR(AC32/AC21,"")</f>
        <v>0.0307732092061029</v>
      </c>
      <c r="AD35" s="272">
        <f>IFERROR(AD32/AD21,"")</f>
        <v>0.0195145803698435</v>
      </c>
      <c r="AE35" s="272">
        <f>IFERROR(AE32/AE21,"")</f>
        <v>0.0148424986652429</v>
      </c>
      <c r="AF35" s="272">
        <f>IFERROR(AF32/AF21,"")</f>
        <v>0.0217661941287499</v>
      </c>
      <c r="AG35" s="273">
        <f>IFERROR(AG32/AG21,"")</f>
        <v>0.0210172208337288</v>
      </c>
      <c r="AH35" s="273">
        <f>IFERROR(AH32/AH21,"")</f>
        <v>0.0169741367758074</v>
      </c>
      <c r="AI35" s="273">
        <f>IFERROR(AI32/AI21,"")</f>
        <v>0.00517070406573169</v>
      </c>
    </row>
    <row r="36"/>
    <row r="37">
      <c r="C37" s="267" t="inlineStr">
        <is>
          <t>Receita por região (USD milhões)</t>
        </is>
      </c>
      <c r="D37" s="267">
        <f>D7</f>
        <v>0</v>
      </c>
      <c r="E37" s="267">
        <f>E7</f>
        <v>0</v>
      </c>
      <c r="F37" s="267">
        <f>F7</f>
        <v>0</v>
      </c>
      <c r="G37" s="267">
        <f>G7</f>
        <v>0</v>
      </c>
      <c r="H37" s="267">
        <f>H7</f>
        <v>2020</v>
      </c>
      <c r="I37" s="267" t="str">
        <f>I7</f>
        <v>1Q21</v>
      </c>
      <c r="J37" s="267" t="str">
        <f>J7</f>
        <v>2Q21</v>
      </c>
      <c r="K37" s="267" t="str">
        <f>K7</f>
        <v>3Q21</v>
      </c>
      <c r="L37" s="267" t="str">
        <f>L7</f>
        <v>4Q21</v>
      </c>
      <c r="M37" s="267">
        <f>M7</f>
        <v>2021</v>
      </c>
      <c r="N37" s="267" t="str">
        <f>N7</f>
        <v>1Q22</v>
      </c>
      <c r="O37" s="267" t="str">
        <f>O7</f>
        <v>2Q22</v>
      </c>
      <c r="P37" s="267" t="str">
        <f>P7</f>
        <v>3Q22</v>
      </c>
      <c r="Q37" s="267" t="str">
        <f>Q7</f>
        <v>4Q22</v>
      </c>
      <c r="R37" s="267">
        <f>R7</f>
        <v>2022</v>
      </c>
      <c r="S37" s="267" t="str">
        <f>S7</f>
        <v>1Q23</v>
      </c>
      <c r="T37" s="267" t="str">
        <f>T7</f>
        <v>2Q23</v>
      </c>
      <c r="U37" s="267" t="str">
        <f>U7</f>
        <v>3Q23</v>
      </c>
      <c r="V37" s="267" t="str">
        <f>V7</f>
        <v>4Q23</v>
      </c>
      <c r="W37" s="267">
        <f>W7</f>
        <v>2023</v>
      </c>
      <c r="X37" s="267" t="str">
        <f>X7</f>
        <v>1Q24</v>
      </c>
      <c r="Y37" s="267" t="str">
        <f>Y7</f>
        <v>2Q24</v>
      </c>
      <c r="Z37" s="267" t="str">
        <f>Z7</f>
        <v>3Q24</v>
      </c>
      <c r="AA37" s="267" t="str">
        <f>AA7</f>
        <v>4Q24</v>
      </c>
      <c r="AB37" s="267">
        <f>AB7</f>
        <v>2024</v>
      </c>
      <c r="AC37" s="267" t="str">
        <f>AC7</f>
        <v>1Q25</v>
      </c>
      <c r="AD37" s="267" t="str">
        <f>AD7</f>
        <v>2Q25</v>
      </c>
      <c r="AE37" s="267" t="str">
        <f>AE7</f>
        <v>3Q25</v>
      </c>
      <c r="AF37" s="267" t="str">
        <f>AF7</f>
        <v>4Q25</v>
      </c>
      <c r="AG37" s="267">
        <f>AG7</f>
        <v>2025</v>
      </c>
      <c r="AH37" s="267" t="str">
        <f>AH7</f>
        <v>1Q26</v>
      </c>
      <c r="AI37" s="267" t="str">
        <f>AI7</f>
        <v>2Q26</v>
      </c>
    </row>
    <row r="38">
      <c r="C38" s="268" t="inlineStr">
        <is>
          <t xml:space="preserve">   Estados Unidos</t>
        </is>
      </c>
      <c r="D38" s="269" t="str">
        <f>IFERROR(INDEX('Inputs (2)'!$D$61:$AL$61,MATCH(D$7&amp;"",'Inputs (2)'!$D$2:$AL$2,0)),"")</f>
        <v/>
      </c>
      <c r="E38" s="269" t="str">
        <f>IFERROR(INDEX('Inputs (2)'!$D$61:$AL$61,MATCH(E$7&amp;"",'Inputs (2)'!$D$2:$AL$2,0)),"")</f>
        <v/>
      </c>
      <c r="F38" s="269" t="str">
        <f>IFERROR(INDEX('Inputs (2)'!$D$61:$AL$61,MATCH(F$7&amp;"",'Inputs (2)'!$D$2:$AL$2,0)),"")</f>
        <v/>
      </c>
      <c r="G38" s="269" t="str">
        <f>IFERROR(INDEX('Inputs (2)'!$D$61:$AL$61,MATCH(G$7&amp;"",'Inputs (2)'!$D$2:$AL$2,0)),"")</f>
        <v/>
      </c>
      <c r="H38" s="270" t="str">
        <f>IF(COUNT(D38:G38)=4,SUM(D38:G38),"")</f>
        <v/>
      </c>
      <c r="I38" s="269">
        <f>IFERROR(INDEX('Inputs (2)'!$D$61:$AL$61,MATCH(I$7&amp;"",'Inputs (2)'!$D$2:$AL$2,0)),"")</f>
        <v>4424</v>
      </c>
      <c r="J38" s="269">
        <f>IFERROR(INDEX('Inputs (2)'!$D$61:$AL$61,MATCH(J$7&amp;"",'Inputs (2)'!$D$2:$AL$2,0)),"")</f>
        <v>5205</v>
      </c>
      <c r="K38" s="269">
        <f>IFERROR(INDEX('Inputs (2)'!$D$61:$AL$61,MATCH(K$7&amp;"",'Inputs (2)'!$D$2:$AL$2,0)),"")</f>
        <v>6414</v>
      </c>
      <c r="L38" s="269">
        <f>IFERROR(INDEX('Inputs (2)'!$D$61:$AL$61,MATCH(L$7&amp;"",'Inputs (2)'!$D$2:$AL$2,0)),"")</f>
        <v>7930</v>
      </c>
      <c r="M38" s="270">
        <f>IF(COUNT(I38:L38)=4,SUM(I38:L38),"")</f>
        <v>23973</v>
      </c>
      <c r="N38" s="269">
        <f>IFERROR(INDEX('Inputs (2)'!$D$61:$AL$61,MATCH(N$7&amp;"",'Inputs (2)'!$D$2:$AL$2,0)),"")</f>
        <v>8734</v>
      </c>
      <c r="O38" s="269">
        <f>IFERROR(INDEX('Inputs (2)'!$D$61:$AL$61,MATCH(O$7&amp;"",'Inputs (2)'!$D$2:$AL$2,0)),"")</f>
        <v>9614</v>
      </c>
      <c r="P38" s="269">
        <f>IFERROR(INDEX('Inputs (2)'!$D$61:$AL$61,MATCH(P$7&amp;"",'Inputs (2)'!$D$2:$AL$2,0)),"")</f>
        <v>10236</v>
      </c>
      <c r="Q38" s="269">
        <f>IFERROR(INDEX('Inputs (2)'!$D$61:$AL$61,MATCH(Q$7&amp;"",'Inputs (2)'!$D$2:$AL$2,0)),"")</f>
        <v>11969</v>
      </c>
      <c r="R38" s="270">
        <f>IF(COUNT(N38:Q38)=4,SUM(N38:Q38),"")</f>
        <v>40553</v>
      </c>
      <c r="S38" s="269">
        <f>IFERROR(INDEX('Inputs (2)'!$D$61:$AL$61,MATCH(S$7&amp;"",'Inputs (2)'!$D$2:$AL$2,0)),"")</f>
        <v>11247</v>
      </c>
      <c r="T38" s="269">
        <f>IFERROR(INDEX('Inputs (2)'!$D$61:$AL$61,MATCH(T$7&amp;"",'Inputs (2)'!$D$2:$AL$2,0)),"")</f>
        <v>11332</v>
      </c>
      <c r="U38" s="269">
        <f>IFERROR(INDEX('Inputs (2)'!$D$61:$AL$61,MATCH(U$7&amp;"",'Inputs (2)'!$D$2:$AL$2,0)),"")</f>
        <v>10893</v>
      </c>
      <c r="V38" s="269">
        <f>IFERROR(INDEX('Inputs (2)'!$D$61:$AL$61,MATCH(V$7&amp;"",'Inputs (2)'!$D$2:$AL$2,0)),"")</f>
        <v>11763</v>
      </c>
      <c r="W38" s="270">
        <f>IF(COUNT(S38:V38)=4,SUM(S38:V38),"")</f>
        <v>45235</v>
      </c>
      <c r="X38" s="269">
        <f>IFERROR(INDEX('Inputs (2)'!$D$61:$AL$61,MATCH(X$7&amp;"",'Inputs (2)'!$D$2:$AL$2,0)),"")</f>
        <v>9762</v>
      </c>
      <c r="Y38" s="269">
        <f>IFERROR(INDEX('Inputs (2)'!$D$61:$AL$61,MATCH(Y$7&amp;"",'Inputs (2)'!$D$2:$AL$2,0)),"")</f>
        <v>13256</v>
      </c>
      <c r="Z38" s="269">
        <f>IFERROR(INDEX('Inputs (2)'!$D$61:$AL$61,MATCH(Z$7&amp;"",'Inputs (2)'!$D$2:$AL$2,0)),"")</f>
        <v>12584</v>
      </c>
      <c r="AA38" s="269">
        <f>IFERROR(INDEX('Inputs (2)'!$D$61:$AL$61,MATCH(AA$7&amp;"",'Inputs (2)'!$D$2:$AL$2,0)),"")</f>
        <v>12123</v>
      </c>
      <c r="AB38" s="270">
        <f>IF(COUNT(X38:AA38)=4,SUM(X38:AA38),"")</f>
        <v>47725</v>
      </c>
      <c r="AC38" s="269">
        <f>IFERROR(INDEX('Inputs (2)'!$D$61:$AL$61,MATCH(AC$7&amp;"",'Inputs (2)'!$D$2:$AL$2,0)),"")</f>
        <v>10333</v>
      </c>
      <c r="AD38" s="269">
        <f>IFERROR(INDEX('Inputs (2)'!$D$61:$AL$61,MATCH(AD$7&amp;"",'Inputs (2)'!$D$2:$AL$2,0)),"")</f>
        <v>11809</v>
      </c>
      <c r="AE38" s="269">
        <f>IFERROR(INDEX('Inputs (2)'!$D$61:$AL$61,MATCH(AE$7&amp;"",'Inputs (2)'!$D$2:$AL$2,0)),"")</f>
        <v>14598</v>
      </c>
      <c r="AF38" s="269">
        <f>IFERROR(INDEX('Inputs (2)'!$D$61:$AL$61,MATCH(AF$7&amp;"",'Inputs (2)'!$D$2:$AL$2,0)),"")</f>
        <v>10887</v>
      </c>
      <c r="AG38" s="270">
        <f>IF(COUNT(AC38:AF38)=4,SUM(AC38:AF38),"")</f>
        <v>47627</v>
      </c>
      <c r="AH38" s="270">
        <f>IFERROR(INDEX('Inputs (2)'!$D$61:$AL$61,MATCH(AH$7&amp;"",'Inputs (2)'!$D$2:$AL$2,0)),"")</f>
        <v>10677</v>
      </c>
      <c r="AI38" s="270">
        <f>IFERROR(INDEX('Inputs (2)'!$D$61:$AL$61,MATCH(AI$7&amp;"",'Inputs (2)'!$D$2:$AL$2,0)),"")</f>
        <v>13208</v>
      </c>
    </row>
    <row r="39">
      <c r="C39" s="268" t="inlineStr">
        <is>
          <t xml:space="preserve">   China</t>
        </is>
      </c>
      <c r="D39" s="269" t="str">
        <f>IFERROR(INDEX('Inputs (2)'!$D$62:$AL$62,MATCH(D$7&amp;"",'Inputs (2)'!$D$2:$AL$2,0)),"")</f>
        <v/>
      </c>
      <c r="E39" s="269" t="str">
        <f>IFERROR(INDEX('Inputs (2)'!$D$62:$AL$62,MATCH(E$7&amp;"",'Inputs (2)'!$D$2:$AL$2,0)),"")</f>
        <v/>
      </c>
      <c r="F39" s="269" t="str">
        <f>IFERROR(INDEX('Inputs (2)'!$D$62:$AL$62,MATCH(F$7&amp;"",'Inputs (2)'!$D$2:$AL$2,0)),"")</f>
        <v/>
      </c>
      <c r="G39" s="269" t="str">
        <f>IFERROR(INDEX('Inputs (2)'!$D$62:$AL$62,MATCH(G$7&amp;"",'Inputs (2)'!$D$2:$AL$2,0)),"")</f>
        <v/>
      </c>
      <c r="H39" s="270" t="str">
        <f>IF(COUNT(D39:G39)=4,SUM(D39:G39),"")</f>
        <v/>
      </c>
      <c r="I39" s="269">
        <f>IFERROR(INDEX('Inputs (2)'!$D$62:$AL$62,MATCH(I$7&amp;"",'Inputs (2)'!$D$2:$AL$2,0)),"")</f>
        <v>3043</v>
      </c>
      <c r="J39" s="269">
        <f>IFERROR(INDEX('Inputs (2)'!$D$62:$AL$62,MATCH(J$7&amp;"",'Inputs (2)'!$D$2:$AL$2,0)),"")</f>
        <v>2859</v>
      </c>
      <c r="K39" s="269">
        <f>IFERROR(INDEX('Inputs (2)'!$D$62:$AL$62,MATCH(K$7&amp;"",'Inputs (2)'!$D$2:$AL$2,0)),"")</f>
        <v>3113</v>
      </c>
      <c r="L39" s="269">
        <f>IFERROR(INDEX('Inputs (2)'!$D$62:$AL$62,MATCH(L$7&amp;"",'Inputs (2)'!$D$2:$AL$2,0)),"")</f>
        <v>4829</v>
      </c>
      <c r="M39" s="270">
        <f>IF(COUNT(I39:L39)=4,SUM(I39:L39),"")</f>
        <v>13844</v>
      </c>
      <c r="N39" s="269">
        <f>IFERROR(INDEX('Inputs (2)'!$D$62:$AL$62,MATCH(N$7&amp;"",'Inputs (2)'!$D$2:$AL$2,0)),"")</f>
        <v>4650</v>
      </c>
      <c r="O39" s="269">
        <f>IFERROR(INDEX('Inputs (2)'!$D$62:$AL$62,MATCH(O$7&amp;"",'Inputs (2)'!$D$2:$AL$2,0)),"")</f>
        <v>3787</v>
      </c>
      <c r="P39" s="269">
        <f>IFERROR(INDEX('Inputs (2)'!$D$62:$AL$62,MATCH(P$7&amp;"",'Inputs (2)'!$D$2:$AL$2,0)),"")</f>
        <v>5131</v>
      </c>
      <c r="Q39" s="269">
        <f>IFERROR(INDEX('Inputs (2)'!$D$62:$AL$62,MATCH(Q$7&amp;"",'Inputs (2)'!$D$2:$AL$2,0)),"")</f>
        <v>4577</v>
      </c>
      <c r="R39" s="270">
        <f>IF(COUNT(N39:Q39)=4,SUM(N39:Q39),"")</f>
        <v>18145</v>
      </c>
      <c r="S39" s="269">
        <f>IFERROR(INDEX('Inputs (2)'!$D$62:$AL$62,MATCH(S$7&amp;"",'Inputs (2)'!$D$2:$AL$2,0)),"")</f>
        <v>4891</v>
      </c>
      <c r="T39" s="269">
        <f>IFERROR(INDEX('Inputs (2)'!$D$62:$AL$62,MATCH(T$7&amp;"",'Inputs (2)'!$D$2:$AL$2,0)),"")</f>
        <v>5731</v>
      </c>
      <c r="U39" s="269">
        <f>IFERROR(INDEX('Inputs (2)'!$D$62:$AL$62,MATCH(U$7&amp;"",'Inputs (2)'!$D$2:$AL$2,0)),"")</f>
        <v>5020</v>
      </c>
      <c r="V39" s="269">
        <f>IFERROR(INDEX('Inputs (2)'!$D$62:$AL$62,MATCH(V$7&amp;"",'Inputs (2)'!$D$2:$AL$2,0)),"")</f>
        <v>6103</v>
      </c>
      <c r="W39" s="270">
        <f>IF(COUNT(S39:V39)=4,SUM(S39:V39),"")</f>
        <v>21745</v>
      </c>
      <c r="X39" s="269">
        <f>IFERROR(INDEX('Inputs (2)'!$D$62:$AL$62,MATCH(X$7&amp;"",'Inputs (2)'!$D$2:$AL$2,0)),"")</f>
        <v>4592</v>
      </c>
      <c r="Y39" s="269">
        <f>IFERROR(INDEX('Inputs (2)'!$D$62:$AL$62,MATCH(Y$7&amp;"",'Inputs (2)'!$D$2:$AL$2,0)),"")</f>
        <v>4636</v>
      </c>
      <c r="Z39" s="269">
        <f>IFERROR(INDEX('Inputs (2)'!$D$62:$AL$62,MATCH(Z$7&amp;"",'Inputs (2)'!$D$2:$AL$2,0)),"")</f>
        <v>5665</v>
      </c>
      <c r="AA39" s="269">
        <f>IFERROR(INDEX('Inputs (2)'!$D$62:$AL$62,MATCH(AA$7&amp;"",'Inputs (2)'!$D$2:$AL$2,0)),"")</f>
        <v>6051</v>
      </c>
      <c r="AB39" s="270">
        <f>IF(COUNT(X39:AA39)=4,SUM(X39:AA39),"")</f>
        <v>20944</v>
      </c>
      <c r="AC39" s="269">
        <f>IFERROR(INDEX('Inputs (2)'!$D$62:$AL$62,MATCH(AC$7&amp;"",'Inputs (2)'!$D$2:$AL$2,0)),"")</f>
        <v>4303</v>
      </c>
      <c r="AD39" s="269">
        <f>IFERROR(INDEX('Inputs (2)'!$D$62:$AL$62,MATCH(AD$7&amp;"",'Inputs (2)'!$D$2:$AL$2,0)),"")</f>
        <v>4305</v>
      </c>
      <c r="AE39" s="269">
        <f>IFERROR(INDEX('Inputs (2)'!$D$62:$AL$62,MATCH(AE$7&amp;"",'Inputs (2)'!$D$2:$AL$2,0)),"")</f>
        <v>5653</v>
      </c>
      <c r="AF39" s="269">
        <f>IFERROR(INDEX('Inputs (2)'!$D$62:$AL$62,MATCH(AF$7&amp;"",'Inputs (2)'!$D$2:$AL$2,0)),"")</f>
        <v>6701</v>
      </c>
      <c r="AG39" s="270">
        <f>IF(COUNT(AC39:AF39)=4,SUM(AC39:AF39),"")</f>
        <v>20962</v>
      </c>
      <c r="AH39" s="270">
        <f>IFERROR(INDEX('Inputs (2)'!$D$62:$AL$62,MATCH(AH$7&amp;"",'Inputs (2)'!$D$2:$AL$2,0)),"")</f>
        <v>4184</v>
      </c>
      <c r="AI39" s="270">
        <f>IFERROR(INDEX('Inputs (2)'!$D$62:$AL$62,MATCH(AI$7&amp;"",'Inputs (2)'!$D$2:$AL$2,0)),"")</f>
        <v>4675</v>
      </c>
    </row>
    <row r="40">
      <c r="C40" s="268" t="inlineStr">
        <is>
          <t xml:space="preserve">   Outros países (receita total - EUA - China)</t>
        </is>
      </c>
      <c r="D40" s="269" t="str">
        <f>IF(COUNT(D38)=0,"",D15-N(D38)-N(D39))</f>
        <v/>
      </c>
      <c r="E40" s="269" t="str">
        <f>IF(COUNT(E38)=0,"",E15-N(E38)-N(E39))</f>
        <v/>
      </c>
      <c r="F40" s="269" t="str">
        <f>IF(COUNT(F38)=0,"",F15-N(F38)-N(F39))</f>
        <v/>
      </c>
      <c r="G40" s="269" t="str">
        <f>IF(COUNT(G38)=0,"",G15-N(G38)-N(G39))</f>
        <v/>
      </c>
      <c r="H40" s="270" t="str">
        <f>IF(COUNT(H38)=0,"",H15-N(H38)-N(H39))</f>
        <v/>
      </c>
      <c r="I40" s="269">
        <f>IF(COUNT(I38)=0,"",I15-N(I38)-N(I39))</f>
        <v>2922</v>
      </c>
      <c r="J40" s="269">
        <f>IF(COUNT(J38)=0,"",J15-N(J38)-N(J39))</f>
        <v>3894</v>
      </c>
      <c r="K40" s="269">
        <f>IF(COUNT(K38)=0,"",K15-N(K38)-N(K39))</f>
        <v>4230</v>
      </c>
      <c r="L40" s="269">
        <f>IF(COUNT(L38)=0,"",L15-N(L38)-N(L39))</f>
        <v>4960</v>
      </c>
      <c r="M40" s="270">
        <f>IF(COUNT(M38)=0,"",M15-N(M38)-N(M39))</f>
        <v>16006</v>
      </c>
      <c r="N40" s="269">
        <f>IF(COUNT(N38)=0,"",N15-N(N38)-N(N39))</f>
        <v>5372</v>
      </c>
      <c r="O40" s="269">
        <f>IF(COUNT(O38)=0,"",O15-N(O38)-N(O39))</f>
        <v>3533</v>
      </c>
      <c r="P40" s="269">
        <f>IF(COUNT(P38)=0,"",P15-N(P38)-N(P39))</f>
        <v>6087</v>
      </c>
      <c r="Q40" s="269">
        <f>IF(COUNT(Q38)=0,"",Q15-N(Q38)-N(Q39))</f>
        <v>7772</v>
      </c>
      <c r="R40" s="270">
        <f>IF(COUNT(R38)=0,"",R15-N(R38)-N(R39))</f>
        <v>22764</v>
      </c>
      <c r="S40" s="269">
        <f>IF(COUNT(S38)=0,"",S15-N(S38)-N(S39))</f>
        <v>7191</v>
      </c>
      <c r="T40" s="269">
        <f>IF(COUNT(T38)=0,"",T15-N(T38)-N(T39))</f>
        <v>7864</v>
      </c>
      <c r="U40" s="269">
        <f>IF(COUNT(U38)=0,"",U15-N(U38)-N(U39))</f>
        <v>7437</v>
      </c>
      <c r="V40" s="269">
        <f>IF(COUNT(V38)=0,"",V15-N(V38)-N(V39))</f>
        <v>7301</v>
      </c>
      <c r="W40" s="270">
        <f>IF(COUNT(W38)=0,"",W15-N(W38)-N(W39))</f>
        <v>29793</v>
      </c>
      <c r="X40" s="269">
        <f>IF(COUNT(X38)=0,"",X15-N(X38)-N(X39))</f>
        <v>6947</v>
      </c>
      <c r="Y40" s="269">
        <f>IF(COUNT(Y38)=0,"",Y15-N(Y38)-N(Y39))</f>
        <v>7608</v>
      </c>
      <c r="Z40" s="269">
        <f>IF(COUNT(Z38)=0,"",Z15-N(Z38)-N(Z39))</f>
        <v>6933</v>
      </c>
      <c r="AA40" s="269">
        <f>IF(COUNT(AA38)=0,"",AA15-N(AA38)-N(AA39))</f>
        <v>7533</v>
      </c>
      <c r="AB40" s="270">
        <f>IF(COUNT(AB38)=0,"",AB15-N(AB38)-N(AB39))</f>
        <v>29021</v>
      </c>
      <c r="AC40" s="269">
        <f>IF(COUNT(AC38)=0,"",AC15-N(AC38)-N(AC39))</f>
        <v>4699</v>
      </c>
      <c r="AD40" s="269">
        <f>IF(COUNT(AD38)=0,"",AD15-N(AD38)-N(AD39))</f>
        <v>6382</v>
      </c>
      <c r="AE40" s="269">
        <f>IF(COUNT(AE38)=0,"",AE15-N(AE38)-N(AE39))</f>
        <v>7844</v>
      </c>
      <c r="AF40" s="269">
        <f>IF(COUNT(AF38)=0,"",AF15-N(AF38)-N(AF39))</f>
        <v>7313</v>
      </c>
      <c r="AG40" s="270">
        <f>IF(COUNT(AG38)=0,"",AG15-N(AG38)-N(AG39))</f>
        <v>26238</v>
      </c>
      <c r="AH40" s="270">
        <f>IF(COUNT(AH38)=0,"",AH15-N(AH38)-N(AH39))</f>
        <v>7526</v>
      </c>
      <c r="AI40" s="270">
        <f>IF(COUNT(AI38)=0,"",AI15-N(AI38)-N(AI39))</f>
        <v>10353</v>
      </c>
    </row>
    <row r="41">
      <c r="C41" s="268" t="inlineStr">
        <is>
          <t xml:space="preserve">   % China na receita</t>
        </is>
      </c>
      <c r="D41" s="272" t="str">
        <f>IFERROR(D39/D21,"")</f>
        <v/>
      </c>
      <c r="E41" s="272" t="str">
        <f>IFERROR(E39/E21,"")</f>
        <v/>
      </c>
      <c r="F41" s="272" t="str">
        <f>IFERROR(F39/F21,"")</f>
        <v/>
      </c>
      <c r="G41" s="272" t="str">
        <f>IFERROR(G39/G21,"")</f>
        <v/>
      </c>
      <c r="H41" s="273" t="str">
        <f>IFERROR(H39/H21,"")</f>
        <v/>
      </c>
      <c r="I41" s="272">
        <f>IFERROR(I39/I21,"")</f>
        <v>0.292905958225046</v>
      </c>
      <c r="J41" s="272">
        <f>IFERROR(J39/J21,"")</f>
        <v>0.239086803813347</v>
      </c>
      <c r="K41" s="272">
        <f>IFERROR(K39/K21,"")</f>
        <v>0.226284800465218</v>
      </c>
      <c r="L41" s="272">
        <f>IFERROR(L39/L21,"")</f>
        <v>0.272532309949771</v>
      </c>
      <c r="M41" s="273">
        <f>IFERROR(M39/M21,"")</f>
        <v>0.257213458930197</v>
      </c>
      <c r="N41" s="272">
        <f>IFERROR(N39/N21,"")</f>
        <v>0.247920665387076</v>
      </c>
      <c r="O41" s="272">
        <f>IFERROR(O39/O21,"")</f>
        <v>0.223632927837487</v>
      </c>
      <c r="P41" s="272">
        <f>IFERROR(P39/P21,"")</f>
        <v>0.239162860072714</v>
      </c>
      <c r="Q41" s="272">
        <f>IFERROR(Q39/Q21,"")</f>
        <v>0.1882144913233</v>
      </c>
      <c r="R41" s="273">
        <f>IFERROR(R39/R21,"")</f>
        <v>0.222741891925069</v>
      </c>
      <c r="S41" s="272">
        <f>IFERROR(S39/S21,"")</f>
        <v>0.209653221312529</v>
      </c>
      <c r="T41" s="272">
        <f>IFERROR(T39/T21,"")</f>
        <v>0.229911341116059</v>
      </c>
      <c r="U41" s="272">
        <f>IFERROR(U39/U21,"")</f>
        <v>0.214989293361884</v>
      </c>
      <c r="V41" s="272">
        <f>IFERROR(V39/V21,"")</f>
        <v>0.242500099336433</v>
      </c>
      <c r="W41" s="273">
        <f>IFERROR(W39/W21,"")</f>
        <v>0.224701104646957</v>
      </c>
      <c r="X41" s="272">
        <f>IFERROR(X39/X21,"")</f>
        <v>0.215576733486691</v>
      </c>
      <c r="Y41" s="272">
        <f>IFERROR(Y39/Y21,"")</f>
        <v>0.181803921568627</v>
      </c>
      <c r="Z41" s="272">
        <f>IFERROR(Z39/Z21,"")</f>
        <v>0.224962274640616</v>
      </c>
      <c r="AA41" s="272">
        <f>IFERROR(AA39/AA21,"")</f>
        <v>0.235383358618275</v>
      </c>
      <c r="AB41" s="273">
        <f>IFERROR(AB39/AB21,"")</f>
        <v>0.214392465963763</v>
      </c>
      <c r="AC41" s="272">
        <f>IFERROR(AC39/AC21,"")</f>
        <v>0.222549780191363</v>
      </c>
      <c r="AD41" s="272">
        <f>IFERROR(AD39/AD21,"")</f>
        <v>0.191367354196302</v>
      </c>
      <c r="AE41" s="272">
        <f>IFERROR(AE39/AE21,"")</f>
        <v>0.201210179747286</v>
      </c>
      <c r="AF41" s="272">
        <f>IFERROR(AF39/AF21,"")</f>
        <v>0.269105658407293</v>
      </c>
      <c r="AG41" s="273">
        <f>IFERROR(AG39/AG21,"")</f>
        <v>0.221055184704778</v>
      </c>
      <c r="AH41" s="273">
        <f>IFERROR(AH39/AH21,"")</f>
        <v>0.186894179657837</v>
      </c>
      <c r="AI41" s="273">
        <f>IFERROR(AI39/AI21,"")</f>
        <v>0.16556877744723</v>
      </c>
    </row>
    <row r="42"/>
    <row r="43"/>
    <row r="44"/>
    <row r="45"/>
    <row r="46" hidden="1" outlineLevel="1" customFormat="1" s="43">
      <c r="A46" s="36" t="n"/>
      <c r="B46" s="37" t="n"/>
      <c r="C46" s="45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W46" s="39" t="n"/>
      <c r="X46" s="39" t="n"/>
      <c r="Y46" s="39" t="n"/>
      <c r="Z46" s="39" t="n"/>
      <c r="AA46" s="39" t="n"/>
      <c r="AB46" s="39" t="n"/>
      <c r="AC46" s="39" t="n"/>
      <c r="AD46" s="39" t="n"/>
      <c r="AE46" s="39" t="n"/>
      <c r="AF46" s="39" t="n"/>
      <c r="AG46" s="39" t="n"/>
      <c r="AH46" s="39" t="n"/>
      <c r="AI46" s="39" t="n"/>
      <c r="AJ46" s="39" t="n"/>
      <c r="AK46" s="39" t="n"/>
      <c r="AL46" s="39" t="n"/>
      <c r="AM46" s="39" t="n"/>
      <c r="AN46" s="39" t="n"/>
      <c r="AO46" s="39" t="n"/>
      <c r="AP46" s="39" t="n"/>
      <c r="AQ46" s="39" t="n"/>
      <c r="AR46" s="39" t="n"/>
      <c r="AS46" s="39" t="n"/>
      <c r="AT46" s="39" t="n"/>
      <c r="AU46" s="39" t="n"/>
      <c r="AV46" s="39" t="n"/>
      <c r="AW46" s="39" t="n"/>
      <c r="AX46" s="39" t="n"/>
      <c r="AY46" s="39" t="n"/>
      <c r="AZ46" s="39" t="n"/>
      <c r="BA46" s="39" t="n"/>
      <c r="BB46" s="39" t="n"/>
      <c r="BC46" s="39" t="n"/>
      <c r="BD46" s="39" t="n"/>
      <c r="BE46" s="39" t="n"/>
      <c r="BF46" s="39" t="n"/>
      <c r="BG46" s="39" t="n"/>
      <c r="BH46" s="39" t="n"/>
      <c r="BI46" s="39" t="n"/>
      <c r="BJ46" s="39" t="n"/>
      <c r="BK46" s="39" t="n"/>
      <c r="BL46" s="39" t="n"/>
      <c r="BM46" s="39" t="n"/>
      <c r="BN46" s="39" t="n"/>
      <c r="BO46" s="39" t="n"/>
      <c r="BP46" s="39" t="n"/>
      <c r="BQ46" s="39" t="n"/>
      <c r="BR46" s="39" t="n"/>
      <c r="BS46" s="39" t="n"/>
      <c r="BT46" s="39" t="n"/>
      <c r="BU46" s="39" t="n"/>
      <c r="BV46" s="39" t="n"/>
      <c r="BW46" s="39" t="n"/>
      <c r="BX46" s="39" t="n"/>
      <c r="BY46" s="39" t="n"/>
      <c r="BZ46" s="39" t="n"/>
      <c r="CA46" s="39" t="n"/>
      <c r="CB46" s="39" t="n"/>
      <c r="CC46" s="39" t="n"/>
      <c r="CD46" s="39" t="n"/>
      <c r="CE46" s="39" t="n"/>
      <c r="CF46" s="39" t="n"/>
      <c r="CG46" s="39" t="n"/>
      <c r="CH46" s="39" t="n"/>
      <c r="CI46" s="39" t="n"/>
      <c r="CJ46" s="39" t="n"/>
      <c r="CK46" s="39" t="n"/>
      <c r="CL46" s="39" t="n"/>
      <c r="CM46" s="39" t="n"/>
      <c r="CN46" s="39" t="n"/>
      <c r="CO46" s="39" t="n"/>
      <c r="CP46" s="39" t="n"/>
      <c r="CQ46" s="39" t="n"/>
      <c r="CR46" s="39" t="n"/>
      <c r="CS46" s="39" t="n"/>
      <c r="CT46" s="39" t="n"/>
      <c r="CU46" s="39" t="n"/>
      <c r="CV46" s="39" t="n"/>
      <c r="CW46" s="39" t="n"/>
      <c r="CX46" s="39" t="n"/>
      <c r="CY46" s="39" t="n"/>
    </row>
    <row r="47" hidden="1" outlineLevel="1" customFormat="1" s="43">
      <c r="A47" s="36" t="n"/>
      <c r="B47" s="37" t="n"/>
      <c r="C47" s="45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W47" s="39" t="n"/>
      <c r="X47" s="39" t="n"/>
      <c r="Y47" s="39" t="n"/>
      <c r="Z47" s="39" t="n"/>
      <c r="AA47" s="39" t="n"/>
      <c r="AB47" s="39" t="n"/>
      <c r="AC47" s="39" t="n"/>
      <c r="AD47" s="39" t="n"/>
      <c r="AE47" s="39" t="n"/>
      <c r="AF47" s="39" t="n"/>
      <c r="AG47" s="39" t="n"/>
      <c r="AH47" s="39" t="n"/>
      <c r="AI47" s="39" t="n"/>
      <c r="AJ47" s="39" t="n"/>
      <c r="AK47" s="39" t="n"/>
      <c r="AL47" s="39" t="n"/>
      <c r="AM47" s="39" t="n"/>
      <c r="AN47" s="39" t="n"/>
      <c r="AO47" s="39" t="n"/>
      <c r="AP47" s="39" t="n"/>
      <c r="AQ47" s="39" t="n"/>
      <c r="AR47" s="39" t="n"/>
      <c r="AS47" s="39" t="n"/>
      <c r="AT47" s="39" t="n"/>
      <c r="AU47" s="39" t="n"/>
      <c r="AV47" s="39" t="n"/>
      <c r="AW47" s="39" t="n"/>
      <c r="AX47" s="39" t="n"/>
      <c r="AY47" s="39" t="n"/>
      <c r="AZ47" s="39" t="n"/>
      <c r="BA47" s="39" t="n"/>
      <c r="BB47" s="39" t="n"/>
      <c r="BC47" s="39" t="n"/>
      <c r="BD47" s="39" t="n"/>
      <c r="BE47" s="39" t="n"/>
      <c r="BF47" s="39" t="n"/>
      <c r="BG47" s="39" t="n"/>
      <c r="BH47" s="39" t="n"/>
      <c r="BI47" s="39" t="n"/>
      <c r="BJ47" s="39" t="n"/>
      <c r="BK47" s="39" t="n"/>
      <c r="BL47" s="39" t="n"/>
      <c r="BM47" s="39" t="n"/>
      <c r="BN47" s="39" t="n"/>
      <c r="BO47" s="39" t="n"/>
      <c r="BP47" s="39" t="n"/>
      <c r="BQ47" s="39" t="n"/>
      <c r="BR47" s="39" t="n"/>
      <c r="BS47" s="39" t="n"/>
      <c r="BT47" s="39" t="n"/>
      <c r="BU47" s="39" t="n"/>
      <c r="BV47" s="39" t="n"/>
      <c r="BW47" s="39" t="n"/>
      <c r="BX47" s="39" t="n"/>
      <c r="BY47" s="39" t="n"/>
      <c r="BZ47" s="39" t="n"/>
      <c r="CA47" s="39" t="n"/>
      <c r="CB47" s="39" t="n"/>
      <c r="CC47" s="39" t="n"/>
      <c r="CD47" s="39" t="n"/>
      <c r="CE47" s="39" t="n"/>
      <c r="CF47" s="39" t="n"/>
      <c r="CG47" s="39" t="n"/>
      <c r="CH47" s="39" t="n"/>
      <c r="CI47" s="39" t="n"/>
      <c r="CJ47" s="39" t="n"/>
      <c r="CK47" s="39" t="n"/>
      <c r="CL47" s="39" t="n"/>
      <c r="CM47" s="39" t="n"/>
      <c r="CN47" s="39" t="n"/>
      <c r="CO47" s="39" t="n"/>
      <c r="CP47" s="39" t="n"/>
      <c r="CQ47" s="39" t="n"/>
      <c r="CR47" s="39" t="n"/>
      <c r="CS47" s="39" t="n"/>
      <c r="CT47" s="39" t="n"/>
      <c r="CU47" s="39" t="n"/>
      <c r="CV47" s="39" t="n"/>
      <c r="CW47" s="39" t="n"/>
      <c r="CX47" s="39" t="n"/>
      <c r="CY47" s="39" t="n"/>
    </row>
    <row r="48" collapsed="1">
      <c r="C48" s="13" t="inlineStr">
        <is>
          <t>COGS (cash)</t>
        </is>
      </c>
      <c r="D48" s="46" t="n"/>
      <c r="E48" s="46" t="n"/>
      <c r="F48" s="46" t="n"/>
      <c r="G48" s="46" t="n"/>
      <c r="H48" s="12" t="n"/>
      <c r="I48" s="46">
        <f>'Inputs (2)'!D5</f>
        <v>-8174</v>
      </c>
      <c r="J48" s="46">
        <f>'Inputs (2)'!E5</f>
        <v>-9074</v>
      </c>
      <c r="K48" s="46">
        <f>'Inputs (2)'!F5</f>
        <v>-10097</v>
      </c>
      <c r="L48" s="46">
        <f>'Inputs (2)'!G5</f>
        <v>-12872</v>
      </c>
      <c r="M48" s="12">
        <f>'Inputs (2)'!H5</f>
        <v>-40217</v>
      </c>
      <c r="N48" s="46">
        <f>'Inputs (2)'!I5</f>
        <v>-13296</v>
      </c>
      <c r="O48" s="46">
        <f>'Inputs (2)'!J5</f>
        <v>-12700</v>
      </c>
      <c r="P48" s="46">
        <f>'Inputs (2)'!K5</f>
        <v>-16072</v>
      </c>
      <c r="Q48" s="46">
        <f>'Inputs (2)'!L5</f>
        <v>-18541</v>
      </c>
      <c r="R48" s="12">
        <f>'Inputs (2)'!M5</f>
        <v>-60609</v>
      </c>
      <c r="S48" s="46">
        <f>'Inputs (2)'!N5</f>
        <v>-18818</v>
      </c>
      <c r="T48" s="46">
        <f>'Inputs (2)'!O5</f>
        <v>-20394</v>
      </c>
      <c r="U48" s="46">
        <f>'Inputs (2)'!P5</f>
        <v>-19172</v>
      </c>
      <c r="V48" s="46">
        <f>'Inputs (2)'!Q5</f>
        <v>-20729</v>
      </c>
      <c r="W48" s="12">
        <f>'Inputs (2)'!R5</f>
        <v>-79113</v>
      </c>
      <c r="X48" s="46">
        <f>'Inputs (2)'!S5</f>
        <v>-17605</v>
      </c>
      <c r="Y48" s="46">
        <f>'Inputs (2)'!T5</f>
        <v>-20922</v>
      </c>
      <c r="Z48" s="46">
        <f>'Inputs (2)'!U5</f>
        <v>-20185</v>
      </c>
      <c r="AA48" s="46">
        <f>'Inputs (2)'!V5</f>
        <v>-21528</v>
      </c>
      <c r="AB48" s="12">
        <f>'Inputs (2)'!W5</f>
        <v>-80240</v>
      </c>
      <c r="AC48" s="46">
        <f>'Inputs (2)'!X5</f>
        <v>-16182</v>
      </c>
      <c r="AD48" s="46">
        <f>'Inputs (2)'!Y5</f>
        <v>-18618</v>
      </c>
      <c r="AE48" s="46">
        <f>'Inputs (2)'!Z5</f>
        <v>-23041</v>
      </c>
      <c r="AF48" s="46">
        <f>'Inputs (2)'!AA5</f>
        <v>-19892</v>
      </c>
      <c r="AG48" s="12">
        <f>'Inputs (2)'!AB5</f>
        <v>-77733</v>
      </c>
      <c r="AH48" s="12">
        <f>'Inputs (2)'!AC5</f>
        <v>-17667</v>
      </c>
      <c r="AI48" s="12">
        <f>'Inputs (2)'!AD5</f>
        <v>-23485</v>
      </c>
      <c r="AJ48" s="12">
        <f>-(1-AJ49)*AJ15</f>
        <v>-24064.2086207613</v>
      </c>
      <c r="AK48" s="12">
        <f>-(1-AK49)*AK15</f>
        <v>-21328.451997351</v>
      </c>
      <c r="AL48" s="12">
        <f>SUM(AH48:AK48)</f>
        <v>-86544.6606181123</v>
      </c>
      <c r="AM48" s="12">
        <f>-(1-AM49)*AM15</f>
        <v>-19175.135732087</v>
      </c>
      <c r="AN48" s="12">
        <f>-(1-AN49)*AN15</f>
        <v>-24184.9793420828</v>
      </c>
      <c r="AO48" s="12">
        <f>-(1-AO49)*AO15</f>
        <v>-25216.2000399911</v>
      </c>
      <c r="AP48" s="12">
        <f>-(1-AP49)*AP15</f>
        <v>-22349.4784550923</v>
      </c>
      <c r="AQ48" s="12">
        <f>SUM(AM48:AP48)</f>
        <v>-90925.7935692531</v>
      </c>
      <c r="AR48" s="12">
        <f>-(1-AR49)*AR15</f>
        <v>-19997.2038833712</v>
      </c>
      <c r="AS48" s="12">
        <f>-(1-AS49)*AS15</f>
        <v>-25221.8273485</v>
      </c>
      <c r="AT48" s="12">
        <f>-(1-AT49)*AT15</f>
        <v>-26297.2580955334</v>
      </c>
      <c r="AU48" s="12">
        <f>-(1-AU49)*AU15</f>
        <v>-23307.6356589029</v>
      </c>
      <c r="AV48" s="12">
        <f>SUM(AR48:AU48)</f>
        <v>-94823.9249863076</v>
      </c>
      <c r="AW48" s="12">
        <f>-(1-AW49)*AW15</f>
        <v>-20754.529366566</v>
      </c>
      <c r="AX48" s="12">
        <f>-(1-AX49)*AX15</f>
        <v>-26177.0175188439</v>
      </c>
      <c r="AY48" s="12">
        <f>-(1-AY49)*AY15</f>
        <v>-27293.176515431</v>
      </c>
      <c r="AZ48" s="12">
        <f>-(1-AZ49)*AZ15</f>
        <v>-24190.3323869282</v>
      </c>
      <c r="BA48" s="12">
        <f>SUM(AW48:AZ48)</f>
        <v>-98415.0557877692</v>
      </c>
      <c r="BB48" s="12">
        <f>-(1-BB49)*BB15</f>
        <v>-21436.7633070884</v>
      </c>
      <c r="BC48" s="12">
        <f>-(1-BC49)*BC15</f>
        <v>-27037.4971518716</v>
      </c>
      <c r="BD48" s="12">
        <f>-(1-BD49)*BD15</f>
        <v>-28190.3460457356</v>
      </c>
      <c r="BE48" s="12">
        <f>-(1-BE49)*BE15</f>
        <v>-24985.5065629067</v>
      </c>
      <c r="BF48" s="12">
        <f>SUM(BB48:BE48)</f>
        <v>-101650.113067602</v>
      </c>
      <c r="BG48" s="12" t="n"/>
      <c r="BH48" s="12" t="n"/>
      <c r="BI48" s="12" t="n"/>
      <c r="BJ48" s="12" t="n"/>
      <c r="BK48" s="12" t="n"/>
      <c r="BL48" s="12" t="n"/>
      <c r="BM48" s="12" t="n"/>
      <c r="BN48" s="12" t="n"/>
      <c r="BO48" s="12" t="n"/>
      <c r="BP48" s="12" t="n"/>
      <c r="BQ48" s="12" t="n"/>
      <c r="BR48" s="12" t="n"/>
      <c r="BS48" s="12" t="n"/>
      <c r="BT48" s="12" t="n"/>
      <c r="BU48" s="12" t="n"/>
      <c r="BV48" s="12" t="n"/>
      <c r="BW48" s="12" t="n"/>
      <c r="BX48" s="12" t="n"/>
      <c r="BY48" s="12" t="n"/>
      <c r="BZ48" s="12" t="n"/>
      <c r="CA48" s="12" t="n"/>
      <c r="CB48" s="12" t="n"/>
      <c r="CC48" s="12" t="n"/>
      <c r="CD48" s="12" t="n"/>
      <c r="CE48" s="12" t="n"/>
      <c r="CF48" s="12" t="n"/>
      <c r="CG48" s="12" t="n"/>
      <c r="CH48" s="12" t="n"/>
      <c r="CI48" s="12" t="n"/>
      <c r="CJ48" s="12" t="n"/>
      <c r="CK48" s="12" t="n"/>
      <c r="CL48" s="12" t="n"/>
      <c r="CM48" s="12" t="n"/>
      <c r="CN48" s="12" t="n"/>
      <c r="CO48" s="12" t="n"/>
      <c r="CP48" s="12" t="n"/>
      <c r="CQ48" s="12" t="n"/>
      <c r="CR48" s="12" t="n"/>
      <c r="CS48" s="12" t="n"/>
      <c r="CT48" s="12" t="n"/>
      <c r="CU48" s="12" t="n"/>
      <c r="CV48" s="12" t="n"/>
      <c r="CW48" s="12" t="n"/>
      <c r="CX48" s="12" t="n"/>
      <c r="CY48" s="12" t="n"/>
    </row>
    <row r="49" hidden="1" outlineLevel="1" customFormat="1" s="3">
      <c r="C49" s="47" t="inlineStr">
        <is>
          <t>% Gross Margin</t>
        </is>
      </c>
      <c r="D49" s="48" t="n"/>
      <c r="E49" s="48" t="n"/>
      <c r="F49" s="48" t="n"/>
      <c r="G49" s="48" t="n"/>
      <c r="H49" s="48" t="n"/>
      <c r="I49" s="48">
        <f>IFERROR((I15+I48)/I$15,"")</f>
        <v>0.213206275868707</v>
      </c>
      <c r="J49" s="48">
        <f>IFERROR((J15+J48)/J$15,"")</f>
        <v>0.241177454423817</v>
      </c>
      <c r="K49" s="48">
        <f>IFERROR((K15+K48)/K$15,"")</f>
        <v>0.266046376390201</v>
      </c>
      <c r="L49" s="48">
        <f>IFERROR((L15+L48)/L$15,"")</f>
        <v>0.273548168632541</v>
      </c>
      <c r="M49" s="48">
        <f>IFERROR((M15+M48)/M$15,"")</f>
        <v>0.252791557512588</v>
      </c>
      <c r="N49" s="48">
        <f>IFERROR((N15+N48)/N$15,"")</f>
        <v>0.291106845809341</v>
      </c>
      <c r="O49" s="48">
        <f>IFERROR((O15+O48)/O$15,"")</f>
        <v>0.250029526396599</v>
      </c>
      <c r="P49" s="48">
        <f>IFERROR((P15+P48)/P$15,"")</f>
        <v>0.25086231005873</v>
      </c>
      <c r="Q49" s="48">
        <f>IFERROR((Q15+Q48)/Q$15,"")</f>
        <v>0.2375606546591</v>
      </c>
      <c r="R49" s="48">
        <f>IFERROR((R15+R48)/R$15,"")</f>
        <v>0.25598438535759</v>
      </c>
      <c r="S49" s="48">
        <f>IFERROR((S15+S48)/S$15,"")</f>
        <v>0.193364481975224</v>
      </c>
      <c r="T49" s="48">
        <f>IFERROR((T15+T48)/T$15,"")</f>
        <v>0.181851004934408</v>
      </c>
      <c r="U49" s="48">
        <f>IFERROR((U15+U48)/U$15,"")</f>
        <v>0.178929336188437</v>
      </c>
      <c r="V49" s="48">
        <f>IFERROR((V15+V48)/V$15,"")</f>
        <v>0.176342035204832</v>
      </c>
      <c r="W49" s="48">
        <f>IFERROR((W15+W48)/W$15,"")</f>
        <v>0.182488917363314</v>
      </c>
      <c r="X49" s="48">
        <f>IFERROR((X15+X48)/X$15,"")</f>
        <v>0.173512980611239</v>
      </c>
      <c r="Y49" s="48">
        <f>IFERROR((Y15+Y48)/Y$15,"")</f>
        <v>0.179529411764706</v>
      </c>
      <c r="Z49" s="48">
        <f>IFERROR((Z15+Z48)/Z$15,"")</f>
        <v>0.198435390358192</v>
      </c>
      <c r="AA49" s="48">
        <f>IFERROR((AA15+AA48)/AA$15,"")</f>
        <v>0.16256272610573</v>
      </c>
      <c r="AB49" s="48">
        <f>IFERROR((AB15+AB48)/AB$15,"")</f>
        <v>0.178626266762207</v>
      </c>
      <c r="AC49" s="48">
        <f>IFERROR((AC15+AC48)/AC$15,"")</f>
        <v>0.163072148952677</v>
      </c>
      <c r="AD49" s="48">
        <f>IFERROR((AD15+AD48)/AD$15,"")</f>
        <v>0.172386201991465</v>
      </c>
      <c r="AE49" s="48">
        <f>IFERROR((AE15+AE48)/AE$15,"")</f>
        <v>0.179889660081865</v>
      </c>
      <c r="AF49" s="41">
        <f>IFERROR((AF15+AF48)/AF$15,"")</f>
        <v>0.201156580057026</v>
      </c>
      <c r="AG49" s="48">
        <f>IFERROR((AG15+AG48)/AG$15,"")</f>
        <v>0.180265114366162</v>
      </c>
      <c r="AH49" s="49">
        <f>IFERROR((AH15+AH48)/AH$15,"")</f>
        <v>0.210836646267923</v>
      </c>
      <c r="AI49" s="49">
        <f>IFERROR((AI15+AI48)/AI$15,"")</f>
        <v>0.168260376823913</v>
      </c>
      <c r="AJ49" s="49">
        <f>Control!$B$19</f>
        <v>0.182600269029145</v>
      </c>
      <c r="AK49" s="49">
        <f>Control!$B$19</f>
        <v>0.182600269029145</v>
      </c>
      <c r="AL49" s="48">
        <f>IFERROR((AL15+AL48)/AL$15,"")</f>
        <v>0.184740765820482</v>
      </c>
      <c r="AM49" s="49">
        <f>Control!$C$19</f>
        <v>0.182600269029145</v>
      </c>
      <c r="AN49" s="49">
        <f>Control!$C$19</f>
        <v>0.182600269029145</v>
      </c>
      <c r="AO49" s="49">
        <f>Control!$C$19</f>
        <v>0.182600269029145</v>
      </c>
      <c r="AP49" s="49">
        <f>Control!$C$19</f>
        <v>0.182600269029145</v>
      </c>
      <c r="AQ49" s="48">
        <f>IFERROR((AQ15+AQ48)/AQ$15,"")</f>
        <v>0.182600269029145</v>
      </c>
      <c r="AR49" s="49">
        <f>Control!$D$19</f>
        <v>0.182600269029145</v>
      </c>
      <c r="AS49" s="49">
        <f>Control!$D$19</f>
        <v>0.182600269029145</v>
      </c>
      <c r="AT49" s="49">
        <f>Control!$D$19</f>
        <v>0.182600269029145</v>
      </c>
      <c r="AU49" s="49">
        <f>Control!$D$19</f>
        <v>0.182600269029145</v>
      </c>
      <c r="AV49" s="48">
        <f>IFERROR((AV15+AV48)/AV$15,"")</f>
        <v>0.182600269029145</v>
      </c>
      <c r="AW49" s="49">
        <f>Control!$E$19</f>
        <v>0.182600269029145</v>
      </c>
      <c r="AX49" s="49">
        <f>Control!$E$19</f>
        <v>0.182600269029145</v>
      </c>
      <c r="AY49" s="49">
        <f>Control!$E$19</f>
        <v>0.182600269029145</v>
      </c>
      <c r="AZ49" s="49">
        <f>Control!$E$19</f>
        <v>0.182600269029145</v>
      </c>
      <c r="BA49" s="48">
        <f>IFERROR((BA15+BA48)/BA$15,"")</f>
        <v>0.182600269029145</v>
      </c>
      <c r="BB49" s="49">
        <f>Control!$F$19</f>
        <v>0.182600269029145</v>
      </c>
      <c r="BC49" s="49">
        <f>Control!$F$19</f>
        <v>0.182600269029145</v>
      </c>
      <c r="BD49" s="49">
        <f>Control!$F$19</f>
        <v>0.182600269029145</v>
      </c>
      <c r="BE49" s="49">
        <f>Control!$F$19</f>
        <v>0.182600269029145</v>
      </c>
      <c r="BF49" s="48">
        <f>IFERROR((BF15+BF48)/BF$15,"")</f>
        <v>0.182600269029145</v>
      </c>
      <c r="BG49" s="49" t="n"/>
      <c r="BH49" s="49" t="n"/>
      <c r="BI49" s="49" t="n"/>
      <c r="BJ49" s="49" t="n"/>
      <c r="BK49" s="48" t="n"/>
      <c r="BL49" s="49" t="n"/>
      <c r="BM49" s="49" t="n"/>
      <c r="BN49" s="49" t="n"/>
      <c r="BO49" s="49" t="n"/>
      <c r="BP49" s="48" t="n"/>
      <c r="BQ49" s="49" t="n"/>
      <c r="BR49" s="49" t="n"/>
      <c r="BS49" s="49" t="n"/>
      <c r="BT49" s="49" t="n"/>
      <c r="BU49" s="48" t="n"/>
      <c r="BV49" s="49" t="n"/>
      <c r="BW49" s="49" t="n"/>
      <c r="BX49" s="49" t="n"/>
      <c r="BY49" s="49" t="n"/>
      <c r="BZ49" s="48" t="n"/>
      <c r="CA49" s="49" t="n"/>
      <c r="CB49" s="49" t="n"/>
      <c r="CC49" s="49" t="n"/>
      <c r="CD49" s="49" t="n"/>
      <c r="CE49" s="48" t="n"/>
      <c r="CF49" s="49" t="n"/>
      <c r="CG49" s="49" t="n"/>
      <c r="CH49" s="49" t="n"/>
      <c r="CI49" s="49" t="n"/>
      <c r="CJ49" s="48" t="n"/>
      <c r="CK49" s="49" t="n"/>
      <c r="CL49" s="49" t="n"/>
      <c r="CM49" s="49" t="n"/>
      <c r="CN49" s="49" t="n"/>
      <c r="CO49" s="48" t="n"/>
      <c r="CP49" s="49" t="n"/>
      <c r="CQ49" s="49" t="n"/>
      <c r="CR49" s="49" t="n"/>
      <c r="CS49" s="49" t="n"/>
      <c r="CT49" s="48" t="n"/>
      <c r="CU49" s="49" t="n"/>
      <c r="CV49" s="49" t="n"/>
      <c r="CW49" s="49" t="n"/>
      <c r="CX49" s="49" t="n"/>
      <c r="CY49" s="48" t="n"/>
    </row>
    <row r="50" hidden="1" outlineLevel="1">
      <c r="C50" s="50" t="n"/>
      <c r="D50" s="50" t="n"/>
      <c r="E50" s="50" t="n"/>
      <c r="F50" s="50" t="n"/>
      <c r="G50" s="50" t="n"/>
      <c r="H50" s="50" t="n"/>
      <c r="I50" s="50" t="n"/>
      <c r="J50" s="50" t="n"/>
      <c r="K50" s="50" t="n"/>
      <c r="L50" s="50" t="n"/>
      <c r="M50" s="50" t="n"/>
      <c r="N50" s="50" t="n"/>
      <c r="O50" s="50" t="n"/>
      <c r="P50" s="50" t="n"/>
      <c r="Q50" s="50" t="n"/>
      <c r="R50" s="50" t="n"/>
      <c r="S50" s="50" t="n"/>
      <c r="T50" s="50" t="n"/>
      <c r="U50" s="50" t="n"/>
      <c r="V50" s="50" t="n"/>
      <c r="W50" s="50" t="n"/>
      <c r="X50" s="50" t="n"/>
      <c r="Y50" s="50" t="n"/>
      <c r="Z50" s="50" t="n"/>
      <c r="AA50" s="50" t="n"/>
      <c r="AB50" s="50" t="n"/>
      <c r="AC50" s="50" t="n"/>
      <c r="AD50" s="50" t="n"/>
      <c r="AE50" s="50" t="n"/>
      <c r="AF50" s="50" t="n"/>
      <c r="AG50" s="50" t="n"/>
      <c r="AH50" s="50" t="n"/>
      <c r="AI50" s="50" t="n"/>
      <c r="AJ50" s="50" t="n"/>
      <c r="AK50" s="50" t="n"/>
      <c r="AL50" s="50" t="n"/>
      <c r="AM50" s="50" t="n"/>
      <c r="AN50" s="50" t="n"/>
      <c r="AO50" s="50" t="n"/>
      <c r="AP50" s="50" t="n"/>
      <c r="AQ50" s="50" t="n"/>
      <c r="AR50" s="50" t="n"/>
      <c r="AS50" s="50" t="n"/>
      <c r="AT50" s="50" t="n"/>
      <c r="AU50" s="50" t="n"/>
      <c r="AV50" s="50" t="n"/>
      <c r="AW50" s="50" t="n"/>
      <c r="AX50" s="50" t="n"/>
      <c r="AY50" s="50" t="n"/>
      <c r="AZ50" s="50" t="n"/>
      <c r="BA50" s="50" t="n"/>
      <c r="BB50" s="50" t="n"/>
      <c r="BC50" s="50" t="n"/>
      <c r="BD50" s="50" t="n"/>
      <c r="BE50" s="50" t="n"/>
      <c r="BF50" s="50" t="n"/>
      <c r="BG50" s="50" t="n"/>
      <c r="BH50" s="50" t="n"/>
      <c r="BI50" s="50" t="n"/>
      <c r="BJ50" s="50" t="n"/>
      <c r="BK50" s="50" t="n"/>
      <c r="BL50" s="50" t="n"/>
      <c r="BM50" s="50" t="n"/>
      <c r="BN50" s="50" t="n"/>
      <c r="BO50" s="50" t="n"/>
      <c r="BP50" s="50" t="n"/>
      <c r="BQ50" s="50" t="n"/>
      <c r="BR50" s="50" t="n"/>
      <c r="BS50" s="50" t="n"/>
      <c r="BT50" s="50" t="n"/>
      <c r="BU50" s="50" t="n"/>
      <c r="BV50" s="50" t="n"/>
      <c r="BW50" s="50" t="n"/>
      <c r="BX50" s="50" t="n"/>
      <c r="BY50" s="50" t="n"/>
      <c r="BZ50" s="50" t="n"/>
      <c r="CA50" s="50" t="n"/>
      <c r="CB50" s="50" t="n"/>
      <c r="CC50" s="50" t="n"/>
      <c r="CD50" s="50" t="n"/>
      <c r="CE50" s="50" t="n"/>
      <c r="CF50" s="50" t="n"/>
      <c r="CG50" s="50" t="n"/>
      <c r="CH50" s="50" t="n"/>
      <c r="CI50" s="50" t="n"/>
      <c r="CJ50" s="50" t="n"/>
      <c r="CK50" s="50" t="n"/>
      <c r="CL50" s="50" t="n"/>
      <c r="CM50" s="50" t="n"/>
      <c r="CN50" s="50" t="n"/>
      <c r="CO50" s="50" t="n"/>
      <c r="CP50" s="50" t="n"/>
      <c r="CQ50" s="50" t="n"/>
      <c r="CR50" s="50" t="n"/>
      <c r="CS50" s="50" t="n"/>
      <c r="CT50" s="50" t="n"/>
      <c r="CU50" s="50" t="n"/>
      <c r="CV50" s="50" t="n"/>
      <c r="CW50" s="50" t="n"/>
      <c r="CX50" s="50" t="n"/>
      <c r="CY50" s="50" t="n"/>
    </row>
    <row r="51" hidden="1" outlineLevel="1">
      <c r="C51" s="50" t="n"/>
      <c r="D51" s="50" t="n"/>
      <c r="E51" s="50" t="n"/>
      <c r="F51" s="50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  <c r="AV51" s="50" t="n"/>
      <c r="AW51" s="50" t="n"/>
      <c r="AX51" s="50" t="n"/>
      <c r="AY51" s="50" t="n"/>
      <c r="AZ51" s="50" t="n"/>
      <c r="BA51" s="50" t="n"/>
      <c r="BB51" s="50" t="n"/>
      <c r="BC51" s="50" t="n"/>
      <c r="BD51" s="50" t="n"/>
      <c r="BE51" s="50" t="n"/>
      <c r="BF51" s="50" t="n"/>
      <c r="BG51" s="50" t="n"/>
      <c r="BH51" s="50" t="n"/>
      <c r="BI51" s="50" t="n"/>
      <c r="BJ51" s="50" t="n"/>
      <c r="BK51" s="50" t="n"/>
      <c r="BL51" s="50" t="n"/>
      <c r="BM51" s="50" t="n"/>
      <c r="BN51" s="50" t="n"/>
      <c r="BO51" s="50" t="n"/>
      <c r="BP51" s="50" t="n"/>
      <c r="BQ51" s="50" t="n"/>
      <c r="BR51" s="50" t="n"/>
      <c r="BS51" s="50" t="n"/>
      <c r="BT51" s="50" t="n"/>
      <c r="BU51" s="50" t="n"/>
      <c r="BV51" s="50" t="n"/>
      <c r="BW51" s="50" t="n"/>
      <c r="BX51" s="50" t="n"/>
      <c r="BY51" s="50" t="n"/>
      <c r="BZ51" s="50" t="n"/>
      <c r="CA51" s="50" t="n"/>
      <c r="CB51" s="50" t="n"/>
      <c r="CC51" s="50" t="n"/>
      <c r="CD51" s="50" t="n"/>
      <c r="CE51" s="50" t="n"/>
      <c r="CF51" s="50" t="n"/>
      <c r="CG51" s="50" t="n"/>
      <c r="CH51" s="50" t="n"/>
      <c r="CI51" s="50" t="n"/>
      <c r="CJ51" s="50" t="n"/>
      <c r="CK51" s="50" t="n"/>
      <c r="CL51" s="50" t="n"/>
      <c r="CM51" s="50" t="n"/>
      <c r="CN51" s="50" t="n"/>
      <c r="CO51" s="50" t="n"/>
      <c r="CP51" s="50" t="n"/>
      <c r="CQ51" s="50" t="n"/>
      <c r="CR51" s="50" t="n"/>
      <c r="CS51" s="50" t="n"/>
      <c r="CT51" s="50" t="n"/>
      <c r="CU51" s="50" t="n"/>
      <c r="CV51" s="50" t="n"/>
      <c r="CW51" s="50" t="n"/>
      <c r="CX51" s="50" t="n"/>
      <c r="CY51" s="50" t="n"/>
    </row>
    <row r="52" collapsed="1">
      <c r="C52" s="13" t="inlineStr">
        <is>
          <t>SG&amp;A and Other (cash)</t>
        </is>
      </c>
      <c r="D52" s="46" t="n"/>
      <c r="E52" s="46" t="n"/>
      <c r="F52" s="46" t="n"/>
      <c r="G52" s="46" t="n"/>
      <c r="H52" s="12" t="n"/>
      <c r="I52" s="46">
        <f>'Inputs (2)'!D6</f>
        <v>-1000</v>
      </c>
      <c r="J52" s="46">
        <f>'Inputs (2)'!E6</f>
        <v>-891</v>
      </c>
      <c r="K52" s="46">
        <f>'Inputs (2)'!F6</f>
        <v>-895</v>
      </c>
      <c r="L52" s="46">
        <f>'Inputs (2)'!G6</f>
        <v>-1386</v>
      </c>
      <c r="M52" s="12">
        <f>'Inputs (2)'!H6</f>
        <v>-4172</v>
      </c>
      <c r="N52" s="46">
        <f>'Inputs (2)'!I6</f>
        <v>-977</v>
      </c>
      <c r="O52" s="46">
        <f>'Inputs (2)'!J6</f>
        <v>-848</v>
      </c>
      <c r="P52" s="46">
        <f>'Inputs (2)'!K6</f>
        <v>-738</v>
      </c>
      <c r="Q52" s="46">
        <f>'Inputs (2)'!L6</f>
        <v>-887</v>
      </c>
      <c r="R52" s="12">
        <f>'Inputs (2)'!M6</f>
        <v>-3450</v>
      </c>
      <c r="S52" s="46">
        <f>'Inputs (2)'!N6</f>
        <v>-801</v>
      </c>
      <c r="T52" s="46">
        <f>'Inputs (2)'!O6</f>
        <v>-980</v>
      </c>
      <c r="U52" s="46">
        <f>'Inputs (2)'!P6</f>
        <v>-1179</v>
      </c>
      <c r="V52" s="46">
        <f>'Inputs (2)'!Q6</f>
        <v>-1142</v>
      </c>
      <c r="W52" s="12">
        <f>'Inputs (2)'!R6</f>
        <v>-4102</v>
      </c>
      <c r="X52" s="46">
        <f>'Inputs (2)'!S6</f>
        <v>-1279</v>
      </c>
      <c r="Y52" s="46">
        <f>'Inputs (2)'!T6</f>
        <v>-1695</v>
      </c>
      <c r="Z52" s="46">
        <f>'Inputs (2)'!U6</f>
        <v>-932</v>
      </c>
      <c r="AA52" s="46">
        <f>'Inputs (2)'!V6</f>
        <v>-1100</v>
      </c>
      <c r="AB52" s="12">
        <f>'Inputs (2)'!W6</f>
        <v>-5006</v>
      </c>
      <c r="AC52" s="46">
        <f>'Inputs (2)'!X6</f>
        <v>-1307</v>
      </c>
      <c r="AD52" s="46">
        <f>'Inputs (2)'!Y6</f>
        <v>-1522</v>
      </c>
      <c r="AE52" s="46">
        <f>'Inputs (2)'!Z6</f>
        <v>-1805</v>
      </c>
      <c r="AF52" s="46">
        <f>'Inputs (2)'!AA6</f>
        <v>-1957</v>
      </c>
      <c r="AG52" s="12">
        <f>'Inputs (2)'!AB6</f>
        <v>-6591</v>
      </c>
      <c r="AH52" s="12">
        <f>'Inputs (2)'!AC6</f>
        <v>-2189</v>
      </c>
      <c r="AI52" s="12">
        <f>'Inputs (2)'!AD6</f>
        <v>-2734</v>
      </c>
      <c r="AJ52" s="12">
        <f>-AJ15*AJ53</f>
        <v>-2319.36933185699</v>
      </c>
      <c r="AK52" s="12">
        <f>-AK15*AK53</f>
        <v>-2055.69018446595</v>
      </c>
      <c r="AL52" s="12">
        <f>SUM(AH52:AK52)</f>
        <v>-9298.05951632293</v>
      </c>
      <c r="AM52" s="12">
        <f>-AM15*AM53</f>
        <v>-1848.1481129127</v>
      </c>
      <c r="AN52" s="12">
        <f>-AN15*AN53</f>
        <v>-2331.009519641</v>
      </c>
      <c r="AO52" s="12">
        <f>-AO15*AO53</f>
        <v>-2430.40118045967</v>
      </c>
      <c r="AP52" s="12">
        <f>-AP15*AP53</f>
        <v>-2154.09929861635</v>
      </c>
      <c r="AQ52" s="12">
        <f>SUM(AM52:AP52)</f>
        <v>-8763.65811162972</v>
      </c>
      <c r="AR52" s="12">
        <f>-AR15*AR53</f>
        <v>-1927.38112193591</v>
      </c>
      <c r="AS52" s="12">
        <f>-AS15*AS53</f>
        <v>-2430.94355469613</v>
      </c>
      <c r="AT52" s="12">
        <f>-AT15*AT53</f>
        <v>-2534.59629194232</v>
      </c>
      <c r="AU52" s="12">
        <f>-AU15*AU53</f>
        <v>-2246.44891495482</v>
      </c>
      <c r="AV52" s="12">
        <f>SUM(AR52:AU52)</f>
        <v>-9139.36988352918</v>
      </c>
      <c r="AW52" s="12">
        <f>-AW15*AW53</f>
        <v>-2000.37406874906</v>
      </c>
      <c r="AX52" s="12">
        <f>-AX15*AX53</f>
        <v>-2523.0072008397</v>
      </c>
      <c r="AY52" s="12">
        <f>-AY15*AY53</f>
        <v>-2630.5854298585</v>
      </c>
      <c r="AZ52" s="12">
        <f>-AZ15*AZ53</f>
        <v>-2331.52545965142</v>
      </c>
      <c r="BA52" s="12">
        <f>SUM(AW52:AZ52)</f>
        <v>-9485.49215909867</v>
      </c>
      <c r="BB52" s="12">
        <f>-BB15*BB53</f>
        <v>-2066.1295026275</v>
      </c>
      <c r="BC52" s="12">
        <f>-BC15*BC53</f>
        <v>-2605.94240569036</v>
      </c>
      <c r="BD52" s="12">
        <f>-BD15*BD53</f>
        <v>-2717.05689986852</v>
      </c>
      <c r="BE52" s="12">
        <f>-BE15*BE53</f>
        <v>-2408.1663592677</v>
      </c>
      <c r="BF52" s="12">
        <f>SUM(BB52:BE52)</f>
        <v>-9797.29516745409</v>
      </c>
      <c r="BG52" s="12" t="n"/>
      <c r="BH52" s="12" t="n"/>
      <c r="BI52" s="12" t="n"/>
      <c r="BJ52" s="12" t="n"/>
      <c r="BK52" s="12" t="n"/>
      <c r="BL52" s="12" t="n"/>
      <c r="BM52" s="12" t="n"/>
      <c r="BN52" s="12" t="n"/>
      <c r="BO52" s="12" t="n"/>
      <c r="BP52" s="12" t="n"/>
      <c r="BQ52" s="12" t="n"/>
      <c r="BR52" s="12" t="n"/>
      <c r="BS52" s="12" t="n"/>
      <c r="BT52" s="12" t="n"/>
      <c r="BU52" s="12" t="n"/>
      <c r="BV52" s="12" t="n"/>
      <c r="BW52" s="12" t="n"/>
      <c r="BX52" s="12" t="n"/>
      <c r="BY52" s="12" t="n"/>
      <c r="BZ52" s="12" t="n"/>
      <c r="CA52" s="12" t="n"/>
      <c r="CB52" s="12" t="n"/>
      <c r="CC52" s="12" t="n"/>
      <c r="CD52" s="12" t="n"/>
      <c r="CE52" s="12" t="n"/>
      <c r="CF52" s="12" t="n"/>
      <c r="CG52" s="12" t="n"/>
      <c r="CH52" s="12" t="n"/>
      <c r="CI52" s="12" t="n"/>
      <c r="CJ52" s="12" t="n"/>
      <c r="CK52" s="12" t="n"/>
      <c r="CL52" s="12" t="n"/>
      <c r="CM52" s="12" t="n"/>
      <c r="CN52" s="12" t="n"/>
      <c r="CO52" s="12" t="n"/>
      <c r="CP52" s="12" t="n"/>
      <c r="CQ52" s="12" t="n"/>
      <c r="CR52" s="12" t="n"/>
      <c r="CS52" s="12" t="n"/>
      <c r="CT52" s="12" t="n"/>
      <c r="CU52" s="12" t="n"/>
      <c r="CV52" s="12" t="n"/>
      <c r="CW52" s="12" t="n"/>
      <c r="CX52" s="12" t="n"/>
      <c r="CY52" s="12" t="n"/>
    </row>
    <row r="53" hidden="1" outlineLevel="1">
      <c r="C53" s="38" t="inlineStr">
        <is>
          <t>% SG&amp;A and Other Margin</t>
        </is>
      </c>
      <c r="D53" s="51" t="n"/>
      <c r="E53" s="51" t="n"/>
      <c r="F53" s="51" t="n"/>
      <c r="G53" s="51" t="n"/>
      <c r="H53" s="51" t="n"/>
      <c r="I53" s="51">
        <f>IFERROR(-(I52/I$15),"")</f>
        <v>0.0962556550197324</v>
      </c>
      <c r="J53" s="51">
        <f>IFERROR(-(J52/J$15),"")</f>
        <v>0.07451078775715</v>
      </c>
      <c r="K53" s="51">
        <f>IFERROR(-(K52/K$15),"")</f>
        <v>0.0650577887620848</v>
      </c>
      <c r="L53" s="51">
        <f>IFERROR(-(L52/L$15),"")</f>
        <v>0.0782211185732829</v>
      </c>
      <c r="M53" s="51">
        <f>IFERROR(-(M52/M$15),"")</f>
        <v>0.0775133307322149</v>
      </c>
      <c r="N53" s="51">
        <f>IFERROR(-(N52/N$15),"")</f>
        <v>0.0520899978673491</v>
      </c>
      <c r="O53" s="51">
        <f>IFERROR(-(O52/O$15),"")</f>
        <v>0.0500767686311563</v>
      </c>
      <c r="P53" s="51">
        <f>IFERROR(-(P52/P$15),"")</f>
        <v>0.0343991796401603</v>
      </c>
      <c r="Q53" s="51">
        <f>IFERROR(-(Q52/Q$15),"")</f>
        <v>0.0364750390657126</v>
      </c>
      <c r="R53" s="51">
        <f>IFERROR(-(R52/R$15),"")</f>
        <v>0.0423510348383295</v>
      </c>
      <c r="S53" s="51">
        <f>IFERROR(-(S52/S$15),"")</f>
        <v>0.0343349479188992</v>
      </c>
      <c r="T53" s="51">
        <f>IFERROR(-(T52/T$15),"")</f>
        <v>0.039314799213704</v>
      </c>
      <c r="U53" s="51">
        <f>IFERROR(-(U52/U$15),"")</f>
        <v>0.0504925053533191</v>
      </c>
      <c r="V53" s="51">
        <f>IFERROR(-(V52/V$15),"")</f>
        <v>0.0453768824253983</v>
      </c>
      <c r="W53" s="51">
        <f>IFERROR(-(W52/W$15),"")</f>
        <v>0.0423878561168921</v>
      </c>
      <c r="X53" s="51">
        <f>IFERROR(-(X52/X$15),"")</f>
        <v>0.060044129383597</v>
      </c>
      <c r="Y53" s="51">
        <f>IFERROR(-(Y52/Y$15),"")</f>
        <v>0.0664705882352941</v>
      </c>
      <c r="Z53" s="51">
        <f>IFERROR(-(Z52/Z$15),"")</f>
        <v>0.0370105631006274</v>
      </c>
      <c r="AA53" s="51">
        <f>IFERROR(-(AA52/AA$15),"")</f>
        <v>0.0427899015832264</v>
      </c>
      <c r="AB53" s="51">
        <f>IFERROR(-(AB52/AB$15),"")</f>
        <v>0.0512437301668543</v>
      </c>
      <c r="AC53" s="51">
        <f>IFERROR(-(AC52/AC$15),"")</f>
        <v>0.0675976208947505</v>
      </c>
      <c r="AD53" s="51">
        <f>IFERROR(-(AD52/AD$15),"")</f>
        <v>0.0676564722617354</v>
      </c>
      <c r="AE53" s="51">
        <f>IFERROR(-(AE52/AE$15),"")</f>
        <v>0.0642463071720947</v>
      </c>
      <c r="AF53" s="41">
        <f>IFERROR(-(AF52/AF$15),"")</f>
        <v>0.0785912212360949</v>
      </c>
      <c r="AG53" s="51">
        <f>IFERROR(-(AG52/AG$15),"")</f>
        <v>0.0695055205795818</v>
      </c>
      <c r="AH53" s="52">
        <f>IFERROR(-(AH52/AH$15),"")</f>
        <v>0.0977799615848484</v>
      </c>
      <c r="AI53" s="52">
        <f>IFERROR(-(AI52/AI$15),"")</f>
        <v>0.0968267459980167</v>
      </c>
      <c r="AJ53" s="52">
        <f>Control!$B$20</f>
        <v>0.0787830548579234</v>
      </c>
      <c r="AK53" s="52">
        <f>Control!$B$20</f>
        <v>0.0787830548579234</v>
      </c>
      <c r="AL53" s="51">
        <f>IFERROR(-(AL52/AL$15),"")</f>
        <v>0.0875886372018031</v>
      </c>
      <c r="AM53" s="52">
        <f>Control!$C$20</f>
        <v>0.0787830548579234</v>
      </c>
      <c r="AN53" s="52">
        <f>Control!$C$20</f>
        <v>0.0787830548579234</v>
      </c>
      <c r="AO53" s="52">
        <f>Control!$C$20</f>
        <v>0.0787830548579234</v>
      </c>
      <c r="AP53" s="52">
        <f>Control!$C$20</f>
        <v>0.0787830548579234</v>
      </c>
      <c r="AQ53" s="51">
        <f>IFERROR(-(AQ52/AQ$15),"")</f>
        <v>0.0787830548579235</v>
      </c>
      <c r="AR53" s="52">
        <f>Control!$D$20</f>
        <v>0.0787830548579234</v>
      </c>
      <c r="AS53" s="52">
        <f>Control!$D$20</f>
        <v>0.0787830548579234</v>
      </c>
      <c r="AT53" s="52">
        <f>Control!$D$20</f>
        <v>0.0787830548579234</v>
      </c>
      <c r="AU53" s="52">
        <f>Control!$D$20</f>
        <v>0.0787830548579234</v>
      </c>
      <c r="AV53" s="51">
        <f>IFERROR(-(AV52/AV$15),"")</f>
        <v>0.0787830548579234</v>
      </c>
      <c r="AW53" s="52">
        <f>Control!$E$20</f>
        <v>0.0787830548579234</v>
      </c>
      <c r="AX53" s="52">
        <f>Control!$E$20</f>
        <v>0.0787830548579234</v>
      </c>
      <c r="AY53" s="52">
        <f>Control!$E$20</f>
        <v>0.0787830548579234</v>
      </c>
      <c r="AZ53" s="52">
        <f>Control!$E$20</f>
        <v>0.0787830548579234</v>
      </c>
      <c r="BA53" s="51">
        <f>IFERROR(-(BA52/BA$15),"")</f>
        <v>0.0787830548579235</v>
      </c>
      <c r="BB53" s="52">
        <f>Control!$F$20</f>
        <v>0.0787830548579234</v>
      </c>
      <c r="BC53" s="52">
        <f>Control!$F$20</f>
        <v>0.0787830548579234</v>
      </c>
      <c r="BD53" s="52">
        <f>Control!$F$20</f>
        <v>0.0787830548579234</v>
      </c>
      <c r="BE53" s="52">
        <f>Control!$F$20</f>
        <v>0.0787830548579234</v>
      </c>
      <c r="BF53" s="51">
        <f>IFERROR(-(BF52/BF$15),"")</f>
        <v>0.0787830548579234</v>
      </c>
      <c r="BG53" s="52" t="n"/>
      <c r="BH53" s="52" t="n"/>
      <c r="BI53" s="52" t="n"/>
      <c r="BJ53" s="52" t="n"/>
      <c r="BK53" s="51" t="n"/>
      <c r="BL53" s="52" t="n"/>
      <c r="BM53" s="52" t="n"/>
      <c r="BN53" s="52" t="n"/>
      <c r="BO53" s="52" t="n"/>
      <c r="BP53" s="51" t="n"/>
      <c r="BQ53" s="52" t="n"/>
      <c r="BR53" s="52" t="n"/>
      <c r="BS53" s="52" t="n"/>
      <c r="BT53" s="52" t="n"/>
      <c r="BU53" s="51" t="n"/>
      <c r="BV53" s="52" t="n"/>
      <c r="BW53" s="52" t="n"/>
      <c r="BX53" s="52" t="n"/>
      <c r="BY53" s="52" t="n"/>
      <c r="BZ53" s="51" t="n"/>
      <c r="CA53" s="52" t="n"/>
      <c r="CB53" s="52" t="n"/>
      <c r="CC53" s="52" t="n"/>
      <c r="CD53" s="52" t="n"/>
      <c r="CE53" s="51" t="n"/>
      <c r="CF53" s="52" t="n"/>
      <c r="CG53" s="52" t="n"/>
      <c r="CH53" s="52" t="n"/>
      <c r="CI53" s="52" t="n"/>
      <c r="CJ53" s="51" t="n"/>
      <c r="CK53" s="52" t="n"/>
      <c r="CL53" s="52" t="n"/>
      <c r="CM53" s="52" t="n"/>
      <c r="CN53" s="52" t="n"/>
      <c r="CO53" s="51" t="n"/>
      <c r="CP53" s="52" t="n"/>
      <c r="CQ53" s="52" t="n"/>
      <c r="CR53" s="52" t="n"/>
      <c r="CS53" s="52" t="n"/>
      <c r="CT53" s="51" t="n"/>
      <c r="CU53" s="52" t="n"/>
      <c r="CV53" s="52" t="n"/>
      <c r="CW53" s="52" t="n"/>
      <c r="CX53" s="52" t="n"/>
      <c r="CY53" s="51" t="n"/>
    </row>
    <row r="54" hidden="1" outlineLevel="1">
      <c r="C54" s="50" t="n"/>
      <c r="D54" s="50" t="n"/>
      <c r="E54" s="50" t="n"/>
      <c r="F54" s="50" t="n"/>
      <c r="G54" s="50" t="n"/>
      <c r="H54" s="50" t="n"/>
      <c r="I54" s="50" t="n"/>
      <c r="J54" s="50" t="n"/>
      <c r="K54" s="50" t="n"/>
      <c r="L54" s="50" t="n"/>
      <c r="M54" s="50" t="n"/>
      <c r="N54" s="50" t="n"/>
      <c r="O54" s="50" t="n"/>
      <c r="P54" s="50" t="n"/>
      <c r="Q54" s="50" t="n"/>
      <c r="R54" s="50" t="n"/>
      <c r="S54" s="50" t="n"/>
      <c r="T54" s="50" t="n"/>
      <c r="U54" s="50" t="n"/>
      <c r="V54" s="50" t="n"/>
      <c r="W54" s="50" t="n"/>
      <c r="X54" s="50" t="n"/>
      <c r="Y54" s="50" t="n"/>
      <c r="Z54" s="50" t="n"/>
      <c r="AA54" s="50" t="n"/>
      <c r="AB54" s="50" t="n"/>
      <c r="AC54" s="50" t="n"/>
      <c r="AD54" s="50" t="n"/>
      <c r="AE54" s="50" t="n"/>
      <c r="AF54" s="50" t="n"/>
      <c r="AG54" s="50" t="n"/>
      <c r="AH54" s="50" t="n"/>
      <c r="AI54" s="50" t="n"/>
      <c r="AJ54" s="50" t="n"/>
      <c r="AK54" s="50" t="n"/>
      <c r="AL54" s="50" t="n"/>
      <c r="AM54" s="50" t="n"/>
      <c r="AN54" s="50" t="n"/>
      <c r="AO54" s="50" t="n"/>
      <c r="AP54" s="50" t="n"/>
      <c r="AQ54" s="50" t="n"/>
      <c r="AR54" s="50" t="n"/>
      <c r="AS54" s="50" t="n"/>
      <c r="AT54" s="50" t="n"/>
      <c r="AU54" s="50" t="n"/>
      <c r="AV54" s="50" t="n"/>
      <c r="AW54" s="50" t="n"/>
      <c r="AX54" s="50" t="n"/>
      <c r="AY54" s="50" t="n"/>
      <c r="AZ54" s="50" t="n"/>
      <c r="BA54" s="50" t="n"/>
      <c r="BB54" s="50" t="n"/>
      <c r="BC54" s="50" t="n"/>
      <c r="BD54" s="50" t="n"/>
      <c r="BE54" s="50" t="n"/>
      <c r="BF54" s="50" t="n"/>
      <c r="BG54" s="50" t="n"/>
      <c r="BH54" s="50" t="n"/>
      <c r="BI54" s="50" t="n"/>
      <c r="BJ54" s="50" t="n"/>
      <c r="BK54" s="50" t="n"/>
      <c r="BL54" s="50" t="n"/>
      <c r="BM54" s="50" t="n"/>
      <c r="BN54" s="50" t="n"/>
      <c r="BO54" s="50" t="n"/>
      <c r="BP54" s="50" t="n"/>
      <c r="BQ54" s="50" t="n"/>
      <c r="BR54" s="50" t="n"/>
      <c r="BS54" s="50" t="n"/>
      <c r="BT54" s="50" t="n"/>
      <c r="BU54" s="50" t="n"/>
      <c r="BV54" s="50" t="n"/>
      <c r="BW54" s="50" t="n"/>
      <c r="BX54" s="50" t="n"/>
      <c r="BY54" s="50" t="n"/>
      <c r="BZ54" s="50" t="n"/>
      <c r="CA54" s="50" t="n"/>
      <c r="CB54" s="50" t="n"/>
      <c r="CC54" s="50" t="n"/>
      <c r="CD54" s="50" t="n"/>
      <c r="CE54" s="50" t="n"/>
      <c r="CF54" s="50" t="n"/>
      <c r="CG54" s="50" t="n"/>
      <c r="CH54" s="50" t="n"/>
      <c r="CI54" s="50" t="n"/>
      <c r="CJ54" s="50" t="n"/>
      <c r="CK54" s="50" t="n"/>
      <c r="CL54" s="50" t="n"/>
      <c r="CM54" s="50" t="n"/>
      <c r="CN54" s="50" t="n"/>
      <c r="CO54" s="50" t="n"/>
      <c r="CP54" s="50" t="n"/>
      <c r="CQ54" s="50" t="n"/>
      <c r="CR54" s="50" t="n"/>
      <c r="CS54" s="50" t="n"/>
      <c r="CT54" s="50" t="n"/>
      <c r="CU54" s="50" t="n"/>
      <c r="CV54" s="50" t="n"/>
      <c r="CW54" s="50" t="n"/>
      <c r="CX54" s="50" t="n"/>
      <c r="CY54" s="50" t="n"/>
    </row>
    <row r="55" hidden="1" outlineLevel="1">
      <c r="C55" s="50" t="inlineStr">
        <is>
          <t>Com Vendas</t>
        </is>
      </c>
      <c r="D55" s="11" t="n"/>
      <c r="E55" s="11" t="n"/>
      <c r="F55" s="11" t="n"/>
      <c r="G55" s="11" t="n"/>
      <c r="H55" s="50" t="n"/>
      <c r="I55" s="11" t="n"/>
      <c r="J55" s="11" t="n"/>
      <c r="K55" s="11" t="n"/>
      <c r="L55" s="11" t="n"/>
      <c r="M55" s="50" t="n"/>
      <c r="N55" s="11" t="n"/>
      <c r="O55" s="11" t="n"/>
      <c r="P55" s="11" t="n"/>
      <c r="Q55" s="11" t="n"/>
      <c r="R55" s="50" t="n"/>
      <c r="S55" s="11" t="n"/>
      <c r="T55" s="11" t="n"/>
      <c r="U55" s="11" t="n"/>
      <c r="V55" s="11" t="n"/>
      <c r="W55" s="50" t="n"/>
      <c r="X55" s="11" t="n"/>
      <c r="Y55" s="11" t="n"/>
      <c r="Z55" s="11" t="n"/>
      <c r="AA55" s="11" t="n"/>
      <c r="AB55" s="50" t="n"/>
      <c r="AC55" s="11" t="n"/>
      <c r="AD55" s="11" t="n"/>
      <c r="AE55" s="11" t="n"/>
      <c r="AF55" s="11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  <c r="AV55" s="50" t="n"/>
      <c r="AW55" s="50" t="n"/>
      <c r="AX55" s="50" t="n"/>
      <c r="AY55" s="50" t="n"/>
      <c r="AZ55" s="50" t="n"/>
      <c r="BA55" s="50" t="n"/>
      <c r="BB55" s="50" t="n"/>
      <c r="BC55" s="50" t="n"/>
      <c r="BD55" s="50" t="n"/>
      <c r="BE55" s="50" t="n"/>
      <c r="BF55" s="50" t="n"/>
      <c r="BG55" s="50" t="n"/>
      <c r="BH55" s="50" t="n"/>
      <c r="BI55" s="50" t="n"/>
      <c r="BJ55" s="50" t="n"/>
      <c r="BK55" s="50" t="n"/>
      <c r="BL55" s="50" t="n"/>
      <c r="BM55" s="50" t="n"/>
      <c r="BN55" s="50" t="n"/>
      <c r="BO55" s="50" t="n"/>
      <c r="BP55" s="50" t="n"/>
      <c r="BQ55" s="50" t="n"/>
      <c r="BR55" s="50" t="n"/>
      <c r="BS55" s="50" t="n"/>
      <c r="BT55" s="50" t="n"/>
      <c r="BU55" s="50" t="n"/>
      <c r="BV55" s="50" t="n"/>
      <c r="BW55" s="50" t="n"/>
      <c r="BX55" s="50" t="n"/>
      <c r="BY55" s="50" t="n"/>
      <c r="BZ55" s="50" t="n"/>
      <c r="CA55" s="50" t="n"/>
      <c r="CB55" s="50" t="n"/>
      <c r="CC55" s="50" t="n"/>
      <c r="CD55" s="50" t="n"/>
      <c r="CE55" s="50" t="n"/>
      <c r="CF55" s="50" t="n"/>
      <c r="CG55" s="50" t="n"/>
      <c r="CH55" s="50" t="n"/>
      <c r="CI55" s="50" t="n"/>
      <c r="CJ55" s="50" t="n"/>
      <c r="CK55" s="50" t="n"/>
      <c r="CL55" s="50" t="n"/>
      <c r="CM55" s="50" t="n"/>
      <c r="CN55" s="50" t="n"/>
      <c r="CO55" s="50" t="n"/>
      <c r="CP55" s="50" t="n"/>
      <c r="CQ55" s="50" t="n"/>
      <c r="CR55" s="50" t="n"/>
      <c r="CS55" s="50" t="n"/>
      <c r="CT55" s="50" t="n"/>
      <c r="CU55" s="50" t="n"/>
      <c r="CV55" s="50" t="n"/>
      <c r="CW55" s="50" t="n"/>
      <c r="CX55" s="50" t="n"/>
      <c r="CY55" s="50" t="n"/>
    </row>
    <row r="56" hidden="1" outlineLevel="1">
      <c r="C56" s="50" t="inlineStr">
        <is>
          <t>Gerais &amp; Administrativas</t>
        </is>
      </c>
      <c r="D56" s="11" t="n"/>
      <c r="E56" s="11" t="n"/>
      <c r="F56" s="11" t="n"/>
      <c r="G56" s="11" t="n"/>
      <c r="H56" s="50" t="n"/>
      <c r="I56" s="11" t="n"/>
      <c r="J56" s="11" t="n"/>
      <c r="K56" s="11" t="n"/>
      <c r="L56" s="11" t="n"/>
      <c r="M56" s="50" t="n"/>
      <c r="N56" s="11" t="n"/>
      <c r="O56" s="11" t="n"/>
      <c r="P56" s="11" t="n"/>
      <c r="Q56" s="11" t="n"/>
      <c r="R56" s="50" t="n"/>
      <c r="S56" s="11" t="n"/>
      <c r="T56" s="11" t="n"/>
      <c r="U56" s="11" t="n"/>
      <c r="V56" s="11" t="n"/>
      <c r="W56" s="50" t="n"/>
      <c r="X56" s="11" t="n"/>
      <c r="Y56" s="11" t="n"/>
      <c r="Z56" s="11" t="n"/>
      <c r="AA56" s="11" t="n"/>
      <c r="AB56" s="50" t="n"/>
      <c r="AC56" s="11" t="n"/>
      <c r="AD56" s="11" t="n"/>
      <c r="AE56" s="11" t="n"/>
      <c r="AF56" s="11" t="n"/>
      <c r="AG56" s="50" t="n"/>
      <c r="AH56" s="50" t="n"/>
      <c r="AI56" s="50" t="n"/>
      <c r="AJ56" s="50" t="n"/>
      <c r="AK56" s="50" t="n"/>
      <c r="AL56" s="50" t="n"/>
      <c r="AM56" s="50" t="n"/>
      <c r="AN56" s="50" t="n"/>
      <c r="AO56" s="50" t="n"/>
      <c r="AP56" s="50" t="n"/>
      <c r="AQ56" s="50" t="n"/>
      <c r="AR56" s="50" t="n"/>
      <c r="AS56" s="50" t="n"/>
      <c r="AT56" s="50" t="n"/>
      <c r="AU56" s="50" t="n"/>
      <c r="AV56" s="50" t="n"/>
      <c r="AW56" s="50" t="n"/>
      <c r="AX56" s="50" t="n"/>
      <c r="AY56" s="50" t="n"/>
      <c r="AZ56" s="50" t="n"/>
      <c r="BA56" s="50" t="n"/>
      <c r="BB56" s="50" t="n"/>
      <c r="BC56" s="50" t="n"/>
      <c r="BD56" s="50" t="n"/>
      <c r="BE56" s="50" t="n"/>
      <c r="BF56" s="50" t="n"/>
      <c r="BG56" s="50" t="n"/>
      <c r="BH56" s="50" t="n"/>
      <c r="BI56" s="50" t="n"/>
      <c r="BJ56" s="50" t="n"/>
      <c r="BK56" s="50" t="n"/>
      <c r="BL56" s="50" t="n"/>
      <c r="BM56" s="50" t="n"/>
      <c r="BN56" s="50" t="n"/>
      <c r="BO56" s="50" t="n"/>
      <c r="BP56" s="50" t="n"/>
      <c r="BQ56" s="50" t="n"/>
      <c r="BR56" s="50" t="n"/>
      <c r="BS56" s="50" t="n"/>
      <c r="BT56" s="50" t="n"/>
      <c r="BU56" s="50" t="n"/>
      <c r="BV56" s="50" t="n"/>
      <c r="BW56" s="50" t="n"/>
      <c r="BX56" s="50" t="n"/>
      <c r="BY56" s="50" t="n"/>
      <c r="BZ56" s="50" t="n"/>
      <c r="CA56" s="50" t="n"/>
      <c r="CB56" s="50" t="n"/>
      <c r="CC56" s="50" t="n"/>
      <c r="CD56" s="50" t="n"/>
      <c r="CE56" s="50" t="n"/>
      <c r="CF56" s="50" t="n"/>
      <c r="CG56" s="50" t="n"/>
      <c r="CH56" s="50" t="n"/>
      <c r="CI56" s="50" t="n"/>
      <c r="CJ56" s="50" t="n"/>
      <c r="CK56" s="50" t="n"/>
      <c r="CL56" s="50" t="n"/>
      <c r="CM56" s="50" t="n"/>
      <c r="CN56" s="50" t="n"/>
      <c r="CO56" s="50" t="n"/>
      <c r="CP56" s="50" t="n"/>
      <c r="CQ56" s="50" t="n"/>
      <c r="CR56" s="50" t="n"/>
      <c r="CS56" s="50" t="n"/>
      <c r="CT56" s="50" t="n"/>
      <c r="CU56" s="50" t="n"/>
      <c r="CV56" s="50" t="n"/>
      <c r="CW56" s="50" t="n"/>
      <c r="CX56" s="50" t="n"/>
      <c r="CY56" s="50" t="n"/>
    </row>
    <row r="57" hidden="1" outlineLevel="1">
      <c r="C57" s="50" t="inlineStr">
        <is>
          <t>Outras Receitas (Despesas) Operacionais, Líquidas</t>
        </is>
      </c>
      <c r="D57" s="11" t="n"/>
      <c r="E57" s="11" t="n"/>
      <c r="F57" s="11" t="n"/>
      <c r="G57" s="11" t="n"/>
      <c r="H57" s="50" t="n"/>
      <c r="I57" s="11" t="n"/>
      <c r="J57" s="11" t="n"/>
      <c r="K57" s="11" t="n"/>
      <c r="L57" s="11" t="n"/>
      <c r="M57" s="50" t="n"/>
      <c r="N57" s="11" t="n"/>
      <c r="O57" s="11" t="n"/>
      <c r="P57" s="11" t="n"/>
      <c r="Q57" s="11" t="n"/>
      <c r="R57" s="50" t="n"/>
      <c r="S57" s="11" t="n"/>
      <c r="T57" s="11" t="n"/>
      <c r="U57" s="11" t="n"/>
      <c r="V57" s="11" t="n"/>
      <c r="W57" s="50" t="n"/>
      <c r="X57" s="11" t="n"/>
      <c r="Y57" s="11" t="n"/>
      <c r="Z57" s="11" t="n"/>
      <c r="AA57" s="11" t="n"/>
      <c r="AB57" s="50" t="n"/>
      <c r="AC57" s="11" t="n"/>
      <c r="AD57" s="11" t="n"/>
      <c r="AE57" s="11" t="n"/>
      <c r="AF57" s="11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  <c r="AV57" s="50" t="n"/>
      <c r="AW57" s="50" t="n"/>
      <c r="AX57" s="50" t="n"/>
      <c r="AY57" s="50" t="n"/>
      <c r="AZ57" s="50" t="n"/>
      <c r="BA57" s="50" t="n"/>
      <c r="BB57" s="50" t="n"/>
      <c r="BC57" s="50" t="n"/>
      <c r="BD57" s="50" t="n"/>
      <c r="BE57" s="50" t="n"/>
      <c r="BF57" s="50" t="n"/>
      <c r="BG57" s="50" t="n"/>
      <c r="BH57" s="50" t="n"/>
      <c r="BI57" s="50" t="n"/>
      <c r="BJ57" s="50" t="n"/>
      <c r="BK57" s="50" t="n"/>
      <c r="BL57" s="50" t="n"/>
      <c r="BM57" s="50" t="n"/>
      <c r="BN57" s="50" t="n"/>
      <c r="BO57" s="50" t="n"/>
      <c r="BP57" s="50" t="n"/>
      <c r="BQ57" s="50" t="n"/>
      <c r="BR57" s="50" t="n"/>
      <c r="BS57" s="50" t="n"/>
      <c r="BT57" s="50" t="n"/>
      <c r="BU57" s="50" t="n"/>
      <c r="BV57" s="50" t="n"/>
      <c r="BW57" s="50" t="n"/>
      <c r="BX57" s="50" t="n"/>
      <c r="BY57" s="50" t="n"/>
      <c r="BZ57" s="50" t="n"/>
      <c r="CA57" s="50" t="n"/>
      <c r="CB57" s="50" t="n"/>
      <c r="CC57" s="50" t="n"/>
      <c r="CD57" s="50" t="n"/>
      <c r="CE57" s="50" t="n"/>
      <c r="CF57" s="50" t="n"/>
      <c r="CG57" s="50" t="n"/>
      <c r="CH57" s="50" t="n"/>
      <c r="CI57" s="50" t="n"/>
      <c r="CJ57" s="50" t="n"/>
      <c r="CK57" s="50" t="n"/>
      <c r="CL57" s="50" t="n"/>
      <c r="CM57" s="50" t="n"/>
      <c r="CN57" s="50" t="n"/>
      <c r="CO57" s="50" t="n"/>
      <c r="CP57" s="50" t="n"/>
      <c r="CQ57" s="50" t="n"/>
      <c r="CR57" s="50" t="n"/>
      <c r="CS57" s="50" t="n"/>
      <c r="CT57" s="50" t="n"/>
      <c r="CU57" s="50" t="n"/>
      <c r="CV57" s="50" t="n"/>
      <c r="CW57" s="50" t="n"/>
      <c r="CX57" s="50" t="n"/>
      <c r="CY57" s="50" t="n"/>
    </row>
    <row r="58" hidden="1" outlineLevel="1">
      <c r="C58" s="50" t="n"/>
      <c r="D58" s="50" t="n"/>
      <c r="E58" s="50" t="n"/>
      <c r="F58" s="50" t="n"/>
      <c r="G58" s="50" t="n"/>
      <c r="H58" s="50" t="n"/>
      <c r="I58" s="50" t="n"/>
      <c r="J58" s="50" t="n"/>
      <c r="K58" s="50" t="n"/>
      <c r="L58" s="50" t="n"/>
      <c r="M58" s="50" t="n"/>
      <c r="N58" s="50" t="n"/>
      <c r="O58" s="50" t="n"/>
      <c r="P58" s="50" t="n"/>
      <c r="Q58" s="50" t="n"/>
      <c r="R58" s="50" t="n"/>
      <c r="S58" s="50" t="n"/>
      <c r="T58" s="50" t="n"/>
      <c r="U58" s="50" t="n"/>
      <c r="V58" s="50" t="n"/>
      <c r="W58" s="50" t="n"/>
      <c r="X58" s="50" t="n"/>
      <c r="Y58" s="50" t="n"/>
      <c r="Z58" s="50" t="n"/>
      <c r="AA58" s="50" t="n"/>
      <c r="AB58" s="50" t="n"/>
      <c r="AC58" s="50" t="n"/>
      <c r="AD58" s="50" t="n"/>
      <c r="AE58" s="50" t="n"/>
      <c r="AF58" s="50" t="n"/>
      <c r="AG58" s="50" t="n"/>
      <c r="AH58" s="50" t="n"/>
      <c r="AI58" s="50" t="n"/>
      <c r="AJ58" s="50" t="n"/>
      <c r="AK58" s="50" t="n"/>
      <c r="AL58" s="50" t="n"/>
      <c r="AM58" s="50" t="n"/>
      <c r="AN58" s="50" t="n"/>
      <c r="AO58" s="50" t="n"/>
      <c r="AP58" s="50" t="n"/>
      <c r="AQ58" s="50" t="n"/>
      <c r="AR58" s="50" t="n"/>
      <c r="AS58" s="50" t="n"/>
      <c r="AT58" s="50" t="n"/>
      <c r="AU58" s="50" t="n"/>
      <c r="AV58" s="50" t="n"/>
      <c r="AW58" s="50" t="n"/>
      <c r="AX58" s="50" t="n"/>
      <c r="AY58" s="50" t="n"/>
      <c r="AZ58" s="50" t="n"/>
      <c r="BA58" s="50" t="n"/>
      <c r="BB58" s="50" t="n"/>
      <c r="BC58" s="50" t="n"/>
      <c r="BD58" s="50" t="n"/>
      <c r="BE58" s="50" t="n"/>
      <c r="BF58" s="50" t="n"/>
      <c r="BG58" s="50" t="n"/>
      <c r="BH58" s="50" t="n"/>
      <c r="BI58" s="50" t="n"/>
      <c r="BJ58" s="50" t="n"/>
      <c r="BK58" s="50" t="n"/>
      <c r="BL58" s="50" t="n"/>
      <c r="BM58" s="50" t="n"/>
      <c r="BN58" s="50" t="n"/>
      <c r="BO58" s="50" t="n"/>
      <c r="BP58" s="50" t="n"/>
      <c r="BQ58" s="50" t="n"/>
      <c r="BR58" s="50" t="n"/>
      <c r="BS58" s="50" t="n"/>
      <c r="BT58" s="50" t="n"/>
      <c r="BU58" s="50" t="n"/>
      <c r="BV58" s="50" t="n"/>
      <c r="BW58" s="50" t="n"/>
      <c r="BX58" s="50" t="n"/>
      <c r="BY58" s="50" t="n"/>
      <c r="BZ58" s="50" t="n"/>
      <c r="CA58" s="50" t="n"/>
      <c r="CB58" s="50" t="n"/>
      <c r="CC58" s="50" t="n"/>
      <c r="CD58" s="50" t="n"/>
      <c r="CE58" s="50" t="n"/>
      <c r="CF58" s="50" t="n"/>
      <c r="CG58" s="50" t="n"/>
      <c r="CH58" s="50" t="n"/>
      <c r="CI58" s="50" t="n"/>
      <c r="CJ58" s="50" t="n"/>
      <c r="CK58" s="50" t="n"/>
      <c r="CL58" s="50" t="n"/>
      <c r="CM58" s="50" t="n"/>
      <c r="CN58" s="50" t="n"/>
      <c r="CO58" s="50" t="n"/>
      <c r="CP58" s="50" t="n"/>
      <c r="CQ58" s="50" t="n"/>
      <c r="CR58" s="50" t="n"/>
      <c r="CS58" s="50" t="n"/>
      <c r="CT58" s="50" t="n"/>
      <c r="CU58" s="50" t="n"/>
      <c r="CV58" s="50" t="n"/>
      <c r="CW58" s="50" t="n"/>
      <c r="CX58" s="50" t="n"/>
      <c r="CY58" s="50" t="n"/>
    </row>
    <row r="59" hidden="1" outlineLevel="1">
      <c r="C59" s="50" t="inlineStr">
        <is>
          <t>Com Vendas (%)</t>
        </is>
      </c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  <c r="AJ59" s="50" t="n"/>
      <c r="AK59" s="50" t="n"/>
      <c r="AL59" s="50" t="n"/>
      <c r="AM59" s="50" t="n"/>
      <c r="AN59" s="50" t="n"/>
      <c r="AO59" s="50" t="n"/>
      <c r="AP59" s="50" t="n"/>
      <c r="AQ59" s="50" t="n"/>
      <c r="AR59" s="50" t="n"/>
      <c r="AS59" s="50" t="n"/>
      <c r="AT59" s="50" t="n"/>
      <c r="AU59" s="50" t="n"/>
      <c r="AV59" s="50" t="n"/>
      <c r="AW59" s="50" t="n"/>
      <c r="AX59" s="50" t="n"/>
      <c r="AY59" s="50" t="n"/>
      <c r="AZ59" s="50" t="n"/>
      <c r="BA59" s="50" t="n"/>
      <c r="BB59" s="50" t="n"/>
      <c r="BC59" s="50" t="n"/>
      <c r="BD59" s="50" t="n"/>
      <c r="BE59" s="50" t="n"/>
      <c r="BF59" s="50" t="n"/>
      <c r="BG59" s="50" t="n"/>
      <c r="BH59" s="50" t="n"/>
      <c r="BI59" s="50" t="n"/>
      <c r="BJ59" s="50" t="n"/>
      <c r="BK59" s="50" t="n"/>
      <c r="BL59" s="50" t="n"/>
      <c r="BM59" s="50" t="n"/>
      <c r="BN59" s="50" t="n"/>
      <c r="BO59" s="50" t="n"/>
      <c r="BP59" s="50" t="n"/>
      <c r="BQ59" s="50" t="n"/>
      <c r="BR59" s="50" t="n"/>
      <c r="BS59" s="50" t="n"/>
      <c r="BT59" s="50" t="n"/>
      <c r="BU59" s="50" t="n"/>
      <c r="BV59" s="50" t="n"/>
      <c r="BW59" s="50" t="n"/>
      <c r="BX59" s="50" t="n"/>
      <c r="BY59" s="50" t="n"/>
      <c r="BZ59" s="50" t="n"/>
      <c r="CA59" s="50" t="n"/>
      <c r="CB59" s="50" t="n"/>
      <c r="CC59" s="50" t="n"/>
      <c r="CD59" s="50" t="n"/>
      <c r="CE59" s="50" t="n"/>
      <c r="CF59" s="50" t="n"/>
      <c r="CG59" s="50" t="n"/>
      <c r="CH59" s="50" t="n"/>
      <c r="CI59" s="50" t="n"/>
      <c r="CJ59" s="50" t="n"/>
      <c r="CK59" s="50" t="n"/>
      <c r="CL59" s="50" t="n"/>
      <c r="CM59" s="50" t="n"/>
      <c r="CN59" s="50" t="n"/>
      <c r="CO59" s="50" t="n"/>
      <c r="CP59" s="50" t="n"/>
      <c r="CQ59" s="50" t="n"/>
      <c r="CR59" s="50" t="n"/>
      <c r="CS59" s="50" t="n"/>
      <c r="CT59" s="50" t="n"/>
      <c r="CU59" s="50" t="n"/>
      <c r="CV59" s="50" t="n"/>
      <c r="CW59" s="50" t="n"/>
      <c r="CX59" s="50" t="n"/>
      <c r="CY59" s="50" t="n"/>
    </row>
    <row r="60" hidden="1" outlineLevel="1">
      <c r="C60" s="50" t="inlineStr">
        <is>
          <t>Gerais &amp; Administrativas (%)</t>
        </is>
      </c>
      <c r="D60" s="50" t="n"/>
      <c r="E60" s="50" t="n"/>
      <c r="F60" s="50" t="n"/>
      <c r="G60" s="50" t="n"/>
      <c r="H60" s="50" t="n"/>
      <c r="I60" s="50" t="n"/>
      <c r="J60" s="50" t="n"/>
      <c r="K60" s="50" t="n"/>
      <c r="L60" s="50" t="n"/>
      <c r="M60" s="50" t="n"/>
      <c r="N60" s="50" t="n"/>
      <c r="O60" s="50" t="n"/>
      <c r="P60" s="50" t="n"/>
      <c r="Q60" s="50" t="n"/>
      <c r="R60" s="50" t="n"/>
      <c r="S60" s="50" t="n"/>
      <c r="T60" s="50" t="n"/>
      <c r="U60" s="50" t="n"/>
      <c r="V60" s="50" t="n"/>
      <c r="W60" s="50" t="n"/>
      <c r="X60" s="50" t="n"/>
      <c r="Y60" s="50" t="n"/>
      <c r="Z60" s="50" t="n"/>
      <c r="AA60" s="50" t="n"/>
      <c r="AB60" s="50" t="n"/>
      <c r="AC60" s="50" t="n"/>
      <c r="AD60" s="50" t="n"/>
      <c r="AE60" s="50" t="n"/>
      <c r="AF60" s="50" t="n"/>
      <c r="AG60" s="50" t="n"/>
      <c r="AH60" s="50" t="n"/>
      <c r="AI60" s="50" t="n"/>
      <c r="AJ60" s="50" t="n"/>
      <c r="AK60" s="50" t="n"/>
      <c r="AL60" s="50" t="n"/>
      <c r="AM60" s="50" t="n"/>
      <c r="AN60" s="50" t="n"/>
      <c r="AO60" s="50" t="n"/>
      <c r="AP60" s="50" t="n"/>
      <c r="AQ60" s="50" t="n"/>
      <c r="AR60" s="50" t="n"/>
      <c r="AS60" s="50" t="n"/>
      <c r="AT60" s="50" t="n"/>
      <c r="AU60" s="50" t="n"/>
      <c r="AV60" s="50" t="n"/>
      <c r="AW60" s="50" t="n"/>
      <c r="AX60" s="50" t="n"/>
      <c r="AY60" s="50" t="n"/>
      <c r="AZ60" s="50" t="n"/>
      <c r="BA60" s="50" t="n"/>
      <c r="BB60" s="50" t="n"/>
      <c r="BC60" s="50" t="n"/>
      <c r="BD60" s="50" t="n"/>
      <c r="BE60" s="50" t="n"/>
      <c r="BF60" s="50" t="n"/>
      <c r="BG60" s="50" t="n"/>
      <c r="BH60" s="50" t="n"/>
      <c r="BI60" s="50" t="n"/>
      <c r="BJ60" s="50" t="n"/>
      <c r="BK60" s="50" t="n"/>
      <c r="BL60" s="50" t="n"/>
      <c r="BM60" s="50" t="n"/>
      <c r="BN60" s="50" t="n"/>
      <c r="BO60" s="50" t="n"/>
      <c r="BP60" s="50" t="n"/>
      <c r="BQ60" s="50" t="n"/>
      <c r="BR60" s="50" t="n"/>
      <c r="BS60" s="50" t="n"/>
      <c r="BT60" s="50" t="n"/>
      <c r="BU60" s="50" t="n"/>
      <c r="BV60" s="50" t="n"/>
      <c r="BW60" s="50" t="n"/>
      <c r="BX60" s="50" t="n"/>
      <c r="BY60" s="50" t="n"/>
      <c r="BZ60" s="50" t="n"/>
      <c r="CA60" s="50" t="n"/>
      <c r="CB60" s="50" t="n"/>
      <c r="CC60" s="50" t="n"/>
      <c r="CD60" s="50" t="n"/>
      <c r="CE60" s="50" t="n"/>
      <c r="CF60" s="50" t="n"/>
      <c r="CG60" s="50" t="n"/>
      <c r="CH60" s="50" t="n"/>
      <c r="CI60" s="50" t="n"/>
      <c r="CJ60" s="50" t="n"/>
      <c r="CK60" s="50" t="n"/>
      <c r="CL60" s="50" t="n"/>
      <c r="CM60" s="50" t="n"/>
      <c r="CN60" s="50" t="n"/>
      <c r="CO60" s="50" t="n"/>
      <c r="CP60" s="50" t="n"/>
      <c r="CQ60" s="50" t="n"/>
      <c r="CR60" s="50" t="n"/>
      <c r="CS60" s="50" t="n"/>
      <c r="CT60" s="50" t="n"/>
      <c r="CU60" s="50" t="n"/>
      <c r="CV60" s="50" t="n"/>
      <c r="CW60" s="50" t="n"/>
      <c r="CX60" s="50" t="n"/>
      <c r="CY60" s="50" t="n"/>
    </row>
    <row r="61" hidden="1" outlineLevel="1">
      <c r="C61" s="50" t="inlineStr">
        <is>
          <t>Outras Receitas (Despesas) Operacionais, Líquidas (%)</t>
        </is>
      </c>
      <c r="D61" s="50" t="n"/>
      <c r="E61" s="50" t="n"/>
      <c r="F61" s="50" t="n"/>
      <c r="G61" s="50" t="n"/>
      <c r="H61" s="50" t="n"/>
      <c r="I61" s="50" t="n"/>
      <c r="J61" s="50" t="n"/>
      <c r="K61" s="50" t="n"/>
      <c r="L61" s="50" t="n"/>
      <c r="M61" s="50" t="n"/>
      <c r="N61" s="50" t="n"/>
      <c r="O61" s="50" t="n"/>
      <c r="P61" s="50" t="n"/>
      <c r="Q61" s="50" t="n"/>
      <c r="R61" s="50" t="n"/>
      <c r="S61" s="50" t="n"/>
      <c r="T61" s="50" t="n"/>
      <c r="U61" s="50" t="n"/>
      <c r="V61" s="50" t="n"/>
      <c r="W61" s="50" t="n"/>
      <c r="X61" s="50" t="n"/>
      <c r="Y61" s="50" t="n"/>
      <c r="Z61" s="50" t="n"/>
      <c r="AA61" s="50" t="n"/>
      <c r="AB61" s="50" t="n"/>
      <c r="AC61" s="50" t="n"/>
      <c r="AD61" s="50" t="n"/>
      <c r="AE61" s="50" t="n"/>
      <c r="AF61" s="50" t="n"/>
      <c r="AG61" s="50" t="n"/>
      <c r="AH61" s="50" t="n"/>
      <c r="AI61" s="50" t="n"/>
      <c r="AJ61" s="50" t="n"/>
      <c r="AK61" s="50" t="n"/>
      <c r="AL61" s="50" t="n"/>
      <c r="AM61" s="50" t="n"/>
      <c r="AN61" s="50" t="n"/>
      <c r="AO61" s="50" t="n"/>
      <c r="AP61" s="50" t="n"/>
      <c r="AQ61" s="50" t="n"/>
      <c r="AR61" s="50" t="n"/>
      <c r="AS61" s="50" t="n"/>
      <c r="AT61" s="50" t="n"/>
      <c r="AU61" s="50" t="n"/>
      <c r="AV61" s="50" t="n"/>
      <c r="AW61" s="50" t="n"/>
      <c r="AX61" s="50" t="n"/>
      <c r="AY61" s="50" t="n"/>
      <c r="AZ61" s="50" t="n"/>
      <c r="BA61" s="50" t="n"/>
      <c r="BB61" s="50" t="n"/>
      <c r="BC61" s="50" t="n"/>
      <c r="BD61" s="50" t="n"/>
      <c r="BE61" s="50" t="n"/>
      <c r="BF61" s="50" t="n"/>
      <c r="BG61" s="50" t="n"/>
      <c r="BH61" s="50" t="n"/>
      <c r="BI61" s="50" t="n"/>
      <c r="BJ61" s="50" t="n"/>
      <c r="BK61" s="50" t="n"/>
      <c r="BL61" s="50" t="n"/>
      <c r="BM61" s="50" t="n"/>
      <c r="BN61" s="50" t="n"/>
      <c r="BO61" s="50" t="n"/>
      <c r="BP61" s="50" t="n"/>
      <c r="BQ61" s="50" t="n"/>
      <c r="BR61" s="50" t="n"/>
      <c r="BS61" s="50" t="n"/>
      <c r="BT61" s="50" t="n"/>
      <c r="BU61" s="50" t="n"/>
      <c r="BV61" s="50" t="n"/>
      <c r="BW61" s="50" t="n"/>
      <c r="BX61" s="50" t="n"/>
      <c r="BY61" s="50" t="n"/>
      <c r="BZ61" s="50" t="n"/>
      <c r="CA61" s="50" t="n"/>
      <c r="CB61" s="50" t="n"/>
      <c r="CC61" s="50" t="n"/>
      <c r="CD61" s="50" t="n"/>
      <c r="CE61" s="50" t="n"/>
      <c r="CF61" s="50" t="n"/>
      <c r="CG61" s="50" t="n"/>
      <c r="CH61" s="50" t="n"/>
      <c r="CI61" s="50" t="n"/>
      <c r="CJ61" s="50" t="n"/>
      <c r="CK61" s="50" t="n"/>
      <c r="CL61" s="50" t="n"/>
      <c r="CM61" s="50" t="n"/>
      <c r="CN61" s="50" t="n"/>
      <c r="CO61" s="50" t="n"/>
      <c r="CP61" s="50" t="n"/>
      <c r="CQ61" s="50" t="n"/>
      <c r="CR61" s="50" t="n"/>
      <c r="CS61" s="50" t="n"/>
      <c r="CT61" s="50" t="n"/>
      <c r="CU61" s="50" t="n"/>
      <c r="CV61" s="50" t="n"/>
      <c r="CW61" s="50" t="n"/>
      <c r="CX61" s="50" t="n"/>
      <c r="CY61" s="50" t="n"/>
    </row>
    <row r="62" hidden="1" outlineLevel="1">
      <c r="C62" s="50" t="n"/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  <c r="R62" s="50" t="n"/>
      <c r="S62" s="50" t="n"/>
      <c r="T62" s="50" t="n"/>
      <c r="U62" s="50" t="n"/>
      <c r="V62" s="50" t="n"/>
      <c r="W62" s="50" t="n"/>
      <c r="X62" s="50" t="n"/>
      <c r="Y62" s="50" t="n"/>
      <c r="Z62" s="50" t="n"/>
      <c r="AA62" s="50" t="n"/>
      <c r="AB62" s="50" t="n"/>
      <c r="AC62" s="50" t="n"/>
      <c r="AD62" s="50" t="n"/>
      <c r="AE62" s="50" t="n"/>
      <c r="AF62" s="50" t="n"/>
      <c r="AG62" s="50" t="n"/>
      <c r="AH62" s="50" t="n"/>
      <c r="AI62" s="50" t="n"/>
      <c r="AJ62" s="50" t="n"/>
      <c r="AK62" s="50" t="n"/>
      <c r="AL62" s="50" t="n"/>
      <c r="AM62" s="50" t="n"/>
      <c r="AN62" s="50" t="n"/>
      <c r="AO62" s="50" t="n"/>
      <c r="AP62" s="50" t="n"/>
      <c r="AQ62" s="50" t="n"/>
      <c r="AR62" s="50" t="n"/>
      <c r="AS62" s="50" t="n"/>
      <c r="AT62" s="50" t="n"/>
      <c r="AU62" s="50" t="n"/>
      <c r="AV62" s="50" t="n"/>
      <c r="AW62" s="50" t="n"/>
      <c r="AX62" s="50" t="n"/>
      <c r="AY62" s="50" t="n"/>
      <c r="AZ62" s="50" t="n"/>
      <c r="BA62" s="50" t="n"/>
      <c r="BB62" s="50" t="n"/>
      <c r="BC62" s="50" t="n"/>
      <c r="BD62" s="50" t="n"/>
      <c r="BE62" s="50" t="n"/>
      <c r="BF62" s="50" t="n"/>
      <c r="BG62" s="50" t="n"/>
      <c r="BH62" s="50" t="n"/>
      <c r="BI62" s="50" t="n"/>
      <c r="BJ62" s="50" t="n"/>
      <c r="BK62" s="50" t="n"/>
      <c r="BL62" s="50" t="n"/>
      <c r="BM62" s="50" t="n"/>
      <c r="BN62" s="50" t="n"/>
      <c r="BO62" s="50" t="n"/>
      <c r="BP62" s="50" t="n"/>
      <c r="BQ62" s="50" t="n"/>
      <c r="BR62" s="50" t="n"/>
      <c r="BS62" s="50" t="n"/>
      <c r="BT62" s="50" t="n"/>
      <c r="BU62" s="50" t="n"/>
      <c r="BV62" s="50" t="n"/>
      <c r="BW62" s="50" t="n"/>
      <c r="BX62" s="50" t="n"/>
      <c r="BY62" s="50" t="n"/>
      <c r="BZ62" s="50" t="n"/>
      <c r="CA62" s="50" t="n"/>
      <c r="CB62" s="50" t="n"/>
      <c r="CC62" s="50" t="n"/>
      <c r="CD62" s="50" t="n"/>
      <c r="CE62" s="50" t="n"/>
      <c r="CF62" s="50" t="n"/>
      <c r="CG62" s="50" t="n"/>
      <c r="CH62" s="50" t="n"/>
      <c r="CI62" s="50" t="n"/>
      <c r="CJ62" s="50" t="n"/>
      <c r="CK62" s="50" t="n"/>
      <c r="CL62" s="50" t="n"/>
      <c r="CM62" s="50" t="n"/>
      <c r="CN62" s="50" t="n"/>
      <c r="CO62" s="50" t="n"/>
      <c r="CP62" s="50" t="n"/>
      <c r="CQ62" s="50" t="n"/>
      <c r="CR62" s="50" t="n"/>
      <c r="CS62" s="50" t="n"/>
      <c r="CT62" s="50" t="n"/>
      <c r="CU62" s="50" t="n"/>
      <c r="CV62" s="50" t="n"/>
      <c r="CW62" s="50" t="n"/>
      <c r="CX62" s="50" t="n"/>
      <c r="CY62" s="50" t="n"/>
    </row>
    <row r="63" collapsed="1" customFormat="1" s="32">
      <c r="A63" s="30" t="n"/>
      <c r="B63" s="3" t="n"/>
      <c r="C63" s="33" t="inlineStr">
        <is>
          <t>EBITDA</t>
        </is>
      </c>
      <c r="D63" s="35" t="n"/>
      <c r="E63" s="35" t="n"/>
      <c r="F63" s="35" t="n"/>
      <c r="G63" s="35" t="n"/>
      <c r="H63" s="35" t="n"/>
      <c r="I63" s="35">
        <f>SUM(I15,I48,I52)</f>
        <v>1215</v>
      </c>
      <c r="J63" s="35">
        <f>SUM(J15,J48,J52)</f>
        <v>1993</v>
      </c>
      <c r="K63" s="35">
        <f>SUM(K15,K48,K52)</f>
        <v>2765</v>
      </c>
      <c r="L63" s="35">
        <f>SUM(L15,L48,L52)</f>
        <v>3461</v>
      </c>
      <c r="M63" s="35">
        <f>SUM(I63:L63)</f>
        <v>9434</v>
      </c>
      <c r="N63" s="35">
        <f>SUM(N15,N48,N52)</f>
        <v>4483</v>
      </c>
      <c r="O63" s="35">
        <f>SUM(O15,O48,O52)</f>
        <v>3386</v>
      </c>
      <c r="P63" s="35">
        <f>SUM(P15,P48,P52)</f>
        <v>4644</v>
      </c>
      <c r="Q63" s="35">
        <f>SUM(Q15,Q48,Q52)</f>
        <v>4890</v>
      </c>
      <c r="R63" s="35">
        <f>SUM(N63:Q63)</f>
        <v>17403</v>
      </c>
      <c r="S63" s="35">
        <f>SUM(S15,S48,S52)</f>
        <v>3710</v>
      </c>
      <c r="T63" s="35">
        <f>SUM(T15,T48,T52)</f>
        <v>3553</v>
      </c>
      <c r="U63" s="35">
        <f>SUM(U15,U48,U52)</f>
        <v>2999</v>
      </c>
      <c r="V63" s="35">
        <f>SUM(V15,V48,V52)</f>
        <v>3296</v>
      </c>
      <c r="W63" s="35">
        <f>SUM(S63:V63)</f>
        <v>13558</v>
      </c>
      <c r="X63" s="35">
        <f>SUM(X15,X48,X52)</f>
        <v>2417</v>
      </c>
      <c r="Y63" s="35">
        <f>SUM(Y15,Y48,Y52)</f>
        <v>2883</v>
      </c>
      <c r="Z63" s="35">
        <f>SUM(Z15,Z48,Z52)</f>
        <v>4065</v>
      </c>
      <c r="AA63" s="35">
        <f>SUM(AA15,AA48,AA52)</f>
        <v>3079</v>
      </c>
      <c r="AB63" s="35">
        <f>SUM(X63:AA63)</f>
        <v>12444</v>
      </c>
      <c r="AC63" s="35">
        <f>SUM(AC15,AC48,AC52)</f>
        <v>1846</v>
      </c>
      <c r="AD63" s="35">
        <f>SUM(AD15,AD48,AD52)</f>
        <v>2356</v>
      </c>
      <c r="AE63" s="35">
        <f>SUM(AE15,AE48,AE52)</f>
        <v>3249</v>
      </c>
      <c r="AF63" s="35">
        <f>SUM(AF15,AF48,AF52)</f>
        <v>3052</v>
      </c>
      <c r="AG63" s="35">
        <f>SUM(AC63:AF63)</f>
        <v>10503</v>
      </c>
      <c r="AH63" s="35">
        <f>SUM(AH15,AH48,AH52)</f>
        <v>2531</v>
      </c>
      <c r="AI63" s="35">
        <f>SUM(AI15,AI48,AI52)</f>
        <v>2017</v>
      </c>
      <c r="AJ63" s="35">
        <f>SUM(AJ15,AJ48,AJ52)</f>
        <v>3056.37377354557</v>
      </c>
      <c r="AK63" s="35">
        <f>SUM(AK15,AK48,AK52)</f>
        <v>2708.90775351693</v>
      </c>
      <c r="AL63" s="35">
        <f>SUM(AH63:AK63)</f>
        <v>10313.2815270625</v>
      </c>
      <c r="AM63" s="35">
        <f>SUM(AM15,AM48,AM52)</f>
        <v>2435.41696630591</v>
      </c>
      <c r="AN63" s="35">
        <f>SUM(AN15,AN48,AN52)</f>
        <v>3071.71275564452</v>
      </c>
      <c r="AO63" s="35">
        <f>SUM(AO15,AO48,AO52)</f>
        <v>3202.68718100355</v>
      </c>
      <c r="AP63" s="35">
        <f>SUM(AP15,AP48,AP52)</f>
        <v>2838.58741748245</v>
      </c>
      <c r="AQ63" s="35">
        <f>SUM(AM63:AP63)</f>
        <v>11548.4043204364</v>
      </c>
      <c r="AR63" s="35">
        <f>SUM(AR15,AR48,AR52)</f>
        <v>2539.82711239668</v>
      </c>
      <c r="AS63" s="35">
        <f>SUM(AS15,AS48,AS52)</f>
        <v>3203.40190046155</v>
      </c>
      <c r="AT63" s="35">
        <f>SUM(AT15,AT48,AT52)</f>
        <v>3339.9914049118</v>
      </c>
      <c r="AU63" s="35">
        <f>SUM(AU15,AU48,AU52)</f>
        <v>2960.2821133194</v>
      </c>
      <c r="AV63" s="35">
        <f>SUM(AR63:AU63)</f>
        <v>12043.5025310894</v>
      </c>
      <c r="AW63" s="35">
        <f>SUM(AW15,AW48,AW52)</f>
        <v>2636.01434968971</v>
      </c>
      <c r="AX63" s="35">
        <f>SUM(AX15,AX48,AX52)</f>
        <v>3324.71975601192</v>
      </c>
      <c r="AY63" s="35">
        <f>SUM(AY15,AY48,AY52)</f>
        <v>3466.48211928085</v>
      </c>
      <c r="AZ63" s="35">
        <f>SUM(AZ15,AZ48,AZ52)</f>
        <v>3072.39264111808</v>
      </c>
      <c r="BA63" s="35">
        <f>SUM(AW63:AZ63)</f>
        <v>12499.6088661006</v>
      </c>
      <c r="BB63" s="35">
        <f>SUM(BB15,BB48,BB52)</f>
        <v>2722.66427681162</v>
      </c>
      <c r="BC63" s="35">
        <f>SUM(BC15,BC48,BC52)</f>
        <v>3434.00851029852</v>
      </c>
      <c r="BD63" s="35">
        <f>SUM(BD15,BD48,BD52)</f>
        <v>3580.43082484857</v>
      </c>
      <c r="BE63" s="35">
        <f>SUM(BE15,BE48,BE52)</f>
        <v>3173.3870072808</v>
      </c>
      <c r="BF63" s="35">
        <f>SUM(BB63:BE63)</f>
        <v>12910.4906192395</v>
      </c>
      <c r="BG63" s="35" t="n"/>
      <c r="BH63" s="35" t="n"/>
      <c r="BI63" s="35" t="n"/>
      <c r="BJ63" s="35" t="n"/>
      <c r="BK63" s="35" t="n"/>
      <c r="BL63" s="35" t="n"/>
      <c r="BM63" s="35" t="n"/>
      <c r="BN63" s="35" t="n"/>
      <c r="BO63" s="35" t="n"/>
      <c r="BP63" s="35" t="n"/>
      <c r="BQ63" s="35" t="n"/>
      <c r="BR63" s="35" t="n"/>
      <c r="BS63" s="35" t="n"/>
      <c r="BT63" s="35" t="n"/>
      <c r="BU63" s="35" t="n"/>
      <c r="BV63" s="35" t="n"/>
      <c r="BW63" s="35" t="n"/>
      <c r="BX63" s="35" t="n"/>
      <c r="BY63" s="35" t="n"/>
      <c r="BZ63" s="35" t="n"/>
      <c r="CA63" s="35" t="n"/>
      <c r="CB63" s="35" t="n"/>
      <c r="CC63" s="35" t="n"/>
      <c r="CD63" s="35" t="n"/>
      <c r="CE63" s="35" t="n"/>
      <c r="CF63" s="35" t="n"/>
      <c r="CG63" s="35" t="n"/>
      <c r="CH63" s="35" t="n"/>
      <c r="CI63" s="35" t="n"/>
      <c r="CJ63" s="35" t="n"/>
      <c r="CK63" s="35" t="n"/>
      <c r="CL63" s="35" t="n"/>
      <c r="CM63" s="35" t="n"/>
      <c r="CN63" s="35" t="n"/>
      <c r="CO63" s="35" t="n"/>
      <c r="CP63" s="35" t="n"/>
      <c r="CQ63" s="35" t="n"/>
      <c r="CR63" s="35" t="n"/>
      <c r="CS63" s="35" t="n"/>
      <c r="CT63" s="35" t="n"/>
      <c r="CU63" s="35" t="n"/>
      <c r="CV63" s="35" t="n"/>
      <c r="CW63" s="35" t="n"/>
      <c r="CX63" s="35" t="n"/>
      <c r="CY63" s="35" t="n"/>
    </row>
    <row r="64" ht="13.5" customHeight="1">
      <c r="C64" s="13" t="inlineStr">
        <is>
          <t>D&amp;A</t>
        </is>
      </c>
      <c r="D64" s="46" t="n"/>
      <c r="E64" s="46" t="n"/>
      <c r="F64" s="46" t="n"/>
      <c r="G64" s="46" t="n"/>
      <c r="H64" s="12" t="n"/>
      <c r="I64" s="46">
        <f>'Inputs (2)'!D7</f>
        <v>-621</v>
      </c>
      <c r="J64" s="46">
        <f>'Inputs (2)'!E7</f>
        <v>-681</v>
      </c>
      <c r="K64" s="46">
        <f>'Inputs (2)'!F7</f>
        <v>-761</v>
      </c>
      <c r="L64" s="46">
        <f>'Inputs (2)'!G7</f>
        <v>-848</v>
      </c>
      <c r="M64" s="12">
        <f>'Inputs (2)'!H7</f>
        <v>-2911</v>
      </c>
      <c r="N64" s="46">
        <f>'Inputs (2)'!I7</f>
        <v>-880</v>
      </c>
      <c r="O64" s="46">
        <f>'Inputs (2)'!J7</f>
        <v>-922</v>
      </c>
      <c r="P64" s="46">
        <f>'Inputs (2)'!K7</f>
        <v>-956</v>
      </c>
      <c r="Q64" s="46">
        <f>'Inputs (2)'!L7</f>
        <v>-989</v>
      </c>
      <c r="R64" s="12">
        <f>'Inputs (2)'!M7</f>
        <v>-3747</v>
      </c>
      <c r="S64" s="46">
        <f>'Inputs (2)'!N7</f>
        <v>-1046</v>
      </c>
      <c r="T64" s="46">
        <f>'Inputs (2)'!O7</f>
        <v>-1154</v>
      </c>
      <c r="U64" s="46">
        <f>'Inputs (2)'!P7</f>
        <v>-1235</v>
      </c>
      <c r="V64" s="46">
        <f>'Inputs (2)'!Q7</f>
        <v>-1232</v>
      </c>
      <c r="W64" s="12">
        <f>'Inputs (2)'!R7</f>
        <v>-4667</v>
      </c>
      <c r="X64" s="46">
        <f>'Inputs (2)'!S7</f>
        <v>-1246</v>
      </c>
      <c r="Y64" s="46">
        <f>'Inputs (2)'!T7</f>
        <v>-1278</v>
      </c>
      <c r="Z64" s="46">
        <f>'Inputs (2)'!U7</f>
        <v>-1348</v>
      </c>
      <c r="AA64" s="46">
        <f>'Inputs (2)'!V7</f>
        <v>-1496</v>
      </c>
      <c r="AB64" s="12">
        <f>'Inputs (2)'!W7</f>
        <v>-5368</v>
      </c>
      <c r="AC64" s="46">
        <f>'Inputs (2)'!X7</f>
        <v>-1447</v>
      </c>
      <c r="AD64" s="46">
        <f>'Inputs (2)'!Y7</f>
        <v>-1433</v>
      </c>
      <c r="AE64" s="46">
        <f>'Inputs (2)'!Z7</f>
        <v>-1625</v>
      </c>
      <c r="AF64" s="46">
        <f>'Inputs (2)'!AA7</f>
        <v>-1643</v>
      </c>
      <c r="AG64" s="12">
        <f>'Inputs (2)'!AB7</f>
        <v>-6148</v>
      </c>
      <c r="AH64" s="12">
        <f>'Inputs (2)'!AC7</f>
        <v>-1590</v>
      </c>
      <c r="AI64" s="12">
        <f>'Inputs (2)'!AD7</f>
        <v>-1619</v>
      </c>
      <c r="AJ64" s="12">
        <f>-AJ65*AJ15</f>
        <v>-1917.13387678868</v>
      </c>
      <c r="AK64" s="12">
        <f>-AK65*AK15</f>
        <v>-1699.18315237284</v>
      </c>
      <c r="AL64" s="12">
        <f>SUM(AH64:AK64)</f>
        <v>-6825.31702916153</v>
      </c>
      <c r="AM64" s="12">
        <f>-AM65*AM15</f>
        <v>-1527.63395976751</v>
      </c>
      <c r="AN64" s="12">
        <f>-AN65*AN15</f>
        <v>-1926.75537088469</v>
      </c>
      <c r="AO64" s="12">
        <f>-AO65*AO15</f>
        <v>-2008.91008311985</v>
      </c>
      <c r="AP64" s="12">
        <f>-AP65*AP15</f>
        <v>-1780.52571559948</v>
      </c>
      <c r="AQ64" s="12">
        <f>SUM(AM64:AP64)</f>
        <v>-7243.82512937153</v>
      </c>
      <c r="AR64" s="12">
        <f>-AR65*AR15</f>
        <v>-1593.12602421448</v>
      </c>
      <c r="AS64" s="12">
        <f>-AS65*AS15</f>
        <v>-2009.35839637826</v>
      </c>
      <c r="AT64" s="12">
        <f>-AT65*AT15</f>
        <v>-2095.03521001338</v>
      </c>
      <c r="AU64" s="12">
        <f>-AU65*AU15</f>
        <v>-1856.8596463621</v>
      </c>
      <c r="AV64" s="12">
        <f>SUM(AR64:AU64)</f>
        <v>-7554.37927696822</v>
      </c>
      <c r="AW64" s="12">
        <f>-AW65*AW15</f>
        <v>-1653.46020608886</v>
      </c>
      <c r="AX64" s="12">
        <f>-AX65*AX15</f>
        <v>-2085.45595118261</v>
      </c>
      <c r="AY64" s="12">
        <f>-AY65*AY15</f>
        <v>-2174.3774801621</v>
      </c>
      <c r="AZ64" s="12">
        <f>-AZ65*AZ15</f>
        <v>-1927.18183425935</v>
      </c>
      <c r="BA64" s="12">
        <f>SUM(AW64:AZ64)</f>
        <v>-7840.47547169293</v>
      </c>
      <c r="BB64" s="12">
        <f>-BB65*BB15</f>
        <v>-1707.81203705421</v>
      </c>
      <c r="BC64" s="12">
        <f>-BC65*BC15</f>
        <v>-2154.00816001531</v>
      </c>
      <c r="BD64" s="12">
        <f>-BD65*BD15</f>
        <v>-2245.85267915475</v>
      </c>
      <c r="BE64" s="12">
        <f>-BE65*BE15</f>
        <v>-1990.53132456425</v>
      </c>
      <c r="BF64" s="12">
        <f>SUM(BB64:BE64)</f>
        <v>-8098.20420078852</v>
      </c>
      <c r="BG64" s="12" t="n"/>
      <c r="BH64" s="12" t="n"/>
      <c r="BI64" s="12" t="n"/>
      <c r="BJ64" s="12" t="n"/>
      <c r="BK64" s="12" t="n"/>
      <c r="BL64" s="12" t="n"/>
      <c r="BM64" s="12" t="n"/>
      <c r="BN64" s="12" t="n"/>
      <c r="BO64" s="12" t="n"/>
      <c r="BP64" s="12" t="n"/>
      <c r="BQ64" s="12" t="n"/>
      <c r="BR64" s="12" t="n"/>
      <c r="BS64" s="12" t="n"/>
      <c r="BT64" s="12" t="n"/>
      <c r="BU64" s="12" t="n"/>
      <c r="BV64" s="12" t="n"/>
      <c r="BW64" s="12" t="n"/>
      <c r="BX64" s="12" t="n"/>
      <c r="BY64" s="12" t="n"/>
      <c r="BZ64" s="12" t="n"/>
      <c r="CA64" s="12" t="n"/>
      <c r="CB64" s="12" t="n"/>
      <c r="CC64" s="12" t="n"/>
      <c r="CD64" s="12" t="n"/>
      <c r="CE64" s="12" t="n"/>
      <c r="CF64" s="12" t="n"/>
      <c r="CG64" s="12" t="n"/>
      <c r="CH64" s="12" t="n"/>
      <c r="CI64" s="12" t="n"/>
      <c r="CJ64" s="12" t="n"/>
      <c r="CK64" s="12" t="n"/>
      <c r="CL64" s="12" t="n"/>
      <c r="CM64" s="12" t="n"/>
      <c r="CN64" s="12" t="n"/>
      <c r="CO64" s="12" t="n"/>
      <c r="CP64" s="12" t="n"/>
      <c r="CQ64" s="12" t="n"/>
      <c r="CR64" s="12" t="n"/>
      <c r="CS64" s="12" t="n"/>
      <c r="CT64" s="12" t="n"/>
      <c r="CU64" s="12" t="n"/>
      <c r="CV64" s="12" t="n"/>
      <c r="CW64" s="12" t="n"/>
      <c r="CX64" s="12" t="n"/>
      <c r="CY64" s="12" t="n"/>
    </row>
    <row r="65" hidden="1" outlineLevel="1" customFormat="1" s="56">
      <c r="A65" s="53" t="n"/>
      <c r="B65" s="53" t="n"/>
      <c r="C65" s="54" t="inlineStr">
        <is>
          <t>% of Revenue</t>
        </is>
      </c>
      <c r="D65" s="53" t="n"/>
      <c r="E65" s="53" t="n"/>
      <c r="F65" s="53" t="n"/>
      <c r="G65" s="53" t="n"/>
      <c r="H65" s="53" t="n"/>
      <c r="I65" s="53">
        <f>IFERROR(-I64/I15,"")</f>
        <v>0.0597747617672538</v>
      </c>
      <c r="J65" s="53">
        <f>IFERROR(-J64/J15,"")</f>
        <v>0.0569493226292022</v>
      </c>
      <c r="K65" s="53">
        <f>IFERROR(-K64/K15,"")</f>
        <v>0.0553172930144654</v>
      </c>
      <c r="L65" s="53">
        <f>IFERROR(-L64/L15,"")</f>
        <v>0.0478582312771601</v>
      </c>
      <c r="M65" s="53" t="n"/>
      <c r="N65" s="53">
        <f>IFERROR(-N64/N15,"")</f>
        <v>0.0469183194711026</v>
      </c>
      <c r="O65" s="53">
        <f>IFERROR(-O64/O15,"")</f>
        <v>0.054446675327743</v>
      </c>
      <c r="P65" s="53">
        <f>IFERROR(-P64/P15,"")</f>
        <v>0.0445604549268202</v>
      </c>
      <c r="Q65" s="53">
        <f>IFERROR(-Q64/Q15,"")</f>
        <v>0.0406694629492557</v>
      </c>
      <c r="R65" s="53" t="n"/>
      <c r="S65" s="53">
        <f>IFERROR(-S64/S15,"")</f>
        <v>0.0448368982811094</v>
      </c>
      <c r="T65" s="53">
        <f>IFERROR(-T64/T15,"")</f>
        <v>0.0462951819312392</v>
      </c>
      <c r="U65" s="53">
        <f>IFERROR(-U64/U15,"")</f>
        <v>0.0528907922912206</v>
      </c>
      <c r="V65" s="53">
        <f>IFERROR(-V64/V15,"")</f>
        <v>0.0489529940000795</v>
      </c>
      <c r="W65" s="53" t="n"/>
      <c r="X65" s="53">
        <f>IFERROR(-X64/X15,"")</f>
        <v>0.0584949063424252</v>
      </c>
      <c r="Y65" s="53">
        <f>IFERROR(-Y64/Y15,"")</f>
        <v>0.0501176470588235</v>
      </c>
      <c r="Z65" s="53">
        <f>IFERROR(-Z64/Z15,"")</f>
        <v>0.0535302994202208</v>
      </c>
      <c r="AA65" s="53">
        <f>IFERROR(-AA64/AA15,"")</f>
        <v>0.0581942661531878</v>
      </c>
      <c r="AB65" s="53" t="n"/>
      <c r="AC65" s="53">
        <f>IFERROR(-AC64/AC15,"")</f>
        <v>0.0748383760020688</v>
      </c>
      <c r="AD65" s="53">
        <f>IFERROR(-AD64/AD15,"")</f>
        <v>0.063700213371266</v>
      </c>
      <c r="AE65" s="53">
        <f>IFERROR(-AE64/AE15,"")</f>
        <v>0.0578394732158747</v>
      </c>
      <c r="AF65" s="55">
        <f>IFERROR(-AF64/AF15,"")</f>
        <v>0.0659812858921328</v>
      </c>
      <c r="AG65" s="53" t="n"/>
      <c r="AH65" s="55">
        <f>IFERROR(-AH64/AH15,"")</f>
        <v>0.0710233617724572</v>
      </c>
      <c r="AI65" s="55">
        <f>IFERROR(-AI64/AI15,"")</f>
        <v>0.0573381498795863</v>
      </c>
      <c r="AJ65" s="55">
        <f>Control!$B$21</f>
        <v>0.0651201433555643</v>
      </c>
      <c r="AK65" s="55">
        <f>Control!$B$21</f>
        <v>0.0651201433555643</v>
      </c>
      <c r="AL65" s="53" t="n"/>
      <c r="AM65" s="55">
        <f>Control!$C$21</f>
        <v>0.0651201433555643</v>
      </c>
      <c r="AN65" s="55">
        <f>Control!$C$21</f>
        <v>0.0651201433555643</v>
      </c>
      <c r="AO65" s="55">
        <f>Control!$C$21</f>
        <v>0.0651201433555643</v>
      </c>
      <c r="AP65" s="55">
        <f>Control!$C$21</f>
        <v>0.0651201433555643</v>
      </c>
      <c r="AQ65" s="53" t="n"/>
      <c r="AR65" s="55">
        <f>Control!$D$21</f>
        <v>0.0651201433555643</v>
      </c>
      <c r="AS65" s="55">
        <f>Control!$D$21</f>
        <v>0.0651201433555643</v>
      </c>
      <c r="AT65" s="55">
        <f>Control!$D$21</f>
        <v>0.0651201433555643</v>
      </c>
      <c r="AU65" s="55">
        <f>Control!$D$21</f>
        <v>0.0651201433555643</v>
      </c>
      <c r="AV65" s="53" t="n"/>
      <c r="AW65" s="55">
        <f>Control!$E$21</f>
        <v>0.0651201433555643</v>
      </c>
      <c r="AX65" s="55">
        <f>Control!$E$21</f>
        <v>0.0651201433555643</v>
      </c>
      <c r="AY65" s="55">
        <f>Control!$E$21</f>
        <v>0.0651201433555643</v>
      </c>
      <c r="AZ65" s="55">
        <f>Control!$E$21</f>
        <v>0.0651201433555643</v>
      </c>
      <c r="BA65" s="53" t="n"/>
      <c r="BB65" s="55">
        <f>Control!$F$21</f>
        <v>0.0651201433555643</v>
      </c>
      <c r="BC65" s="55">
        <f>Control!$F$21</f>
        <v>0.0651201433555643</v>
      </c>
      <c r="BD65" s="55">
        <f>Control!$F$21</f>
        <v>0.0651201433555643</v>
      </c>
      <c r="BE65" s="55">
        <f>Control!$F$21</f>
        <v>0.0651201433555643</v>
      </c>
      <c r="BF65" s="53" t="n"/>
      <c r="BG65" s="55" t="n"/>
      <c r="BH65" s="55" t="n"/>
      <c r="BI65" s="55" t="n"/>
      <c r="BJ65" s="55" t="n"/>
      <c r="BK65" s="53" t="n"/>
      <c r="BL65" s="55" t="n"/>
      <c r="BM65" s="55" t="n"/>
      <c r="BN65" s="55" t="n"/>
      <c r="BO65" s="55" t="n"/>
      <c r="BP65" s="53" t="n"/>
      <c r="BQ65" s="55" t="n"/>
      <c r="BR65" s="55" t="n"/>
      <c r="BS65" s="55" t="n"/>
      <c r="BT65" s="55" t="n"/>
      <c r="BU65" s="53" t="n"/>
      <c r="BV65" s="55" t="n"/>
      <c r="BW65" s="55" t="n"/>
      <c r="BX65" s="55" t="n"/>
      <c r="BY65" s="55" t="n"/>
      <c r="BZ65" s="53" t="n"/>
      <c r="CA65" s="55" t="n"/>
      <c r="CB65" s="55" t="n"/>
      <c r="CC65" s="55" t="n"/>
      <c r="CD65" s="55" t="n"/>
      <c r="CE65" s="53" t="n"/>
      <c r="CF65" s="55" t="n"/>
      <c r="CG65" s="55" t="n"/>
      <c r="CH65" s="55" t="n"/>
      <c r="CI65" s="55" t="n"/>
      <c r="CJ65" s="53" t="n"/>
      <c r="CK65" s="55" t="n"/>
      <c r="CL65" s="55" t="n"/>
      <c r="CM65" s="55" t="n"/>
      <c r="CN65" s="55" t="n"/>
      <c r="CO65" s="53" t="n"/>
      <c r="CP65" s="55" t="n"/>
      <c r="CQ65" s="55" t="n"/>
      <c r="CR65" s="55" t="n"/>
      <c r="CS65" s="55" t="n"/>
      <c r="CT65" s="53" t="n"/>
      <c r="CU65" s="55" t="n"/>
      <c r="CV65" s="55" t="n"/>
      <c r="CW65" s="55" t="n"/>
      <c r="CX65" s="55" t="n"/>
      <c r="CY65" s="53" t="n"/>
    </row>
    <row r="66" hidden="1" outlineLevel="1">
      <c r="C66" s="50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  <c r="AA66" s="12" t="n"/>
      <c r="AB66" s="12" t="n"/>
      <c r="AC66" s="12" t="n"/>
      <c r="AD66" s="12" t="n"/>
      <c r="AE66" s="12" t="n"/>
      <c r="AF66" s="12" t="n"/>
      <c r="AG66" s="12" t="n"/>
      <c r="AH66" s="12" t="n"/>
      <c r="AI66" s="12" t="n"/>
      <c r="AJ66" s="12" t="n"/>
      <c r="AK66" s="12" t="n"/>
      <c r="AL66" s="12" t="n"/>
      <c r="AM66" s="12" t="n"/>
      <c r="AN66" s="12" t="n"/>
      <c r="AO66" s="12" t="n"/>
      <c r="AP66" s="12" t="n"/>
      <c r="AQ66" s="12" t="n"/>
      <c r="AR66" s="12" t="n"/>
      <c r="AS66" s="12" t="n"/>
      <c r="AT66" s="12" t="n"/>
      <c r="AU66" s="12" t="n"/>
      <c r="AV66" s="12" t="n"/>
      <c r="AW66" s="12" t="n"/>
      <c r="AX66" s="12" t="n"/>
      <c r="AY66" s="12" t="n"/>
      <c r="AZ66" s="12" t="n"/>
      <c r="BA66" s="12" t="n"/>
      <c r="BB66" s="12" t="n"/>
      <c r="BC66" s="12" t="n"/>
      <c r="BD66" s="12" t="n"/>
      <c r="BE66" s="12" t="n"/>
      <c r="BF66" s="12" t="n"/>
      <c r="BG66" s="12" t="n"/>
      <c r="BH66" s="12" t="n"/>
      <c r="BI66" s="12" t="n"/>
      <c r="BJ66" s="12" t="n"/>
      <c r="BK66" s="12" t="n"/>
      <c r="BL66" s="12" t="n"/>
      <c r="BM66" s="12" t="n"/>
      <c r="BN66" s="12" t="n"/>
      <c r="BO66" s="12" t="n"/>
      <c r="BP66" s="12" t="n"/>
      <c r="BQ66" s="12" t="n"/>
      <c r="BR66" s="12" t="n"/>
      <c r="BS66" s="12" t="n"/>
      <c r="BT66" s="12" t="n"/>
      <c r="BU66" s="12" t="n"/>
      <c r="BV66" s="12" t="n"/>
      <c r="BW66" s="12" t="n"/>
      <c r="BX66" s="12" t="n"/>
      <c r="BY66" s="12" t="n"/>
      <c r="BZ66" s="12" t="n"/>
      <c r="CA66" s="12" t="n"/>
      <c r="CB66" s="12" t="n"/>
      <c r="CC66" s="12" t="n"/>
      <c r="CD66" s="12" t="n"/>
      <c r="CE66" s="12" t="n"/>
      <c r="CF66" s="12" t="n"/>
      <c r="CG66" s="12" t="n"/>
      <c r="CH66" s="12" t="n"/>
      <c r="CI66" s="12" t="n"/>
      <c r="CJ66" s="12" t="n"/>
      <c r="CK66" s="12" t="n"/>
      <c r="CL66" s="12" t="n"/>
      <c r="CM66" s="12" t="n"/>
      <c r="CN66" s="12" t="n"/>
      <c r="CO66" s="12" t="n"/>
      <c r="CP66" s="12" t="n"/>
      <c r="CQ66" s="12" t="n"/>
      <c r="CR66" s="12" t="n"/>
      <c r="CS66" s="12" t="n"/>
      <c r="CT66" s="12" t="n"/>
      <c r="CU66" s="12" t="n"/>
      <c r="CV66" s="12" t="n"/>
      <c r="CW66" s="12" t="n"/>
      <c r="CX66" s="12" t="n"/>
      <c r="CY66" s="12" t="n"/>
    </row>
    <row r="67" collapsed="1" customFormat="1" s="32">
      <c r="A67" s="30" t="n"/>
      <c r="B67" s="3" t="n"/>
      <c r="C67" s="33" t="inlineStr">
        <is>
          <t>Operating Profit - EBIT</t>
        </is>
      </c>
      <c r="D67" s="35" t="n"/>
      <c r="E67" s="35" t="n"/>
      <c r="F67" s="35" t="n"/>
      <c r="G67" s="35" t="n"/>
      <c r="H67" s="35" t="n"/>
      <c r="I67" s="35">
        <f>SUM(I63,I64)</f>
        <v>594</v>
      </c>
      <c r="J67" s="35">
        <f>SUM(J63,J64)</f>
        <v>1312</v>
      </c>
      <c r="K67" s="35">
        <f>SUM(K63,K64)</f>
        <v>2004</v>
      </c>
      <c r="L67" s="35">
        <f>SUM(L63,L64)</f>
        <v>2613</v>
      </c>
      <c r="M67" s="35">
        <f>SUM(I67:L67)</f>
        <v>6523</v>
      </c>
      <c r="N67" s="35">
        <f>SUM(N63,N64)</f>
        <v>3603</v>
      </c>
      <c r="O67" s="35">
        <f>SUM(O63,O64)</f>
        <v>2464</v>
      </c>
      <c r="P67" s="35">
        <f>SUM(P63,P64)</f>
        <v>3688</v>
      </c>
      <c r="Q67" s="35">
        <f>SUM(Q63,Q64)</f>
        <v>3901</v>
      </c>
      <c r="R67" s="35">
        <f>SUM(N67:Q67)</f>
        <v>13656</v>
      </c>
      <c r="S67" s="35">
        <f>SUM(S63,S64)</f>
        <v>2664</v>
      </c>
      <c r="T67" s="35">
        <f>SUM(T63,T64)</f>
        <v>2399</v>
      </c>
      <c r="U67" s="35">
        <f>SUM(U63,U64)</f>
        <v>1764</v>
      </c>
      <c r="V67" s="35">
        <f>SUM(V63,V64)</f>
        <v>2064</v>
      </c>
      <c r="W67" s="35">
        <f>SUM(S67:V67)</f>
        <v>8891</v>
      </c>
      <c r="X67" s="35">
        <f>SUM(X63,X64)</f>
        <v>1171</v>
      </c>
      <c r="Y67" s="35">
        <f>SUM(Y63,Y64)</f>
        <v>1605</v>
      </c>
      <c r="Z67" s="35">
        <f>SUM(Z63,Z64)</f>
        <v>2717</v>
      </c>
      <c r="AA67" s="35">
        <f>SUM(AA63,AA64)</f>
        <v>1583</v>
      </c>
      <c r="AB67" s="35">
        <f>SUM(X67:AA67)</f>
        <v>7076</v>
      </c>
      <c r="AC67" s="35">
        <f>SUM(AC63,AC64)</f>
        <v>399</v>
      </c>
      <c r="AD67" s="35">
        <f>SUM(AD63,AD64)</f>
        <v>923</v>
      </c>
      <c r="AE67" s="35">
        <f>SUM(AE63,AE64)</f>
        <v>1624</v>
      </c>
      <c r="AF67" s="35">
        <f>SUM(AF63,AF64)</f>
        <v>1409</v>
      </c>
      <c r="AG67" s="35">
        <f>SUM(AC67:AF67)</f>
        <v>4355</v>
      </c>
      <c r="AH67" s="35">
        <f>SUM(AH63,AH64)</f>
        <v>941</v>
      </c>
      <c r="AI67" s="35">
        <f>SUM(AI63,AI64)</f>
        <v>398</v>
      </c>
      <c r="AJ67" s="35">
        <f>SUM(AJ63,AJ64)</f>
        <v>1139.23989675689</v>
      </c>
      <c r="AK67" s="35">
        <f>SUM(AK63,AK64)</f>
        <v>1009.72460114409</v>
      </c>
      <c r="AL67" s="35">
        <f>SUM(AL63,AL64)</f>
        <v>3487.96449790098</v>
      </c>
      <c r="AM67" s="35">
        <f>SUM(AM63,AM64)</f>
        <v>907.7830065384</v>
      </c>
      <c r="AN67" s="35">
        <f>SUM(AN63,AN64)</f>
        <v>1144.95738475983</v>
      </c>
      <c r="AO67" s="35">
        <f>SUM(AO63,AO64)</f>
        <v>1193.7770978837</v>
      </c>
      <c r="AP67" s="35">
        <f>SUM(AP63,AP64)</f>
        <v>1058.06170188297</v>
      </c>
      <c r="AQ67" s="35">
        <f>SUM(AQ63,AQ64)</f>
        <v>4304.5791910649</v>
      </c>
      <c r="AR67" s="35">
        <f>SUM(AR63,AR64)</f>
        <v>946.701088182203</v>
      </c>
      <c r="AS67" s="35">
        <f>SUM(AS63,AS64)</f>
        <v>1194.04350408329</v>
      </c>
      <c r="AT67" s="35">
        <f>SUM(AT63,AT64)</f>
        <v>1244.95619489842</v>
      </c>
      <c r="AU67" s="35">
        <f>SUM(AU63,AU64)</f>
        <v>1103.4224669573</v>
      </c>
      <c r="AV67" s="35">
        <f>SUM(AV63,AV64)</f>
        <v>4489.12325412121</v>
      </c>
      <c r="AW67" s="35">
        <f>SUM(AW63,AW64)</f>
        <v>982.554143600854</v>
      </c>
      <c r="AX67" s="35">
        <f>SUM(AX63,AX64)</f>
        <v>1239.26380482931</v>
      </c>
      <c r="AY67" s="35">
        <f>SUM(AY63,AY64)</f>
        <v>1292.10463911875</v>
      </c>
      <c r="AZ67" s="35">
        <f>SUM(AZ63,AZ64)</f>
        <v>1145.21080685873</v>
      </c>
      <c r="BA67" s="35">
        <f>SUM(BA63,BA64)</f>
        <v>4659.13339440764</v>
      </c>
      <c r="BB67" s="35">
        <f>SUM(BB63,BB64)</f>
        <v>1014.85223975741</v>
      </c>
      <c r="BC67" s="35">
        <f>SUM(BC63,BC64)</f>
        <v>1280.00035028321</v>
      </c>
      <c r="BD67" s="35">
        <f>SUM(BD63,BD64)</f>
        <v>1334.57814569382</v>
      </c>
      <c r="BE67" s="35">
        <f>SUM(BE63,BE64)</f>
        <v>1182.85568271656</v>
      </c>
      <c r="BF67" s="35">
        <f>SUM(BF63,BF64)</f>
        <v>4812.28641845099</v>
      </c>
      <c r="BG67" s="35" t="n"/>
      <c r="BH67" s="35" t="n"/>
      <c r="BI67" s="35" t="n"/>
      <c r="BJ67" s="35" t="n"/>
      <c r="BK67" s="35" t="n"/>
      <c r="BL67" s="35" t="n"/>
      <c r="BM67" s="35" t="n"/>
      <c r="BN67" s="35" t="n"/>
      <c r="BO67" s="35" t="n"/>
      <c r="BP67" s="35" t="n"/>
      <c r="BQ67" s="35" t="n"/>
      <c r="BR67" s="35" t="n"/>
      <c r="BS67" s="35" t="n"/>
      <c r="BT67" s="35" t="n"/>
      <c r="BU67" s="35" t="n"/>
      <c r="BV67" s="35" t="n"/>
      <c r="BW67" s="35" t="n"/>
      <c r="BX67" s="35" t="n"/>
      <c r="BY67" s="35" t="n"/>
      <c r="BZ67" s="35" t="n"/>
      <c r="CA67" s="35" t="n"/>
      <c r="CB67" s="35" t="n"/>
      <c r="CC67" s="35" t="n"/>
      <c r="CD67" s="35" t="n"/>
      <c r="CE67" s="35" t="n"/>
      <c r="CF67" s="35" t="n"/>
      <c r="CG67" s="35" t="n"/>
      <c r="CH67" s="35" t="n"/>
      <c r="CI67" s="35" t="n"/>
      <c r="CJ67" s="35" t="n"/>
      <c r="CK67" s="35" t="n"/>
      <c r="CL67" s="35" t="n"/>
      <c r="CM67" s="35" t="n"/>
      <c r="CN67" s="35" t="n"/>
      <c r="CO67" s="35" t="n"/>
      <c r="CP67" s="35" t="n"/>
      <c r="CQ67" s="35" t="n"/>
      <c r="CR67" s="35" t="n"/>
      <c r="CS67" s="35" t="n"/>
      <c r="CT67" s="35" t="n"/>
      <c r="CU67" s="35" t="n"/>
      <c r="CV67" s="35" t="n"/>
      <c r="CW67" s="35" t="n"/>
      <c r="CX67" s="35" t="n"/>
      <c r="CY67" s="35" t="n"/>
    </row>
    <row r="68">
      <c r="C68" s="14" t="inlineStr">
        <is>
          <t>Interest Expense</t>
        </is>
      </c>
      <c r="D68" s="46" t="n"/>
      <c r="E68" s="46" t="n"/>
      <c r="F68" s="46" t="n"/>
      <c r="G68" s="46" t="n"/>
      <c r="H68" s="12" t="n"/>
      <c r="I68" s="46">
        <f>'Inputs (2)'!D8</f>
        <v>-99</v>
      </c>
      <c r="J68" s="46">
        <f>'Inputs (2)'!E8</f>
        <v>-75</v>
      </c>
      <c r="K68" s="46">
        <f>'Inputs (2)'!F8</f>
        <v>-126</v>
      </c>
      <c r="L68" s="46">
        <f>'Inputs (2)'!G8</f>
        <v>-71</v>
      </c>
      <c r="M68" s="12">
        <f>'Inputs (2)'!H8</f>
        <v>-371</v>
      </c>
      <c r="N68" s="46">
        <f>'Inputs (2)'!I8</f>
        <v>-61</v>
      </c>
      <c r="O68" s="46">
        <f>'Inputs (2)'!J8</f>
        <v>-44</v>
      </c>
      <c r="P68" s="46">
        <f>'Inputs (2)'!K8</f>
        <v>-53</v>
      </c>
      <c r="Q68" s="46">
        <f>'Inputs (2)'!L8</f>
        <v>-33</v>
      </c>
      <c r="R68" s="12">
        <f>'Inputs (2)'!M8</f>
        <v>-191</v>
      </c>
      <c r="S68" s="46">
        <f>'Inputs (2)'!N8</f>
        <v>-29</v>
      </c>
      <c r="T68" s="46">
        <f>'Inputs (2)'!O8</f>
        <v>-28</v>
      </c>
      <c r="U68" s="46">
        <f>'Inputs (2)'!P8</f>
        <v>-38</v>
      </c>
      <c r="V68" s="46">
        <f>'Inputs (2)'!Q8</f>
        <v>-61</v>
      </c>
      <c r="W68" s="12">
        <f>'Inputs (2)'!R8</f>
        <v>-156</v>
      </c>
      <c r="X68" s="46">
        <f>'Inputs (2)'!S8</f>
        <v>-76</v>
      </c>
      <c r="Y68" s="46">
        <f>'Inputs (2)'!T8</f>
        <v>-86</v>
      </c>
      <c r="Z68" s="46">
        <f>'Inputs (2)'!U8</f>
        <v>-92</v>
      </c>
      <c r="AA68" s="46">
        <f>'Inputs (2)'!V8</f>
        <v>-96</v>
      </c>
      <c r="AB68" s="12">
        <f>'Inputs (2)'!W8</f>
        <v>-350</v>
      </c>
      <c r="AC68" s="46">
        <f>'Inputs (2)'!X8</f>
        <v>-91</v>
      </c>
      <c r="AD68" s="46">
        <f>'Inputs (2)'!Y8</f>
        <v>-86</v>
      </c>
      <c r="AE68" s="46">
        <f>'Inputs (2)'!Z8</f>
        <v>-76</v>
      </c>
      <c r="AF68" s="46">
        <f>'Inputs (2)'!AA8</f>
        <v>-85</v>
      </c>
      <c r="AG68" s="12">
        <f>'Inputs (2)'!AB8</f>
        <v>-338</v>
      </c>
      <c r="AH68" s="12">
        <f>'Inputs (2)'!AC8</f>
        <v>-92</v>
      </c>
      <c r="AI68" s="12">
        <f>'Inputs (2)'!AD8</f>
        <v>-81</v>
      </c>
      <c r="AJ68" s="12" t="str">
        <f>IF(Control!$E$9="","",-AI86*Control!$E$9/4)</f>
        <v/>
      </c>
      <c r="AK68" s="12" t="str">
        <f>IF(Control!$E$9="","",-AJ86*Control!$E$9/4)</f>
        <v/>
      </c>
      <c r="AL68" s="12">
        <f>SUM(AH68:AK68)</f>
        <v>-173</v>
      </c>
      <c r="AM68" s="12" t="str">
        <f>IF(Control!$E$9="","",-AL86*Control!$E$9/4)</f>
        <v/>
      </c>
      <c r="AN68" s="12" t="str">
        <f>IF(Control!$E$9="","",-AM86*Control!$E$9/4)</f>
        <v/>
      </c>
      <c r="AO68" s="12" t="str">
        <f>IF(Control!$E$9="","",-AN86*Control!$E$9/4)</f>
        <v/>
      </c>
      <c r="AP68" s="12" t="str">
        <f>IF(Control!$E$9="","",-AO86*Control!$E$9/4)</f>
        <v/>
      </c>
      <c r="AQ68" s="12">
        <f>SUM(AM68:AP68)</f>
        <v>0</v>
      </c>
      <c r="AR68" s="12" t="str">
        <f>IF(Control!$E$9="","",-AQ86*Control!$E$9/4)</f>
        <v/>
      </c>
      <c r="AS68" s="12" t="str">
        <f>IF(Control!$E$9="","",-AR86*Control!$E$9/4)</f>
        <v/>
      </c>
      <c r="AT68" s="12" t="str">
        <f>IF(Control!$E$9="","",-AS86*Control!$E$9/4)</f>
        <v/>
      </c>
      <c r="AU68" s="12" t="str">
        <f>IF(Control!$E$9="","",-AT86*Control!$E$9/4)</f>
        <v/>
      </c>
      <c r="AV68" s="12">
        <f>SUM(AR68:AU68)</f>
        <v>0</v>
      </c>
      <c r="AW68" s="12" t="str">
        <f>IF(Control!$E$9="","",-AV86*Control!$E$9/4)</f>
        <v/>
      </c>
      <c r="AX68" s="12" t="str">
        <f>IF(Control!$E$9="","",-AW86*Control!$E$9/4)</f>
        <v/>
      </c>
      <c r="AY68" s="12" t="str">
        <f>IF(Control!$E$9="","",-AX86*Control!$E$9/4)</f>
        <v/>
      </c>
      <c r="AZ68" s="12" t="str">
        <f>IF(Control!$E$9="","",-AY86*Control!$E$9/4)</f>
        <v/>
      </c>
      <c r="BA68" s="12">
        <f>SUM(AW68:AZ68)</f>
        <v>0</v>
      </c>
      <c r="BB68" s="12" t="str">
        <f>IF(Control!$E$9="","",-BA86*Control!$E$9/4)</f>
        <v/>
      </c>
      <c r="BC68" s="12" t="str">
        <f>IF(Control!$E$9="","",-BB86*Control!$E$9/4)</f>
        <v/>
      </c>
      <c r="BD68" s="12" t="str">
        <f>IF(Control!$E$9="","",-BC86*Control!$E$9/4)</f>
        <v/>
      </c>
      <c r="BE68" s="12" t="str">
        <f>IF(Control!$E$9="","",-BD86*Control!$E$9/4)</f>
        <v/>
      </c>
      <c r="BF68" s="12">
        <f>SUM(BB68:BE68)</f>
        <v>0</v>
      </c>
      <c r="BG68" s="12" t="n"/>
      <c r="BH68" s="12" t="n"/>
      <c r="BI68" s="12" t="n"/>
      <c r="BJ68" s="12" t="n"/>
      <c r="BK68" s="12" t="n"/>
      <c r="BL68" s="12" t="n"/>
      <c r="BM68" s="12" t="n"/>
      <c r="BN68" s="12" t="n"/>
      <c r="BO68" s="12" t="n"/>
      <c r="BP68" s="12" t="n"/>
      <c r="BQ68" s="12" t="n"/>
      <c r="BR68" s="12" t="n"/>
      <c r="BS68" s="12" t="n"/>
      <c r="BT68" s="12" t="n"/>
      <c r="BU68" s="12" t="n"/>
      <c r="BV68" s="12" t="n"/>
      <c r="BW68" s="12" t="n"/>
      <c r="BX68" s="12" t="n"/>
      <c r="BY68" s="12" t="n"/>
      <c r="BZ68" s="12" t="n"/>
      <c r="CA68" s="12" t="n"/>
      <c r="CB68" s="12" t="n"/>
      <c r="CC68" s="12" t="n"/>
      <c r="CD68" s="12" t="n"/>
      <c r="CE68" s="12" t="n"/>
      <c r="CF68" s="12" t="n"/>
      <c r="CG68" s="12" t="n"/>
      <c r="CH68" s="12" t="n"/>
      <c r="CI68" s="12" t="n"/>
      <c r="CJ68" s="12" t="n"/>
      <c r="CK68" s="12" t="n"/>
      <c r="CL68" s="12" t="n"/>
      <c r="CM68" s="12" t="n"/>
      <c r="CN68" s="12" t="n"/>
      <c r="CO68" s="12" t="n"/>
      <c r="CP68" s="12" t="n"/>
      <c r="CQ68" s="12" t="n"/>
      <c r="CR68" s="12" t="n"/>
      <c r="CS68" s="12" t="n"/>
      <c r="CT68" s="12" t="n"/>
      <c r="CU68" s="12" t="n"/>
      <c r="CV68" s="12" t="n"/>
      <c r="CW68" s="12" t="n"/>
      <c r="CX68" s="12" t="n"/>
      <c r="CY68" s="12" t="n"/>
    </row>
    <row r="69" hidden="1" outlineLevel="1">
      <c r="C69" s="50" t="inlineStr">
        <is>
          <t>% of Debt</t>
        </is>
      </c>
      <c r="D69" s="53" t="n"/>
      <c r="E69" s="53" t="n"/>
      <c r="F69" s="53" t="n"/>
      <c r="G69" s="53" t="n"/>
      <c r="H69" s="12" t="n"/>
      <c r="I69" s="53" t="str">
        <f>IFERROR(-I68/SUM(I206+I211),"")</f>
        <v/>
      </c>
      <c r="J69" s="53" t="str">
        <f>IFERROR(-J68/SUM(J206+J211),"")</f>
        <v/>
      </c>
      <c r="K69" s="53" t="str">
        <f>IFERROR(-K68/SUM(K206+K211),"")</f>
        <v/>
      </c>
      <c r="L69" s="53" t="str">
        <f>IFERROR(-L68/SUM(L206+L211),"")</f>
        <v/>
      </c>
      <c r="M69" s="12" t="n"/>
      <c r="N69" s="53" t="str">
        <f>IFERROR(-N68/SUM(N206+N211),"")</f>
        <v/>
      </c>
      <c r="O69" s="53" t="str">
        <f>IFERROR(-O68/SUM(O206+O211),"")</f>
        <v/>
      </c>
      <c r="P69" s="53" t="str">
        <f>IFERROR(-P68/SUM(P206+P211),"")</f>
        <v/>
      </c>
      <c r="Q69" s="53" t="str">
        <f>IFERROR(-Q68/SUM(Q206+Q211),"")</f>
        <v/>
      </c>
      <c r="R69" s="12" t="n"/>
      <c r="S69" s="53" t="str">
        <f>IFERROR(-S68/SUM(S206+S211),"")</f>
        <v/>
      </c>
      <c r="T69" s="53" t="str">
        <f>IFERROR(-T68/SUM(T206+T211),"")</f>
        <v/>
      </c>
      <c r="U69" s="53" t="str">
        <f>IFERROR(-U68/SUM(U206+U211),"")</f>
        <v/>
      </c>
      <c r="V69" s="53" t="str">
        <f>IFERROR(-V68/SUM(V206+V211),"")</f>
        <v/>
      </c>
      <c r="W69" s="12" t="n"/>
      <c r="X69" s="53" t="str">
        <f>IFERROR(-X68/SUM(X206+X211),"")</f>
        <v/>
      </c>
      <c r="Y69" s="53" t="str">
        <f>IFERROR(-Y68/SUM(Y206+Y211),"")</f>
        <v/>
      </c>
      <c r="Z69" s="53" t="str">
        <f>IFERROR(-Z68/SUM(Z206+Z211),"")</f>
        <v/>
      </c>
      <c r="AA69" s="53" t="str">
        <f>IFERROR(-AA68/SUM(AA206+AA211),"")</f>
        <v/>
      </c>
      <c r="AB69" s="12" t="n"/>
      <c r="AC69" s="53" t="str">
        <f>IFERROR(-AC68/SUM(AC206+AC211),"")</f>
        <v/>
      </c>
      <c r="AD69" s="53" t="str">
        <f>IFERROR(-AD68/SUM(AD206+AD211),"")</f>
        <v/>
      </c>
      <c r="AE69" s="53" t="str">
        <f>IFERROR(-AE68/SUM(AE206+AE211),"")</f>
        <v/>
      </c>
      <c r="AF69" s="55" t="str">
        <f>IFERROR(-AF68/SUM(AF206+AF211),"")</f>
        <v/>
      </c>
      <c r="AG69" s="12" t="n"/>
      <c r="AH69" s="11" t="str">
        <f>IFERROR(-AH68/SUM(AH206+AH211),"")</f>
        <v/>
      </c>
      <c r="AI69" s="11" t="str">
        <f>IFERROR(-AI68/SUM(AI206+AI211),"")</f>
        <v/>
      </c>
      <c r="AJ69" s="11" t="str">
        <f>IFERROR(Control!$E$9,0)</f>
        <v/>
      </c>
      <c r="AK69" s="11" t="str">
        <f>IFERROR(Control!$E$9,0)</f>
        <v/>
      </c>
      <c r="AL69" s="12" t="n"/>
      <c r="AM69" s="11" t="str">
        <f>IFERROR(Control!$E$9,0)</f>
        <v/>
      </c>
      <c r="AN69" s="11" t="str">
        <f>IFERROR(Control!$E$9,0)</f>
        <v/>
      </c>
      <c r="AO69" s="11" t="str">
        <f>IFERROR(Control!$E$9,0)</f>
        <v/>
      </c>
      <c r="AP69" s="11" t="str">
        <f>IFERROR(Control!$E$9,0)</f>
        <v/>
      </c>
      <c r="AQ69" s="12" t="n"/>
      <c r="AR69" s="11" t="str">
        <f>IFERROR(Control!$E$9,0)</f>
        <v/>
      </c>
      <c r="AS69" s="11" t="str">
        <f>IFERROR(Control!$E$9,0)</f>
        <v/>
      </c>
      <c r="AT69" s="11" t="str">
        <f>IFERROR(Control!$E$9,0)</f>
        <v/>
      </c>
      <c r="AU69" s="11" t="str">
        <f>IFERROR(Control!$E$9,0)</f>
        <v/>
      </c>
      <c r="AV69" s="12" t="n"/>
      <c r="AW69" s="11" t="str">
        <f>IFERROR(Control!$E$9,0)</f>
        <v/>
      </c>
      <c r="AX69" s="11" t="str">
        <f>IFERROR(Control!$E$9,0)</f>
        <v/>
      </c>
      <c r="AY69" s="11" t="str">
        <f>IFERROR(Control!$E$9,0)</f>
        <v/>
      </c>
      <c r="AZ69" s="11" t="str">
        <f>IFERROR(Control!$E$9,0)</f>
        <v/>
      </c>
      <c r="BA69" s="12" t="n"/>
      <c r="BB69" s="11" t="str">
        <f>IFERROR(Control!$E$9,0)</f>
        <v/>
      </c>
      <c r="BC69" s="11" t="str">
        <f>IFERROR(Control!$E$9,0)</f>
        <v/>
      </c>
      <c r="BD69" s="11" t="str">
        <f>IFERROR(Control!$E$9,0)</f>
        <v/>
      </c>
      <c r="BE69" s="11" t="str">
        <f>IFERROR(Control!$E$9,0)</f>
        <v/>
      </c>
      <c r="BF69" s="12" t="n"/>
      <c r="BG69" s="11" t="n"/>
      <c r="BH69" s="11" t="n"/>
      <c r="BI69" s="11" t="n"/>
      <c r="BJ69" s="11" t="n"/>
      <c r="BK69" s="12" t="n"/>
      <c r="BL69" s="11" t="n"/>
      <c r="BM69" s="11" t="n"/>
      <c r="BN69" s="11" t="n"/>
      <c r="BO69" s="11" t="n"/>
      <c r="BP69" s="12" t="n"/>
      <c r="BQ69" s="11" t="n"/>
      <c r="BR69" s="11" t="n"/>
      <c r="BS69" s="11" t="n"/>
      <c r="BT69" s="11" t="n"/>
      <c r="BU69" s="12" t="n"/>
      <c r="BV69" s="11" t="n"/>
      <c r="BW69" s="11" t="n"/>
      <c r="BX69" s="11" t="n"/>
      <c r="BY69" s="11" t="n"/>
      <c r="BZ69" s="12" t="n"/>
      <c r="CA69" s="11" t="n"/>
      <c r="CB69" s="11" t="n"/>
      <c r="CC69" s="11" t="n"/>
      <c r="CD69" s="11" t="n"/>
      <c r="CE69" s="12" t="n"/>
      <c r="CF69" s="11" t="n"/>
      <c r="CG69" s="11" t="n"/>
      <c r="CH69" s="11" t="n"/>
      <c r="CI69" s="11" t="n"/>
      <c r="CJ69" s="12" t="n"/>
      <c r="CK69" s="11" t="n"/>
      <c r="CL69" s="11" t="n"/>
      <c r="CM69" s="11" t="n"/>
      <c r="CN69" s="11" t="n"/>
      <c r="CO69" s="12" t="n"/>
      <c r="CP69" s="11" t="n"/>
      <c r="CQ69" s="11" t="n"/>
      <c r="CR69" s="11" t="n"/>
      <c r="CS69" s="11" t="n"/>
      <c r="CT69" s="12" t="n"/>
      <c r="CU69" s="11" t="n"/>
      <c r="CV69" s="11" t="n"/>
      <c r="CW69" s="11" t="n"/>
      <c r="CX69" s="11" t="n"/>
      <c r="CY69" s="12" t="n"/>
    </row>
    <row r="70" hidden="1" outlineLevel="1">
      <c r="C70" s="50" t="inlineStr">
        <is>
          <t>%CDI</t>
        </is>
      </c>
      <c r="D70" s="11" t="n"/>
      <c r="E70" s="11" t="n"/>
      <c r="F70" s="11" t="n"/>
      <c r="G70" s="11" t="n"/>
      <c r="H70" s="12" t="n"/>
      <c r="I70" s="11" t="n"/>
      <c r="J70" s="11" t="n"/>
      <c r="K70" s="11" t="n"/>
      <c r="L70" s="11" t="n"/>
      <c r="M70" s="12" t="n"/>
      <c r="N70" s="11" t="n"/>
      <c r="O70" s="11" t="n"/>
      <c r="P70" s="11" t="n"/>
      <c r="Q70" s="11" t="n"/>
      <c r="R70" s="12" t="n"/>
      <c r="S70" s="11" t="n"/>
      <c r="T70" s="11" t="n"/>
      <c r="U70" s="11" t="n"/>
      <c r="V70" s="11" t="n"/>
      <c r="W70" s="12" t="n"/>
      <c r="X70" s="11" t="n"/>
      <c r="Y70" s="11" t="n"/>
      <c r="Z70" s="11" t="n"/>
      <c r="AA70" s="11" t="n"/>
      <c r="AB70" s="12" t="n"/>
      <c r="AC70" s="11" t="n"/>
      <c r="AD70" s="11" t="n"/>
      <c r="AE70" s="11" t="n"/>
      <c r="AF70" s="11" t="n"/>
      <c r="AG70" s="12" t="n"/>
      <c r="AH70" s="11" t="n"/>
      <c r="AI70" s="11" t="n"/>
      <c r="AJ70" s="11" t="n"/>
      <c r="AK70" s="11" t="n"/>
      <c r="AL70" s="12" t="n"/>
      <c r="AM70" s="11" t="n"/>
      <c r="AN70" s="11" t="n"/>
      <c r="AO70" s="11" t="n"/>
      <c r="AP70" s="11" t="n"/>
      <c r="AQ70" s="12" t="n"/>
      <c r="AR70" s="11" t="n"/>
      <c r="AS70" s="11" t="n"/>
      <c r="AT70" s="11" t="n"/>
      <c r="AU70" s="11" t="n"/>
      <c r="AV70" s="12" t="n"/>
      <c r="AW70" s="11" t="n"/>
      <c r="AX70" s="11" t="n"/>
      <c r="AY70" s="11" t="n"/>
      <c r="AZ70" s="11" t="n"/>
      <c r="BA70" s="12" t="n"/>
      <c r="BB70" s="11" t="n"/>
      <c r="BC70" s="11" t="n"/>
      <c r="BD70" s="11" t="n"/>
      <c r="BE70" s="11" t="n"/>
      <c r="BF70" s="12" t="n"/>
      <c r="BG70" s="11" t="n"/>
      <c r="BH70" s="11" t="n"/>
      <c r="BI70" s="11" t="n"/>
      <c r="BJ70" s="11" t="n"/>
      <c r="BK70" s="12" t="n"/>
      <c r="BL70" s="11" t="n"/>
      <c r="BM70" s="11" t="n"/>
      <c r="BN70" s="11" t="n"/>
      <c r="BO70" s="11" t="n"/>
      <c r="BP70" s="12" t="n"/>
      <c r="BQ70" s="11" t="n"/>
      <c r="BR70" s="11" t="n"/>
      <c r="BS70" s="11" t="n"/>
      <c r="BT70" s="11" t="n"/>
      <c r="BU70" s="12" t="n"/>
      <c r="BV70" s="11" t="n"/>
      <c r="BW70" s="11" t="n"/>
      <c r="BX70" s="11" t="n"/>
      <c r="BY70" s="11" t="n"/>
      <c r="BZ70" s="12" t="n"/>
      <c r="CA70" s="11" t="n"/>
      <c r="CB70" s="11" t="n"/>
      <c r="CC70" s="11" t="n"/>
      <c r="CD70" s="11" t="n"/>
      <c r="CE70" s="12" t="n"/>
      <c r="CF70" s="11" t="n"/>
      <c r="CG70" s="11" t="n"/>
      <c r="CH70" s="11" t="n"/>
      <c r="CI70" s="11" t="n"/>
      <c r="CJ70" s="12" t="n"/>
      <c r="CK70" s="11" t="n"/>
      <c r="CL70" s="11" t="n"/>
      <c r="CM70" s="11" t="n"/>
      <c r="CN70" s="11" t="n"/>
      <c r="CO70" s="12" t="n"/>
      <c r="CP70" s="11" t="n"/>
      <c r="CQ70" s="11" t="n"/>
      <c r="CR70" s="11" t="n"/>
      <c r="CS70" s="11" t="n"/>
      <c r="CT70" s="12" t="n"/>
      <c r="CU70" s="11" t="n"/>
      <c r="CV70" s="11" t="n"/>
      <c r="CW70" s="11" t="n"/>
      <c r="CX70" s="11" t="n"/>
      <c r="CY70" s="12" t="n"/>
    </row>
    <row r="71" hidden="1" outlineLevel="1">
      <c r="C71" s="57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2" t="n"/>
      <c r="AK71" s="12" t="n"/>
      <c r="AL71" s="12" t="n"/>
      <c r="AM71" s="12" t="n"/>
      <c r="AN71" s="12" t="n"/>
      <c r="AO71" s="12" t="n"/>
      <c r="AP71" s="12" t="n"/>
      <c r="AQ71" s="12" t="n"/>
      <c r="AR71" s="12" t="n"/>
      <c r="AS71" s="12" t="n"/>
      <c r="AT71" s="12" t="n"/>
      <c r="AU71" s="12" t="n"/>
      <c r="AV71" s="12" t="n"/>
      <c r="AW71" s="12" t="n"/>
      <c r="AX71" s="12" t="n"/>
      <c r="AY71" s="12" t="n"/>
      <c r="AZ71" s="12" t="n"/>
      <c r="BA71" s="12" t="n"/>
      <c r="BB71" s="12" t="n"/>
      <c r="BC71" s="12" t="n"/>
      <c r="BD71" s="12" t="n"/>
      <c r="BE71" s="12" t="n"/>
      <c r="BF71" s="12" t="n"/>
      <c r="BG71" s="12" t="n"/>
      <c r="BH71" s="12" t="n"/>
      <c r="BI71" s="12" t="n"/>
      <c r="BJ71" s="12" t="n"/>
      <c r="BK71" s="12" t="n"/>
      <c r="BL71" s="12" t="n"/>
      <c r="BM71" s="12" t="n"/>
      <c r="BN71" s="12" t="n"/>
      <c r="BO71" s="12" t="n"/>
      <c r="BP71" s="12" t="n"/>
      <c r="BQ71" s="12" t="n"/>
      <c r="BR71" s="12" t="n"/>
      <c r="BS71" s="12" t="n"/>
      <c r="BT71" s="12" t="n"/>
      <c r="BU71" s="12" t="n"/>
      <c r="BV71" s="12" t="n"/>
      <c r="BW71" s="12" t="n"/>
      <c r="BX71" s="12" t="n"/>
      <c r="BY71" s="12" t="n"/>
      <c r="BZ71" s="12" t="n"/>
      <c r="CA71" s="12" t="n"/>
      <c r="CB71" s="12" t="n"/>
      <c r="CC71" s="12" t="n"/>
      <c r="CD71" s="12" t="n"/>
      <c r="CE71" s="12" t="n"/>
      <c r="CF71" s="12" t="n"/>
      <c r="CG71" s="12" t="n"/>
      <c r="CH71" s="12" t="n"/>
      <c r="CI71" s="12" t="n"/>
      <c r="CJ71" s="12" t="n"/>
      <c r="CK71" s="12" t="n"/>
      <c r="CL71" s="12" t="n"/>
      <c r="CM71" s="12" t="n"/>
      <c r="CN71" s="12" t="n"/>
      <c r="CO71" s="12" t="n"/>
      <c r="CP71" s="12" t="n"/>
      <c r="CQ71" s="12" t="n"/>
      <c r="CR71" s="12" t="n"/>
      <c r="CS71" s="12" t="n"/>
      <c r="CT71" s="12" t="n"/>
      <c r="CU71" s="12" t="n"/>
      <c r="CV71" s="12" t="n"/>
      <c r="CW71" s="12" t="n"/>
      <c r="CX71" s="12" t="n"/>
      <c r="CY71" s="12" t="n"/>
    </row>
    <row r="72" hidden="1" outlineLevel="1">
      <c r="C72" s="57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2" t="n"/>
      <c r="AK72" s="12" t="n"/>
      <c r="AL72" s="12" t="n"/>
      <c r="AM72" s="12" t="n"/>
      <c r="AN72" s="12" t="n"/>
      <c r="AO72" s="12" t="n"/>
      <c r="AP72" s="12" t="n"/>
      <c r="AQ72" s="12" t="n"/>
      <c r="AR72" s="12" t="n"/>
      <c r="AS72" s="12" t="n"/>
      <c r="AT72" s="12" t="n"/>
      <c r="AU72" s="12" t="n"/>
      <c r="AV72" s="12" t="n"/>
      <c r="AW72" s="12" t="n"/>
      <c r="AX72" s="12" t="n"/>
      <c r="AY72" s="12" t="n"/>
      <c r="AZ72" s="12" t="n"/>
      <c r="BA72" s="12" t="n"/>
      <c r="BB72" s="12" t="n"/>
      <c r="BC72" s="12" t="n"/>
      <c r="BD72" s="12" t="n"/>
      <c r="BE72" s="12" t="n"/>
      <c r="BF72" s="12" t="n"/>
      <c r="BG72" s="12" t="n"/>
      <c r="BH72" s="12" t="n"/>
      <c r="BI72" s="12" t="n"/>
      <c r="BJ72" s="12" t="n"/>
      <c r="BK72" s="12" t="n"/>
      <c r="BL72" s="12" t="n"/>
      <c r="BM72" s="12" t="n"/>
      <c r="BN72" s="12" t="n"/>
      <c r="BO72" s="12" t="n"/>
      <c r="BP72" s="12" t="n"/>
      <c r="BQ72" s="12" t="n"/>
      <c r="BR72" s="12" t="n"/>
      <c r="BS72" s="12" t="n"/>
      <c r="BT72" s="12" t="n"/>
      <c r="BU72" s="12" t="n"/>
      <c r="BV72" s="12" t="n"/>
      <c r="BW72" s="12" t="n"/>
      <c r="BX72" s="12" t="n"/>
      <c r="BY72" s="12" t="n"/>
      <c r="BZ72" s="12" t="n"/>
      <c r="CA72" s="12" t="n"/>
      <c r="CB72" s="12" t="n"/>
      <c r="CC72" s="12" t="n"/>
      <c r="CD72" s="12" t="n"/>
      <c r="CE72" s="12" t="n"/>
      <c r="CF72" s="12" t="n"/>
      <c r="CG72" s="12" t="n"/>
      <c r="CH72" s="12" t="n"/>
      <c r="CI72" s="12" t="n"/>
      <c r="CJ72" s="12" t="n"/>
      <c r="CK72" s="12" t="n"/>
      <c r="CL72" s="12" t="n"/>
      <c r="CM72" s="12" t="n"/>
      <c r="CN72" s="12" t="n"/>
      <c r="CO72" s="12" t="n"/>
      <c r="CP72" s="12" t="n"/>
      <c r="CQ72" s="12" t="n"/>
      <c r="CR72" s="12" t="n"/>
      <c r="CS72" s="12" t="n"/>
      <c r="CT72" s="12" t="n"/>
      <c r="CU72" s="12" t="n"/>
      <c r="CV72" s="12" t="n"/>
      <c r="CW72" s="12" t="n"/>
      <c r="CX72" s="12" t="n"/>
      <c r="CY72" s="12" t="n"/>
    </row>
    <row r="73" hidden="1" outlineLevel="1">
      <c r="C73" s="57" t="inlineStr">
        <is>
          <t>RECEITA FINANCEIRA</t>
        </is>
      </c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  <c r="AL73" s="12" t="n"/>
      <c r="AM73" s="12" t="n"/>
      <c r="AN73" s="12" t="n"/>
      <c r="AO73" s="12" t="n"/>
      <c r="AP73" s="12" t="n"/>
      <c r="AQ73" s="12" t="n"/>
      <c r="AR73" s="12" t="n"/>
      <c r="AS73" s="12" t="n"/>
      <c r="AT73" s="12" t="n"/>
      <c r="AU73" s="12" t="n"/>
      <c r="AV73" s="12" t="n"/>
      <c r="AW73" s="12" t="n"/>
      <c r="AX73" s="12" t="n"/>
      <c r="AY73" s="12" t="n"/>
      <c r="AZ73" s="12" t="n"/>
      <c r="BA73" s="12" t="n"/>
      <c r="BB73" s="12" t="n"/>
      <c r="BC73" s="12" t="n"/>
      <c r="BD73" s="12" t="n"/>
      <c r="BE73" s="12" t="n"/>
      <c r="BF73" s="12" t="n"/>
      <c r="BG73" s="12" t="n"/>
      <c r="BH73" s="12" t="n"/>
      <c r="BI73" s="12" t="n"/>
      <c r="BJ73" s="12" t="n"/>
      <c r="BK73" s="12" t="n"/>
      <c r="BL73" s="12" t="n"/>
      <c r="BM73" s="12" t="n"/>
      <c r="BN73" s="12" t="n"/>
      <c r="BO73" s="12" t="n"/>
      <c r="BP73" s="12" t="n"/>
      <c r="BQ73" s="12" t="n"/>
      <c r="BR73" s="12" t="n"/>
      <c r="BS73" s="12" t="n"/>
      <c r="BT73" s="12" t="n"/>
      <c r="BU73" s="12" t="n"/>
      <c r="BV73" s="12" t="n"/>
      <c r="BW73" s="12" t="n"/>
      <c r="BX73" s="12" t="n"/>
      <c r="BY73" s="12" t="n"/>
      <c r="BZ73" s="12" t="n"/>
      <c r="CA73" s="12" t="n"/>
      <c r="CB73" s="12" t="n"/>
      <c r="CC73" s="12" t="n"/>
      <c r="CD73" s="12" t="n"/>
      <c r="CE73" s="12" t="n"/>
      <c r="CF73" s="12" t="n"/>
      <c r="CG73" s="12" t="n"/>
      <c r="CH73" s="12" t="n"/>
      <c r="CI73" s="12" t="n"/>
      <c r="CJ73" s="12" t="n"/>
      <c r="CK73" s="12" t="n"/>
      <c r="CL73" s="12" t="n"/>
      <c r="CM73" s="12" t="n"/>
      <c r="CN73" s="12" t="n"/>
      <c r="CO73" s="12" t="n"/>
      <c r="CP73" s="12" t="n"/>
      <c r="CQ73" s="12" t="n"/>
      <c r="CR73" s="12" t="n"/>
      <c r="CS73" s="12" t="n"/>
      <c r="CT73" s="12" t="n"/>
      <c r="CU73" s="12" t="n"/>
      <c r="CV73" s="12" t="n"/>
      <c r="CW73" s="12" t="n"/>
      <c r="CX73" s="12" t="n"/>
      <c r="CY73" s="12" t="n"/>
    </row>
    <row r="74" hidden="1" outlineLevel="1">
      <c r="C74" s="57" t="inlineStr">
        <is>
          <t>DESPESA FINANCEIRA</t>
        </is>
      </c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  <c r="AL74" s="12" t="n"/>
      <c r="AM74" s="12" t="n"/>
      <c r="AN74" s="12" t="n"/>
      <c r="AO74" s="12" t="n"/>
      <c r="AP74" s="12" t="n"/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  <c r="BE74" s="12" t="n"/>
      <c r="BF74" s="12" t="n"/>
      <c r="BG74" s="12" t="n"/>
      <c r="BH74" s="12" t="n"/>
      <c r="BI74" s="12" t="n"/>
      <c r="BJ74" s="12" t="n"/>
      <c r="BK74" s="12" t="n"/>
      <c r="BL74" s="12" t="n"/>
      <c r="BM74" s="12" t="n"/>
      <c r="BN74" s="12" t="n"/>
      <c r="BO74" s="12" t="n"/>
      <c r="BP74" s="12" t="n"/>
      <c r="BQ74" s="12" t="n"/>
      <c r="BR74" s="12" t="n"/>
      <c r="BS74" s="12" t="n"/>
      <c r="BT74" s="12" t="n"/>
      <c r="BU74" s="12" t="n"/>
      <c r="BV74" s="12" t="n"/>
      <c r="BW74" s="12" t="n"/>
      <c r="BX74" s="12" t="n"/>
      <c r="BY74" s="12" t="n"/>
      <c r="BZ74" s="12" t="n"/>
      <c r="CA74" s="12" t="n"/>
      <c r="CB74" s="12" t="n"/>
      <c r="CC74" s="12" t="n"/>
      <c r="CD74" s="12" t="n"/>
      <c r="CE74" s="12" t="n"/>
      <c r="CF74" s="12" t="n"/>
      <c r="CG74" s="12" t="n"/>
      <c r="CH74" s="12" t="n"/>
      <c r="CI74" s="12" t="n"/>
      <c r="CJ74" s="12" t="n"/>
      <c r="CK74" s="12" t="n"/>
      <c r="CL74" s="12" t="n"/>
      <c r="CM74" s="12" t="n"/>
      <c r="CN74" s="12" t="n"/>
      <c r="CO74" s="12" t="n"/>
      <c r="CP74" s="12" t="n"/>
      <c r="CQ74" s="12" t="n"/>
      <c r="CR74" s="12" t="n"/>
      <c r="CS74" s="12" t="n"/>
      <c r="CT74" s="12" t="n"/>
      <c r="CU74" s="12" t="n"/>
      <c r="CV74" s="12" t="n"/>
      <c r="CW74" s="12" t="n"/>
      <c r="CX74" s="12" t="n"/>
      <c r="CY74" s="12" t="n"/>
    </row>
    <row r="75" hidden="1" outlineLevel="1">
      <c r="C75" s="57" t="inlineStr">
        <is>
          <t>OUTROS</t>
        </is>
      </c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2" t="n"/>
      <c r="AK75" s="12" t="n"/>
      <c r="AL75" s="12" t="n"/>
      <c r="AM75" s="12" t="n"/>
      <c r="AN75" s="12" t="n"/>
      <c r="AO75" s="12" t="n"/>
      <c r="AP75" s="12" t="n"/>
      <c r="AQ75" s="12" t="n"/>
      <c r="AR75" s="12" t="n"/>
      <c r="AS75" s="12" t="n"/>
      <c r="AT75" s="12" t="n"/>
      <c r="AU75" s="12" t="n"/>
      <c r="AV75" s="12" t="n"/>
      <c r="AW75" s="12" t="n"/>
      <c r="AX75" s="12" t="n"/>
      <c r="AY75" s="12" t="n"/>
      <c r="AZ75" s="12" t="n"/>
      <c r="BA75" s="12" t="n"/>
      <c r="BB75" s="12" t="n"/>
      <c r="BC75" s="12" t="n"/>
      <c r="BD75" s="12" t="n"/>
      <c r="BE75" s="12" t="n"/>
      <c r="BF75" s="12" t="n"/>
      <c r="BG75" s="12" t="n"/>
      <c r="BH75" s="12" t="n"/>
      <c r="BI75" s="12" t="n"/>
      <c r="BJ75" s="12" t="n"/>
      <c r="BK75" s="12" t="n"/>
      <c r="BL75" s="12" t="n"/>
      <c r="BM75" s="12" t="n"/>
      <c r="BN75" s="12" t="n"/>
      <c r="BO75" s="12" t="n"/>
      <c r="BP75" s="12" t="n"/>
      <c r="BQ75" s="12" t="n"/>
      <c r="BR75" s="12" t="n"/>
      <c r="BS75" s="12" t="n"/>
      <c r="BT75" s="12" t="n"/>
      <c r="BU75" s="12" t="n"/>
      <c r="BV75" s="12" t="n"/>
      <c r="BW75" s="12" t="n"/>
      <c r="BX75" s="12" t="n"/>
      <c r="BY75" s="12" t="n"/>
      <c r="BZ75" s="12" t="n"/>
      <c r="CA75" s="12" t="n"/>
      <c r="CB75" s="12" t="n"/>
      <c r="CC75" s="12" t="n"/>
      <c r="CD75" s="12" t="n"/>
      <c r="CE75" s="12" t="n"/>
      <c r="CF75" s="12" t="n"/>
      <c r="CG75" s="12" t="n"/>
      <c r="CH75" s="12" t="n"/>
      <c r="CI75" s="12" t="n"/>
      <c r="CJ75" s="12" t="n"/>
      <c r="CK75" s="12" t="n"/>
      <c r="CL75" s="12" t="n"/>
      <c r="CM75" s="12" t="n"/>
      <c r="CN75" s="12" t="n"/>
      <c r="CO75" s="12" t="n"/>
      <c r="CP75" s="12" t="n"/>
      <c r="CQ75" s="12" t="n"/>
      <c r="CR75" s="12" t="n"/>
      <c r="CS75" s="12" t="n"/>
      <c r="CT75" s="12" t="n"/>
      <c r="CU75" s="12" t="n"/>
      <c r="CV75" s="12" t="n"/>
      <c r="CW75" s="12" t="n"/>
      <c r="CX75" s="12" t="n"/>
      <c r="CY75" s="12" t="n"/>
    </row>
    <row r="76" hidden="1" outlineLevel="1">
      <c r="C76" s="57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  <c r="AL76" s="12" t="n"/>
      <c r="AM76" s="12" t="n"/>
      <c r="AN76" s="12" t="n"/>
      <c r="AO76" s="12" t="n"/>
      <c r="AP76" s="12" t="n"/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  <c r="BE76" s="12" t="n"/>
      <c r="BF76" s="12" t="n"/>
      <c r="BG76" s="12" t="n"/>
      <c r="BH76" s="12" t="n"/>
      <c r="BI76" s="12" t="n"/>
      <c r="BJ76" s="12" t="n"/>
      <c r="BK76" s="12" t="n"/>
      <c r="BL76" s="12" t="n"/>
      <c r="BM76" s="12" t="n"/>
      <c r="BN76" s="12" t="n"/>
      <c r="BO76" s="12" t="n"/>
      <c r="BP76" s="12" t="n"/>
      <c r="BQ76" s="12" t="n"/>
      <c r="BR76" s="12" t="n"/>
      <c r="BS76" s="12" t="n"/>
      <c r="BT76" s="12" t="n"/>
      <c r="BU76" s="12" t="n"/>
      <c r="BV76" s="12" t="n"/>
      <c r="BW76" s="12" t="n"/>
      <c r="BX76" s="12" t="n"/>
      <c r="BY76" s="12" t="n"/>
      <c r="BZ76" s="12" t="n"/>
      <c r="CA76" s="12" t="n"/>
      <c r="CB76" s="12" t="n"/>
      <c r="CC76" s="12" t="n"/>
      <c r="CD76" s="12" t="n"/>
      <c r="CE76" s="12" t="n"/>
      <c r="CF76" s="12" t="n"/>
      <c r="CG76" s="12" t="n"/>
      <c r="CH76" s="12" t="n"/>
      <c r="CI76" s="12" t="n"/>
      <c r="CJ76" s="12" t="n"/>
      <c r="CK76" s="12" t="n"/>
      <c r="CL76" s="12" t="n"/>
      <c r="CM76" s="12" t="n"/>
      <c r="CN76" s="12" t="n"/>
      <c r="CO76" s="12" t="n"/>
      <c r="CP76" s="12" t="n"/>
      <c r="CQ76" s="12" t="n"/>
      <c r="CR76" s="12" t="n"/>
      <c r="CS76" s="12" t="n"/>
      <c r="CT76" s="12" t="n"/>
      <c r="CU76" s="12" t="n"/>
      <c r="CV76" s="12" t="n"/>
      <c r="CW76" s="12" t="n"/>
      <c r="CX76" s="12" t="n"/>
      <c r="CY76" s="12" t="n"/>
    </row>
    <row r="77" hidden="1" outlineLevel="1">
      <c r="C77" s="57" t="inlineStr">
        <is>
          <t>Cash and equivalents (inc. investment securities)</t>
        </is>
      </c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  <c r="AL77" s="12" t="n"/>
      <c r="AM77" s="12" t="n"/>
      <c r="AN77" s="12" t="n"/>
      <c r="AO77" s="12" t="n"/>
      <c r="AP77" s="12" t="n"/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  <c r="BE77" s="12" t="n"/>
      <c r="BF77" s="12" t="n"/>
      <c r="BG77" s="12" t="n"/>
      <c r="BH77" s="12" t="n"/>
      <c r="BI77" s="12" t="n"/>
      <c r="BJ77" s="12" t="n"/>
      <c r="BK77" s="12" t="n"/>
      <c r="BL77" s="12" t="n"/>
      <c r="BM77" s="12" t="n"/>
      <c r="BN77" s="12" t="n"/>
      <c r="BO77" s="12" t="n"/>
      <c r="BP77" s="12" t="n"/>
      <c r="BQ77" s="12" t="n"/>
      <c r="BR77" s="12" t="n"/>
      <c r="BS77" s="12" t="n"/>
      <c r="BT77" s="12" t="n"/>
      <c r="BU77" s="12" t="n"/>
      <c r="BV77" s="12" t="n"/>
      <c r="BW77" s="12" t="n"/>
      <c r="BX77" s="12" t="n"/>
      <c r="BY77" s="12" t="n"/>
      <c r="BZ77" s="12" t="n"/>
      <c r="CA77" s="12" t="n"/>
      <c r="CB77" s="12" t="n"/>
      <c r="CC77" s="12" t="n"/>
      <c r="CD77" s="12" t="n"/>
      <c r="CE77" s="12" t="n"/>
      <c r="CF77" s="12" t="n"/>
      <c r="CG77" s="12" t="n"/>
      <c r="CH77" s="12" t="n"/>
      <c r="CI77" s="12" t="n"/>
      <c r="CJ77" s="12" t="n"/>
      <c r="CK77" s="12" t="n"/>
      <c r="CL77" s="12" t="n"/>
      <c r="CM77" s="12" t="n"/>
      <c r="CN77" s="12" t="n"/>
      <c r="CO77" s="12" t="n"/>
      <c r="CP77" s="12" t="n"/>
      <c r="CQ77" s="12" t="n"/>
      <c r="CR77" s="12" t="n"/>
      <c r="CS77" s="12" t="n"/>
      <c r="CT77" s="12" t="n"/>
      <c r="CU77" s="12" t="n"/>
      <c r="CV77" s="12" t="n"/>
      <c r="CW77" s="12" t="n"/>
      <c r="CX77" s="12" t="n"/>
      <c r="CY77" s="12" t="n"/>
    </row>
    <row r="78" hidden="1" outlineLevel="1">
      <c r="C78" s="57" t="inlineStr">
        <is>
          <t>Interest on cash</t>
        </is>
      </c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  <c r="AL78" s="12" t="n"/>
      <c r="AM78" s="12" t="n"/>
      <c r="AN78" s="12" t="n"/>
      <c r="AO78" s="12" t="n"/>
      <c r="AP78" s="12" t="n"/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  <c r="BE78" s="12" t="n"/>
      <c r="BF78" s="12" t="n"/>
      <c r="BG78" s="12" t="n"/>
      <c r="BH78" s="12" t="n"/>
      <c r="BI78" s="12" t="n"/>
      <c r="BJ78" s="12" t="n"/>
      <c r="BK78" s="12" t="n"/>
      <c r="BL78" s="12" t="n"/>
      <c r="BM78" s="12" t="n"/>
      <c r="BN78" s="12" t="n"/>
      <c r="BO78" s="12" t="n"/>
      <c r="BP78" s="12" t="n"/>
      <c r="BQ78" s="12" t="n"/>
      <c r="BR78" s="12" t="n"/>
      <c r="BS78" s="12" t="n"/>
      <c r="BT78" s="12" t="n"/>
      <c r="BU78" s="12" t="n"/>
      <c r="BV78" s="12" t="n"/>
      <c r="BW78" s="12" t="n"/>
      <c r="BX78" s="12" t="n"/>
      <c r="BY78" s="12" t="n"/>
      <c r="BZ78" s="12" t="n"/>
      <c r="CA78" s="12" t="n"/>
      <c r="CB78" s="12" t="n"/>
      <c r="CC78" s="12" t="n"/>
      <c r="CD78" s="12" t="n"/>
      <c r="CE78" s="12" t="n"/>
      <c r="CF78" s="12" t="n"/>
      <c r="CG78" s="12" t="n"/>
      <c r="CH78" s="12" t="n"/>
      <c r="CI78" s="12" t="n"/>
      <c r="CJ78" s="12" t="n"/>
      <c r="CK78" s="12" t="n"/>
      <c r="CL78" s="12" t="n"/>
      <c r="CM78" s="12" t="n"/>
      <c r="CN78" s="12" t="n"/>
      <c r="CO78" s="12" t="n"/>
      <c r="CP78" s="12" t="n"/>
      <c r="CQ78" s="12" t="n"/>
      <c r="CR78" s="12" t="n"/>
      <c r="CS78" s="12" t="n"/>
      <c r="CT78" s="12" t="n"/>
      <c r="CU78" s="12" t="n"/>
      <c r="CV78" s="12" t="n"/>
      <c r="CW78" s="12" t="n"/>
      <c r="CX78" s="12" t="n"/>
      <c r="CY78" s="12" t="n"/>
    </row>
    <row r="79" hidden="1" outlineLevel="1">
      <c r="C79" s="57" t="inlineStr">
        <is>
          <t>Average interest rate</t>
        </is>
      </c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  <c r="BE79" s="12" t="n"/>
      <c r="BF79" s="12" t="n"/>
      <c r="BG79" s="12" t="n"/>
      <c r="BH79" s="12" t="n"/>
      <c r="BI79" s="12" t="n"/>
      <c r="BJ79" s="12" t="n"/>
      <c r="BK79" s="12" t="n"/>
      <c r="BL79" s="12" t="n"/>
      <c r="BM79" s="12" t="n"/>
      <c r="BN79" s="12" t="n"/>
      <c r="BO79" s="12" t="n"/>
      <c r="BP79" s="12" t="n"/>
      <c r="BQ79" s="12" t="n"/>
      <c r="BR79" s="12" t="n"/>
      <c r="BS79" s="12" t="n"/>
      <c r="BT79" s="12" t="n"/>
      <c r="BU79" s="12" t="n"/>
      <c r="BV79" s="12" t="n"/>
      <c r="BW79" s="12" t="n"/>
      <c r="BX79" s="12" t="n"/>
      <c r="BY79" s="12" t="n"/>
      <c r="BZ79" s="12" t="n"/>
      <c r="CA79" s="12" t="n"/>
      <c r="CB79" s="12" t="n"/>
      <c r="CC79" s="12" t="n"/>
      <c r="CD79" s="12" t="n"/>
      <c r="CE79" s="12" t="n"/>
      <c r="CF79" s="12" t="n"/>
      <c r="CG79" s="12" t="n"/>
      <c r="CH79" s="12" t="n"/>
      <c r="CI79" s="12" t="n"/>
      <c r="CJ79" s="12" t="n"/>
      <c r="CK79" s="12" t="n"/>
      <c r="CL79" s="12" t="n"/>
      <c r="CM79" s="12" t="n"/>
      <c r="CN79" s="12" t="n"/>
      <c r="CO79" s="12" t="n"/>
      <c r="CP79" s="12" t="n"/>
      <c r="CQ79" s="12" t="n"/>
      <c r="CR79" s="12" t="n"/>
      <c r="CS79" s="12" t="n"/>
      <c r="CT79" s="12" t="n"/>
      <c r="CU79" s="12" t="n"/>
      <c r="CV79" s="12" t="n"/>
      <c r="CW79" s="12" t="n"/>
      <c r="CX79" s="12" t="n"/>
      <c r="CY79" s="12" t="n"/>
    </row>
    <row r="80" hidden="1" outlineLevel="1">
      <c r="C80" s="57" t="inlineStr">
        <is>
          <t>% CDI</t>
        </is>
      </c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  <c r="BE80" s="12" t="n"/>
      <c r="BF80" s="12" t="n"/>
      <c r="BG80" s="12" t="n"/>
      <c r="BH80" s="12" t="n"/>
      <c r="BI80" s="12" t="n"/>
      <c r="BJ80" s="12" t="n"/>
      <c r="BK80" s="12" t="n"/>
      <c r="BL80" s="12" t="n"/>
      <c r="BM80" s="12" t="n"/>
      <c r="BN80" s="12" t="n"/>
      <c r="BO80" s="12" t="n"/>
      <c r="BP80" s="12" t="n"/>
      <c r="BQ80" s="12" t="n"/>
      <c r="BR80" s="12" t="n"/>
      <c r="BS80" s="12" t="n"/>
      <c r="BT80" s="12" t="n"/>
      <c r="BU80" s="12" t="n"/>
      <c r="BV80" s="12" t="n"/>
      <c r="BW80" s="12" t="n"/>
      <c r="BX80" s="12" t="n"/>
      <c r="BY80" s="12" t="n"/>
      <c r="BZ80" s="12" t="n"/>
      <c r="CA80" s="12" t="n"/>
      <c r="CB80" s="12" t="n"/>
      <c r="CC80" s="12" t="n"/>
      <c r="CD80" s="12" t="n"/>
      <c r="CE80" s="12" t="n"/>
      <c r="CF80" s="12" t="n"/>
      <c r="CG80" s="12" t="n"/>
      <c r="CH80" s="12" t="n"/>
      <c r="CI80" s="12" t="n"/>
      <c r="CJ80" s="12" t="n"/>
      <c r="CK80" s="12" t="n"/>
      <c r="CL80" s="12" t="n"/>
      <c r="CM80" s="12" t="n"/>
      <c r="CN80" s="12" t="n"/>
      <c r="CO80" s="12" t="n"/>
      <c r="CP80" s="12" t="n"/>
      <c r="CQ80" s="12" t="n"/>
      <c r="CR80" s="12" t="n"/>
      <c r="CS80" s="12" t="n"/>
      <c r="CT80" s="12" t="n"/>
      <c r="CU80" s="12" t="n"/>
      <c r="CV80" s="12" t="n"/>
      <c r="CW80" s="12" t="n"/>
      <c r="CX80" s="12" t="n"/>
      <c r="CY80" s="12" t="n"/>
    </row>
    <row r="81" hidden="1" outlineLevel="1">
      <c r="C81" s="57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  <c r="BE81" s="12" t="n"/>
      <c r="BF81" s="12" t="n"/>
      <c r="BG81" s="12" t="n"/>
      <c r="BH81" s="12" t="n"/>
      <c r="BI81" s="12" t="n"/>
      <c r="BJ81" s="12" t="n"/>
      <c r="BK81" s="12" t="n"/>
      <c r="BL81" s="12" t="n"/>
      <c r="BM81" s="12" t="n"/>
      <c r="BN81" s="12" t="n"/>
      <c r="BO81" s="12" t="n"/>
      <c r="BP81" s="12" t="n"/>
      <c r="BQ81" s="12" t="n"/>
      <c r="BR81" s="12" t="n"/>
      <c r="BS81" s="12" t="n"/>
      <c r="BT81" s="12" t="n"/>
      <c r="BU81" s="12" t="n"/>
      <c r="BV81" s="12" t="n"/>
      <c r="BW81" s="12" t="n"/>
      <c r="BX81" s="12" t="n"/>
      <c r="BY81" s="12" t="n"/>
      <c r="BZ81" s="12" t="n"/>
      <c r="CA81" s="12" t="n"/>
      <c r="CB81" s="12" t="n"/>
      <c r="CC81" s="12" t="n"/>
      <c r="CD81" s="12" t="n"/>
      <c r="CE81" s="12" t="n"/>
      <c r="CF81" s="12" t="n"/>
      <c r="CG81" s="12" t="n"/>
      <c r="CH81" s="12" t="n"/>
      <c r="CI81" s="12" t="n"/>
      <c r="CJ81" s="12" t="n"/>
      <c r="CK81" s="12" t="n"/>
      <c r="CL81" s="12" t="n"/>
      <c r="CM81" s="12" t="n"/>
      <c r="CN81" s="12" t="n"/>
      <c r="CO81" s="12" t="n"/>
      <c r="CP81" s="12" t="n"/>
      <c r="CQ81" s="12" t="n"/>
      <c r="CR81" s="12" t="n"/>
      <c r="CS81" s="12" t="n"/>
      <c r="CT81" s="12" t="n"/>
      <c r="CU81" s="12" t="n"/>
      <c r="CV81" s="12" t="n"/>
      <c r="CW81" s="12" t="n"/>
      <c r="CX81" s="12" t="n"/>
      <c r="CY81" s="12" t="n"/>
    </row>
    <row r="82" hidden="1" outlineLevel="1">
      <c r="C82" s="57" t="inlineStr">
        <is>
          <t>Current portion of long-term debt</t>
        </is>
      </c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  <c r="BJ82" s="12" t="n"/>
      <c r="BK82" s="12" t="n"/>
      <c r="BL82" s="12" t="n"/>
      <c r="BM82" s="12" t="n"/>
      <c r="BN82" s="12" t="n"/>
      <c r="BO82" s="12" t="n"/>
      <c r="BP82" s="12" t="n"/>
      <c r="BQ82" s="12" t="n"/>
      <c r="BR82" s="12" t="n"/>
      <c r="BS82" s="12" t="n"/>
      <c r="BT82" s="12" t="n"/>
      <c r="BU82" s="12" t="n"/>
      <c r="BV82" s="12" t="n"/>
      <c r="BW82" s="12" t="n"/>
      <c r="BX82" s="12" t="n"/>
      <c r="BY82" s="12" t="n"/>
      <c r="BZ82" s="12" t="n"/>
      <c r="CA82" s="12" t="n"/>
      <c r="CB82" s="12" t="n"/>
      <c r="CC82" s="12" t="n"/>
      <c r="CD82" s="12" t="n"/>
      <c r="CE82" s="12" t="n"/>
      <c r="CF82" s="12" t="n"/>
      <c r="CG82" s="12" t="n"/>
      <c r="CH82" s="12" t="n"/>
      <c r="CI82" s="12" t="n"/>
      <c r="CJ82" s="12" t="n"/>
      <c r="CK82" s="12" t="n"/>
      <c r="CL82" s="12" t="n"/>
      <c r="CM82" s="12" t="n"/>
      <c r="CN82" s="12" t="n"/>
      <c r="CO82" s="12" t="n"/>
      <c r="CP82" s="12" t="n"/>
      <c r="CQ82" s="12" t="n"/>
      <c r="CR82" s="12" t="n"/>
      <c r="CS82" s="12" t="n"/>
      <c r="CT82" s="12" t="n"/>
      <c r="CU82" s="12" t="n"/>
      <c r="CV82" s="12" t="n"/>
      <c r="CW82" s="12" t="n"/>
      <c r="CX82" s="12" t="n"/>
      <c r="CY82" s="12" t="n"/>
    </row>
    <row r="83" hidden="1" outlineLevel="1">
      <c r="C83" s="57" t="inlineStr">
        <is>
          <t>Short term debt (Revolving credit facility)</t>
        </is>
      </c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  <c r="BJ83" s="12" t="n"/>
      <c r="BK83" s="12" t="n"/>
      <c r="BL83" s="12" t="n"/>
      <c r="BM83" s="12" t="n"/>
      <c r="BN83" s="12" t="n"/>
      <c r="BO83" s="12" t="n"/>
      <c r="BP83" s="12" t="n"/>
      <c r="BQ83" s="12" t="n"/>
      <c r="BR83" s="12" t="n"/>
      <c r="BS83" s="12" t="n"/>
      <c r="BT83" s="12" t="n"/>
      <c r="BU83" s="12" t="n"/>
      <c r="BV83" s="12" t="n"/>
      <c r="BW83" s="12" t="n"/>
      <c r="BX83" s="12" t="n"/>
      <c r="BY83" s="12" t="n"/>
      <c r="BZ83" s="12" t="n"/>
      <c r="CA83" s="12" t="n"/>
      <c r="CB83" s="12" t="n"/>
      <c r="CC83" s="12" t="n"/>
      <c r="CD83" s="12" t="n"/>
      <c r="CE83" s="12" t="n"/>
      <c r="CF83" s="12" t="n"/>
      <c r="CG83" s="12" t="n"/>
      <c r="CH83" s="12" t="n"/>
      <c r="CI83" s="12" t="n"/>
      <c r="CJ83" s="12" t="n"/>
      <c r="CK83" s="12" t="n"/>
      <c r="CL83" s="12" t="n"/>
      <c r="CM83" s="12" t="n"/>
      <c r="CN83" s="12" t="n"/>
      <c r="CO83" s="12" t="n"/>
      <c r="CP83" s="12" t="n"/>
      <c r="CQ83" s="12" t="n"/>
      <c r="CR83" s="12" t="n"/>
      <c r="CS83" s="12" t="n"/>
      <c r="CT83" s="12" t="n"/>
      <c r="CU83" s="12" t="n"/>
      <c r="CV83" s="12" t="n"/>
      <c r="CW83" s="12" t="n"/>
      <c r="CX83" s="12" t="n"/>
      <c r="CY83" s="12" t="n"/>
    </row>
    <row r="84" hidden="1" outlineLevel="1">
      <c r="C84" s="57" t="inlineStr">
        <is>
          <t>Long term debt</t>
        </is>
      </c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  <c r="BJ84" s="12" t="n"/>
      <c r="BK84" s="12" t="n"/>
      <c r="BL84" s="12" t="n"/>
      <c r="BM84" s="12" t="n"/>
      <c r="BN84" s="12" t="n"/>
      <c r="BO84" s="12" t="n"/>
      <c r="BP84" s="12" t="n"/>
      <c r="BQ84" s="12" t="n"/>
      <c r="BR84" s="12" t="n"/>
      <c r="BS84" s="12" t="n"/>
      <c r="BT84" s="12" t="n"/>
      <c r="BU84" s="12" t="n"/>
      <c r="BV84" s="12" t="n"/>
      <c r="BW84" s="12" t="n"/>
      <c r="BX84" s="12" t="n"/>
      <c r="BY84" s="12" t="n"/>
      <c r="BZ84" s="12" t="n"/>
      <c r="CA84" s="12" t="n"/>
      <c r="CB84" s="12" t="n"/>
      <c r="CC84" s="12" t="n"/>
      <c r="CD84" s="12" t="n"/>
      <c r="CE84" s="12" t="n"/>
      <c r="CF84" s="12" t="n"/>
      <c r="CG84" s="12" t="n"/>
      <c r="CH84" s="12" t="n"/>
      <c r="CI84" s="12" t="n"/>
      <c r="CJ84" s="12" t="n"/>
      <c r="CK84" s="12" t="n"/>
      <c r="CL84" s="12" t="n"/>
      <c r="CM84" s="12" t="n"/>
      <c r="CN84" s="12" t="n"/>
      <c r="CO84" s="12" t="n"/>
      <c r="CP84" s="12" t="n"/>
      <c r="CQ84" s="12" t="n"/>
      <c r="CR84" s="12" t="n"/>
      <c r="CS84" s="12" t="n"/>
      <c r="CT84" s="12" t="n"/>
      <c r="CU84" s="12" t="n"/>
      <c r="CV84" s="12" t="n"/>
      <c r="CW84" s="12" t="n"/>
      <c r="CX84" s="12" t="n"/>
      <c r="CY84" s="12" t="n"/>
    </row>
    <row r="85" hidden="1" outlineLevel="1">
      <c r="C85" s="57" t="inlineStr">
        <is>
          <t>Convertible debt</t>
        </is>
      </c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  <c r="BJ85" s="12" t="n"/>
      <c r="BK85" s="12" t="n"/>
      <c r="BL85" s="12" t="n"/>
      <c r="BM85" s="12" t="n"/>
      <c r="BN85" s="12" t="n"/>
      <c r="BO85" s="12" t="n"/>
      <c r="BP85" s="12" t="n"/>
      <c r="BQ85" s="12" t="n"/>
      <c r="BR85" s="12" t="n"/>
      <c r="BS85" s="12" t="n"/>
      <c r="BT85" s="12" t="n"/>
      <c r="BU85" s="12" t="n"/>
      <c r="BV85" s="12" t="n"/>
      <c r="BW85" s="12" t="n"/>
      <c r="BX85" s="12" t="n"/>
      <c r="BY85" s="12" t="n"/>
      <c r="BZ85" s="12" t="n"/>
      <c r="CA85" s="12" t="n"/>
      <c r="CB85" s="12" t="n"/>
      <c r="CC85" s="12" t="n"/>
      <c r="CD85" s="12" t="n"/>
      <c r="CE85" s="12" t="n"/>
      <c r="CF85" s="12" t="n"/>
      <c r="CG85" s="12" t="n"/>
      <c r="CH85" s="12" t="n"/>
      <c r="CI85" s="12" t="n"/>
      <c r="CJ85" s="12" t="n"/>
      <c r="CK85" s="12" t="n"/>
      <c r="CL85" s="12" t="n"/>
      <c r="CM85" s="12" t="n"/>
      <c r="CN85" s="12" t="n"/>
      <c r="CO85" s="12" t="n"/>
      <c r="CP85" s="12" t="n"/>
      <c r="CQ85" s="12" t="n"/>
      <c r="CR85" s="12" t="n"/>
      <c r="CS85" s="12" t="n"/>
      <c r="CT85" s="12" t="n"/>
      <c r="CU85" s="12" t="n"/>
      <c r="CV85" s="12" t="n"/>
      <c r="CW85" s="12" t="n"/>
      <c r="CX85" s="12" t="n"/>
      <c r="CY85" s="12" t="n"/>
    </row>
    <row r="86" hidden="1" outlineLevel="1">
      <c r="C86" s="57" t="inlineStr">
        <is>
          <t>Total debt</t>
        </is>
      </c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  <c r="BJ86" s="12" t="n"/>
      <c r="BK86" s="12" t="n"/>
      <c r="BL86" s="12" t="n"/>
      <c r="BM86" s="12" t="n"/>
      <c r="BN86" s="12" t="n"/>
      <c r="BO86" s="12" t="n"/>
      <c r="BP86" s="12" t="n"/>
      <c r="BQ86" s="12" t="n"/>
      <c r="BR86" s="12" t="n"/>
      <c r="BS86" s="12" t="n"/>
      <c r="BT86" s="12" t="n"/>
      <c r="BU86" s="12" t="n"/>
      <c r="BV86" s="12" t="n"/>
      <c r="BW86" s="12" t="n"/>
      <c r="BX86" s="12" t="n"/>
      <c r="BY86" s="12" t="n"/>
      <c r="BZ86" s="12" t="n"/>
      <c r="CA86" s="12" t="n"/>
      <c r="CB86" s="12" t="n"/>
      <c r="CC86" s="12" t="n"/>
      <c r="CD86" s="12" t="n"/>
      <c r="CE86" s="12" t="n"/>
      <c r="CF86" s="12" t="n"/>
      <c r="CG86" s="12" t="n"/>
      <c r="CH86" s="12" t="n"/>
      <c r="CI86" s="12" t="n"/>
      <c r="CJ86" s="12" t="n"/>
      <c r="CK86" s="12" t="n"/>
      <c r="CL86" s="12" t="n"/>
      <c r="CM86" s="12" t="n"/>
      <c r="CN86" s="12" t="n"/>
      <c r="CO86" s="12" t="n"/>
      <c r="CP86" s="12" t="n"/>
      <c r="CQ86" s="12" t="n"/>
      <c r="CR86" s="12" t="n"/>
      <c r="CS86" s="12" t="n"/>
      <c r="CT86" s="12" t="n"/>
      <c r="CU86" s="12" t="n"/>
      <c r="CV86" s="12" t="n"/>
      <c r="CW86" s="12" t="n"/>
      <c r="CX86" s="12" t="n"/>
      <c r="CY86" s="12" t="n"/>
    </row>
    <row r="87" hidden="1" outlineLevel="1">
      <c r="C87" s="57" t="inlineStr">
        <is>
          <t>Interest expense</t>
        </is>
      </c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  <c r="BJ87" s="12" t="n"/>
      <c r="BK87" s="12" t="n"/>
      <c r="BL87" s="12" t="n"/>
      <c r="BM87" s="12" t="n"/>
      <c r="BN87" s="12" t="n"/>
      <c r="BO87" s="12" t="n"/>
      <c r="BP87" s="12" t="n"/>
      <c r="BQ87" s="12" t="n"/>
      <c r="BR87" s="12" t="n"/>
      <c r="BS87" s="12" t="n"/>
      <c r="BT87" s="12" t="n"/>
      <c r="BU87" s="12" t="n"/>
      <c r="BV87" s="12" t="n"/>
      <c r="BW87" s="12" t="n"/>
      <c r="BX87" s="12" t="n"/>
      <c r="BY87" s="12" t="n"/>
      <c r="BZ87" s="12" t="n"/>
      <c r="CA87" s="12" t="n"/>
      <c r="CB87" s="12" t="n"/>
      <c r="CC87" s="12" t="n"/>
      <c r="CD87" s="12" t="n"/>
      <c r="CE87" s="12" t="n"/>
      <c r="CF87" s="12" t="n"/>
      <c r="CG87" s="12" t="n"/>
      <c r="CH87" s="12" t="n"/>
      <c r="CI87" s="12" t="n"/>
      <c r="CJ87" s="12" t="n"/>
      <c r="CK87" s="12" t="n"/>
      <c r="CL87" s="12" t="n"/>
      <c r="CM87" s="12" t="n"/>
      <c r="CN87" s="12" t="n"/>
      <c r="CO87" s="12" t="n"/>
      <c r="CP87" s="12" t="n"/>
      <c r="CQ87" s="12" t="n"/>
      <c r="CR87" s="12" t="n"/>
      <c r="CS87" s="12" t="n"/>
      <c r="CT87" s="12" t="n"/>
      <c r="CU87" s="12" t="n"/>
      <c r="CV87" s="12" t="n"/>
      <c r="CW87" s="12" t="n"/>
      <c r="CX87" s="12" t="n"/>
      <c r="CY87" s="12" t="n"/>
    </row>
    <row r="88" hidden="1" outlineLevel="1">
      <c r="C88" s="57" t="inlineStr">
        <is>
          <t>Average interest rate</t>
        </is>
      </c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  <c r="BJ88" s="12" t="n"/>
      <c r="BK88" s="12" t="n"/>
      <c r="BL88" s="12" t="n"/>
      <c r="BM88" s="12" t="n"/>
      <c r="BN88" s="12" t="n"/>
      <c r="BO88" s="12" t="n"/>
      <c r="BP88" s="12" t="n"/>
      <c r="BQ88" s="12" t="n"/>
      <c r="BR88" s="12" t="n"/>
      <c r="BS88" s="12" t="n"/>
      <c r="BT88" s="12" t="n"/>
      <c r="BU88" s="12" t="n"/>
      <c r="BV88" s="12" t="n"/>
      <c r="BW88" s="12" t="n"/>
      <c r="BX88" s="12" t="n"/>
      <c r="BY88" s="12" t="n"/>
      <c r="BZ88" s="12" t="n"/>
      <c r="CA88" s="12" t="n"/>
      <c r="CB88" s="12" t="n"/>
      <c r="CC88" s="12" t="n"/>
      <c r="CD88" s="12" t="n"/>
      <c r="CE88" s="12" t="n"/>
      <c r="CF88" s="12" t="n"/>
      <c r="CG88" s="12" t="n"/>
      <c r="CH88" s="12" t="n"/>
      <c r="CI88" s="12" t="n"/>
      <c r="CJ88" s="12" t="n"/>
      <c r="CK88" s="12" t="n"/>
      <c r="CL88" s="12" t="n"/>
      <c r="CM88" s="12" t="n"/>
      <c r="CN88" s="12" t="n"/>
      <c r="CO88" s="12" t="n"/>
      <c r="CP88" s="12" t="n"/>
      <c r="CQ88" s="12" t="n"/>
      <c r="CR88" s="12" t="n"/>
      <c r="CS88" s="12" t="n"/>
      <c r="CT88" s="12" t="n"/>
      <c r="CU88" s="12" t="n"/>
      <c r="CV88" s="12" t="n"/>
      <c r="CW88" s="12" t="n"/>
      <c r="CX88" s="12" t="n"/>
      <c r="CY88" s="12" t="n"/>
    </row>
    <row r="89" hidden="1" outlineLevel="1">
      <c r="C89" s="57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  <c r="BE89" s="12" t="n"/>
      <c r="BF89" s="12" t="n"/>
      <c r="BG89" s="12" t="n"/>
      <c r="BH89" s="12" t="n"/>
      <c r="BI89" s="12" t="n"/>
      <c r="BJ89" s="12" t="n"/>
      <c r="BK89" s="12" t="n"/>
      <c r="BL89" s="12" t="n"/>
      <c r="BM89" s="12" t="n"/>
      <c r="BN89" s="12" t="n"/>
      <c r="BO89" s="12" t="n"/>
      <c r="BP89" s="12" t="n"/>
      <c r="BQ89" s="12" t="n"/>
      <c r="BR89" s="12" t="n"/>
      <c r="BS89" s="12" t="n"/>
      <c r="BT89" s="12" t="n"/>
      <c r="BU89" s="12" t="n"/>
      <c r="BV89" s="12" t="n"/>
      <c r="BW89" s="12" t="n"/>
      <c r="BX89" s="12" t="n"/>
      <c r="BY89" s="12" t="n"/>
      <c r="BZ89" s="12" t="n"/>
      <c r="CA89" s="12" t="n"/>
      <c r="CB89" s="12" t="n"/>
      <c r="CC89" s="12" t="n"/>
      <c r="CD89" s="12" t="n"/>
      <c r="CE89" s="12" t="n"/>
      <c r="CF89" s="12" t="n"/>
      <c r="CG89" s="12" t="n"/>
      <c r="CH89" s="12" t="n"/>
      <c r="CI89" s="12" t="n"/>
      <c r="CJ89" s="12" t="n"/>
      <c r="CK89" s="12" t="n"/>
      <c r="CL89" s="12" t="n"/>
      <c r="CM89" s="12" t="n"/>
      <c r="CN89" s="12" t="n"/>
      <c r="CO89" s="12" t="n"/>
      <c r="CP89" s="12" t="n"/>
      <c r="CQ89" s="12" t="n"/>
      <c r="CR89" s="12" t="n"/>
      <c r="CS89" s="12" t="n"/>
      <c r="CT89" s="12" t="n"/>
      <c r="CU89" s="12" t="n"/>
      <c r="CV89" s="12" t="n"/>
      <c r="CW89" s="12" t="n"/>
      <c r="CX89" s="12" t="n"/>
      <c r="CY89" s="12" t="n"/>
    </row>
    <row r="90" hidden="1" outlineLevel="1">
      <c r="C90" s="57" t="inlineStr">
        <is>
          <t>Stake</t>
        </is>
      </c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  <c r="BJ90" s="12" t="n"/>
      <c r="BK90" s="12" t="n"/>
      <c r="BL90" s="12" t="n"/>
      <c r="BM90" s="12" t="n"/>
      <c r="BN90" s="12" t="n"/>
      <c r="BO90" s="12" t="n"/>
      <c r="BP90" s="12" t="n"/>
      <c r="BQ90" s="12" t="n"/>
      <c r="BR90" s="12" t="n"/>
      <c r="BS90" s="12" t="n"/>
      <c r="BT90" s="12" t="n"/>
      <c r="BU90" s="12" t="n"/>
      <c r="BV90" s="12" t="n"/>
      <c r="BW90" s="12" t="n"/>
      <c r="BX90" s="12" t="n"/>
      <c r="BY90" s="12" t="n"/>
      <c r="BZ90" s="12" t="n"/>
      <c r="CA90" s="12" t="n"/>
      <c r="CB90" s="12" t="n"/>
      <c r="CC90" s="12" t="n"/>
      <c r="CD90" s="12" t="n"/>
      <c r="CE90" s="12" t="n"/>
      <c r="CF90" s="12" t="n"/>
      <c r="CG90" s="12" t="n"/>
      <c r="CH90" s="12" t="n"/>
      <c r="CI90" s="12" t="n"/>
      <c r="CJ90" s="12" t="n"/>
      <c r="CK90" s="12" t="n"/>
      <c r="CL90" s="12" t="n"/>
      <c r="CM90" s="12" t="n"/>
      <c r="CN90" s="12" t="n"/>
      <c r="CO90" s="12" t="n"/>
      <c r="CP90" s="12" t="n"/>
      <c r="CQ90" s="12" t="n"/>
      <c r="CR90" s="12" t="n"/>
      <c r="CS90" s="12" t="n"/>
      <c r="CT90" s="12" t="n"/>
      <c r="CU90" s="12" t="n"/>
      <c r="CV90" s="12" t="n"/>
      <c r="CW90" s="12" t="n"/>
      <c r="CX90" s="12" t="n"/>
      <c r="CY90" s="12" t="n"/>
    </row>
    <row r="91" hidden="1" outlineLevel="1">
      <c r="C91" s="57" t="inlineStr">
        <is>
          <t>PRE</t>
        </is>
      </c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  <c r="BJ91" s="12" t="n"/>
      <c r="BK91" s="12" t="n"/>
      <c r="BL91" s="12" t="n"/>
      <c r="BM91" s="12" t="n"/>
      <c r="BN91" s="12" t="n"/>
      <c r="BO91" s="12" t="n"/>
      <c r="BP91" s="12" t="n"/>
      <c r="BQ91" s="12" t="n"/>
      <c r="BR91" s="12" t="n"/>
      <c r="BS91" s="12" t="n"/>
      <c r="BT91" s="12" t="n"/>
      <c r="BU91" s="12" t="n"/>
      <c r="BV91" s="12" t="n"/>
      <c r="BW91" s="12" t="n"/>
      <c r="BX91" s="12" t="n"/>
      <c r="BY91" s="12" t="n"/>
      <c r="BZ91" s="12" t="n"/>
      <c r="CA91" s="12" t="n"/>
      <c r="CB91" s="12" t="n"/>
      <c r="CC91" s="12" t="n"/>
      <c r="CD91" s="12" t="n"/>
      <c r="CE91" s="12" t="n"/>
      <c r="CF91" s="12" t="n"/>
      <c r="CG91" s="12" t="n"/>
      <c r="CH91" s="12" t="n"/>
      <c r="CI91" s="12" t="n"/>
      <c r="CJ91" s="12" t="n"/>
      <c r="CK91" s="12" t="n"/>
      <c r="CL91" s="12" t="n"/>
      <c r="CM91" s="12" t="n"/>
      <c r="CN91" s="12" t="n"/>
      <c r="CO91" s="12" t="n"/>
      <c r="CP91" s="12" t="n"/>
      <c r="CQ91" s="12" t="n"/>
      <c r="CR91" s="12" t="n"/>
      <c r="CS91" s="12" t="n"/>
      <c r="CT91" s="12" t="n"/>
      <c r="CU91" s="12" t="n"/>
      <c r="CV91" s="12" t="n"/>
      <c r="CW91" s="12" t="n"/>
      <c r="CX91" s="12" t="n"/>
      <c r="CY91" s="12" t="n"/>
    </row>
    <row r="92" hidden="1" outlineLevel="1">
      <c r="C92" s="57" t="inlineStr">
        <is>
          <t>CDI+</t>
        </is>
      </c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  <c r="BJ92" s="12" t="n"/>
      <c r="BK92" s="12" t="n"/>
      <c r="BL92" s="12" t="n"/>
      <c r="BM92" s="12" t="n"/>
      <c r="BN92" s="12" t="n"/>
      <c r="BO92" s="12" t="n"/>
      <c r="BP92" s="12" t="n"/>
      <c r="BQ92" s="12" t="n"/>
      <c r="BR92" s="12" t="n"/>
      <c r="BS92" s="12" t="n"/>
      <c r="BT92" s="12" t="n"/>
      <c r="BU92" s="12" t="n"/>
      <c r="BV92" s="12" t="n"/>
      <c r="BW92" s="12" t="n"/>
      <c r="BX92" s="12" t="n"/>
      <c r="BY92" s="12" t="n"/>
      <c r="BZ92" s="12" t="n"/>
      <c r="CA92" s="12" t="n"/>
      <c r="CB92" s="12" t="n"/>
      <c r="CC92" s="12" t="n"/>
      <c r="CD92" s="12" t="n"/>
      <c r="CE92" s="12" t="n"/>
      <c r="CF92" s="12" t="n"/>
      <c r="CG92" s="12" t="n"/>
      <c r="CH92" s="12" t="n"/>
      <c r="CI92" s="12" t="n"/>
      <c r="CJ92" s="12" t="n"/>
      <c r="CK92" s="12" t="n"/>
      <c r="CL92" s="12" t="n"/>
      <c r="CM92" s="12" t="n"/>
      <c r="CN92" s="12" t="n"/>
      <c r="CO92" s="12" t="n"/>
      <c r="CP92" s="12" t="n"/>
      <c r="CQ92" s="12" t="n"/>
      <c r="CR92" s="12" t="n"/>
      <c r="CS92" s="12" t="n"/>
      <c r="CT92" s="12" t="n"/>
      <c r="CU92" s="12" t="n"/>
      <c r="CV92" s="12" t="n"/>
      <c r="CW92" s="12" t="n"/>
      <c r="CX92" s="12" t="n"/>
      <c r="CY92" s="12" t="n"/>
    </row>
    <row r="93" hidden="1" outlineLevel="1">
      <c r="C93" s="57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  <c r="BJ93" s="12" t="n"/>
      <c r="BK93" s="12" t="n"/>
      <c r="BL93" s="12" t="n"/>
      <c r="BM93" s="12" t="n"/>
      <c r="BN93" s="12" t="n"/>
      <c r="BO93" s="12" t="n"/>
      <c r="BP93" s="12" t="n"/>
      <c r="BQ93" s="12" t="n"/>
      <c r="BR93" s="12" t="n"/>
      <c r="BS93" s="12" t="n"/>
      <c r="BT93" s="12" t="n"/>
      <c r="BU93" s="12" t="n"/>
      <c r="BV93" s="12" t="n"/>
      <c r="BW93" s="12" t="n"/>
      <c r="BX93" s="12" t="n"/>
      <c r="BY93" s="12" t="n"/>
      <c r="BZ93" s="12" t="n"/>
      <c r="CA93" s="12" t="n"/>
      <c r="CB93" s="12" t="n"/>
      <c r="CC93" s="12" t="n"/>
      <c r="CD93" s="12" t="n"/>
      <c r="CE93" s="12" t="n"/>
      <c r="CF93" s="12" t="n"/>
      <c r="CG93" s="12" t="n"/>
      <c r="CH93" s="12" t="n"/>
      <c r="CI93" s="12" t="n"/>
      <c r="CJ93" s="12" t="n"/>
      <c r="CK93" s="12" t="n"/>
      <c r="CL93" s="12" t="n"/>
      <c r="CM93" s="12" t="n"/>
      <c r="CN93" s="12" t="n"/>
      <c r="CO93" s="12" t="n"/>
      <c r="CP93" s="12" t="n"/>
      <c r="CQ93" s="12" t="n"/>
      <c r="CR93" s="12" t="n"/>
      <c r="CS93" s="12" t="n"/>
      <c r="CT93" s="12" t="n"/>
      <c r="CU93" s="12" t="n"/>
      <c r="CV93" s="12" t="n"/>
      <c r="CW93" s="12" t="n"/>
      <c r="CX93" s="12" t="n"/>
      <c r="CY93" s="12" t="n"/>
    </row>
    <row r="94" hidden="1" outlineLevel="1">
      <c r="C94" s="57" t="inlineStr">
        <is>
          <t>Spread</t>
        </is>
      </c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  <c r="BJ94" s="12" t="n"/>
      <c r="BK94" s="12" t="n"/>
      <c r="BL94" s="12" t="n"/>
      <c r="BM94" s="12" t="n"/>
      <c r="BN94" s="12" t="n"/>
      <c r="BO94" s="12" t="n"/>
      <c r="BP94" s="12" t="n"/>
      <c r="BQ94" s="12" t="n"/>
      <c r="BR94" s="12" t="n"/>
      <c r="BS94" s="12" t="n"/>
      <c r="BT94" s="12" t="n"/>
      <c r="BU94" s="12" t="n"/>
      <c r="BV94" s="12" t="n"/>
      <c r="BW94" s="12" t="n"/>
      <c r="BX94" s="12" t="n"/>
      <c r="BY94" s="12" t="n"/>
      <c r="BZ94" s="12" t="n"/>
      <c r="CA94" s="12" t="n"/>
      <c r="CB94" s="12" t="n"/>
      <c r="CC94" s="12" t="n"/>
      <c r="CD94" s="12" t="n"/>
      <c r="CE94" s="12" t="n"/>
      <c r="CF94" s="12" t="n"/>
      <c r="CG94" s="12" t="n"/>
      <c r="CH94" s="12" t="n"/>
      <c r="CI94" s="12" t="n"/>
      <c r="CJ94" s="12" t="n"/>
      <c r="CK94" s="12" t="n"/>
      <c r="CL94" s="12" t="n"/>
      <c r="CM94" s="12" t="n"/>
      <c r="CN94" s="12" t="n"/>
      <c r="CO94" s="12" t="n"/>
      <c r="CP94" s="12" t="n"/>
      <c r="CQ94" s="12" t="n"/>
      <c r="CR94" s="12" t="n"/>
      <c r="CS94" s="12" t="n"/>
      <c r="CT94" s="12" t="n"/>
      <c r="CU94" s="12" t="n"/>
      <c r="CV94" s="12" t="n"/>
      <c r="CW94" s="12" t="n"/>
      <c r="CX94" s="12" t="n"/>
      <c r="CY94" s="12" t="n"/>
    </row>
    <row r="95" hidden="1" outlineLevel="1">
      <c r="C95" s="57" t="inlineStr">
        <is>
          <t>PRE</t>
        </is>
      </c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  <c r="BJ95" s="12" t="n"/>
      <c r="BK95" s="12" t="n"/>
      <c r="BL95" s="12" t="n"/>
      <c r="BM95" s="12" t="n"/>
      <c r="BN95" s="12" t="n"/>
      <c r="BO95" s="12" t="n"/>
      <c r="BP95" s="12" t="n"/>
      <c r="BQ95" s="12" t="n"/>
      <c r="BR95" s="12" t="n"/>
      <c r="BS95" s="12" t="n"/>
      <c r="BT95" s="12" t="n"/>
      <c r="BU95" s="12" t="n"/>
      <c r="BV95" s="12" t="n"/>
      <c r="BW95" s="12" t="n"/>
      <c r="BX95" s="12" t="n"/>
      <c r="BY95" s="12" t="n"/>
      <c r="BZ95" s="12" t="n"/>
      <c r="CA95" s="12" t="n"/>
      <c r="CB95" s="12" t="n"/>
      <c r="CC95" s="12" t="n"/>
      <c r="CD95" s="12" t="n"/>
      <c r="CE95" s="12" t="n"/>
      <c r="CF95" s="12" t="n"/>
      <c r="CG95" s="12" t="n"/>
      <c r="CH95" s="12" t="n"/>
      <c r="CI95" s="12" t="n"/>
      <c r="CJ95" s="12" t="n"/>
      <c r="CK95" s="12" t="n"/>
      <c r="CL95" s="12" t="n"/>
      <c r="CM95" s="12" t="n"/>
      <c r="CN95" s="12" t="n"/>
      <c r="CO95" s="12" t="n"/>
      <c r="CP95" s="12" t="n"/>
      <c r="CQ95" s="12" t="n"/>
      <c r="CR95" s="12" t="n"/>
      <c r="CS95" s="12" t="n"/>
      <c r="CT95" s="12" t="n"/>
      <c r="CU95" s="12" t="n"/>
      <c r="CV95" s="12" t="n"/>
      <c r="CW95" s="12" t="n"/>
      <c r="CX95" s="12" t="n"/>
      <c r="CY95" s="12" t="n"/>
    </row>
    <row r="96" hidden="1" outlineLevel="1">
      <c r="C96" s="57" t="inlineStr">
        <is>
          <t>CDI+</t>
        </is>
      </c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  <c r="BJ96" s="12" t="n"/>
      <c r="BK96" s="12" t="n"/>
      <c r="BL96" s="12" t="n"/>
      <c r="BM96" s="12" t="n"/>
      <c r="BN96" s="12" t="n"/>
      <c r="BO96" s="12" t="n"/>
      <c r="BP96" s="12" t="n"/>
      <c r="BQ96" s="12" t="n"/>
      <c r="BR96" s="12" t="n"/>
      <c r="BS96" s="12" t="n"/>
      <c r="BT96" s="12" t="n"/>
      <c r="BU96" s="12" t="n"/>
      <c r="BV96" s="12" t="n"/>
      <c r="BW96" s="12" t="n"/>
      <c r="BX96" s="12" t="n"/>
      <c r="BY96" s="12" t="n"/>
      <c r="BZ96" s="12" t="n"/>
      <c r="CA96" s="12" t="n"/>
      <c r="CB96" s="12" t="n"/>
      <c r="CC96" s="12" t="n"/>
      <c r="CD96" s="12" t="n"/>
      <c r="CE96" s="12" t="n"/>
      <c r="CF96" s="12" t="n"/>
      <c r="CG96" s="12" t="n"/>
      <c r="CH96" s="12" t="n"/>
      <c r="CI96" s="12" t="n"/>
      <c r="CJ96" s="12" t="n"/>
      <c r="CK96" s="12" t="n"/>
      <c r="CL96" s="12" t="n"/>
      <c r="CM96" s="12" t="n"/>
      <c r="CN96" s="12" t="n"/>
      <c r="CO96" s="12" t="n"/>
      <c r="CP96" s="12" t="n"/>
      <c r="CQ96" s="12" t="n"/>
      <c r="CR96" s="12" t="n"/>
      <c r="CS96" s="12" t="n"/>
      <c r="CT96" s="12" t="n"/>
      <c r="CU96" s="12" t="n"/>
      <c r="CV96" s="12" t="n"/>
      <c r="CW96" s="12" t="n"/>
      <c r="CX96" s="12" t="n"/>
      <c r="CY96" s="12" t="n"/>
    </row>
    <row r="97" hidden="1" outlineLevel="1">
      <c r="C97" s="57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  <c r="BJ97" s="12" t="n"/>
      <c r="BK97" s="12" t="n"/>
      <c r="BL97" s="12" t="n"/>
      <c r="BM97" s="12" t="n"/>
      <c r="BN97" s="12" t="n"/>
      <c r="BO97" s="12" t="n"/>
      <c r="BP97" s="12" t="n"/>
      <c r="BQ97" s="12" t="n"/>
      <c r="BR97" s="12" t="n"/>
      <c r="BS97" s="12" t="n"/>
      <c r="BT97" s="12" t="n"/>
      <c r="BU97" s="12" t="n"/>
      <c r="BV97" s="12" t="n"/>
      <c r="BW97" s="12" t="n"/>
      <c r="BX97" s="12" t="n"/>
      <c r="BY97" s="12" t="n"/>
      <c r="BZ97" s="12" t="n"/>
      <c r="CA97" s="12" t="n"/>
      <c r="CB97" s="12" t="n"/>
      <c r="CC97" s="12" t="n"/>
      <c r="CD97" s="12" t="n"/>
      <c r="CE97" s="12" t="n"/>
      <c r="CF97" s="12" t="n"/>
      <c r="CG97" s="12" t="n"/>
      <c r="CH97" s="12" t="n"/>
      <c r="CI97" s="12" t="n"/>
      <c r="CJ97" s="12" t="n"/>
      <c r="CK97" s="12" t="n"/>
      <c r="CL97" s="12" t="n"/>
      <c r="CM97" s="12" t="n"/>
      <c r="CN97" s="12" t="n"/>
      <c r="CO97" s="12" t="n"/>
      <c r="CP97" s="12" t="n"/>
      <c r="CQ97" s="12" t="n"/>
      <c r="CR97" s="12" t="n"/>
      <c r="CS97" s="12" t="n"/>
      <c r="CT97" s="12" t="n"/>
      <c r="CU97" s="12" t="n"/>
      <c r="CV97" s="12" t="n"/>
      <c r="CW97" s="12" t="n"/>
      <c r="CX97" s="12" t="n"/>
      <c r="CY97" s="12" t="n"/>
    </row>
    <row r="98" hidden="1" outlineLevel="1">
      <c r="C98" s="57" t="inlineStr">
        <is>
          <t>RECEITAS FINANCEIRAS - Rendimentos de aplicações financeiras</t>
        </is>
      </c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  <c r="BJ98" s="12" t="n"/>
      <c r="BK98" s="12" t="n"/>
      <c r="BL98" s="12" t="n"/>
      <c r="BM98" s="12" t="n"/>
      <c r="BN98" s="12" t="n"/>
      <c r="BO98" s="12" t="n"/>
      <c r="BP98" s="12" t="n"/>
      <c r="BQ98" s="12" t="n"/>
      <c r="BR98" s="12" t="n"/>
      <c r="BS98" s="12" t="n"/>
      <c r="BT98" s="12" t="n"/>
      <c r="BU98" s="12" t="n"/>
      <c r="BV98" s="12" t="n"/>
      <c r="BW98" s="12" t="n"/>
      <c r="BX98" s="12" t="n"/>
      <c r="BY98" s="12" t="n"/>
      <c r="BZ98" s="12" t="n"/>
      <c r="CA98" s="12" t="n"/>
      <c r="CB98" s="12" t="n"/>
      <c r="CC98" s="12" t="n"/>
      <c r="CD98" s="12" t="n"/>
      <c r="CE98" s="12" t="n"/>
      <c r="CF98" s="12" t="n"/>
      <c r="CG98" s="12" t="n"/>
      <c r="CH98" s="12" t="n"/>
      <c r="CI98" s="12" t="n"/>
      <c r="CJ98" s="12" t="n"/>
      <c r="CK98" s="12" t="n"/>
      <c r="CL98" s="12" t="n"/>
      <c r="CM98" s="12" t="n"/>
      <c r="CN98" s="12" t="n"/>
      <c r="CO98" s="12" t="n"/>
      <c r="CP98" s="12" t="n"/>
      <c r="CQ98" s="12" t="n"/>
      <c r="CR98" s="12" t="n"/>
      <c r="CS98" s="12" t="n"/>
      <c r="CT98" s="12" t="n"/>
      <c r="CU98" s="12" t="n"/>
      <c r="CV98" s="12" t="n"/>
      <c r="CW98" s="12" t="n"/>
      <c r="CX98" s="12" t="n"/>
      <c r="CY98" s="12" t="n"/>
    </row>
    <row r="99" hidden="1" outlineLevel="1">
      <c r="C99" s="57" t="inlineStr">
        <is>
          <t>RECEITAS FINANCEIRAS - Variação cambial ativa</t>
        </is>
      </c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  <c r="BJ99" s="12" t="n"/>
      <c r="BK99" s="12" t="n"/>
      <c r="BL99" s="12" t="n"/>
      <c r="BM99" s="12" t="n"/>
      <c r="BN99" s="12" t="n"/>
      <c r="BO99" s="12" t="n"/>
      <c r="BP99" s="12" t="n"/>
      <c r="BQ99" s="12" t="n"/>
      <c r="BR99" s="12" t="n"/>
      <c r="BS99" s="12" t="n"/>
      <c r="BT99" s="12" t="n"/>
      <c r="BU99" s="12" t="n"/>
      <c r="BV99" s="12" t="n"/>
      <c r="BW99" s="12" t="n"/>
      <c r="BX99" s="12" t="n"/>
      <c r="BY99" s="12" t="n"/>
      <c r="BZ99" s="12" t="n"/>
      <c r="CA99" s="12" t="n"/>
      <c r="CB99" s="12" t="n"/>
      <c r="CC99" s="12" t="n"/>
      <c r="CD99" s="12" t="n"/>
      <c r="CE99" s="12" t="n"/>
      <c r="CF99" s="12" t="n"/>
      <c r="CG99" s="12" t="n"/>
      <c r="CH99" s="12" t="n"/>
      <c r="CI99" s="12" t="n"/>
      <c r="CJ99" s="12" t="n"/>
      <c r="CK99" s="12" t="n"/>
      <c r="CL99" s="12" t="n"/>
      <c r="CM99" s="12" t="n"/>
      <c r="CN99" s="12" t="n"/>
      <c r="CO99" s="12" t="n"/>
      <c r="CP99" s="12" t="n"/>
      <c r="CQ99" s="12" t="n"/>
      <c r="CR99" s="12" t="n"/>
      <c r="CS99" s="12" t="n"/>
      <c r="CT99" s="12" t="n"/>
      <c r="CU99" s="12" t="n"/>
      <c r="CV99" s="12" t="n"/>
      <c r="CW99" s="12" t="n"/>
      <c r="CX99" s="12" t="n"/>
      <c r="CY99" s="12" t="n"/>
    </row>
    <row r="100" hidden="1" outlineLevel="1">
      <c r="C100" s="57" t="inlineStr">
        <is>
          <t>RECEITAS FINANCEIRAS - Atualização de contas a pagar por aquisição de empresas</t>
        </is>
      </c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  <c r="BJ100" s="12" t="n"/>
      <c r="BK100" s="12" t="n"/>
      <c r="BL100" s="12" t="n"/>
      <c r="BM100" s="12" t="n"/>
      <c r="BN100" s="12" t="n"/>
      <c r="BO100" s="12" t="n"/>
      <c r="BP100" s="12" t="n"/>
      <c r="BQ100" s="12" t="n"/>
      <c r="BR100" s="12" t="n"/>
      <c r="BS100" s="12" t="n"/>
      <c r="BT100" s="12" t="n"/>
      <c r="BU100" s="12" t="n"/>
      <c r="BV100" s="12" t="n"/>
      <c r="BW100" s="12" t="n"/>
      <c r="BX100" s="12" t="n"/>
      <c r="BY100" s="12" t="n"/>
      <c r="BZ100" s="12" t="n"/>
      <c r="CA100" s="12" t="n"/>
      <c r="CB100" s="12" t="n"/>
      <c r="CC100" s="12" t="n"/>
      <c r="CD100" s="12" t="n"/>
      <c r="CE100" s="12" t="n"/>
      <c r="CF100" s="12" t="n"/>
      <c r="CG100" s="12" t="n"/>
      <c r="CH100" s="12" t="n"/>
      <c r="CI100" s="12" t="n"/>
      <c r="CJ100" s="12" t="n"/>
      <c r="CK100" s="12" t="n"/>
      <c r="CL100" s="12" t="n"/>
      <c r="CM100" s="12" t="n"/>
      <c r="CN100" s="12" t="n"/>
      <c r="CO100" s="12" t="n"/>
      <c r="CP100" s="12" t="n"/>
      <c r="CQ100" s="12" t="n"/>
      <c r="CR100" s="12" t="n"/>
      <c r="CS100" s="12" t="n"/>
      <c r="CT100" s="12" t="n"/>
      <c r="CU100" s="12" t="n"/>
      <c r="CV100" s="12" t="n"/>
      <c r="CW100" s="12" t="n"/>
      <c r="CX100" s="12" t="n"/>
      <c r="CY100" s="12" t="n"/>
    </row>
    <row r="101" hidden="1" outlineLevel="1">
      <c r="C101" s="57" t="inlineStr">
        <is>
          <t>RECEITAS FINANCEIRAS - Resultado positivo com instrumentos derivativos</t>
        </is>
      </c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  <c r="BJ101" s="12" t="n"/>
      <c r="BK101" s="12" t="n"/>
      <c r="BL101" s="12" t="n"/>
      <c r="BM101" s="12" t="n"/>
      <c r="BN101" s="12" t="n"/>
      <c r="BO101" s="12" t="n"/>
      <c r="BP101" s="12" t="n"/>
      <c r="BQ101" s="12" t="n"/>
      <c r="BR101" s="12" t="n"/>
      <c r="BS101" s="12" t="n"/>
      <c r="BT101" s="12" t="n"/>
      <c r="BU101" s="12" t="n"/>
      <c r="BV101" s="12" t="n"/>
      <c r="BW101" s="12" t="n"/>
      <c r="BX101" s="12" t="n"/>
      <c r="BY101" s="12" t="n"/>
      <c r="BZ101" s="12" t="n"/>
      <c r="CA101" s="12" t="n"/>
      <c r="CB101" s="12" t="n"/>
      <c r="CC101" s="12" t="n"/>
      <c r="CD101" s="12" t="n"/>
      <c r="CE101" s="12" t="n"/>
      <c r="CF101" s="12" t="n"/>
      <c r="CG101" s="12" t="n"/>
      <c r="CH101" s="12" t="n"/>
      <c r="CI101" s="12" t="n"/>
      <c r="CJ101" s="12" t="n"/>
      <c r="CK101" s="12" t="n"/>
      <c r="CL101" s="12" t="n"/>
      <c r="CM101" s="12" t="n"/>
      <c r="CN101" s="12" t="n"/>
      <c r="CO101" s="12" t="n"/>
      <c r="CP101" s="12" t="n"/>
      <c r="CQ101" s="12" t="n"/>
      <c r="CR101" s="12" t="n"/>
      <c r="CS101" s="12" t="n"/>
      <c r="CT101" s="12" t="n"/>
      <c r="CU101" s="12" t="n"/>
      <c r="CV101" s="12" t="n"/>
      <c r="CW101" s="12" t="n"/>
      <c r="CX101" s="12" t="n"/>
      <c r="CY101" s="12" t="n"/>
    </row>
    <row r="102" hidden="1" outlineLevel="1">
      <c r="C102" s="57" t="inlineStr">
        <is>
          <t>RECEITAS FINANCEIRAS - Descontos obtidos de fornecedores por antecipação</t>
        </is>
      </c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  <c r="BJ102" s="12" t="n"/>
      <c r="BK102" s="12" t="n"/>
      <c r="BL102" s="12" t="n"/>
      <c r="BM102" s="12" t="n"/>
      <c r="BN102" s="12" t="n"/>
      <c r="BO102" s="12" t="n"/>
      <c r="BP102" s="12" t="n"/>
      <c r="BQ102" s="12" t="n"/>
      <c r="BR102" s="12" t="n"/>
      <c r="BS102" s="12" t="n"/>
      <c r="BT102" s="12" t="n"/>
      <c r="BU102" s="12" t="n"/>
      <c r="BV102" s="12" t="n"/>
      <c r="BW102" s="12" t="n"/>
      <c r="BX102" s="12" t="n"/>
      <c r="BY102" s="12" t="n"/>
      <c r="BZ102" s="12" t="n"/>
      <c r="CA102" s="12" t="n"/>
      <c r="CB102" s="12" t="n"/>
      <c r="CC102" s="12" t="n"/>
      <c r="CD102" s="12" t="n"/>
      <c r="CE102" s="12" t="n"/>
      <c r="CF102" s="12" t="n"/>
      <c r="CG102" s="12" t="n"/>
      <c r="CH102" s="12" t="n"/>
      <c r="CI102" s="12" t="n"/>
      <c r="CJ102" s="12" t="n"/>
      <c r="CK102" s="12" t="n"/>
      <c r="CL102" s="12" t="n"/>
      <c r="CM102" s="12" t="n"/>
      <c r="CN102" s="12" t="n"/>
      <c r="CO102" s="12" t="n"/>
      <c r="CP102" s="12" t="n"/>
      <c r="CQ102" s="12" t="n"/>
      <c r="CR102" s="12" t="n"/>
      <c r="CS102" s="12" t="n"/>
      <c r="CT102" s="12" t="n"/>
      <c r="CU102" s="12" t="n"/>
      <c r="CV102" s="12" t="n"/>
      <c r="CW102" s="12" t="n"/>
      <c r="CX102" s="12" t="n"/>
      <c r="CY102" s="12" t="n"/>
    </row>
    <row r="103" hidden="1" outlineLevel="1">
      <c r="C103" s="57" t="inlineStr">
        <is>
          <t>RECEITAS FINANCEIRAS - Atualização monetária sobre Exclusão ICMS da base de PIS/COFINS (nota explicativa nº 7)</t>
        </is>
      </c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  <c r="BJ103" s="12" t="n"/>
      <c r="BK103" s="12" t="n"/>
      <c r="BL103" s="12" t="n"/>
      <c r="BM103" s="12" t="n"/>
      <c r="BN103" s="12" t="n"/>
      <c r="BO103" s="12" t="n"/>
      <c r="BP103" s="12" t="n"/>
      <c r="BQ103" s="12" t="n"/>
      <c r="BR103" s="12" t="n"/>
      <c r="BS103" s="12" t="n"/>
      <c r="BT103" s="12" t="n"/>
      <c r="BU103" s="12" t="n"/>
      <c r="BV103" s="12" t="n"/>
      <c r="BW103" s="12" t="n"/>
      <c r="BX103" s="12" t="n"/>
      <c r="BY103" s="12" t="n"/>
      <c r="BZ103" s="12" t="n"/>
      <c r="CA103" s="12" t="n"/>
      <c r="CB103" s="12" t="n"/>
      <c r="CC103" s="12" t="n"/>
      <c r="CD103" s="12" t="n"/>
      <c r="CE103" s="12" t="n"/>
      <c r="CF103" s="12" t="n"/>
      <c r="CG103" s="12" t="n"/>
      <c r="CH103" s="12" t="n"/>
      <c r="CI103" s="12" t="n"/>
      <c r="CJ103" s="12" t="n"/>
      <c r="CK103" s="12" t="n"/>
      <c r="CL103" s="12" t="n"/>
      <c r="CM103" s="12" t="n"/>
      <c r="CN103" s="12" t="n"/>
      <c r="CO103" s="12" t="n"/>
      <c r="CP103" s="12" t="n"/>
      <c r="CQ103" s="12" t="n"/>
      <c r="CR103" s="12" t="n"/>
      <c r="CS103" s="12" t="n"/>
      <c r="CT103" s="12" t="n"/>
      <c r="CU103" s="12" t="n"/>
      <c r="CV103" s="12" t="n"/>
      <c r="CW103" s="12" t="n"/>
      <c r="CX103" s="12" t="n"/>
      <c r="CY103" s="12" t="n"/>
    </row>
    <row r="104" hidden="1" outlineLevel="1">
      <c r="C104" s="57" t="inlineStr">
        <is>
          <t>RECEITAS FINANCEIRAS - Outras</t>
        </is>
      </c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  <c r="BJ104" s="12" t="n"/>
      <c r="BK104" s="12" t="n"/>
      <c r="BL104" s="12" t="n"/>
      <c r="BM104" s="12" t="n"/>
      <c r="BN104" s="12" t="n"/>
      <c r="BO104" s="12" t="n"/>
      <c r="BP104" s="12" t="n"/>
      <c r="BQ104" s="12" t="n"/>
      <c r="BR104" s="12" t="n"/>
      <c r="BS104" s="12" t="n"/>
      <c r="BT104" s="12" t="n"/>
      <c r="BU104" s="12" t="n"/>
      <c r="BV104" s="12" t="n"/>
      <c r="BW104" s="12" t="n"/>
      <c r="BX104" s="12" t="n"/>
      <c r="BY104" s="12" t="n"/>
      <c r="BZ104" s="12" t="n"/>
      <c r="CA104" s="12" t="n"/>
      <c r="CB104" s="12" t="n"/>
      <c r="CC104" s="12" t="n"/>
      <c r="CD104" s="12" t="n"/>
      <c r="CE104" s="12" t="n"/>
      <c r="CF104" s="12" t="n"/>
      <c r="CG104" s="12" t="n"/>
      <c r="CH104" s="12" t="n"/>
      <c r="CI104" s="12" t="n"/>
      <c r="CJ104" s="12" t="n"/>
      <c r="CK104" s="12" t="n"/>
      <c r="CL104" s="12" t="n"/>
      <c r="CM104" s="12" t="n"/>
      <c r="CN104" s="12" t="n"/>
      <c r="CO104" s="12" t="n"/>
      <c r="CP104" s="12" t="n"/>
      <c r="CQ104" s="12" t="n"/>
      <c r="CR104" s="12" t="n"/>
      <c r="CS104" s="12" t="n"/>
      <c r="CT104" s="12" t="n"/>
      <c r="CU104" s="12" t="n"/>
      <c r="CV104" s="12" t="n"/>
      <c r="CW104" s="12" t="n"/>
      <c r="CX104" s="12" t="n"/>
      <c r="CY104" s="12" t="n"/>
    </row>
    <row r="105" hidden="1" outlineLevel="1">
      <c r="C105" s="57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  <c r="BJ105" s="12" t="n"/>
      <c r="BK105" s="12" t="n"/>
      <c r="BL105" s="12" t="n"/>
      <c r="BM105" s="12" t="n"/>
      <c r="BN105" s="12" t="n"/>
      <c r="BO105" s="12" t="n"/>
      <c r="BP105" s="12" t="n"/>
      <c r="BQ105" s="12" t="n"/>
      <c r="BR105" s="12" t="n"/>
      <c r="BS105" s="12" t="n"/>
      <c r="BT105" s="12" t="n"/>
      <c r="BU105" s="12" t="n"/>
      <c r="BV105" s="12" t="n"/>
      <c r="BW105" s="12" t="n"/>
      <c r="BX105" s="12" t="n"/>
      <c r="BY105" s="12" t="n"/>
      <c r="BZ105" s="12" t="n"/>
      <c r="CA105" s="12" t="n"/>
      <c r="CB105" s="12" t="n"/>
      <c r="CC105" s="12" t="n"/>
      <c r="CD105" s="12" t="n"/>
      <c r="CE105" s="12" t="n"/>
      <c r="CF105" s="12" t="n"/>
      <c r="CG105" s="12" t="n"/>
      <c r="CH105" s="12" t="n"/>
      <c r="CI105" s="12" t="n"/>
      <c r="CJ105" s="12" t="n"/>
      <c r="CK105" s="12" t="n"/>
      <c r="CL105" s="12" t="n"/>
      <c r="CM105" s="12" t="n"/>
      <c r="CN105" s="12" t="n"/>
      <c r="CO105" s="12" t="n"/>
      <c r="CP105" s="12" t="n"/>
      <c r="CQ105" s="12" t="n"/>
      <c r="CR105" s="12" t="n"/>
      <c r="CS105" s="12" t="n"/>
      <c r="CT105" s="12" t="n"/>
      <c r="CU105" s="12" t="n"/>
      <c r="CV105" s="12" t="n"/>
      <c r="CW105" s="12" t="n"/>
      <c r="CX105" s="12" t="n"/>
      <c r="CY105" s="12" t="n"/>
    </row>
    <row r="106" hidden="1" outlineLevel="1">
      <c r="C106" s="57" t="inlineStr">
        <is>
          <t>DESPESAS FINANCEIRAS - Encargos sobre empréstimos, financiamentos e debêntures</t>
        </is>
      </c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  <c r="BE106" s="12" t="n"/>
      <c r="BF106" s="12" t="n"/>
      <c r="BG106" s="12" t="n"/>
      <c r="BH106" s="12" t="n"/>
      <c r="BI106" s="12" t="n"/>
      <c r="BJ106" s="12" t="n"/>
      <c r="BK106" s="12" t="n"/>
      <c r="BL106" s="12" t="n"/>
      <c r="BM106" s="12" t="n"/>
      <c r="BN106" s="12" t="n"/>
      <c r="BO106" s="12" t="n"/>
      <c r="BP106" s="12" t="n"/>
      <c r="BQ106" s="12" t="n"/>
      <c r="BR106" s="12" t="n"/>
      <c r="BS106" s="12" t="n"/>
      <c r="BT106" s="12" t="n"/>
      <c r="BU106" s="12" t="n"/>
      <c r="BV106" s="12" t="n"/>
      <c r="BW106" s="12" t="n"/>
      <c r="BX106" s="12" t="n"/>
      <c r="BY106" s="12" t="n"/>
      <c r="BZ106" s="12" t="n"/>
      <c r="CA106" s="12" t="n"/>
      <c r="CB106" s="12" t="n"/>
      <c r="CC106" s="12" t="n"/>
      <c r="CD106" s="12" t="n"/>
      <c r="CE106" s="12" t="n"/>
      <c r="CF106" s="12" t="n"/>
      <c r="CG106" s="12" t="n"/>
      <c r="CH106" s="12" t="n"/>
      <c r="CI106" s="12" t="n"/>
      <c r="CJ106" s="12" t="n"/>
      <c r="CK106" s="12" t="n"/>
      <c r="CL106" s="12" t="n"/>
      <c r="CM106" s="12" t="n"/>
      <c r="CN106" s="12" t="n"/>
      <c r="CO106" s="12" t="n"/>
      <c r="CP106" s="12" t="n"/>
      <c r="CQ106" s="12" t="n"/>
      <c r="CR106" s="12" t="n"/>
      <c r="CS106" s="12" t="n"/>
      <c r="CT106" s="12" t="n"/>
      <c r="CU106" s="12" t="n"/>
      <c r="CV106" s="12" t="n"/>
      <c r="CW106" s="12" t="n"/>
      <c r="CX106" s="12" t="n"/>
      <c r="CY106" s="12" t="n"/>
    </row>
    <row r="107" hidden="1" outlineLevel="1">
      <c r="C107" s="57" t="inlineStr">
        <is>
          <t>DESPESAS FINANCEIRAS - Variação cambial passiva</t>
        </is>
      </c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  <c r="BJ107" s="12" t="n"/>
      <c r="BK107" s="12" t="n"/>
      <c r="BL107" s="12" t="n"/>
      <c r="BM107" s="12" t="n"/>
      <c r="BN107" s="12" t="n"/>
      <c r="BO107" s="12" t="n"/>
      <c r="BP107" s="12" t="n"/>
      <c r="BQ107" s="12" t="n"/>
      <c r="BR107" s="12" t="n"/>
      <c r="BS107" s="12" t="n"/>
      <c r="BT107" s="12" t="n"/>
      <c r="BU107" s="12" t="n"/>
      <c r="BV107" s="12" t="n"/>
      <c r="BW107" s="12" t="n"/>
      <c r="BX107" s="12" t="n"/>
      <c r="BY107" s="12" t="n"/>
      <c r="BZ107" s="12" t="n"/>
      <c r="CA107" s="12" t="n"/>
      <c r="CB107" s="12" t="n"/>
      <c r="CC107" s="12" t="n"/>
      <c r="CD107" s="12" t="n"/>
      <c r="CE107" s="12" t="n"/>
      <c r="CF107" s="12" t="n"/>
      <c r="CG107" s="12" t="n"/>
      <c r="CH107" s="12" t="n"/>
      <c r="CI107" s="12" t="n"/>
      <c r="CJ107" s="12" t="n"/>
      <c r="CK107" s="12" t="n"/>
      <c r="CL107" s="12" t="n"/>
      <c r="CM107" s="12" t="n"/>
      <c r="CN107" s="12" t="n"/>
      <c r="CO107" s="12" t="n"/>
      <c r="CP107" s="12" t="n"/>
      <c r="CQ107" s="12" t="n"/>
      <c r="CR107" s="12" t="n"/>
      <c r="CS107" s="12" t="n"/>
      <c r="CT107" s="12" t="n"/>
      <c r="CU107" s="12" t="n"/>
      <c r="CV107" s="12" t="n"/>
      <c r="CW107" s="12" t="n"/>
      <c r="CX107" s="12" t="n"/>
      <c r="CY107" s="12" t="n"/>
    </row>
    <row r="108" hidden="1" outlineLevel="1">
      <c r="C108" s="57" t="inlineStr">
        <is>
          <t>DESPESAS FINANCEIRAS - Resultado negativo com instrumentos derivativos</t>
        </is>
      </c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  <c r="BJ108" s="12" t="n"/>
      <c r="BK108" s="12" t="n"/>
      <c r="BL108" s="12" t="n"/>
      <c r="BM108" s="12" t="n"/>
      <c r="BN108" s="12" t="n"/>
      <c r="BO108" s="12" t="n"/>
      <c r="BP108" s="12" t="n"/>
      <c r="BQ108" s="12" t="n"/>
      <c r="BR108" s="12" t="n"/>
      <c r="BS108" s="12" t="n"/>
      <c r="BT108" s="12" t="n"/>
      <c r="BU108" s="12" t="n"/>
      <c r="BV108" s="12" t="n"/>
      <c r="BW108" s="12" t="n"/>
      <c r="BX108" s="12" t="n"/>
      <c r="BY108" s="12" t="n"/>
      <c r="BZ108" s="12" t="n"/>
      <c r="CA108" s="12" t="n"/>
      <c r="CB108" s="12" t="n"/>
      <c r="CC108" s="12" t="n"/>
      <c r="CD108" s="12" t="n"/>
      <c r="CE108" s="12" t="n"/>
      <c r="CF108" s="12" t="n"/>
      <c r="CG108" s="12" t="n"/>
      <c r="CH108" s="12" t="n"/>
      <c r="CI108" s="12" t="n"/>
      <c r="CJ108" s="12" t="n"/>
      <c r="CK108" s="12" t="n"/>
      <c r="CL108" s="12" t="n"/>
      <c r="CM108" s="12" t="n"/>
      <c r="CN108" s="12" t="n"/>
      <c r="CO108" s="12" t="n"/>
      <c r="CP108" s="12" t="n"/>
      <c r="CQ108" s="12" t="n"/>
      <c r="CR108" s="12" t="n"/>
      <c r="CS108" s="12" t="n"/>
      <c r="CT108" s="12" t="n"/>
      <c r="CU108" s="12" t="n"/>
      <c r="CV108" s="12" t="n"/>
      <c r="CW108" s="12" t="n"/>
      <c r="CX108" s="12" t="n"/>
      <c r="CY108" s="12" t="n"/>
    </row>
    <row r="109" hidden="1" outlineLevel="1">
      <c r="C109" s="57" t="inlineStr">
        <is>
          <t>DESPESAS FINANCEIRAS - Juros sobre arrendamento - IFRS16</t>
        </is>
      </c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  <c r="BJ109" s="12" t="n"/>
      <c r="BK109" s="12" t="n"/>
      <c r="BL109" s="12" t="n"/>
      <c r="BM109" s="12" t="n"/>
      <c r="BN109" s="12" t="n"/>
      <c r="BO109" s="12" t="n"/>
      <c r="BP109" s="12" t="n"/>
      <c r="BQ109" s="12" t="n"/>
      <c r="BR109" s="12" t="n"/>
      <c r="BS109" s="12" t="n"/>
      <c r="BT109" s="12" t="n"/>
      <c r="BU109" s="12" t="n"/>
      <c r="BV109" s="12" t="n"/>
      <c r="BW109" s="12" t="n"/>
      <c r="BX109" s="12" t="n"/>
      <c r="BY109" s="12" t="n"/>
      <c r="BZ109" s="12" t="n"/>
      <c r="CA109" s="12" t="n"/>
      <c r="CB109" s="12" t="n"/>
      <c r="CC109" s="12" t="n"/>
      <c r="CD109" s="12" t="n"/>
      <c r="CE109" s="12" t="n"/>
      <c r="CF109" s="12" t="n"/>
      <c r="CG109" s="12" t="n"/>
      <c r="CH109" s="12" t="n"/>
      <c r="CI109" s="12" t="n"/>
      <c r="CJ109" s="12" t="n"/>
      <c r="CK109" s="12" t="n"/>
      <c r="CL109" s="12" t="n"/>
      <c r="CM109" s="12" t="n"/>
      <c r="CN109" s="12" t="n"/>
      <c r="CO109" s="12" t="n"/>
      <c r="CP109" s="12" t="n"/>
      <c r="CQ109" s="12" t="n"/>
      <c r="CR109" s="12" t="n"/>
      <c r="CS109" s="12" t="n"/>
      <c r="CT109" s="12" t="n"/>
      <c r="CU109" s="12" t="n"/>
      <c r="CV109" s="12" t="n"/>
      <c r="CW109" s="12" t="n"/>
      <c r="CX109" s="12" t="n"/>
      <c r="CY109" s="12" t="n"/>
    </row>
    <row r="110" hidden="1" outlineLevel="1">
      <c r="C110" s="57" t="inlineStr">
        <is>
          <t>DESPESAS FINANCEIRAS - Despesas bancárias</t>
        </is>
      </c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  <c r="BJ110" s="12" t="n"/>
      <c r="BK110" s="12" t="n"/>
      <c r="BL110" s="12" t="n"/>
      <c r="BM110" s="12" t="n"/>
      <c r="BN110" s="12" t="n"/>
      <c r="BO110" s="12" t="n"/>
      <c r="BP110" s="12" t="n"/>
      <c r="BQ110" s="12" t="n"/>
      <c r="BR110" s="12" t="n"/>
      <c r="BS110" s="12" t="n"/>
      <c r="BT110" s="12" t="n"/>
      <c r="BU110" s="12" t="n"/>
      <c r="BV110" s="12" t="n"/>
      <c r="BW110" s="12" t="n"/>
      <c r="BX110" s="12" t="n"/>
      <c r="BY110" s="12" t="n"/>
      <c r="BZ110" s="12" t="n"/>
      <c r="CA110" s="12" t="n"/>
      <c r="CB110" s="12" t="n"/>
      <c r="CC110" s="12" t="n"/>
      <c r="CD110" s="12" t="n"/>
      <c r="CE110" s="12" t="n"/>
      <c r="CF110" s="12" t="n"/>
      <c r="CG110" s="12" t="n"/>
      <c r="CH110" s="12" t="n"/>
      <c r="CI110" s="12" t="n"/>
      <c r="CJ110" s="12" t="n"/>
      <c r="CK110" s="12" t="n"/>
      <c r="CL110" s="12" t="n"/>
      <c r="CM110" s="12" t="n"/>
      <c r="CN110" s="12" t="n"/>
      <c r="CO110" s="12" t="n"/>
      <c r="CP110" s="12" t="n"/>
      <c r="CQ110" s="12" t="n"/>
      <c r="CR110" s="12" t="n"/>
      <c r="CS110" s="12" t="n"/>
      <c r="CT110" s="12" t="n"/>
      <c r="CU110" s="12" t="n"/>
      <c r="CV110" s="12" t="n"/>
      <c r="CW110" s="12" t="n"/>
      <c r="CX110" s="12" t="n"/>
      <c r="CY110" s="12" t="n"/>
    </row>
    <row r="111" hidden="1" outlineLevel="1">
      <c r="C111" s="57" t="inlineStr">
        <is>
          <t>DESPESAS FINANCEIRAS - Despesas com obtenção de empréstimos e financiamentos</t>
        </is>
      </c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  <c r="BJ111" s="12" t="n"/>
      <c r="BK111" s="12" t="n"/>
      <c r="BL111" s="12" t="n"/>
      <c r="BM111" s="12" t="n"/>
      <c r="BN111" s="12" t="n"/>
      <c r="BO111" s="12" t="n"/>
      <c r="BP111" s="12" t="n"/>
      <c r="BQ111" s="12" t="n"/>
      <c r="BR111" s="12" t="n"/>
      <c r="BS111" s="12" t="n"/>
      <c r="BT111" s="12" t="n"/>
      <c r="BU111" s="12" t="n"/>
      <c r="BV111" s="12" t="n"/>
      <c r="BW111" s="12" t="n"/>
      <c r="BX111" s="12" t="n"/>
      <c r="BY111" s="12" t="n"/>
      <c r="BZ111" s="12" t="n"/>
      <c r="CA111" s="12" t="n"/>
      <c r="CB111" s="12" t="n"/>
      <c r="CC111" s="12" t="n"/>
      <c r="CD111" s="12" t="n"/>
      <c r="CE111" s="12" t="n"/>
      <c r="CF111" s="12" t="n"/>
      <c r="CG111" s="12" t="n"/>
      <c r="CH111" s="12" t="n"/>
      <c r="CI111" s="12" t="n"/>
      <c r="CJ111" s="12" t="n"/>
      <c r="CK111" s="12" t="n"/>
      <c r="CL111" s="12" t="n"/>
      <c r="CM111" s="12" t="n"/>
      <c r="CN111" s="12" t="n"/>
      <c r="CO111" s="12" t="n"/>
      <c r="CP111" s="12" t="n"/>
      <c r="CQ111" s="12" t="n"/>
      <c r="CR111" s="12" t="n"/>
      <c r="CS111" s="12" t="n"/>
      <c r="CT111" s="12" t="n"/>
      <c r="CU111" s="12" t="n"/>
      <c r="CV111" s="12" t="n"/>
      <c r="CW111" s="12" t="n"/>
      <c r="CX111" s="12" t="n"/>
      <c r="CY111" s="12" t="n"/>
    </row>
    <row r="112" hidden="1" outlineLevel="1">
      <c r="C112" s="57" t="inlineStr">
        <is>
          <t>DESPESAS FINANCEIRAS - Atualização de contas a pagar por aquisição de empresas</t>
        </is>
      </c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  <c r="BJ112" s="12" t="n"/>
      <c r="BK112" s="12" t="n"/>
      <c r="BL112" s="12" t="n"/>
      <c r="BM112" s="12" t="n"/>
      <c r="BN112" s="12" t="n"/>
      <c r="BO112" s="12" t="n"/>
      <c r="BP112" s="12" t="n"/>
      <c r="BQ112" s="12" t="n"/>
      <c r="BR112" s="12" t="n"/>
      <c r="BS112" s="12" t="n"/>
      <c r="BT112" s="12" t="n"/>
      <c r="BU112" s="12" t="n"/>
      <c r="BV112" s="12" t="n"/>
      <c r="BW112" s="12" t="n"/>
      <c r="BX112" s="12" t="n"/>
      <c r="BY112" s="12" t="n"/>
      <c r="BZ112" s="12" t="n"/>
      <c r="CA112" s="12" t="n"/>
      <c r="CB112" s="12" t="n"/>
      <c r="CC112" s="12" t="n"/>
      <c r="CD112" s="12" t="n"/>
      <c r="CE112" s="12" t="n"/>
      <c r="CF112" s="12" t="n"/>
      <c r="CG112" s="12" t="n"/>
      <c r="CH112" s="12" t="n"/>
      <c r="CI112" s="12" t="n"/>
      <c r="CJ112" s="12" t="n"/>
      <c r="CK112" s="12" t="n"/>
      <c r="CL112" s="12" t="n"/>
      <c r="CM112" s="12" t="n"/>
      <c r="CN112" s="12" t="n"/>
      <c r="CO112" s="12" t="n"/>
      <c r="CP112" s="12" t="n"/>
      <c r="CQ112" s="12" t="n"/>
      <c r="CR112" s="12" t="n"/>
      <c r="CS112" s="12" t="n"/>
      <c r="CT112" s="12" t="n"/>
      <c r="CU112" s="12" t="n"/>
      <c r="CV112" s="12" t="n"/>
      <c r="CW112" s="12" t="n"/>
      <c r="CX112" s="12" t="n"/>
      <c r="CY112" s="12" t="n"/>
    </row>
    <row r="113" hidden="1" outlineLevel="1">
      <c r="C113" s="57" t="inlineStr">
        <is>
          <t>DESPESAS FINANCEIRAS - Outras</t>
        </is>
      </c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  <c r="BJ113" s="12" t="n"/>
      <c r="BK113" s="12" t="n"/>
      <c r="BL113" s="12" t="n"/>
      <c r="BM113" s="12" t="n"/>
      <c r="BN113" s="12" t="n"/>
      <c r="BO113" s="12" t="n"/>
      <c r="BP113" s="12" t="n"/>
      <c r="BQ113" s="12" t="n"/>
      <c r="BR113" s="12" t="n"/>
      <c r="BS113" s="12" t="n"/>
      <c r="BT113" s="12" t="n"/>
      <c r="BU113" s="12" t="n"/>
      <c r="BV113" s="12" t="n"/>
      <c r="BW113" s="12" t="n"/>
      <c r="BX113" s="12" t="n"/>
      <c r="BY113" s="12" t="n"/>
      <c r="BZ113" s="12" t="n"/>
      <c r="CA113" s="12" t="n"/>
      <c r="CB113" s="12" t="n"/>
      <c r="CC113" s="12" t="n"/>
      <c r="CD113" s="12" t="n"/>
      <c r="CE113" s="12" t="n"/>
      <c r="CF113" s="12" t="n"/>
      <c r="CG113" s="12" t="n"/>
      <c r="CH113" s="12" t="n"/>
      <c r="CI113" s="12" t="n"/>
      <c r="CJ113" s="12" t="n"/>
      <c r="CK113" s="12" t="n"/>
      <c r="CL113" s="12" t="n"/>
      <c r="CM113" s="12" t="n"/>
      <c r="CN113" s="12" t="n"/>
      <c r="CO113" s="12" t="n"/>
      <c r="CP113" s="12" t="n"/>
      <c r="CQ113" s="12" t="n"/>
      <c r="CR113" s="12" t="n"/>
      <c r="CS113" s="12" t="n"/>
      <c r="CT113" s="12" t="n"/>
      <c r="CU113" s="12" t="n"/>
      <c r="CV113" s="12" t="n"/>
      <c r="CW113" s="12" t="n"/>
      <c r="CX113" s="12" t="n"/>
      <c r="CY113" s="12" t="n"/>
    </row>
    <row r="114" hidden="1" outlineLevel="1">
      <c r="C114" s="57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  <c r="BE114" s="12" t="n"/>
      <c r="BF114" s="12" t="n"/>
      <c r="BG114" s="12" t="n"/>
      <c r="BH114" s="12" t="n"/>
      <c r="BI114" s="12" t="n"/>
      <c r="BJ114" s="12" t="n"/>
      <c r="BK114" s="12" t="n"/>
      <c r="BL114" s="12" t="n"/>
      <c r="BM114" s="12" t="n"/>
      <c r="BN114" s="12" t="n"/>
      <c r="BO114" s="12" t="n"/>
      <c r="BP114" s="12" t="n"/>
      <c r="BQ114" s="12" t="n"/>
      <c r="BR114" s="12" t="n"/>
      <c r="BS114" s="12" t="n"/>
      <c r="BT114" s="12" t="n"/>
      <c r="BU114" s="12" t="n"/>
      <c r="BV114" s="12" t="n"/>
      <c r="BW114" s="12" t="n"/>
      <c r="BX114" s="12" t="n"/>
      <c r="BY114" s="12" t="n"/>
      <c r="BZ114" s="12" t="n"/>
      <c r="CA114" s="12" t="n"/>
      <c r="CB114" s="12" t="n"/>
      <c r="CC114" s="12" t="n"/>
      <c r="CD114" s="12" t="n"/>
      <c r="CE114" s="12" t="n"/>
      <c r="CF114" s="12" t="n"/>
      <c r="CG114" s="12" t="n"/>
      <c r="CH114" s="12" t="n"/>
      <c r="CI114" s="12" t="n"/>
      <c r="CJ114" s="12" t="n"/>
      <c r="CK114" s="12" t="n"/>
      <c r="CL114" s="12" t="n"/>
      <c r="CM114" s="12" t="n"/>
      <c r="CN114" s="12" t="n"/>
      <c r="CO114" s="12" t="n"/>
      <c r="CP114" s="12" t="n"/>
      <c r="CQ114" s="12" t="n"/>
      <c r="CR114" s="12" t="n"/>
      <c r="CS114" s="12" t="n"/>
      <c r="CT114" s="12" t="n"/>
      <c r="CU114" s="12" t="n"/>
      <c r="CV114" s="12" t="n"/>
      <c r="CW114" s="12" t="n"/>
      <c r="CX114" s="12" t="n"/>
      <c r="CY114" s="12" t="n"/>
    </row>
    <row r="115" hidden="1" outlineLevel="1">
      <c r="C115" s="57" t="inlineStr">
        <is>
          <t>CHECK [EX IFRS-16]</t>
        </is>
      </c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  <c r="AL115" s="12" t="n"/>
      <c r="AM115" s="12" t="n"/>
      <c r="AN115" s="12" t="n"/>
      <c r="AO115" s="12" t="n"/>
      <c r="AP115" s="12" t="n"/>
      <c r="AQ115" s="12" t="n"/>
      <c r="AR115" s="12" t="n"/>
      <c r="AS115" s="12" t="n"/>
      <c r="AT115" s="12" t="n"/>
      <c r="AU115" s="12" t="n"/>
      <c r="AV115" s="12" t="n"/>
      <c r="AW115" s="12" t="n"/>
      <c r="AX115" s="12" t="n"/>
      <c r="AY115" s="12" t="n"/>
      <c r="AZ115" s="12" t="n"/>
      <c r="BA115" s="12" t="n"/>
      <c r="BB115" s="12" t="n"/>
      <c r="BC115" s="12" t="n"/>
      <c r="BD115" s="12" t="n"/>
      <c r="BE115" s="12" t="n"/>
      <c r="BF115" s="12" t="n"/>
      <c r="BG115" s="12" t="n"/>
      <c r="BH115" s="12" t="n"/>
      <c r="BI115" s="12" t="n"/>
      <c r="BJ115" s="12" t="n"/>
      <c r="BK115" s="12" t="n"/>
      <c r="BL115" s="12" t="n"/>
      <c r="BM115" s="12" t="n"/>
      <c r="BN115" s="12" t="n"/>
      <c r="BO115" s="12" t="n"/>
      <c r="BP115" s="12" t="n"/>
      <c r="BQ115" s="12" t="n"/>
      <c r="BR115" s="12" t="n"/>
      <c r="BS115" s="12" t="n"/>
      <c r="BT115" s="12" t="n"/>
      <c r="BU115" s="12" t="n"/>
      <c r="BV115" s="12" t="n"/>
      <c r="BW115" s="12" t="n"/>
      <c r="BX115" s="12" t="n"/>
      <c r="BY115" s="12" t="n"/>
      <c r="BZ115" s="12" t="n"/>
      <c r="CA115" s="12" t="n"/>
      <c r="CB115" s="12" t="n"/>
      <c r="CC115" s="12" t="n"/>
      <c r="CD115" s="12" t="n"/>
      <c r="CE115" s="12" t="n"/>
      <c r="CF115" s="12" t="n"/>
      <c r="CG115" s="12" t="n"/>
      <c r="CH115" s="12" t="n"/>
      <c r="CI115" s="12" t="n"/>
      <c r="CJ115" s="12" t="n"/>
      <c r="CK115" s="12" t="n"/>
      <c r="CL115" s="12" t="n"/>
      <c r="CM115" s="12" t="n"/>
      <c r="CN115" s="12" t="n"/>
      <c r="CO115" s="12" t="n"/>
      <c r="CP115" s="12" t="n"/>
      <c r="CQ115" s="12" t="n"/>
      <c r="CR115" s="12" t="n"/>
      <c r="CS115" s="12" t="n"/>
      <c r="CT115" s="12" t="n"/>
      <c r="CU115" s="12" t="n"/>
      <c r="CV115" s="12" t="n"/>
      <c r="CW115" s="12" t="n"/>
      <c r="CX115" s="12" t="n"/>
      <c r="CY115" s="12" t="n"/>
    </row>
    <row r="116" hidden="1" outlineLevel="1">
      <c r="C116" s="57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  <c r="BE116" s="12" t="n"/>
      <c r="BF116" s="12" t="n"/>
      <c r="BG116" s="12" t="n"/>
      <c r="BH116" s="12" t="n"/>
      <c r="BI116" s="12" t="n"/>
      <c r="BJ116" s="12" t="n"/>
      <c r="BK116" s="12" t="n"/>
      <c r="BL116" s="12" t="n"/>
      <c r="BM116" s="12" t="n"/>
      <c r="BN116" s="12" t="n"/>
      <c r="BO116" s="12" t="n"/>
      <c r="BP116" s="12" t="n"/>
      <c r="BQ116" s="12" t="n"/>
      <c r="BR116" s="12" t="n"/>
      <c r="BS116" s="12" t="n"/>
      <c r="BT116" s="12" t="n"/>
      <c r="BU116" s="12" t="n"/>
      <c r="BV116" s="12" t="n"/>
      <c r="BW116" s="12" t="n"/>
      <c r="BX116" s="12" t="n"/>
      <c r="BY116" s="12" t="n"/>
      <c r="BZ116" s="12" t="n"/>
      <c r="CA116" s="12" t="n"/>
      <c r="CB116" s="12" t="n"/>
      <c r="CC116" s="12" t="n"/>
      <c r="CD116" s="12" t="n"/>
      <c r="CE116" s="12" t="n"/>
      <c r="CF116" s="12" t="n"/>
      <c r="CG116" s="12" t="n"/>
      <c r="CH116" s="12" t="n"/>
      <c r="CI116" s="12" t="n"/>
      <c r="CJ116" s="12" t="n"/>
      <c r="CK116" s="12" t="n"/>
      <c r="CL116" s="12" t="n"/>
      <c r="CM116" s="12" t="n"/>
      <c r="CN116" s="12" t="n"/>
      <c r="CO116" s="12" t="n"/>
      <c r="CP116" s="12" t="n"/>
      <c r="CQ116" s="12" t="n"/>
      <c r="CR116" s="12" t="n"/>
      <c r="CS116" s="12" t="n"/>
      <c r="CT116" s="12" t="n"/>
      <c r="CU116" s="12" t="n"/>
      <c r="CV116" s="12" t="n"/>
      <c r="CW116" s="12" t="n"/>
      <c r="CX116" s="12" t="n"/>
      <c r="CY116" s="12" t="n"/>
    </row>
    <row r="117" collapsed="1">
      <c r="C117" s="14" t="inlineStr">
        <is>
          <t>Nonoperating Income / (Loss)</t>
        </is>
      </c>
      <c r="D117" s="46" t="n"/>
      <c r="E117" s="46" t="n"/>
      <c r="F117" s="46" t="n"/>
      <c r="G117" s="46" t="n"/>
      <c r="H117" s="12" t="n"/>
      <c r="I117" s="46">
        <f>'Inputs (2)'!D9</f>
        <v>38</v>
      </c>
      <c r="J117" s="46">
        <f>'Inputs (2)'!E9</f>
        <v>56</v>
      </c>
      <c r="K117" s="46">
        <f>'Inputs (2)'!F9</f>
        <v>4</v>
      </c>
      <c r="L117" s="46">
        <f>'Inputs (2)'!G9</f>
        <v>93</v>
      </c>
      <c r="M117" s="12">
        <f>'Inputs (2)'!H9</f>
        <v>191</v>
      </c>
      <c r="N117" s="46">
        <f>'Inputs (2)'!I9</f>
        <v>84</v>
      </c>
      <c r="O117" s="46">
        <f>'Inputs (2)'!J9</f>
        <v>54</v>
      </c>
      <c r="P117" s="46">
        <f>'Inputs (2)'!K9</f>
        <v>1</v>
      </c>
      <c r="Q117" s="46">
        <f>'Inputs (2)'!L9</f>
        <v>115</v>
      </c>
      <c r="R117" s="12">
        <f>'Inputs (2)'!M9</f>
        <v>254</v>
      </c>
      <c r="S117" s="46">
        <f>'Inputs (2)'!N9</f>
        <v>165</v>
      </c>
      <c r="T117" s="46">
        <f>'Inputs (2)'!O9</f>
        <v>566</v>
      </c>
      <c r="U117" s="46">
        <f>'Inputs (2)'!P9</f>
        <v>319</v>
      </c>
      <c r="V117" s="46">
        <f>'Inputs (2)'!Q9</f>
        <v>188</v>
      </c>
      <c r="W117" s="12">
        <f>'Inputs (2)'!R9</f>
        <v>1238</v>
      </c>
      <c r="X117" s="46">
        <f>'Inputs (2)'!S9</f>
        <v>793</v>
      </c>
      <c r="Y117" s="46">
        <f>'Inputs (2)'!T9</f>
        <v>268</v>
      </c>
      <c r="Z117" s="46">
        <f>'Inputs (2)'!U9</f>
        <v>166</v>
      </c>
      <c r="AA117" s="46">
        <f>'Inputs (2)'!V9</f>
        <v>1037</v>
      </c>
      <c r="AB117" s="12">
        <f>'Inputs (2)'!W9</f>
        <v>2264</v>
      </c>
      <c r="AC117" s="46">
        <f>'Inputs (2)'!X9</f>
        <v>281</v>
      </c>
      <c r="AD117" s="46">
        <f>'Inputs (2)'!Y9</f>
        <v>712</v>
      </c>
      <c r="AE117" s="46">
        <f>'Inputs (2)'!Z9</f>
        <v>411</v>
      </c>
      <c r="AF117" s="46">
        <f>'Inputs (2)'!AA9</f>
        <v>-143</v>
      </c>
      <c r="AG117" s="12">
        <f>'Inputs (2)'!AB9</f>
        <v>1261</v>
      </c>
      <c r="AH117" s="12">
        <f>'Inputs (2)'!AC9</f>
        <v>-101</v>
      </c>
      <c r="AI117" s="12">
        <f>'Inputs (2)'!AD9</f>
        <v>1012</v>
      </c>
      <c r="AJ117" s="12">
        <f>AJ15*Control!$B$23</f>
        <v>439.625817457737</v>
      </c>
      <c r="AK117" s="12">
        <f>AK15*Control!$B$23</f>
        <v>389.646644617018</v>
      </c>
      <c r="AL117" s="12">
        <f>SUM(AH117:AK117)</f>
        <v>1740.27246207476</v>
      </c>
      <c r="AM117" s="12">
        <f>AM15*Control!$C$23</f>
        <v>350.307996989727</v>
      </c>
      <c r="AN117" s="12">
        <f>AN15*Control!$C$23</f>
        <v>441.832161656404</v>
      </c>
      <c r="AO117" s="12">
        <f>AO15*Control!$C$23</f>
        <v>460.671395035811</v>
      </c>
      <c r="AP117" s="12">
        <f>AP15*Control!$C$23</f>
        <v>408.299640782585</v>
      </c>
      <c r="AQ117" s="12">
        <f>SUM(AM117:AP117)</f>
        <v>1661.11119446453</v>
      </c>
      <c r="AR117" s="12">
        <f>AR15*Control!$D$23</f>
        <v>365.326250392937</v>
      </c>
      <c r="AS117" s="12">
        <f>AS15*Control!$D$23</f>
        <v>460.774199584356</v>
      </c>
      <c r="AT117" s="12">
        <f>AT15*Control!$D$23</f>
        <v>480.421100454216</v>
      </c>
      <c r="AU117" s="12">
        <f>AU15*Control!$D$23</f>
        <v>425.804086933989</v>
      </c>
      <c r="AV117" s="12">
        <f>SUM(AR117:AU117)</f>
        <v>1732.3256373655</v>
      </c>
      <c r="AW117" s="12">
        <f>AW15*Control!$E$23</f>
        <v>379.161728628604</v>
      </c>
      <c r="AX117" s="12">
        <f>AX15*Control!$E$23</f>
        <v>478.224441397117</v>
      </c>
      <c r="AY117" s="12">
        <f>AY15*Control!$E$23</f>
        <v>498.615401225485</v>
      </c>
      <c r="AZ117" s="12">
        <f>AZ15*Control!$E$23</f>
        <v>441.929955718662</v>
      </c>
      <c r="BA117" s="12">
        <f>SUM(AW117:AZ117)</f>
        <v>1797.93152696987</v>
      </c>
      <c r="BB117" s="12">
        <f>BB15*Control!$F$23</f>
        <v>391.625369487369</v>
      </c>
      <c r="BC117" s="12">
        <f>BC15*Control!$F$23</f>
        <v>493.944429036734</v>
      </c>
      <c r="BD117" s="12">
        <f>BD15*Control!$F$23</f>
        <v>515.005671704526</v>
      </c>
      <c r="BE117" s="12">
        <f>BE15*Control!$F$23</f>
        <v>456.456886674298</v>
      </c>
      <c r="BF117" s="12">
        <f>SUM(BB117:BE117)</f>
        <v>1857.03235690293</v>
      </c>
      <c r="BG117" s="12" t="n"/>
      <c r="BH117" s="12" t="n"/>
      <c r="BI117" s="12" t="n"/>
      <c r="BJ117" s="12" t="n"/>
      <c r="BK117" s="12" t="n"/>
      <c r="BL117" s="12" t="n"/>
      <c r="BM117" s="12" t="n"/>
      <c r="BN117" s="12" t="n"/>
      <c r="BO117" s="12" t="n"/>
      <c r="BP117" s="12" t="n"/>
      <c r="BQ117" s="12" t="n"/>
      <c r="BR117" s="12" t="n"/>
      <c r="BS117" s="12" t="n"/>
      <c r="BT117" s="12" t="n"/>
      <c r="BU117" s="12" t="n"/>
      <c r="BV117" s="12" t="n"/>
      <c r="BW117" s="12" t="n"/>
      <c r="BX117" s="12" t="n"/>
      <c r="BY117" s="12" t="n"/>
      <c r="BZ117" s="12" t="n"/>
      <c r="CA117" s="12" t="n"/>
      <c r="CB117" s="12" t="n"/>
      <c r="CC117" s="12" t="n"/>
      <c r="CD117" s="12" t="n"/>
      <c r="CE117" s="12" t="n"/>
      <c r="CF117" s="12" t="n"/>
      <c r="CG117" s="12" t="n"/>
      <c r="CH117" s="12" t="n"/>
      <c r="CI117" s="12" t="n"/>
      <c r="CJ117" s="12" t="n"/>
      <c r="CK117" s="12" t="n"/>
      <c r="CL117" s="12" t="n"/>
      <c r="CM117" s="12" t="n"/>
      <c r="CN117" s="12" t="n"/>
      <c r="CO117" s="12" t="n"/>
      <c r="CP117" s="12" t="n"/>
      <c r="CQ117" s="12" t="n"/>
      <c r="CR117" s="12" t="n"/>
      <c r="CS117" s="12" t="n"/>
      <c r="CT117" s="12" t="n"/>
      <c r="CU117" s="12" t="n"/>
      <c r="CV117" s="12" t="n"/>
      <c r="CW117" s="12" t="n"/>
      <c r="CX117" s="12" t="n"/>
      <c r="CY117" s="12" t="n"/>
    </row>
    <row r="118" hidden="1" outlineLevel="1">
      <c r="C118" s="57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  <c r="AT118" s="12" t="n"/>
      <c r="AU118" s="12" t="n"/>
      <c r="AV118" s="12" t="n"/>
      <c r="AW118" s="12" t="n"/>
      <c r="AX118" s="12" t="n"/>
      <c r="AY118" s="12" t="n"/>
      <c r="AZ118" s="12" t="n"/>
      <c r="BA118" s="12" t="n"/>
      <c r="BB118" s="12" t="n"/>
      <c r="BC118" s="12" t="n"/>
      <c r="BD118" s="12" t="n"/>
      <c r="BE118" s="12" t="n"/>
      <c r="BF118" s="12" t="n"/>
      <c r="BG118" s="12" t="n"/>
      <c r="BH118" s="12" t="n"/>
      <c r="BI118" s="12" t="n"/>
      <c r="BJ118" s="12" t="n"/>
      <c r="BK118" s="12" t="n"/>
      <c r="BL118" s="12" t="n"/>
      <c r="BM118" s="12" t="n"/>
      <c r="BN118" s="12" t="n"/>
      <c r="BO118" s="12" t="n"/>
      <c r="BP118" s="12" t="n"/>
      <c r="BQ118" s="12" t="n"/>
      <c r="BR118" s="12" t="n"/>
      <c r="BS118" s="12" t="n"/>
      <c r="BT118" s="12" t="n"/>
      <c r="BU118" s="12" t="n"/>
      <c r="BV118" s="12" t="n"/>
      <c r="BW118" s="12" t="n"/>
      <c r="BX118" s="12" t="n"/>
      <c r="BY118" s="12" t="n"/>
      <c r="BZ118" s="12" t="n"/>
      <c r="CA118" s="12" t="n"/>
      <c r="CB118" s="12" t="n"/>
      <c r="CC118" s="12" t="n"/>
      <c r="CD118" s="12" t="n"/>
      <c r="CE118" s="12" t="n"/>
      <c r="CF118" s="12" t="n"/>
      <c r="CG118" s="12" t="n"/>
      <c r="CH118" s="12" t="n"/>
      <c r="CI118" s="12" t="n"/>
      <c r="CJ118" s="12" t="n"/>
      <c r="CK118" s="12" t="n"/>
      <c r="CL118" s="12" t="n"/>
      <c r="CM118" s="12" t="n"/>
      <c r="CN118" s="12" t="n"/>
      <c r="CO118" s="12" t="n"/>
      <c r="CP118" s="12" t="n"/>
      <c r="CQ118" s="12" t="n"/>
      <c r="CR118" s="12" t="n"/>
      <c r="CS118" s="12" t="n"/>
      <c r="CT118" s="12" t="n"/>
      <c r="CU118" s="12" t="n"/>
      <c r="CV118" s="12" t="n"/>
      <c r="CW118" s="12" t="n"/>
      <c r="CX118" s="12" t="n"/>
      <c r="CY118" s="12" t="n"/>
    </row>
    <row r="119" hidden="1" outlineLevel="1">
      <c r="C119" s="50" t="inlineStr">
        <is>
          <t>Resultado Não Recorrente</t>
        </is>
      </c>
      <c r="D119" s="11" t="n"/>
      <c r="E119" s="11" t="n"/>
      <c r="F119" s="11" t="n"/>
      <c r="G119" s="11" t="n"/>
      <c r="H119" s="12" t="n"/>
      <c r="I119" s="11" t="n"/>
      <c r="J119" s="11" t="n"/>
      <c r="K119" s="11" t="n"/>
      <c r="L119" s="11" t="n"/>
      <c r="M119" s="12" t="n"/>
      <c r="N119" s="11" t="n"/>
      <c r="O119" s="11" t="n"/>
      <c r="P119" s="11" t="n"/>
      <c r="Q119" s="11" t="n"/>
      <c r="R119" s="12" t="n"/>
      <c r="S119" s="11" t="n"/>
      <c r="T119" s="11" t="n"/>
      <c r="U119" s="11" t="n"/>
      <c r="V119" s="11" t="n"/>
      <c r="W119" s="12" t="n"/>
      <c r="X119" s="11" t="n"/>
      <c r="Y119" s="11" t="n"/>
      <c r="Z119" s="11" t="n"/>
      <c r="AA119" s="11" t="n"/>
      <c r="AB119" s="12" t="n"/>
      <c r="AC119" s="11" t="n"/>
      <c r="AD119" s="11" t="n"/>
      <c r="AE119" s="11" t="n"/>
      <c r="AF119" s="11" t="n"/>
      <c r="AG119" s="12" t="n"/>
      <c r="AH119" s="12" t="n"/>
      <c r="AI119" s="12" t="n"/>
      <c r="AJ119" s="12" t="n"/>
      <c r="AK119" s="12" t="n"/>
      <c r="AL119" s="12" t="n"/>
      <c r="AM119" s="12" t="n"/>
      <c r="AN119" s="12" t="n"/>
      <c r="AO119" s="12" t="n"/>
      <c r="AP119" s="12" t="n"/>
      <c r="AQ119" s="12" t="n"/>
      <c r="AR119" s="12" t="n"/>
      <c r="AS119" s="12" t="n"/>
      <c r="AT119" s="12" t="n"/>
      <c r="AU119" s="12" t="n"/>
      <c r="AV119" s="12" t="n"/>
      <c r="AW119" s="12" t="n"/>
      <c r="AX119" s="12" t="n"/>
      <c r="AY119" s="12" t="n"/>
      <c r="AZ119" s="12" t="n"/>
      <c r="BA119" s="12" t="n"/>
      <c r="BB119" s="12" t="n"/>
      <c r="BC119" s="12" t="n"/>
      <c r="BD119" s="12" t="n"/>
      <c r="BE119" s="12" t="n"/>
      <c r="BF119" s="12" t="n"/>
      <c r="BG119" s="12" t="n"/>
      <c r="BH119" s="12" t="n"/>
      <c r="BI119" s="12" t="n"/>
      <c r="BJ119" s="12" t="n"/>
      <c r="BK119" s="12" t="n"/>
      <c r="BL119" s="12" t="n"/>
      <c r="BM119" s="12" t="n"/>
      <c r="BN119" s="12" t="n"/>
      <c r="BO119" s="12" t="n"/>
      <c r="BP119" s="12" t="n"/>
      <c r="BQ119" s="12" t="n"/>
      <c r="BR119" s="12" t="n"/>
      <c r="BS119" s="12" t="n"/>
      <c r="BT119" s="12" t="n"/>
      <c r="BU119" s="12" t="n"/>
      <c r="BV119" s="12" t="n"/>
      <c r="BW119" s="12" t="n"/>
      <c r="BX119" s="12" t="n"/>
      <c r="BY119" s="12" t="n"/>
      <c r="BZ119" s="12" t="n"/>
      <c r="CA119" s="12" t="n"/>
      <c r="CB119" s="12" t="n"/>
      <c r="CC119" s="12" t="n"/>
      <c r="CD119" s="12" t="n"/>
      <c r="CE119" s="12" t="n"/>
      <c r="CF119" s="12" t="n"/>
      <c r="CG119" s="12" t="n"/>
      <c r="CH119" s="12" t="n"/>
      <c r="CI119" s="12" t="n"/>
      <c r="CJ119" s="12" t="n"/>
      <c r="CK119" s="12" t="n"/>
      <c r="CL119" s="12" t="n"/>
      <c r="CM119" s="12" t="n"/>
      <c r="CN119" s="12" t="n"/>
      <c r="CO119" s="12" t="n"/>
      <c r="CP119" s="12" t="n"/>
      <c r="CQ119" s="12" t="n"/>
      <c r="CR119" s="12" t="n"/>
      <c r="CS119" s="12" t="n"/>
      <c r="CT119" s="12" t="n"/>
      <c r="CU119" s="12" t="n"/>
      <c r="CV119" s="12" t="n"/>
      <c r="CW119" s="12" t="n"/>
      <c r="CX119" s="12" t="n"/>
      <c r="CY119" s="12" t="n"/>
    </row>
    <row r="120" hidden="1" outlineLevel="1">
      <c r="C120" s="50" t="inlineStr">
        <is>
          <t>Plano de Opção de Compra de Ações</t>
        </is>
      </c>
      <c r="D120" s="11" t="n"/>
      <c r="E120" s="11" t="n"/>
      <c r="F120" s="11" t="n"/>
      <c r="G120" s="11" t="n"/>
      <c r="H120" s="12" t="n"/>
      <c r="I120" s="11" t="n"/>
      <c r="J120" s="11" t="n"/>
      <c r="K120" s="11" t="n"/>
      <c r="L120" s="11" t="n"/>
      <c r="M120" s="12" t="n"/>
      <c r="N120" s="11" t="n"/>
      <c r="O120" s="11" t="n"/>
      <c r="P120" s="11" t="n"/>
      <c r="Q120" s="11" t="n"/>
      <c r="R120" s="12" t="n"/>
      <c r="S120" s="11" t="n"/>
      <c r="T120" s="11" t="n"/>
      <c r="U120" s="11" t="n"/>
      <c r="V120" s="11" t="n"/>
      <c r="W120" s="12" t="n"/>
      <c r="X120" s="11" t="n"/>
      <c r="Y120" s="11" t="n"/>
      <c r="Z120" s="11" t="n"/>
      <c r="AA120" s="11" t="n"/>
      <c r="AB120" s="12" t="n"/>
      <c r="AC120" s="11" t="n"/>
      <c r="AD120" s="11" t="n"/>
      <c r="AE120" s="11" t="n"/>
      <c r="AF120" s="11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  <c r="BE120" s="12" t="n"/>
      <c r="BF120" s="12" t="n"/>
      <c r="BG120" s="12" t="n"/>
      <c r="BH120" s="12" t="n"/>
      <c r="BI120" s="12" t="n"/>
      <c r="BJ120" s="12" t="n"/>
      <c r="BK120" s="12" t="n"/>
      <c r="BL120" s="12" t="n"/>
      <c r="BM120" s="12" t="n"/>
      <c r="BN120" s="12" t="n"/>
      <c r="BO120" s="12" t="n"/>
      <c r="BP120" s="12" t="n"/>
      <c r="BQ120" s="12" t="n"/>
      <c r="BR120" s="12" t="n"/>
      <c r="BS120" s="12" t="n"/>
      <c r="BT120" s="12" t="n"/>
      <c r="BU120" s="12" t="n"/>
      <c r="BV120" s="12" t="n"/>
      <c r="BW120" s="12" t="n"/>
      <c r="BX120" s="12" t="n"/>
      <c r="BY120" s="12" t="n"/>
      <c r="BZ120" s="12" t="n"/>
      <c r="CA120" s="12" t="n"/>
      <c r="CB120" s="12" t="n"/>
      <c r="CC120" s="12" t="n"/>
      <c r="CD120" s="12" t="n"/>
      <c r="CE120" s="12" t="n"/>
      <c r="CF120" s="12" t="n"/>
      <c r="CG120" s="12" t="n"/>
      <c r="CH120" s="12" t="n"/>
      <c r="CI120" s="12" t="n"/>
      <c r="CJ120" s="12" t="n"/>
      <c r="CK120" s="12" t="n"/>
      <c r="CL120" s="12" t="n"/>
      <c r="CM120" s="12" t="n"/>
      <c r="CN120" s="12" t="n"/>
      <c r="CO120" s="12" t="n"/>
      <c r="CP120" s="12" t="n"/>
      <c r="CQ120" s="12" t="n"/>
      <c r="CR120" s="12" t="n"/>
      <c r="CS120" s="12" t="n"/>
      <c r="CT120" s="12" t="n"/>
      <c r="CU120" s="12" t="n"/>
      <c r="CV120" s="12" t="n"/>
      <c r="CW120" s="12" t="n"/>
      <c r="CX120" s="12" t="n"/>
      <c r="CY120" s="12" t="n"/>
    </row>
    <row r="121" hidden="1" outlineLevel="1">
      <c r="C121" s="50" t="inlineStr">
        <is>
          <t>Baixa Imobilizado</t>
        </is>
      </c>
      <c r="D121" s="11" t="n"/>
      <c r="E121" s="11" t="n"/>
      <c r="F121" s="11" t="n"/>
      <c r="G121" s="11" t="n"/>
      <c r="H121" s="12" t="n"/>
      <c r="I121" s="11" t="n"/>
      <c r="J121" s="11" t="n"/>
      <c r="K121" s="11" t="n"/>
      <c r="L121" s="11" t="n"/>
      <c r="M121" s="12" t="n"/>
      <c r="N121" s="11" t="n"/>
      <c r="O121" s="11" t="n"/>
      <c r="P121" s="11" t="n"/>
      <c r="Q121" s="11" t="n"/>
      <c r="R121" s="12" t="n"/>
      <c r="S121" s="11" t="n"/>
      <c r="T121" s="11" t="n"/>
      <c r="U121" s="11" t="n"/>
      <c r="V121" s="11" t="n"/>
      <c r="W121" s="12" t="n"/>
      <c r="X121" s="11" t="n"/>
      <c r="Y121" s="11" t="n"/>
      <c r="Z121" s="11" t="n"/>
      <c r="AA121" s="11" t="n"/>
      <c r="AB121" s="12" t="n"/>
      <c r="AC121" s="11" t="n"/>
      <c r="AD121" s="11" t="n"/>
      <c r="AE121" s="11" t="n"/>
      <c r="AF121" s="11" t="n"/>
      <c r="AG121" s="12" t="n"/>
      <c r="AH121" s="12" t="n"/>
      <c r="AI121" s="12" t="n"/>
      <c r="AJ121" s="12" t="n"/>
      <c r="AK121" s="12" t="n"/>
      <c r="AL121" s="12" t="n"/>
      <c r="AM121" s="12" t="n"/>
      <c r="AN121" s="12" t="n"/>
      <c r="AO121" s="12" t="n"/>
      <c r="AP121" s="12" t="n"/>
      <c r="AQ121" s="12" t="n"/>
      <c r="AR121" s="12" t="n"/>
      <c r="AS121" s="12" t="n"/>
      <c r="AT121" s="12" t="n"/>
      <c r="AU121" s="12" t="n"/>
      <c r="AV121" s="12" t="n"/>
      <c r="AW121" s="12" t="n"/>
      <c r="AX121" s="12" t="n"/>
      <c r="AY121" s="12" t="n"/>
      <c r="AZ121" s="12" t="n"/>
      <c r="BA121" s="12" t="n"/>
      <c r="BB121" s="12" t="n"/>
      <c r="BC121" s="12" t="n"/>
      <c r="BD121" s="12" t="n"/>
      <c r="BE121" s="12" t="n"/>
      <c r="BF121" s="12" t="n"/>
      <c r="BG121" s="12" t="n"/>
      <c r="BH121" s="12" t="n"/>
      <c r="BI121" s="12" t="n"/>
      <c r="BJ121" s="12" t="n"/>
      <c r="BK121" s="12" t="n"/>
      <c r="BL121" s="12" t="n"/>
      <c r="BM121" s="12" t="n"/>
      <c r="BN121" s="12" t="n"/>
      <c r="BO121" s="12" t="n"/>
      <c r="BP121" s="12" t="n"/>
      <c r="BQ121" s="12" t="n"/>
      <c r="BR121" s="12" t="n"/>
      <c r="BS121" s="12" t="n"/>
      <c r="BT121" s="12" t="n"/>
      <c r="BU121" s="12" t="n"/>
      <c r="BV121" s="12" t="n"/>
      <c r="BW121" s="12" t="n"/>
      <c r="BX121" s="12" t="n"/>
      <c r="BY121" s="12" t="n"/>
      <c r="BZ121" s="12" t="n"/>
      <c r="CA121" s="12" t="n"/>
      <c r="CB121" s="12" t="n"/>
      <c r="CC121" s="12" t="n"/>
      <c r="CD121" s="12" t="n"/>
      <c r="CE121" s="12" t="n"/>
      <c r="CF121" s="12" t="n"/>
      <c r="CG121" s="12" t="n"/>
      <c r="CH121" s="12" t="n"/>
      <c r="CI121" s="12" t="n"/>
      <c r="CJ121" s="12" t="n"/>
      <c r="CK121" s="12" t="n"/>
      <c r="CL121" s="12" t="n"/>
      <c r="CM121" s="12" t="n"/>
      <c r="CN121" s="12" t="n"/>
      <c r="CO121" s="12" t="n"/>
      <c r="CP121" s="12" t="n"/>
      <c r="CQ121" s="12" t="n"/>
      <c r="CR121" s="12" t="n"/>
      <c r="CS121" s="12" t="n"/>
      <c r="CT121" s="12" t="n"/>
      <c r="CU121" s="12" t="n"/>
      <c r="CV121" s="12" t="n"/>
      <c r="CW121" s="12" t="n"/>
      <c r="CX121" s="12" t="n"/>
      <c r="CY121" s="12" t="n"/>
    </row>
    <row r="122" hidden="1" outlineLevel="1">
      <c r="C122" s="57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  <c r="AJ122" s="12" t="n"/>
      <c r="AK122" s="12" t="n"/>
      <c r="AL122" s="12" t="n"/>
      <c r="AM122" s="12" t="n"/>
      <c r="AN122" s="12" t="n"/>
      <c r="AO122" s="12" t="n"/>
      <c r="AP122" s="12" t="n"/>
      <c r="AQ122" s="12" t="n"/>
      <c r="AR122" s="12" t="n"/>
      <c r="AS122" s="12" t="n"/>
      <c r="AT122" s="12" t="n"/>
      <c r="AU122" s="12" t="n"/>
      <c r="AV122" s="12" t="n"/>
      <c r="AW122" s="12" t="n"/>
      <c r="AX122" s="12" t="n"/>
      <c r="AY122" s="12" t="n"/>
      <c r="AZ122" s="12" t="n"/>
      <c r="BA122" s="12" t="n"/>
      <c r="BB122" s="12" t="n"/>
      <c r="BC122" s="12" t="n"/>
      <c r="BD122" s="12" t="n"/>
      <c r="BE122" s="12" t="n"/>
      <c r="BF122" s="12" t="n"/>
      <c r="BG122" s="12" t="n"/>
      <c r="BH122" s="12" t="n"/>
      <c r="BI122" s="12" t="n"/>
      <c r="BJ122" s="12" t="n"/>
      <c r="BK122" s="12" t="n"/>
      <c r="BL122" s="12" t="n"/>
      <c r="BM122" s="12" t="n"/>
      <c r="BN122" s="12" t="n"/>
      <c r="BO122" s="12" t="n"/>
      <c r="BP122" s="12" t="n"/>
      <c r="BQ122" s="12" t="n"/>
      <c r="BR122" s="12" t="n"/>
      <c r="BS122" s="12" t="n"/>
      <c r="BT122" s="12" t="n"/>
      <c r="BU122" s="12" t="n"/>
      <c r="BV122" s="12" t="n"/>
      <c r="BW122" s="12" t="n"/>
      <c r="BX122" s="12" t="n"/>
      <c r="BY122" s="12" t="n"/>
      <c r="BZ122" s="12" t="n"/>
      <c r="CA122" s="12" t="n"/>
      <c r="CB122" s="12" t="n"/>
      <c r="CC122" s="12" t="n"/>
      <c r="CD122" s="12" t="n"/>
      <c r="CE122" s="12" t="n"/>
      <c r="CF122" s="12" t="n"/>
      <c r="CG122" s="12" t="n"/>
      <c r="CH122" s="12" t="n"/>
      <c r="CI122" s="12" t="n"/>
      <c r="CJ122" s="12" t="n"/>
      <c r="CK122" s="12" t="n"/>
      <c r="CL122" s="12" t="n"/>
      <c r="CM122" s="12" t="n"/>
      <c r="CN122" s="12" t="n"/>
      <c r="CO122" s="12" t="n"/>
      <c r="CP122" s="12" t="n"/>
      <c r="CQ122" s="12" t="n"/>
      <c r="CR122" s="12" t="n"/>
      <c r="CS122" s="12" t="n"/>
      <c r="CT122" s="12" t="n"/>
      <c r="CU122" s="12" t="n"/>
      <c r="CV122" s="12" t="n"/>
      <c r="CW122" s="12" t="n"/>
      <c r="CX122" s="12" t="n"/>
      <c r="CY122" s="12" t="n"/>
    </row>
    <row r="123" hidden="1" outlineLevel="1">
      <c r="C123" s="57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  <c r="AJ123" s="12" t="n"/>
      <c r="AK123" s="12" t="n"/>
      <c r="AL123" s="12" t="n"/>
      <c r="AM123" s="12" t="n"/>
      <c r="AN123" s="12" t="n"/>
      <c r="AO123" s="12" t="n"/>
      <c r="AP123" s="12" t="n"/>
      <c r="AQ123" s="12" t="n"/>
      <c r="AR123" s="12" t="n"/>
      <c r="AS123" s="12" t="n"/>
      <c r="AT123" s="12" t="n"/>
      <c r="AU123" s="12" t="n"/>
      <c r="AV123" s="12" t="n"/>
      <c r="AW123" s="12" t="n"/>
      <c r="AX123" s="12" t="n"/>
      <c r="AY123" s="12" t="n"/>
      <c r="AZ123" s="12" t="n"/>
      <c r="BA123" s="12" t="n"/>
      <c r="BB123" s="12" t="n"/>
      <c r="BC123" s="12" t="n"/>
      <c r="BD123" s="12" t="n"/>
      <c r="BE123" s="12" t="n"/>
      <c r="BF123" s="12" t="n"/>
      <c r="BG123" s="12" t="n"/>
      <c r="BH123" s="12" t="n"/>
      <c r="BI123" s="12" t="n"/>
      <c r="BJ123" s="12" t="n"/>
      <c r="BK123" s="12" t="n"/>
      <c r="BL123" s="12" t="n"/>
      <c r="BM123" s="12" t="n"/>
      <c r="BN123" s="12" t="n"/>
      <c r="BO123" s="12" t="n"/>
      <c r="BP123" s="12" t="n"/>
      <c r="BQ123" s="12" t="n"/>
      <c r="BR123" s="12" t="n"/>
      <c r="BS123" s="12" t="n"/>
      <c r="BT123" s="12" t="n"/>
      <c r="BU123" s="12" t="n"/>
      <c r="BV123" s="12" t="n"/>
      <c r="BW123" s="12" t="n"/>
      <c r="BX123" s="12" t="n"/>
      <c r="BY123" s="12" t="n"/>
      <c r="BZ123" s="12" t="n"/>
      <c r="CA123" s="12" t="n"/>
      <c r="CB123" s="12" t="n"/>
      <c r="CC123" s="12" t="n"/>
      <c r="CD123" s="12" t="n"/>
      <c r="CE123" s="12" t="n"/>
      <c r="CF123" s="12" t="n"/>
      <c r="CG123" s="12" t="n"/>
      <c r="CH123" s="12" t="n"/>
      <c r="CI123" s="12" t="n"/>
      <c r="CJ123" s="12" t="n"/>
      <c r="CK123" s="12" t="n"/>
      <c r="CL123" s="12" t="n"/>
      <c r="CM123" s="12" t="n"/>
      <c r="CN123" s="12" t="n"/>
      <c r="CO123" s="12" t="n"/>
      <c r="CP123" s="12" t="n"/>
      <c r="CQ123" s="12" t="n"/>
      <c r="CR123" s="12" t="n"/>
      <c r="CS123" s="12" t="n"/>
      <c r="CT123" s="12" t="n"/>
      <c r="CU123" s="12" t="n"/>
      <c r="CV123" s="12" t="n"/>
      <c r="CW123" s="12" t="n"/>
      <c r="CX123" s="12" t="n"/>
      <c r="CY123" s="12" t="n"/>
    </row>
    <row r="124" collapsed="1" customFormat="1" s="32">
      <c r="A124" s="30" t="n"/>
      <c r="B124" s="3" t="n"/>
      <c r="C124" s="33" t="inlineStr">
        <is>
          <t>Pretax Income - EBT</t>
        </is>
      </c>
      <c r="D124" s="35" t="n"/>
      <c r="E124" s="35" t="n"/>
      <c r="F124" s="35" t="n"/>
      <c r="G124" s="35" t="n"/>
      <c r="H124" s="35" t="n"/>
      <c r="I124" s="35">
        <f>SUM(I67,I68,I117)</f>
        <v>533</v>
      </c>
      <c r="J124" s="35">
        <f>SUM(J67,J68,J117)</f>
        <v>1293</v>
      </c>
      <c r="K124" s="35">
        <f>SUM(K67,K68,K117)</f>
        <v>1882</v>
      </c>
      <c r="L124" s="35">
        <f>SUM(L67,L68,L117)</f>
        <v>2635</v>
      </c>
      <c r="M124" s="35">
        <f>SUM(I124:L124)</f>
        <v>6343</v>
      </c>
      <c r="N124" s="35">
        <f>SUM(N67,N68,N117)</f>
        <v>3626</v>
      </c>
      <c r="O124" s="35">
        <f>SUM(O67,O68,O117)</f>
        <v>2474</v>
      </c>
      <c r="P124" s="35">
        <f>SUM(P67,P68,P117)</f>
        <v>3636</v>
      </c>
      <c r="Q124" s="35">
        <f>SUM(Q67,Q68,Q117)</f>
        <v>3983</v>
      </c>
      <c r="R124" s="35">
        <f>SUM(N124:Q124)</f>
        <v>13719</v>
      </c>
      <c r="S124" s="35">
        <f>SUM(S67,S68,S117)</f>
        <v>2800</v>
      </c>
      <c r="T124" s="35">
        <f>SUM(T67,T68,T117)</f>
        <v>2937</v>
      </c>
      <c r="U124" s="35">
        <f>SUM(U67,U68,U117)</f>
        <v>2045</v>
      </c>
      <c r="V124" s="35">
        <f>SUM(V67,V68,V117)</f>
        <v>2191</v>
      </c>
      <c r="W124" s="35">
        <f>SUM(S124:V124)</f>
        <v>9973</v>
      </c>
      <c r="X124" s="35">
        <f>SUM(X67,X68,X117)</f>
        <v>1888</v>
      </c>
      <c r="Y124" s="35">
        <f>SUM(Y67,Y68,Y117)</f>
        <v>1787</v>
      </c>
      <c r="Z124" s="35">
        <f>SUM(Z67,Z68,Z117)</f>
        <v>2791</v>
      </c>
      <c r="AA124" s="35">
        <f>SUM(AA67,AA68,AA117)</f>
        <v>2524</v>
      </c>
      <c r="AB124" s="35">
        <f>SUM(X124:AA124)</f>
        <v>8990</v>
      </c>
      <c r="AC124" s="35">
        <f>SUM(AC67,AC68,AC117)</f>
        <v>589</v>
      </c>
      <c r="AD124" s="35">
        <f>SUM(AD67,AD68,AD117)</f>
        <v>1549</v>
      </c>
      <c r="AE124" s="35">
        <f>SUM(AE67,AE68,AE117)</f>
        <v>1959</v>
      </c>
      <c r="AF124" s="35">
        <f>SUM(AF67,AF68,AF117)</f>
        <v>1181</v>
      </c>
      <c r="AG124" s="35">
        <f>SUM(AC124:AF124)</f>
        <v>5278</v>
      </c>
      <c r="AH124" s="35">
        <f>SUM(AH67,AH68,AH117)</f>
        <v>748</v>
      </c>
      <c r="AI124" s="35">
        <f>SUM(AI67,AI68,AI117)</f>
        <v>1329</v>
      </c>
      <c r="AJ124" s="35">
        <f>SUM(AJ67,AJ68,AJ117:AJ122)</f>
        <v>1578.86571421462</v>
      </c>
      <c r="AK124" s="35">
        <f>SUM(AK67,AK68,AK117:AK122)</f>
        <v>1399.37124576111</v>
      </c>
      <c r="AL124" s="35">
        <f>SUM(AH124:AK124)</f>
        <v>5055.23695997573</v>
      </c>
      <c r="AM124" s="35">
        <f>SUM(AM67,AM68,AM117:AM122)</f>
        <v>1258.09100352813</v>
      </c>
      <c r="AN124" s="35">
        <f>SUM(AN67,AN68,AN117:AN122)</f>
        <v>1586.78954641624</v>
      </c>
      <c r="AO124" s="35">
        <f>SUM(AO67,AO68,AO117:AO122)</f>
        <v>1654.44849291951</v>
      </c>
      <c r="AP124" s="35">
        <f>SUM(AP67,AP68,AP117:AP122)</f>
        <v>1466.36134266555</v>
      </c>
      <c r="AQ124" s="35">
        <f>SUM(AM124:AP124)</f>
        <v>5965.69038552943</v>
      </c>
      <c r="AR124" s="35">
        <f>SUM(AR67,AR68,AR117:AR122)</f>
        <v>1312.02733857514</v>
      </c>
      <c r="AS124" s="35">
        <f>SUM(AS67,AS68,AS117:AS122)</f>
        <v>1654.81770366765</v>
      </c>
      <c r="AT124" s="35">
        <f>SUM(AT67,AT68,AT117:AT122)</f>
        <v>1725.37729535263</v>
      </c>
      <c r="AU124" s="35">
        <f>SUM(AU67,AU68,AU117:AU122)</f>
        <v>1529.22655389129</v>
      </c>
      <c r="AV124" s="35">
        <f>SUM(AR124:AU124)</f>
        <v>6221.44889148671</v>
      </c>
      <c r="AW124" s="35">
        <f>SUM(AW67,AW68,AW117:AW122)</f>
        <v>1361.71587222946</v>
      </c>
      <c r="AX124" s="35">
        <f>SUM(AX67,AX68,AX117:AX122)</f>
        <v>1717.48824622643</v>
      </c>
      <c r="AY124" s="35">
        <f>SUM(AY67,AY68,AY117:AY122)</f>
        <v>1790.72004034424</v>
      </c>
      <c r="AZ124" s="35">
        <f>SUM(AZ67,AZ68,AZ117:AZ122)</f>
        <v>1587.14076257739</v>
      </c>
      <c r="BA124" s="35">
        <f>SUM(AW124:AZ124)</f>
        <v>6457.06492137751</v>
      </c>
      <c r="BB124" s="35">
        <f>SUM(BB67,BB68,BB117:BB122)</f>
        <v>1406.47760924478</v>
      </c>
      <c r="BC124" s="35">
        <f>SUM(BC67,BC68,BC117:BC122)</f>
        <v>1773.94477931995</v>
      </c>
      <c r="BD124" s="35">
        <f>SUM(BD67,BD68,BD117:BD122)</f>
        <v>1849.58381739834</v>
      </c>
      <c r="BE124" s="35">
        <f>SUM(BE67,BE68,BE117:BE122)</f>
        <v>1639.31256939086</v>
      </c>
      <c r="BF124" s="35">
        <f>SUM(BB124:BE124)</f>
        <v>6669.31877535392</v>
      </c>
      <c r="BG124" s="35" t="n"/>
      <c r="BH124" s="35" t="n"/>
      <c r="BI124" s="35" t="n"/>
      <c r="BJ124" s="35" t="n"/>
      <c r="BK124" s="35" t="n"/>
      <c r="BL124" s="35" t="n"/>
      <c r="BM124" s="35" t="n"/>
      <c r="BN124" s="35" t="n"/>
      <c r="BO124" s="35" t="n"/>
      <c r="BP124" s="35" t="n"/>
      <c r="BQ124" s="35" t="n"/>
      <c r="BR124" s="35" t="n"/>
      <c r="BS124" s="35" t="n"/>
      <c r="BT124" s="35" t="n"/>
      <c r="BU124" s="35" t="n"/>
      <c r="BV124" s="35" t="n"/>
      <c r="BW124" s="35" t="n"/>
      <c r="BX124" s="35" t="n"/>
      <c r="BY124" s="35" t="n"/>
      <c r="BZ124" s="35" t="n"/>
      <c r="CA124" s="35" t="n"/>
      <c r="CB124" s="35" t="n"/>
      <c r="CC124" s="35" t="n"/>
      <c r="CD124" s="35" t="n"/>
      <c r="CE124" s="35" t="n"/>
      <c r="CF124" s="35" t="n"/>
      <c r="CG124" s="35" t="n"/>
      <c r="CH124" s="35" t="n"/>
      <c r="CI124" s="35" t="n"/>
      <c r="CJ124" s="35" t="n"/>
      <c r="CK124" s="35" t="n"/>
      <c r="CL124" s="35" t="n"/>
      <c r="CM124" s="35" t="n"/>
      <c r="CN124" s="35" t="n"/>
      <c r="CO124" s="35" t="n"/>
      <c r="CP124" s="35" t="n"/>
      <c r="CQ124" s="35" t="n"/>
      <c r="CR124" s="35" t="n"/>
      <c r="CS124" s="35" t="n"/>
      <c r="CT124" s="35" t="n"/>
      <c r="CU124" s="35" t="n"/>
      <c r="CV124" s="35" t="n"/>
      <c r="CW124" s="35" t="n"/>
      <c r="CX124" s="35" t="n"/>
      <c r="CY124" s="35" t="n"/>
    </row>
    <row r="125">
      <c r="C125" s="14" t="inlineStr">
        <is>
          <t>Taxes</t>
        </is>
      </c>
      <c r="D125" s="46" t="n"/>
      <c r="E125" s="46" t="n"/>
      <c r="F125" s="46" t="n"/>
      <c r="G125" s="46" t="n"/>
      <c r="H125" s="12" t="n"/>
      <c r="I125" s="46">
        <f>'Inputs (2)'!D10</f>
        <v>-69</v>
      </c>
      <c r="J125" s="46">
        <f>'Inputs (2)'!E10</f>
        <v>-115</v>
      </c>
      <c r="K125" s="46">
        <f>'Inputs (2)'!F10</f>
        <v>-223</v>
      </c>
      <c r="L125" s="46">
        <f>'Inputs (2)'!G10</f>
        <v>-292</v>
      </c>
      <c r="M125" s="12">
        <f>'Inputs (2)'!H10</f>
        <v>-699</v>
      </c>
      <c r="N125" s="46">
        <f>'Inputs (2)'!I10</f>
        <v>-346</v>
      </c>
      <c r="O125" s="46">
        <f>'Inputs (2)'!J10</f>
        <v>-205</v>
      </c>
      <c r="P125" s="46">
        <f>'Inputs (2)'!K10</f>
        <v>-305</v>
      </c>
      <c r="Q125" s="46">
        <f>'Inputs (2)'!L10</f>
        <v>-276</v>
      </c>
      <c r="R125" s="12">
        <f>'Inputs (2)'!M10</f>
        <v>-1132</v>
      </c>
      <c r="S125" s="46">
        <f>'Inputs (2)'!N10</f>
        <v>-261</v>
      </c>
      <c r="T125" s="46">
        <f>'Inputs (2)'!O10</f>
        <v>-323</v>
      </c>
      <c r="U125" s="46">
        <f>'Inputs (2)'!P10</f>
        <v>-167</v>
      </c>
      <c r="V125" s="46">
        <f>'Inputs (2)'!Q10</f>
        <v>5752</v>
      </c>
      <c r="W125" s="12">
        <f>'Inputs (2)'!R10</f>
        <v>5001</v>
      </c>
      <c r="X125" s="46">
        <f>'Inputs (2)'!S10</f>
        <v>-483</v>
      </c>
      <c r="Y125" s="46">
        <f>'Inputs (2)'!T10</f>
        <v>-371</v>
      </c>
      <c r="Z125" s="46">
        <f>'Inputs (2)'!U10</f>
        <v>-602</v>
      </c>
      <c r="AA125" s="46">
        <f>'Inputs (2)'!V10</f>
        <v>-381</v>
      </c>
      <c r="AB125" s="12">
        <f>'Inputs (2)'!W10</f>
        <v>-1837</v>
      </c>
      <c r="AC125" s="46">
        <f>'Inputs (2)'!X10</f>
        <v>-169</v>
      </c>
      <c r="AD125" s="46">
        <f>'Inputs (2)'!Y10</f>
        <v>-359</v>
      </c>
      <c r="AE125" s="46">
        <f>'Inputs (2)'!Z10</f>
        <v>-570</v>
      </c>
      <c r="AF125" s="46">
        <f>'Inputs (2)'!AA10</f>
        <v>-325</v>
      </c>
      <c r="AG125" s="12">
        <f>'Inputs (2)'!AB10</f>
        <v>-1423</v>
      </c>
      <c r="AH125" s="12">
        <f>'Inputs (2)'!AC10</f>
        <v>-257</v>
      </c>
      <c r="AI125" s="12">
        <f>'Inputs (2)'!AD10</f>
        <v>-201</v>
      </c>
      <c r="AJ125" s="12">
        <f>-AJ124*AJ126</f>
        <v>-415.680907340894</v>
      </c>
      <c r="AK125" s="12">
        <f>-AK124*AK126</f>
        <v>-368.42392858856</v>
      </c>
      <c r="AL125" s="12">
        <f>SUM(AH125:AK125)</f>
        <v>-1242.10483592945</v>
      </c>
      <c r="AM125" s="12">
        <f>-AM124*AM126</f>
        <v>-331.227922144175</v>
      </c>
      <c r="AN125" s="12">
        <f>-AN124*AN126</f>
        <v>-417.767079540043</v>
      </c>
      <c r="AO125" s="12">
        <f>-AO124*AO126</f>
        <v>-435.580204506279</v>
      </c>
      <c r="AP125" s="12">
        <f>-AP124*AP126</f>
        <v>-386.060960043098</v>
      </c>
      <c r="AQ125" s="12">
        <f>SUM(AM125:AP125)</f>
        <v>-1570.63616623359</v>
      </c>
      <c r="AR125" s="12">
        <f>-AR124*AR126</f>
        <v>-345.428182805441</v>
      </c>
      <c r="AS125" s="12">
        <f>-AS124*AS126</f>
        <v>-435.677409643742</v>
      </c>
      <c r="AT125" s="12">
        <f>-AT124*AT126</f>
        <v>-454.254211222973</v>
      </c>
      <c r="AU125" s="12">
        <f>-AU124*AU126</f>
        <v>-402.611999062582</v>
      </c>
      <c r="AV125" s="12">
        <f>SUM(AR125:AU125)</f>
        <v>-1637.97180273474</v>
      </c>
      <c r="AW125" s="12">
        <f>-AW124*AW126</f>
        <v>-358.510090004965</v>
      </c>
      <c r="AX125" s="12">
        <f>-AX124*AX126</f>
        <v>-452.177196648957</v>
      </c>
      <c r="AY125" s="12">
        <f>-AY124*AY126</f>
        <v>-471.457530847762</v>
      </c>
      <c r="AZ125" s="12">
        <f>-AZ124*AZ126</f>
        <v>-417.859547095217</v>
      </c>
      <c r="BA125" s="12">
        <f>SUM(AW125:AZ125)</f>
        <v>-1700.0043645969</v>
      </c>
      <c r="BB125" s="12">
        <f>-BB124*BB126</f>
        <v>-370.294879103346</v>
      </c>
      <c r="BC125" s="12">
        <f>-BC124*BC126</f>
        <v>-467.040970490109</v>
      </c>
      <c r="BD125" s="12">
        <f>-BD124*BD126</f>
        <v>-486.955079521516</v>
      </c>
      <c r="BE125" s="12">
        <f>-BE124*BE126</f>
        <v>-431.595245957119</v>
      </c>
      <c r="BF125" s="12">
        <f>SUM(BB125:BE125)</f>
        <v>-1755.88617507209</v>
      </c>
      <c r="BG125" s="12" t="n"/>
      <c r="BH125" s="12" t="n"/>
      <c r="BI125" s="12" t="n"/>
      <c r="BJ125" s="12" t="n"/>
      <c r="BK125" s="12" t="n"/>
      <c r="BL125" s="12" t="n"/>
      <c r="BM125" s="12" t="n"/>
      <c r="BN125" s="12" t="n"/>
      <c r="BO125" s="12" t="n"/>
      <c r="BP125" s="12" t="n"/>
      <c r="BQ125" s="12" t="n"/>
      <c r="BR125" s="12" t="n"/>
      <c r="BS125" s="12" t="n"/>
      <c r="BT125" s="12" t="n"/>
      <c r="BU125" s="12" t="n"/>
      <c r="BV125" s="12" t="n"/>
      <c r="BW125" s="12" t="n"/>
      <c r="BX125" s="12" t="n"/>
      <c r="BY125" s="12" t="n"/>
      <c r="BZ125" s="12" t="n"/>
      <c r="CA125" s="12" t="n"/>
      <c r="CB125" s="12" t="n"/>
      <c r="CC125" s="12" t="n"/>
      <c r="CD125" s="12" t="n"/>
      <c r="CE125" s="12" t="n"/>
      <c r="CF125" s="12" t="n"/>
      <c r="CG125" s="12" t="n"/>
      <c r="CH125" s="12" t="n"/>
      <c r="CI125" s="12" t="n"/>
      <c r="CJ125" s="12" t="n"/>
      <c r="CK125" s="12" t="n"/>
      <c r="CL125" s="12" t="n"/>
      <c r="CM125" s="12" t="n"/>
      <c r="CN125" s="12" t="n"/>
      <c r="CO125" s="12" t="n"/>
      <c r="CP125" s="12" t="n"/>
      <c r="CQ125" s="12" t="n"/>
      <c r="CR125" s="12" t="n"/>
      <c r="CS125" s="12" t="n"/>
      <c r="CT125" s="12" t="n"/>
      <c r="CU125" s="12" t="n"/>
      <c r="CV125" s="12" t="n"/>
      <c r="CW125" s="12" t="n"/>
      <c r="CX125" s="12" t="n"/>
      <c r="CY125" s="12" t="n"/>
    </row>
    <row r="126" hidden="1" outlineLevel="1">
      <c r="C126" s="57" t="inlineStr">
        <is>
          <t>% ETR</t>
        </is>
      </c>
      <c r="D126" s="53" t="n"/>
      <c r="E126" s="53" t="n"/>
      <c r="F126" s="53" t="n"/>
      <c r="G126" s="53" t="n"/>
      <c r="H126" s="53" t="n"/>
      <c r="I126" s="53">
        <f>IFERROR(-I125/I124,"")</f>
        <v>0.129455909943715</v>
      </c>
      <c r="J126" s="53">
        <f>IFERROR(-J125/J124,"")</f>
        <v>0.0889404485692189</v>
      </c>
      <c r="K126" s="53">
        <f>IFERROR(-K125/K124,"")</f>
        <v>0.118490967056323</v>
      </c>
      <c r="L126" s="53">
        <f>IFERROR(-L125/L124,"")</f>
        <v>0.110815939278937</v>
      </c>
      <c r="M126" s="53">
        <f>IFERROR(-M125/M124,"")</f>
        <v>0.11020022071575</v>
      </c>
      <c r="N126" s="53">
        <f>IFERROR(-N125/N124,"")</f>
        <v>0.0954219525648097</v>
      </c>
      <c r="O126" s="53">
        <f>IFERROR(-O125/O124,"")</f>
        <v>0.0828617623282134</v>
      </c>
      <c r="P126" s="53">
        <f>IFERROR(-P125/P124,"")</f>
        <v>0.0838833883388339</v>
      </c>
      <c r="Q126" s="53">
        <f>IFERROR(-Q125/Q124,"")</f>
        <v>0.0692945016319357</v>
      </c>
      <c r="R126" s="53">
        <f>IFERROR(-R125/R124,"")</f>
        <v>0.0825133027188571</v>
      </c>
      <c r="S126" s="53">
        <f>IFERROR(-S125/S124,"")</f>
        <v>0.0932142857142857</v>
      </c>
      <c r="T126" s="53">
        <f>IFERROR(-T125/T124,"")</f>
        <v>0.109976166155941</v>
      </c>
      <c r="U126" s="53">
        <f>IFERROR(-U125/U124,"")</f>
        <v>0.0816625916870416</v>
      </c>
      <c r="V126" s="53">
        <f>IFERROR(-V125/V124,"")</f>
        <v>-2.62528525787312</v>
      </c>
      <c r="W126" s="53">
        <f>IFERROR(-W125/W124,"")</f>
        <v>-0.501453925599118</v>
      </c>
      <c r="X126" s="53">
        <f>IFERROR(-X125/X124,"")</f>
        <v>0.255826271186441</v>
      </c>
      <c r="Y126" s="53">
        <f>IFERROR(-Y125/Y124,"")</f>
        <v>0.207610520425294</v>
      </c>
      <c r="Z126" s="53">
        <f>IFERROR(-Z125/Z124,"")</f>
        <v>0.215693299892512</v>
      </c>
      <c r="AA126" s="53">
        <f>IFERROR(-AA125/AA124,"")</f>
        <v>0.15095087163233</v>
      </c>
      <c r="AB126" s="53">
        <f>IFERROR(-AB125/AB124,"")</f>
        <v>0.204338153503893</v>
      </c>
      <c r="AC126" s="53">
        <f>IFERROR(-AC125/AC124,"")</f>
        <v>0.286926994906621</v>
      </c>
      <c r="AD126" s="53">
        <f>IFERROR(-AD125/AD124,"")</f>
        <v>0.231762427372498</v>
      </c>
      <c r="AE126" s="53">
        <f>IFERROR(-AE125/AE124,"")</f>
        <v>0.290964777947933</v>
      </c>
      <c r="AF126" s="41">
        <f>IFERROR(-AF125/AF124,"")</f>
        <v>0.275190516511431</v>
      </c>
      <c r="AG126" s="53">
        <f>IFERROR(-AG125/AG124,"")</f>
        <v>0.269609700644183</v>
      </c>
      <c r="AH126" s="41">
        <f>IFERROR(-AH125/AH124,"")</f>
        <v>0.343582887700535</v>
      </c>
      <c r="AI126" s="41">
        <f>IFERROR(-AI125/AI124,"")</f>
        <v>0.151241534988713</v>
      </c>
      <c r="AJ126" s="41">
        <f>Control!$B$22</f>
        <v>0.263278189904622</v>
      </c>
      <c r="AK126" s="41">
        <f>Control!$B$22</f>
        <v>0.263278189904622</v>
      </c>
      <c r="AL126" s="53">
        <f>IFERROR(-AL125/AL124,"")</f>
        <v>0.245706550605576</v>
      </c>
      <c r="AM126" s="41">
        <f>Control!$C$22</f>
        <v>0.263278189904622</v>
      </c>
      <c r="AN126" s="41">
        <f>Control!$C$22</f>
        <v>0.263278189904622</v>
      </c>
      <c r="AO126" s="41">
        <f>Control!$C$22</f>
        <v>0.263278189904622</v>
      </c>
      <c r="AP126" s="41">
        <f>Control!$C$22</f>
        <v>0.263278189904622</v>
      </c>
      <c r="AQ126" s="53">
        <f>IFERROR(-AQ125/AQ124,"")</f>
        <v>0.263278189904622</v>
      </c>
      <c r="AR126" s="41">
        <f>Control!$D$22</f>
        <v>0.263278189904622</v>
      </c>
      <c r="AS126" s="41">
        <f>Control!$D$22</f>
        <v>0.263278189904622</v>
      </c>
      <c r="AT126" s="41">
        <f>Control!$D$22</f>
        <v>0.263278189904622</v>
      </c>
      <c r="AU126" s="41">
        <f>Control!$D$22</f>
        <v>0.263278189904622</v>
      </c>
      <c r="AV126" s="53">
        <f>IFERROR(-AV125/AV124,"")</f>
        <v>0.263278189904622</v>
      </c>
      <c r="AW126" s="41">
        <f>Control!$E$22</f>
        <v>0.263278189904622</v>
      </c>
      <c r="AX126" s="41">
        <f>Control!$E$22</f>
        <v>0.263278189904622</v>
      </c>
      <c r="AY126" s="41">
        <f>Control!$E$22</f>
        <v>0.263278189904622</v>
      </c>
      <c r="AZ126" s="41">
        <f>Control!$E$22</f>
        <v>0.263278189904622</v>
      </c>
      <c r="BA126" s="53">
        <f>IFERROR(-BA125/BA124,"")</f>
        <v>0.263278189904622</v>
      </c>
      <c r="BB126" s="41">
        <f>Control!$F$22</f>
        <v>0.263278189904622</v>
      </c>
      <c r="BC126" s="41">
        <f>Control!$F$22</f>
        <v>0.263278189904622</v>
      </c>
      <c r="BD126" s="41">
        <f>Control!$F$22</f>
        <v>0.263278189904622</v>
      </c>
      <c r="BE126" s="41">
        <f>Control!$F$22</f>
        <v>0.263278189904622</v>
      </c>
      <c r="BF126" s="53">
        <f>IFERROR(-BF125/BF124,"")</f>
        <v>0.263278189904622</v>
      </c>
      <c r="BG126" s="41" t="n"/>
      <c r="BH126" s="41" t="n"/>
      <c r="BI126" s="41" t="n"/>
      <c r="BJ126" s="41" t="n"/>
      <c r="BK126" s="53" t="n"/>
      <c r="BL126" s="41" t="n"/>
      <c r="BM126" s="41" t="n"/>
      <c r="BN126" s="41" t="n"/>
      <c r="BO126" s="41" t="n"/>
      <c r="BP126" s="53" t="n"/>
      <c r="BQ126" s="41" t="n"/>
      <c r="BR126" s="41" t="n"/>
      <c r="BS126" s="41" t="n"/>
      <c r="BT126" s="41" t="n"/>
      <c r="BU126" s="53" t="n"/>
      <c r="BV126" s="41" t="n"/>
      <c r="BW126" s="41" t="n"/>
      <c r="BX126" s="41" t="n"/>
      <c r="BY126" s="41" t="n"/>
      <c r="BZ126" s="53" t="n"/>
      <c r="CA126" s="41" t="n"/>
      <c r="CB126" s="41" t="n"/>
      <c r="CC126" s="41" t="n"/>
      <c r="CD126" s="41" t="n"/>
      <c r="CE126" s="53" t="n"/>
      <c r="CF126" s="41" t="n"/>
      <c r="CG126" s="41" t="n"/>
      <c r="CH126" s="41" t="n"/>
      <c r="CI126" s="41" t="n"/>
      <c r="CJ126" s="53" t="n"/>
      <c r="CK126" s="41" t="n"/>
      <c r="CL126" s="41" t="n"/>
      <c r="CM126" s="41" t="n"/>
      <c r="CN126" s="41" t="n"/>
      <c r="CO126" s="53" t="n"/>
      <c r="CP126" s="41" t="n"/>
      <c r="CQ126" s="41" t="n"/>
      <c r="CR126" s="41" t="n"/>
      <c r="CS126" s="41" t="n"/>
      <c r="CT126" s="53" t="n"/>
      <c r="CU126" s="41" t="n"/>
      <c r="CV126" s="41" t="n"/>
      <c r="CW126" s="41" t="n"/>
      <c r="CX126" s="41" t="n"/>
      <c r="CY126" s="53" t="n"/>
    </row>
    <row r="127" hidden="1" outlineLevel="1">
      <c r="C127" s="57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  <c r="AJ127" s="12" t="n"/>
      <c r="AK127" s="12" t="n"/>
      <c r="AL127" s="12" t="n"/>
      <c r="AM127" s="12" t="n"/>
      <c r="AN127" s="12" t="n"/>
      <c r="AO127" s="12" t="n"/>
      <c r="AP127" s="12" t="n"/>
      <c r="AQ127" s="12" t="n"/>
      <c r="AR127" s="12" t="n"/>
      <c r="AS127" s="12" t="n"/>
      <c r="AT127" s="12" t="n"/>
      <c r="AU127" s="12" t="n"/>
      <c r="AV127" s="12" t="n"/>
      <c r="AW127" s="12" t="n"/>
      <c r="AX127" s="12" t="n"/>
      <c r="AY127" s="12" t="n"/>
      <c r="AZ127" s="12" t="n"/>
      <c r="BA127" s="12" t="n"/>
      <c r="BB127" s="12" t="n"/>
      <c r="BC127" s="12" t="n"/>
      <c r="BD127" s="12" t="n"/>
      <c r="BE127" s="12" t="n"/>
      <c r="BF127" s="12" t="n"/>
      <c r="BG127" s="12" t="n"/>
      <c r="BH127" s="12" t="n"/>
      <c r="BI127" s="12" t="n"/>
      <c r="BJ127" s="12" t="n"/>
      <c r="BK127" s="12" t="n"/>
      <c r="BL127" s="12" t="n"/>
      <c r="BM127" s="12" t="n"/>
      <c r="BN127" s="12" t="n"/>
      <c r="BO127" s="12" t="n"/>
      <c r="BP127" s="12" t="n"/>
      <c r="BQ127" s="12" t="n"/>
      <c r="BR127" s="12" t="n"/>
      <c r="BS127" s="12" t="n"/>
      <c r="BT127" s="12" t="n"/>
      <c r="BU127" s="12" t="n"/>
      <c r="BV127" s="12" t="n"/>
      <c r="BW127" s="12" t="n"/>
      <c r="BX127" s="12" t="n"/>
      <c r="BY127" s="12" t="n"/>
      <c r="BZ127" s="12" t="n"/>
      <c r="CA127" s="12" t="n"/>
      <c r="CB127" s="12" t="n"/>
      <c r="CC127" s="12" t="n"/>
      <c r="CD127" s="12" t="n"/>
      <c r="CE127" s="12" t="n"/>
      <c r="CF127" s="12" t="n"/>
      <c r="CG127" s="12" t="n"/>
      <c r="CH127" s="12" t="n"/>
      <c r="CI127" s="12" t="n"/>
      <c r="CJ127" s="12" t="n"/>
      <c r="CK127" s="12" t="n"/>
      <c r="CL127" s="12" t="n"/>
      <c r="CM127" s="12" t="n"/>
      <c r="CN127" s="12" t="n"/>
      <c r="CO127" s="12" t="n"/>
      <c r="CP127" s="12" t="n"/>
      <c r="CQ127" s="12" t="n"/>
      <c r="CR127" s="12" t="n"/>
      <c r="CS127" s="12" t="n"/>
      <c r="CT127" s="12" t="n"/>
      <c r="CU127" s="12" t="n"/>
      <c r="CV127" s="12" t="n"/>
      <c r="CW127" s="12" t="n"/>
      <c r="CX127" s="12" t="n"/>
      <c r="CY127" s="12" t="n"/>
    </row>
    <row r="128" hidden="1" outlineLevel="1">
      <c r="C128" s="57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  <c r="AJ128" s="12" t="n"/>
      <c r="AK128" s="12" t="n"/>
      <c r="AL128" s="12" t="n"/>
      <c r="AM128" s="12" t="n"/>
      <c r="AN128" s="12" t="n"/>
      <c r="AO128" s="12" t="n"/>
      <c r="AP128" s="12" t="n"/>
      <c r="AQ128" s="12" t="n"/>
      <c r="AR128" s="12" t="n"/>
      <c r="AS128" s="12" t="n"/>
      <c r="AT128" s="12" t="n"/>
      <c r="AU128" s="12" t="n"/>
      <c r="AV128" s="12" t="n"/>
      <c r="AW128" s="12" t="n"/>
      <c r="AX128" s="12" t="n"/>
      <c r="AY128" s="12" t="n"/>
      <c r="AZ128" s="12" t="n"/>
      <c r="BA128" s="12" t="n"/>
      <c r="BB128" s="12" t="n"/>
      <c r="BC128" s="12" t="n"/>
      <c r="BD128" s="12" t="n"/>
      <c r="BE128" s="12" t="n"/>
      <c r="BF128" s="12" t="n"/>
      <c r="BG128" s="12" t="n"/>
      <c r="BH128" s="12" t="n"/>
      <c r="BI128" s="12" t="n"/>
      <c r="BJ128" s="12" t="n"/>
      <c r="BK128" s="12" t="n"/>
      <c r="BL128" s="12" t="n"/>
      <c r="BM128" s="12" t="n"/>
      <c r="BN128" s="12" t="n"/>
      <c r="BO128" s="12" t="n"/>
      <c r="BP128" s="12" t="n"/>
      <c r="BQ128" s="12" t="n"/>
      <c r="BR128" s="12" t="n"/>
      <c r="BS128" s="12" t="n"/>
      <c r="BT128" s="12" t="n"/>
      <c r="BU128" s="12" t="n"/>
      <c r="BV128" s="12" t="n"/>
      <c r="BW128" s="12" t="n"/>
      <c r="BX128" s="12" t="n"/>
      <c r="BY128" s="12" t="n"/>
      <c r="BZ128" s="12" t="n"/>
      <c r="CA128" s="12" t="n"/>
      <c r="CB128" s="12" t="n"/>
      <c r="CC128" s="12" t="n"/>
      <c r="CD128" s="12" t="n"/>
      <c r="CE128" s="12" t="n"/>
      <c r="CF128" s="12" t="n"/>
      <c r="CG128" s="12" t="n"/>
      <c r="CH128" s="12" t="n"/>
      <c r="CI128" s="12" t="n"/>
      <c r="CJ128" s="12" t="n"/>
      <c r="CK128" s="12" t="n"/>
      <c r="CL128" s="12" t="n"/>
      <c r="CM128" s="12" t="n"/>
      <c r="CN128" s="12" t="n"/>
      <c r="CO128" s="12" t="n"/>
      <c r="CP128" s="12" t="n"/>
      <c r="CQ128" s="12" t="n"/>
      <c r="CR128" s="12" t="n"/>
      <c r="CS128" s="12" t="n"/>
      <c r="CT128" s="12" t="n"/>
      <c r="CU128" s="12" t="n"/>
      <c r="CV128" s="12" t="n"/>
      <c r="CW128" s="12" t="n"/>
      <c r="CX128" s="12" t="n"/>
      <c r="CY128" s="12" t="n"/>
    </row>
    <row r="129" collapsed="1">
      <c r="C129" s="14" t="inlineStr">
        <is>
          <t>Equity in Income of Affiliates, after tax (enter as +)</t>
        </is>
      </c>
      <c r="D129" s="46" t="n"/>
      <c r="E129" s="46" t="n"/>
      <c r="F129" s="46" t="n"/>
      <c r="G129" s="46" t="n"/>
      <c r="H129" s="12" t="n"/>
      <c r="I129" s="46">
        <f>'Inputs (2)'!D11</f>
        <v>0</v>
      </c>
      <c r="J129" s="46">
        <f>'Inputs (2)'!E11</f>
        <v>0</v>
      </c>
      <c r="K129" s="46">
        <f>'Inputs (2)'!F11</f>
        <v>0</v>
      </c>
      <c r="L129" s="46">
        <f>'Inputs (2)'!G11</f>
        <v>0</v>
      </c>
      <c r="M129" s="12">
        <f>'Inputs (2)'!H11</f>
        <v>0</v>
      </c>
      <c r="N129" s="46">
        <f>'Inputs (2)'!I11</f>
        <v>0</v>
      </c>
      <c r="O129" s="46">
        <f>'Inputs (2)'!J11</f>
        <v>0</v>
      </c>
      <c r="P129" s="46">
        <f>'Inputs (2)'!K11</f>
        <v>0</v>
      </c>
      <c r="Q129" s="46">
        <f>'Inputs (2)'!L11</f>
        <v>0</v>
      </c>
      <c r="R129" s="12">
        <f>'Inputs (2)'!M11</f>
        <v>0</v>
      </c>
      <c r="S129" s="46">
        <f>'Inputs (2)'!N11</f>
        <v>0</v>
      </c>
      <c r="T129" s="46">
        <f>'Inputs (2)'!O11</f>
        <v>0</v>
      </c>
      <c r="U129" s="46">
        <f>'Inputs (2)'!P11</f>
        <v>0</v>
      </c>
      <c r="V129" s="46">
        <f>'Inputs (2)'!Q11</f>
        <v>0</v>
      </c>
      <c r="W129" s="12">
        <f>'Inputs (2)'!R11</f>
        <v>0</v>
      </c>
      <c r="X129" s="46">
        <f>'Inputs (2)'!S11</f>
        <v>0</v>
      </c>
      <c r="Y129" s="46">
        <f>'Inputs (2)'!T11</f>
        <v>0</v>
      </c>
      <c r="Z129" s="46">
        <f>'Inputs (2)'!U11</f>
        <v>0</v>
      </c>
      <c r="AA129" s="46">
        <f>'Inputs (2)'!V11</f>
        <v>0</v>
      </c>
      <c r="AB129" s="12">
        <f>'Inputs (2)'!W11</f>
        <v>0</v>
      </c>
      <c r="AC129" s="46">
        <f>'Inputs (2)'!X11</f>
        <v>0</v>
      </c>
      <c r="AD129" s="46">
        <f>'Inputs (2)'!Y11</f>
        <v>0</v>
      </c>
      <c r="AE129" s="46">
        <f>'Inputs (2)'!Z11</f>
        <v>0</v>
      </c>
      <c r="AF129" s="46">
        <f>'Inputs (2)'!AA11</f>
        <v>0</v>
      </c>
      <c r="AG129" s="12">
        <f>'Inputs (2)'!AB11</f>
        <v>0</v>
      </c>
      <c r="AH129" s="12">
        <f>'Inputs (2)'!AC11</f>
        <v>0</v>
      </c>
      <c r="AI129" s="12">
        <f>'Inputs (2)'!AD11</f>
        <v>0</v>
      </c>
      <c r="AJ129" s="12">
        <f>0</f>
        <v>0</v>
      </c>
      <c r="AK129" s="12">
        <f>0</f>
        <v>0</v>
      </c>
      <c r="AL129" s="12">
        <f>SUM(AH129:AK129)</f>
        <v>0</v>
      </c>
      <c r="AM129" s="12">
        <f>0</f>
        <v>0</v>
      </c>
      <c r="AN129" s="12">
        <f>0</f>
        <v>0</v>
      </c>
      <c r="AO129" s="12">
        <f>0</f>
        <v>0</v>
      </c>
      <c r="AP129" s="12">
        <f>0</f>
        <v>0</v>
      </c>
      <c r="AQ129" s="12">
        <f>SUM(AM129:AP129)</f>
        <v>0</v>
      </c>
      <c r="AR129" s="12">
        <f>0</f>
        <v>0</v>
      </c>
      <c r="AS129" s="12">
        <f>0</f>
        <v>0</v>
      </c>
      <c r="AT129" s="12">
        <f>0</f>
        <v>0</v>
      </c>
      <c r="AU129" s="12">
        <f>0</f>
        <v>0</v>
      </c>
      <c r="AV129" s="12">
        <f>SUM(AR129:AU129)</f>
        <v>0</v>
      </c>
      <c r="AW129" s="12">
        <f>0</f>
        <v>0</v>
      </c>
      <c r="AX129" s="12">
        <f>0</f>
        <v>0</v>
      </c>
      <c r="AY129" s="12">
        <f>0</f>
        <v>0</v>
      </c>
      <c r="AZ129" s="12">
        <f>0</f>
        <v>0</v>
      </c>
      <c r="BA129" s="12">
        <f>SUM(AW129:AZ129)</f>
        <v>0</v>
      </c>
      <c r="BB129" s="12">
        <f>0</f>
        <v>0</v>
      </c>
      <c r="BC129" s="12">
        <f>0</f>
        <v>0</v>
      </c>
      <c r="BD129" s="12">
        <f>0</f>
        <v>0</v>
      </c>
      <c r="BE129" s="12">
        <f>0</f>
        <v>0</v>
      </c>
      <c r="BF129" s="12">
        <f>SUM(BB129:BE129)</f>
        <v>0</v>
      </c>
      <c r="BG129" s="12" t="n"/>
      <c r="BH129" s="12" t="n"/>
      <c r="BI129" s="12" t="n"/>
      <c r="BJ129" s="12" t="n"/>
      <c r="BK129" s="12" t="n"/>
      <c r="BL129" s="12" t="n"/>
      <c r="BM129" s="12" t="n"/>
      <c r="BN129" s="12" t="n"/>
      <c r="BO129" s="12" t="n"/>
      <c r="BP129" s="12" t="n"/>
      <c r="BQ129" s="12" t="n"/>
      <c r="BR129" s="12" t="n"/>
      <c r="BS129" s="12" t="n"/>
      <c r="BT129" s="12" t="n"/>
      <c r="BU129" s="12" t="n"/>
      <c r="BV129" s="12" t="n"/>
      <c r="BW129" s="12" t="n"/>
      <c r="BX129" s="12" t="n"/>
      <c r="BY129" s="12" t="n"/>
      <c r="BZ129" s="12" t="n"/>
      <c r="CA129" s="12" t="n"/>
      <c r="CB129" s="12" t="n"/>
      <c r="CC129" s="12" t="n"/>
      <c r="CD129" s="12" t="n"/>
      <c r="CE129" s="12" t="n"/>
      <c r="CF129" s="12" t="n"/>
      <c r="CG129" s="12" t="n"/>
      <c r="CH129" s="12" t="n"/>
      <c r="CI129" s="12" t="n"/>
      <c r="CJ129" s="12" t="n"/>
      <c r="CK129" s="12" t="n"/>
      <c r="CL129" s="12" t="n"/>
      <c r="CM129" s="12" t="n"/>
      <c r="CN129" s="12" t="n"/>
      <c r="CO129" s="12" t="n"/>
      <c r="CP129" s="12" t="n"/>
      <c r="CQ129" s="12" t="n"/>
      <c r="CR129" s="12" t="n"/>
      <c r="CS129" s="12" t="n"/>
      <c r="CT129" s="12" t="n"/>
      <c r="CU129" s="12" t="n"/>
      <c r="CV129" s="12" t="n"/>
      <c r="CW129" s="12" t="n"/>
      <c r="CX129" s="12" t="n"/>
      <c r="CY129" s="12" t="n"/>
    </row>
    <row r="130">
      <c r="C130" s="14" t="inlineStr">
        <is>
          <t>Minority Interest Expense, after tax (enter as - )</t>
        </is>
      </c>
      <c r="D130" s="46" t="n"/>
      <c r="E130" s="46" t="n"/>
      <c r="F130" s="46" t="n"/>
      <c r="G130" s="46" t="n"/>
      <c r="H130" s="12" t="n"/>
      <c r="I130" s="46">
        <f>'Inputs (2)'!D12</f>
        <v>-26</v>
      </c>
      <c r="J130" s="46">
        <f>'Inputs (2)'!E12</f>
        <v>-36</v>
      </c>
      <c r="K130" s="46">
        <f>'Inputs (2)'!F12</f>
        <v>-41</v>
      </c>
      <c r="L130" s="46">
        <f>'Inputs (2)'!G12</f>
        <v>-22</v>
      </c>
      <c r="M130" s="12">
        <f>'Inputs (2)'!H12</f>
        <v>-125</v>
      </c>
      <c r="N130" s="46">
        <f>'Inputs (2)'!I12</f>
        <v>38</v>
      </c>
      <c r="O130" s="46">
        <f>'Inputs (2)'!J12</f>
        <v>-10</v>
      </c>
      <c r="P130" s="46">
        <f>'Inputs (2)'!K12</f>
        <v>-39</v>
      </c>
      <c r="Q130" s="46">
        <f>'Inputs (2)'!L12</f>
        <v>-20</v>
      </c>
      <c r="R130" s="12">
        <f>'Inputs (2)'!M12</f>
        <v>-31</v>
      </c>
      <c r="S130" s="46">
        <f>'Inputs (2)'!N12</f>
        <v>-26</v>
      </c>
      <c r="T130" s="46">
        <f>'Inputs (2)'!O12</f>
        <v>89</v>
      </c>
      <c r="U130" s="46">
        <f>'Inputs (2)'!P12</f>
        <v>-25</v>
      </c>
      <c r="V130" s="46">
        <f>'Inputs (2)'!Q12</f>
        <v>-15</v>
      </c>
      <c r="W130" s="12">
        <f>'Inputs (2)'!R12</f>
        <v>23</v>
      </c>
      <c r="X130" s="46">
        <f>'Inputs (2)'!S12</f>
        <v>-15</v>
      </c>
      <c r="Y130" s="46">
        <f>'Inputs (2)'!T12</f>
        <v>-16</v>
      </c>
      <c r="Z130" s="46">
        <f>'Inputs (2)'!U12</f>
        <v>-16</v>
      </c>
      <c r="AA130" s="46">
        <f>'Inputs (2)'!V12</f>
        <v>-15</v>
      </c>
      <c r="AB130" s="12">
        <f>'Inputs (2)'!W12</f>
        <v>-62</v>
      </c>
      <c r="AC130" s="46">
        <f>'Inputs (2)'!X12</f>
        <v>-11</v>
      </c>
      <c r="AD130" s="46">
        <f>'Inputs (2)'!Y12</f>
        <v>-18</v>
      </c>
      <c r="AE130" s="46">
        <f>'Inputs (2)'!Z12</f>
        <v>-16</v>
      </c>
      <c r="AF130" s="46">
        <f>'Inputs (2)'!AA12</f>
        <v>-16</v>
      </c>
      <c r="AG130" s="12">
        <f>'Inputs (2)'!AB12</f>
        <v>-61</v>
      </c>
      <c r="AH130" s="12">
        <f>'Inputs (2)'!AC12</f>
        <v>-14</v>
      </c>
      <c r="AI130" s="12">
        <f>'Inputs (2)'!AD12</f>
        <v>-14</v>
      </c>
      <c r="AJ130" s="12">
        <f>0</f>
        <v>0</v>
      </c>
      <c r="AK130" s="12">
        <f>0</f>
        <v>0</v>
      </c>
      <c r="AL130" s="12">
        <f>SUM(AH130:AK130)</f>
        <v>-28</v>
      </c>
      <c r="AM130" s="12">
        <f>0</f>
        <v>0</v>
      </c>
      <c r="AN130" s="12">
        <f>0</f>
        <v>0</v>
      </c>
      <c r="AO130" s="12">
        <f>0</f>
        <v>0</v>
      </c>
      <c r="AP130" s="12">
        <f>0</f>
        <v>0</v>
      </c>
      <c r="AQ130" s="12">
        <f>SUM(AM130:AP130)</f>
        <v>0</v>
      </c>
      <c r="AR130" s="12">
        <f>0</f>
        <v>0</v>
      </c>
      <c r="AS130" s="12">
        <f>0</f>
        <v>0</v>
      </c>
      <c r="AT130" s="12">
        <f>0</f>
        <v>0</v>
      </c>
      <c r="AU130" s="12">
        <f>0</f>
        <v>0</v>
      </c>
      <c r="AV130" s="12">
        <f>SUM(AR130:AU130)</f>
        <v>0</v>
      </c>
      <c r="AW130" s="12">
        <f>0</f>
        <v>0</v>
      </c>
      <c r="AX130" s="12">
        <f>0</f>
        <v>0</v>
      </c>
      <c r="AY130" s="12">
        <f>0</f>
        <v>0</v>
      </c>
      <c r="AZ130" s="12">
        <f>0</f>
        <v>0</v>
      </c>
      <c r="BA130" s="12">
        <f>SUM(AW130:AZ130)</f>
        <v>0</v>
      </c>
      <c r="BB130" s="12">
        <f>0</f>
        <v>0</v>
      </c>
      <c r="BC130" s="12">
        <f>0</f>
        <v>0</v>
      </c>
      <c r="BD130" s="12">
        <f>0</f>
        <v>0</v>
      </c>
      <c r="BE130" s="12">
        <f>0</f>
        <v>0</v>
      </c>
      <c r="BF130" s="12">
        <f>SUM(BB130:BE130)</f>
        <v>0</v>
      </c>
      <c r="BG130" s="12" t="n"/>
      <c r="BH130" s="12" t="n"/>
      <c r="BI130" s="12" t="n"/>
      <c r="BJ130" s="12" t="n"/>
      <c r="BK130" s="12" t="n"/>
      <c r="BL130" s="12" t="n"/>
      <c r="BM130" s="12" t="n"/>
      <c r="BN130" s="12" t="n"/>
      <c r="BO130" s="12" t="n"/>
      <c r="BP130" s="12" t="n"/>
      <c r="BQ130" s="12" t="n"/>
      <c r="BR130" s="12" t="n"/>
      <c r="BS130" s="12" t="n"/>
      <c r="BT130" s="12" t="n"/>
      <c r="BU130" s="12" t="n"/>
      <c r="BV130" s="12" t="n"/>
      <c r="BW130" s="12" t="n"/>
      <c r="BX130" s="12" t="n"/>
      <c r="BY130" s="12" t="n"/>
      <c r="BZ130" s="12" t="n"/>
      <c r="CA130" s="12" t="n"/>
      <c r="CB130" s="12" t="n"/>
      <c r="CC130" s="12" t="n"/>
      <c r="CD130" s="12" t="n"/>
      <c r="CE130" s="12" t="n"/>
      <c r="CF130" s="12" t="n"/>
      <c r="CG130" s="12" t="n"/>
      <c r="CH130" s="12" t="n"/>
      <c r="CI130" s="12" t="n"/>
      <c r="CJ130" s="12" t="n"/>
      <c r="CK130" s="12" t="n"/>
      <c r="CL130" s="12" t="n"/>
      <c r="CM130" s="12" t="n"/>
      <c r="CN130" s="12" t="n"/>
      <c r="CO130" s="12" t="n"/>
      <c r="CP130" s="12" t="n"/>
      <c r="CQ130" s="12" t="n"/>
      <c r="CR130" s="12" t="n"/>
      <c r="CS130" s="12" t="n"/>
      <c r="CT130" s="12" t="n"/>
      <c r="CU130" s="12" t="n"/>
      <c r="CV130" s="12" t="n"/>
      <c r="CW130" s="12" t="n"/>
      <c r="CX130" s="12" t="n"/>
      <c r="CY130" s="12" t="n"/>
    </row>
    <row r="131" customFormat="1" s="32">
      <c r="A131" s="30" t="n"/>
      <c r="B131" s="3" t="n"/>
      <c r="C131" s="33" t="inlineStr">
        <is>
          <t>Net Income</t>
        </is>
      </c>
      <c r="D131" s="35" t="n"/>
      <c r="E131" s="35" t="n"/>
      <c r="F131" s="35" t="n"/>
      <c r="G131" s="35" t="n"/>
      <c r="H131" s="35" t="n"/>
      <c r="I131" s="35">
        <f>SUM(I124,I125,I129,I130)</f>
        <v>438</v>
      </c>
      <c r="J131" s="35">
        <f>SUM(J124,J125,J129,J130)</f>
        <v>1142</v>
      </c>
      <c r="K131" s="35">
        <f>SUM(K124,K125,K129,K130)</f>
        <v>1618</v>
      </c>
      <c r="L131" s="35">
        <f>SUM(L124,L125,L129,L130)</f>
        <v>2321</v>
      </c>
      <c r="M131" s="35">
        <f>SUM(I131:L131)</f>
        <v>5519</v>
      </c>
      <c r="N131" s="35">
        <f>SUM(N124,N125,N129,N130)</f>
        <v>3318</v>
      </c>
      <c r="O131" s="35">
        <f>SUM(O124,O125,O129,O130)</f>
        <v>2259</v>
      </c>
      <c r="P131" s="35">
        <f>SUM(P124,P125,P129,P130)</f>
        <v>3292</v>
      </c>
      <c r="Q131" s="35">
        <f>SUM(Q124,Q125,Q129,Q130)</f>
        <v>3687</v>
      </c>
      <c r="R131" s="35">
        <f>SUM(N131:Q131)</f>
        <v>12556</v>
      </c>
      <c r="S131" s="35">
        <f>SUM(S124,S125,S129,S130)</f>
        <v>2513</v>
      </c>
      <c r="T131" s="35">
        <f>SUM(T124,T125,T129,T130)</f>
        <v>2703</v>
      </c>
      <c r="U131" s="35">
        <f>SUM(U124,U125,U129,U130)</f>
        <v>1853</v>
      </c>
      <c r="V131" s="35">
        <f>SUM(V124,V125,V129,V130)</f>
        <v>7928</v>
      </c>
      <c r="W131" s="35">
        <f>SUM(S131:V131)</f>
        <v>14997</v>
      </c>
      <c r="X131" s="35">
        <f>SUM(X124,X125,X129,X130)</f>
        <v>1390</v>
      </c>
      <c r="Y131" s="35">
        <f>SUM(Y124,Y125,Y129,Y130)</f>
        <v>1400</v>
      </c>
      <c r="Z131" s="35">
        <f>SUM(Z124,Z125,Z129,Z130)</f>
        <v>2173</v>
      </c>
      <c r="AA131" s="35">
        <f>SUM(AA124,AA125,AA129,AA130)</f>
        <v>2128</v>
      </c>
      <c r="AB131" s="35">
        <f>SUM(X131:AA131)</f>
        <v>7091</v>
      </c>
      <c r="AC131" s="35">
        <f>SUM(AC124,AC125,AC129,AC130)</f>
        <v>409</v>
      </c>
      <c r="AD131" s="35">
        <f>SUM(AD124,AD125,AD129,AD130)</f>
        <v>1172</v>
      </c>
      <c r="AE131" s="35">
        <f>SUM(AE124,AE125,AE129,AE130)</f>
        <v>1373</v>
      </c>
      <c r="AF131" s="35">
        <f>SUM(AF124,AF125,AF129,AF130)</f>
        <v>840</v>
      </c>
      <c r="AG131" s="35">
        <f>SUM(AC131:AF131)</f>
        <v>3794</v>
      </c>
      <c r="AH131" s="35">
        <f>SUM(AH124,AH125,AH129,AH130)</f>
        <v>477</v>
      </c>
      <c r="AI131" s="35">
        <f>SUM(AI124,AI125,AI129,AI130)</f>
        <v>1114</v>
      </c>
      <c r="AJ131" s="35">
        <f>SUM(AJ124,AJ125,AJ129,AJ130)</f>
        <v>1163.18480687373</v>
      </c>
      <c r="AK131" s="35">
        <f>SUM(AK124,AK125,AK129,AK130)</f>
        <v>1030.94731717255</v>
      </c>
      <c r="AL131" s="35">
        <f>SUM(AH131:AK131)</f>
        <v>3785.13212404628</v>
      </c>
      <c r="AM131" s="35">
        <f>SUM(AM124,AM125,AM129,AM130)</f>
        <v>926.863081383952</v>
      </c>
      <c r="AN131" s="35">
        <f>SUM(AN124,AN125,AN129,AN130)</f>
        <v>1169.02246687619</v>
      </c>
      <c r="AO131" s="35">
        <f>SUM(AO124,AO125,AO129,AO130)</f>
        <v>1218.86828841323</v>
      </c>
      <c r="AP131" s="35">
        <f>SUM(AP124,AP125,AP129,AP130)</f>
        <v>1080.30038262246</v>
      </c>
      <c r="AQ131" s="35">
        <f>SUM(AM131:AP131)</f>
        <v>4395.05421929584</v>
      </c>
      <c r="AR131" s="35">
        <f>SUM(AR124,AR125,AR129,AR130)</f>
        <v>966.599155769699</v>
      </c>
      <c r="AS131" s="35">
        <f>SUM(AS124,AS125,AS129,AS130)</f>
        <v>1219.14029402391</v>
      </c>
      <c r="AT131" s="35">
        <f>SUM(AT124,AT125,AT129,AT130)</f>
        <v>1271.12308412966</v>
      </c>
      <c r="AU131" s="35">
        <f>SUM(AU124,AU125,AU129,AU130)</f>
        <v>1126.61455482871</v>
      </c>
      <c r="AV131" s="35">
        <f>SUM(AR131:AU131)</f>
        <v>4583.47708875197</v>
      </c>
      <c r="AW131" s="35">
        <f>SUM(AW124,AW125,AW129,AW130)</f>
        <v>1003.20578222449</v>
      </c>
      <c r="AX131" s="35">
        <f>SUM(AX124,AX125,AX129,AX130)</f>
        <v>1265.31104957747</v>
      </c>
      <c r="AY131" s="35">
        <f>SUM(AY124,AY125,AY129,AY130)</f>
        <v>1319.26250949647</v>
      </c>
      <c r="AZ131" s="35">
        <f>SUM(AZ124,AZ125,AZ129,AZ130)</f>
        <v>1169.28121548217</v>
      </c>
      <c r="BA131" s="35">
        <f>SUM(AW131:AZ131)</f>
        <v>4757.06055678061</v>
      </c>
      <c r="BB131" s="35">
        <f>SUM(BB124,BB125,BB129,BB130)</f>
        <v>1036.18273014143</v>
      </c>
      <c r="BC131" s="35">
        <f>SUM(BC124,BC125,BC129,BC130)</f>
        <v>1306.90380882984</v>
      </c>
      <c r="BD131" s="35">
        <f>SUM(BD124,BD125,BD129,BD130)</f>
        <v>1362.62873787683</v>
      </c>
      <c r="BE131" s="35">
        <f>SUM(BE124,BE125,BE129,BE130)</f>
        <v>1207.71732343374</v>
      </c>
      <c r="BF131" s="35">
        <f>SUM(BB131:BE131)</f>
        <v>4913.43260028183</v>
      </c>
      <c r="BG131" s="35" t="n"/>
      <c r="BH131" s="35" t="n"/>
      <c r="BI131" s="35" t="n"/>
      <c r="BJ131" s="35" t="n"/>
      <c r="BK131" s="35" t="n"/>
      <c r="BL131" s="35" t="n"/>
      <c r="BM131" s="35" t="n"/>
      <c r="BN131" s="35" t="n"/>
      <c r="BO131" s="35" t="n"/>
      <c r="BP131" s="35" t="n"/>
      <c r="BQ131" s="35" t="n"/>
      <c r="BR131" s="35" t="n"/>
      <c r="BS131" s="35" t="n"/>
      <c r="BT131" s="35" t="n"/>
      <c r="BU131" s="35" t="n"/>
      <c r="BV131" s="35" t="n"/>
      <c r="BW131" s="35" t="n"/>
      <c r="BX131" s="35" t="n"/>
      <c r="BY131" s="35" t="n"/>
      <c r="BZ131" s="35" t="n"/>
      <c r="CA131" s="35" t="n"/>
      <c r="CB131" s="35" t="n"/>
      <c r="CC131" s="35" t="n"/>
      <c r="CD131" s="35" t="n"/>
      <c r="CE131" s="35" t="n"/>
      <c r="CF131" s="35" t="n"/>
      <c r="CG131" s="35" t="n"/>
      <c r="CH131" s="35" t="n"/>
      <c r="CI131" s="35" t="n"/>
      <c r="CJ131" s="35" t="n"/>
      <c r="CK131" s="35" t="n"/>
      <c r="CL131" s="35" t="n"/>
      <c r="CM131" s="35" t="n"/>
      <c r="CN131" s="35" t="n"/>
      <c r="CO131" s="35" t="n"/>
      <c r="CP131" s="35" t="n"/>
      <c r="CQ131" s="35" t="n"/>
      <c r="CR131" s="35" t="n"/>
      <c r="CS131" s="35" t="n"/>
      <c r="CT131" s="35" t="n"/>
      <c r="CU131" s="35" t="n"/>
      <c r="CV131" s="35" t="n"/>
      <c r="CW131" s="35" t="n"/>
      <c r="CX131" s="35" t="n"/>
      <c r="CY131" s="35" t="n"/>
    </row>
    <row r="132">
      <c r="C132" s="13" t="inlineStr">
        <is>
          <t>Common Dividends</t>
        </is>
      </c>
      <c r="D132" s="46" t="n"/>
      <c r="E132" s="46" t="n"/>
      <c r="F132" s="46" t="n"/>
      <c r="G132" s="46" t="n"/>
      <c r="H132" s="12" t="n"/>
      <c r="I132" s="46">
        <f>'Inputs (2)'!D13</f>
        <v>0</v>
      </c>
      <c r="J132" s="46">
        <f>'Inputs (2)'!E13</f>
        <v>0</v>
      </c>
      <c r="K132" s="46">
        <f>'Inputs (2)'!F13</f>
        <v>0</v>
      </c>
      <c r="L132" s="46">
        <f>'Inputs (2)'!G13</f>
        <v>0</v>
      </c>
      <c r="M132" s="12">
        <f>'Inputs (2)'!H13</f>
        <v>0</v>
      </c>
      <c r="N132" s="46">
        <f>'Inputs (2)'!I13</f>
        <v>0</v>
      </c>
      <c r="O132" s="46">
        <f>'Inputs (2)'!J13</f>
        <v>0</v>
      </c>
      <c r="P132" s="46">
        <f>'Inputs (2)'!K13</f>
        <v>0</v>
      </c>
      <c r="Q132" s="46">
        <f>'Inputs (2)'!L13</f>
        <v>0</v>
      </c>
      <c r="R132" s="12">
        <f>'Inputs (2)'!M13</f>
        <v>0</v>
      </c>
      <c r="S132" s="46">
        <f>'Inputs (2)'!N13</f>
        <v>0</v>
      </c>
      <c r="T132" s="46">
        <f>'Inputs (2)'!O13</f>
        <v>0</v>
      </c>
      <c r="U132" s="46">
        <f>'Inputs (2)'!P13</f>
        <v>0</v>
      </c>
      <c r="V132" s="46">
        <f>'Inputs (2)'!Q13</f>
        <v>0</v>
      </c>
      <c r="W132" s="12">
        <f>'Inputs (2)'!R13</f>
        <v>0</v>
      </c>
      <c r="X132" s="46">
        <f>'Inputs (2)'!S13</f>
        <v>0</v>
      </c>
      <c r="Y132" s="46">
        <f>'Inputs (2)'!T13</f>
        <v>0</v>
      </c>
      <c r="Z132" s="46">
        <f>'Inputs (2)'!U13</f>
        <v>0</v>
      </c>
      <c r="AA132" s="46">
        <f>'Inputs (2)'!V13</f>
        <v>0</v>
      </c>
      <c r="AB132" s="12">
        <f>'Inputs (2)'!W13</f>
        <v>0</v>
      </c>
      <c r="AC132" s="46">
        <f>'Inputs (2)'!X13</f>
        <v>0</v>
      </c>
      <c r="AD132" s="46">
        <f>'Inputs (2)'!Y13</f>
        <v>0</v>
      </c>
      <c r="AE132" s="46">
        <f>'Inputs (2)'!Z13</f>
        <v>0</v>
      </c>
      <c r="AF132" s="46">
        <f>'Inputs (2)'!AA13</f>
        <v>0</v>
      </c>
      <c r="AG132" s="12">
        <f>'Inputs (2)'!AB13</f>
        <v>0</v>
      </c>
      <c r="AH132" s="12">
        <f>'Inputs (2)'!AC13</f>
        <v>0</v>
      </c>
      <c r="AI132" s="12">
        <f>'Inputs (2)'!AD13</f>
        <v>0</v>
      </c>
      <c r="AJ132" s="12">
        <f>-MAX(0,AJ131)*Control!$E$15</f>
        <v>0</v>
      </c>
      <c r="AK132" s="12">
        <f>-MAX(0,AK131)*Control!$E$15</f>
        <v>0</v>
      </c>
      <c r="AL132" s="12">
        <f>SUM(AH132:AK132)</f>
        <v>0</v>
      </c>
      <c r="AM132" s="12">
        <f>-MAX(0,AM131)*Control!$E$15</f>
        <v>0</v>
      </c>
      <c r="AN132" s="12">
        <f>-MAX(0,AN131)*Control!$E$15</f>
        <v>0</v>
      </c>
      <c r="AO132" s="12">
        <f>-MAX(0,AO131)*Control!$E$15</f>
        <v>0</v>
      </c>
      <c r="AP132" s="12">
        <f>-MAX(0,AP131)*Control!$E$15</f>
        <v>0</v>
      </c>
      <c r="AQ132" s="12">
        <f>SUM(AM132:AP132)</f>
        <v>0</v>
      </c>
      <c r="AR132" s="12">
        <f>-MAX(0,AR131)*Control!$E$15</f>
        <v>0</v>
      </c>
      <c r="AS132" s="12">
        <f>-MAX(0,AS131)*Control!$E$15</f>
        <v>0</v>
      </c>
      <c r="AT132" s="12">
        <f>-MAX(0,AT131)*Control!$E$15</f>
        <v>0</v>
      </c>
      <c r="AU132" s="12">
        <f>-MAX(0,AU131)*Control!$E$15</f>
        <v>0</v>
      </c>
      <c r="AV132" s="12">
        <f>SUM(AR132:AU132)</f>
        <v>0</v>
      </c>
      <c r="AW132" s="12">
        <f>-MAX(0,AW131)*Control!$E$15</f>
        <v>0</v>
      </c>
      <c r="AX132" s="12">
        <f>-MAX(0,AX131)*Control!$E$15</f>
        <v>0</v>
      </c>
      <c r="AY132" s="12">
        <f>-MAX(0,AY131)*Control!$E$15</f>
        <v>0</v>
      </c>
      <c r="AZ132" s="12">
        <f>-MAX(0,AZ131)*Control!$E$15</f>
        <v>0</v>
      </c>
      <c r="BA132" s="12">
        <f>SUM(AW132:AZ132)</f>
        <v>0</v>
      </c>
      <c r="BB132" s="12">
        <f>-MAX(0,BB131)*Control!$E$15</f>
        <v>0</v>
      </c>
      <c r="BC132" s="12">
        <f>-MAX(0,BC131)*Control!$E$15</f>
        <v>0</v>
      </c>
      <c r="BD132" s="12">
        <f>-MAX(0,BD131)*Control!$E$15</f>
        <v>0</v>
      </c>
      <c r="BE132" s="12">
        <f>-MAX(0,BE131)*Control!$E$15</f>
        <v>0</v>
      </c>
      <c r="BF132" s="12">
        <f>SUM(BB132:BE132)</f>
        <v>0</v>
      </c>
      <c r="BG132" s="12" t="n"/>
      <c r="BH132" s="12" t="n"/>
      <c r="BI132" s="12" t="n"/>
      <c r="BJ132" s="12" t="n"/>
      <c r="BK132" s="12" t="n"/>
      <c r="BL132" s="12" t="n"/>
      <c r="BM132" s="12" t="n"/>
      <c r="BN132" s="12" t="n"/>
      <c r="BO132" s="12" t="n"/>
      <c r="BP132" s="12" t="n"/>
      <c r="BQ132" s="12" t="n"/>
      <c r="BR132" s="12" t="n"/>
      <c r="BS132" s="12" t="n"/>
      <c r="BT132" s="12" t="n"/>
      <c r="BU132" s="12" t="n"/>
      <c r="BV132" s="12" t="n"/>
      <c r="BW132" s="12" t="n"/>
      <c r="BX132" s="12" t="n"/>
      <c r="BY132" s="12" t="n"/>
      <c r="BZ132" s="12" t="n"/>
      <c r="CA132" s="12" t="n"/>
      <c r="CB132" s="12" t="n"/>
      <c r="CC132" s="12" t="n"/>
      <c r="CD132" s="12" t="n"/>
      <c r="CE132" s="12" t="n"/>
      <c r="CF132" s="12" t="n"/>
      <c r="CG132" s="12" t="n"/>
      <c r="CH132" s="12" t="n"/>
      <c r="CI132" s="12" t="n"/>
      <c r="CJ132" s="12" t="n"/>
      <c r="CK132" s="12" t="n"/>
      <c r="CL132" s="12" t="n"/>
      <c r="CM132" s="12" t="n"/>
      <c r="CN132" s="12" t="n"/>
      <c r="CO132" s="12" t="n"/>
      <c r="CP132" s="12" t="n"/>
      <c r="CQ132" s="12" t="n"/>
      <c r="CR132" s="12" t="n"/>
      <c r="CS132" s="12" t="n"/>
      <c r="CT132" s="12" t="n"/>
      <c r="CU132" s="12" t="n"/>
      <c r="CV132" s="12" t="n"/>
      <c r="CW132" s="12" t="n"/>
      <c r="CX132" s="12" t="n"/>
      <c r="CY132" s="12" t="n"/>
    </row>
    <row r="133" hidden="1" outlineLevel="1">
      <c r="C133" s="50" t="inlineStr">
        <is>
          <t>% DVD Payout</t>
        </is>
      </c>
      <c r="D133" s="58" t="n"/>
      <c r="E133" s="58" t="n"/>
      <c r="F133" s="58" t="n"/>
      <c r="G133" s="58" t="n"/>
      <c r="H133" s="58" t="n"/>
      <c r="I133" s="58">
        <f>IF(I131=0,"",-I132/I131)</f>
        <v>0</v>
      </c>
      <c r="J133" s="58">
        <f>IF(J131=0,"",-J132/J131)</f>
        <v>0</v>
      </c>
      <c r="K133" s="58">
        <f>IF(K131=0,"",-K132/K131)</f>
        <v>0</v>
      </c>
      <c r="L133" s="58">
        <f>IF(L131=0,"",-L132/L131)</f>
        <v>0</v>
      </c>
      <c r="M133" s="58">
        <f>IF(M131=0,"",-M132/M131)</f>
        <v>0</v>
      </c>
      <c r="N133" s="58">
        <f>IF(N131=0,"",-N132/N131)</f>
        <v>0</v>
      </c>
      <c r="O133" s="58">
        <f>IF(O131=0,"",-O132/O131)</f>
        <v>0</v>
      </c>
      <c r="P133" s="58">
        <f>IF(P131=0,"",-P132/P131)</f>
        <v>0</v>
      </c>
      <c r="Q133" s="58">
        <f>IF(Q131=0,"",-Q132/Q131)</f>
        <v>0</v>
      </c>
      <c r="R133" s="58">
        <f>IF(R131=0,"",-R132/R131)</f>
        <v>0</v>
      </c>
      <c r="S133" s="58">
        <f>IF(S131=0,"",-S132/S131)</f>
        <v>0</v>
      </c>
      <c r="T133" s="58">
        <f>IF(T131=0,"",-T132/T131)</f>
        <v>0</v>
      </c>
      <c r="U133" s="58">
        <f>IF(U131=0,"",-U132/U131)</f>
        <v>0</v>
      </c>
      <c r="V133" s="58">
        <f>IF(V131=0,"",-V132/V131)</f>
        <v>0</v>
      </c>
      <c r="W133" s="58">
        <f>IF(W131=0,"",-W132/W131)</f>
        <v>0</v>
      </c>
      <c r="X133" s="58">
        <f>IF(X131=0,"",-X132/X131)</f>
        <v>0</v>
      </c>
      <c r="Y133" s="58">
        <f>IF(Y131=0,"",-Y132/Y131)</f>
        <v>0</v>
      </c>
      <c r="Z133" s="58">
        <f>IF(Z131=0,"",-Z132/Z131)</f>
        <v>0</v>
      </c>
      <c r="AA133" s="58">
        <f>IF(AA131=0,"",-AA132/AA131)</f>
        <v>0</v>
      </c>
      <c r="AB133" s="58">
        <f>IF(AB131=0,"",-AB132/AB131)</f>
        <v>0</v>
      </c>
      <c r="AC133" s="58">
        <f>IF(AC131=0,"",-AC132/AC131)</f>
        <v>0</v>
      </c>
      <c r="AD133" s="58">
        <f>IF(AD131=0,"",-AD132/AD131)</f>
        <v>0</v>
      </c>
      <c r="AE133" s="58">
        <f>IF(AE131=0,"",-AE132/AE131)</f>
        <v>0</v>
      </c>
      <c r="AF133" s="41">
        <f>IF(AF131=0,"",-AF132/AF131)</f>
        <v>0</v>
      </c>
      <c r="AG133" s="12">
        <f>IF(AG131=0,"",-AG132/AG131)</f>
        <v>0</v>
      </c>
      <c r="AH133" s="41">
        <f>IF(AH131=0,"",-AH132/AH131)</f>
        <v>0</v>
      </c>
      <c r="AI133" s="41">
        <f>IF(AI131=0,"",-AI132/AI131)</f>
        <v>0</v>
      </c>
      <c r="AJ133" s="41">
        <f>IF(AJ131=0,"",-AJ132/AJ131)</f>
        <v>0</v>
      </c>
      <c r="AK133" s="41">
        <f>IF(AK131=0,"",-AK132/AK131)</f>
        <v>0</v>
      </c>
      <c r="AL133" s="12">
        <f>IF(AL131=0,"",-AL132/AL131)</f>
        <v>0</v>
      </c>
      <c r="AM133" s="41">
        <f>IF(AM131=0,"",-AM132/AM131)</f>
        <v>0</v>
      </c>
      <c r="AN133" s="41">
        <f>IF(AN131=0,"",-AN132/AN131)</f>
        <v>0</v>
      </c>
      <c r="AO133" s="41">
        <f>IF(AO131=0,"",-AO132/AO131)</f>
        <v>0</v>
      </c>
      <c r="AP133" s="41">
        <f>IF(AP131=0,"",-AP132/AP131)</f>
        <v>0</v>
      </c>
      <c r="AQ133" s="12">
        <f>IF(AQ131=0,"",-AQ132/AQ131)</f>
        <v>0</v>
      </c>
      <c r="AR133" s="41">
        <f>IF(AR131=0,"",-AR132/AR131)</f>
        <v>0</v>
      </c>
      <c r="AS133" s="41">
        <f>IF(AS131=0,"",-AS132/AS131)</f>
        <v>0</v>
      </c>
      <c r="AT133" s="41">
        <f>IF(AT131=0,"",-AT132/AT131)</f>
        <v>0</v>
      </c>
      <c r="AU133" s="41">
        <f>IF(AU131=0,"",-AU132/AU131)</f>
        <v>0</v>
      </c>
      <c r="AV133" s="12">
        <f>IF(AV131=0,"",-AV132/AV131)</f>
        <v>0</v>
      </c>
      <c r="AW133" s="41">
        <f>IF(AW131=0,"",-AW132/AW131)</f>
        <v>0</v>
      </c>
      <c r="AX133" s="41">
        <f>IF(AX131=0,"",-AX132/AX131)</f>
        <v>0</v>
      </c>
      <c r="AY133" s="41">
        <f>IF(AY131=0,"",-AY132/AY131)</f>
        <v>0</v>
      </c>
      <c r="AZ133" s="41">
        <f>IF(AZ131=0,"",-AZ132/AZ131)</f>
        <v>0</v>
      </c>
      <c r="BA133" s="12">
        <f>IF(BA131=0,"",-BA132/BA131)</f>
        <v>0</v>
      </c>
      <c r="BB133" s="41">
        <f>IF(BB131=0,"",-BB132/BB131)</f>
        <v>0</v>
      </c>
      <c r="BC133" s="41">
        <f>IF(BC131=0,"",-BC132/BC131)</f>
        <v>0</v>
      </c>
      <c r="BD133" s="41">
        <f>IF(BD131=0,"",-BD132/BD131)</f>
        <v>0</v>
      </c>
      <c r="BE133" s="41">
        <f>IF(BE131=0,"",-BE132/BE131)</f>
        <v>0</v>
      </c>
      <c r="BF133" s="12">
        <f>IF(BF131=0,"",-BF132/BF131)</f>
        <v>0</v>
      </c>
      <c r="BG133" s="41" t="n"/>
      <c r="BH133" s="41" t="n"/>
      <c r="BI133" s="41" t="n"/>
      <c r="BJ133" s="41" t="n"/>
      <c r="BK133" s="12" t="n"/>
      <c r="BL133" s="41" t="n"/>
      <c r="BM133" s="41" t="n"/>
      <c r="BN133" s="41" t="n"/>
      <c r="BO133" s="41" t="n"/>
      <c r="BP133" s="12" t="n"/>
      <c r="BQ133" s="41" t="n"/>
      <c r="BR133" s="41" t="n"/>
      <c r="BS133" s="41" t="n"/>
      <c r="BT133" s="41" t="n"/>
      <c r="BU133" s="12" t="n"/>
      <c r="BV133" s="41" t="n"/>
      <c r="BW133" s="41" t="n"/>
      <c r="BX133" s="41" t="n"/>
      <c r="BY133" s="41" t="n"/>
      <c r="BZ133" s="12" t="n"/>
      <c r="CA133" s="41" t="n"/>
      <c r="CB133" s="41" t="n"/>
      <c r="CC133" s="41" t="n"/>
      <c r="CD133" s="41" t="n"/>
      <c r="CE133" s="12" t="n"/>
      <c r="CF133" s="41" t="n"/>
      <c r="CG133" s="41" t="n"/>
      <c r="CH133" s="41" t="n"/>
      <c r="CI133" s="41" t="n"/>
      <c r="CJ133" s="12" t="n"/>
      <c r="CK133" s="41" t="n"/>
      <c r="CL133" s="41" t="n"/>
      <c r="CM133" s="41" t="n"/>
      <c r="CN133" s="41" t="n"/>
      <c r="CO133" s="12" t="n"/>
      <c r="CP133" s="41" t="n"/>
      <c r="CQ133" s="41" t="n"/>
      <c r="CR133" s="41" t="n"/>
      <c r="CS133" s="41" t="n"/>
      <c r="CT133" s="12" t="n"/>
      <c r="CU133" s="41" t="n"/>
      <c r="CV133" s="41" t="n"/>
      <c r="CW133" s="41" t="n"/>
      <c r="CX133" s="41" t="n"/>
      <c r="CY133" s="12" t="n"/>
    </row>
    <row r="134" hidden="1" outlineLevel="1">
      <c r="C134" s="18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  <c r="CU134" s="3" t="n"/>
      <c r="CV134" s="3" t="n"/>
      <c r="CW134" s="3" t="n"/>
      <c r="CX134" s="3" t="n"/>
      <c r="CY134" s="3" t="n"/>
    </row>
    <row r="135" hidden="1" outlineLevel="1">
      <c r="C135" s="18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  <c r="CU135" s="3" t="n"/>
      <c r="CV135" s="3" t="n"/>
      <c r="CW135" s="3" t="n"/>
      <c r="CX135" s="3" t="n"/>
      <c r="CY135" s="3" t="n"/>
    </row>
    <row r="136" collapsed="1" ht="11.25" customHeight="1">
      <c r="C136" s="31" t="inlineStr">
        <is>
          <t>Balance Sheet</t>
        </is>
      </c>
      <c r="D136" s="31" t="n"/>
      <c r="E136" s="31" t="n"/>
      <c r="F136" s="31" t="n"/>
      <c r="G136" s="31" t="n"/>
      <c r="H136" s="31" t="n"/>
      <c r="I136" s="31" t="str">
        <f>I13</f>
        <v>1Q21</v>
      </c>
      <c r="J136" s="31" t="str">
        <f>J13</f>
        <v>2Q21</v>
      </c>
      <c r="K136" s="31" t="str">
        <f>K13</f>
        <v>3Q21</v>
      </c>
      <c r="L136" s="31" t="str">
        <f>L13</f>
        <v>4Q21</v>
      </c>
      <c r="M136" s="31">
        <f>M13</f>
        <v>2021</v>
      </c>
      <c r="N136" s="31" t="str">
        <f>N13</f>
        <v>1Q22</v>
      </c>
      <c r="O136" s="31" t="str">
        <f>O13</f>
        <v>2Q22</v>
      </c>
      <c r="P136" s="31" t="str">
        <f>P13</f>
        <v>3Q22</v>
      </c>
      <c r="Q136" s="31" t="str">
        <f>Q13</f>
        <v>4Q22</v>
      </c>
      <c r="R136" s="31">
        <f>R13</f>
        <v>2022</v>
      </c>
      <c r="S136" s="31" t="str">
        <f>S13</f>
        <v>1Q23</v>
      </c>
      <c r="T136" s="31" t="str">
        <f>T13</f>
        <v>2Q23</v>
      </c>
      <c r="U136" s="31" t="str">
        <f>U13</f>
        <v>3Q23</v>
      </c>
      <c r="V136" s="31" t="str">
        <f>V13</f>
        <v>4Q23</v>
      </c>
      <c r="W136" s="31">
        <f>W13</f>
        <v>2023</v>
      </c>
      <c r="X136" s="31" t="str">
        <f>X13</f>
        <v>1Q24</v>
      </c>
      <c r="Y136" s="31" t="str">
        <f>Y13</f>
        <v>2Q24</v>
      </c>
      <c r="Z136" s="31" t="str">
        <f>Z13</f>
        <v>3Q24</v>
      </c>
      <c r="AA136" s="31" t="str">
        <f>AA13</f>
        <v>4Q24</v>
      </c>
      <c r="AB136" s="31">
        <f>AB13</f>
        <v>2024</v>
      </c>
      <c r="AC136" s="31" t="str">
        <f>AC13</f>
        <v>1Q25</v>
      </c>
      <c r="AD136" s="31" t="str">
        <f>AD13</f>
        <v>2Q25</v>
      </c>
      <c r="AE136" s="31" t="str">
        <f>AE13</f>
        <v>3Q25</v>
      </c>
      <c r="AF136" s="31" t="str">
        <f>AF13</f>
        <v>4Q25</v>
      </c>
      <c r="AG136" s="31">
        <f>AG13</f>
        <v>2025</v>
      </c>
      <c r="AH136" s="31" t="str">
        <f>AH13</f>
        <v>1Q26</v>
      </c>
      <c r="AI136" s="31" t="str">
        <f>AI13</f>
        <v>2Q26</v>
      </c>
      <c r="AJ136" s="31" t="str">
        <f>AJ13</f>
        <v>3Q26</v>
      </c>
      <c r="AK136" s="31" t="str">
        <f>AK13</f>
        <v>4Q26</v>
      </c>
      <c r="AL136" s="31">
        <f>AL13</f>
        <v>2026</v>
      </c>
      <c r="AM136" s="31" t="str">
        <f>AM13</f>
        <v>1Q27</v>
      </c>
      <c r="AN136" s="31" t="str">
        <f>AN13</f>
        <v>2Q27</v>
      </c>
      <c r="AO136" s="31" t="str">
        <f>AO13</f>
        <v>3Q27</v>
      </c>
      <c r="AP136" s="31" t="str">
        <f>AP13</f>
        <v>4Q27</v>
      </c>
      <c r="AQ136" s="31">
        <f>AQ13</f>
        <v>2027</v>
      </c>
      <c r="AR136" s="31" t="str">
        <f>AR13</f>
        <v>1Q28</v>
      </c>
      <c r="AS136" s="31" t="str">
        <f>AS13</f>
        <v>2Q28</v>
      </c>
      <c r="AT136" s="31" t="str">
        <f>AT13</f>
        <v>3Q28</v>
      </c>
      <c r="AU136" s="31" t="str">
        <f>AU13</f>
        <v>4Q28</v>
      </c>
      <c r="AV136" s="31">
        <f>AV13</f>
        <v>2028</v>
      </c>
      <c r="AW136" s="31" t="str">
        <f>AW13</f>
        <v>1Q29</v>
      </c>
      <c r="AX136" s="31" t="str">
        <f>AX13</f>
        <v>2Q29</v>
      </c>
      <c r="AY136" s="31" t="str">
        <f>AY13</f>
        <v>3Q29</v>
      </c>
      <c r="AZ136" s="31" t="str">
        <f>AZ13</f>
        <v>4Q29</v>
      </c>
      <c r="BA136" s="31">
        <f>BA13</f>
        <v>2029</v>
      </c>
      <c r="BB136" s="31" t="str">
        <f>BB13</f>
        <v>1Q30</v>
      </c>
      <c r="BC136" s="31" t="str">
        <f>BC13</f>
        <v>2Q30</v>
      </c>
      <c r="BD136" s="31" t="str">
        <f>BD13</f>
        <v>3Q30</v>
      </c>
      <c r="BE136" s="31" t="str">
        <f>BE13</f>
        <v>4Q30</v>
      </c>
      <c r="BF136" s="31">
        <f>BF13</f>
        <v>2030</v>
      </c>
      <c r="BG136" s="31" t="n"/>
      <c r="BH136" s="31" t="n"/>
      <c r="BI136" s="31" t="n"/>
      <c r="BJ136" s="31" t="n"/>
      <c r="BK136" s="31" t="n"/>
      <c r="BL136" s="31" t="n"/>
      <c r="BM136" s="31" t="n"/>
      <c r="BN136" s="31" t="n"/>
      <c r="BO136" s="31" t="n"/>
      <c r="BP136" s="31" t="n"/>
      <c r="BQ136" s="31" t="n"/>
      <c r="BR136" s="31" t="n"/>
      <c r="BS136" s="31" t="n"/>
      <c r="BT136" s="31" t="n"/>
      <c r="BU136" s="31" t="n"/>
      <c r="BV136" s="31" t="n"/>
      <c r="BW136" s="31" t="n"/>
      <c r="BX136" s="31" t="n"/>
      <c r="BY136" s="31" t="n"/>
      <c r="BZ136" s="31" t="n"/>
      <c r="CA136" s="31" t="n"/>
      <c r="CB136" s="31" t="n"/>
      <c r="CC136" s="31" t="n"/>
      <c r="CD136" s="31" t="n"/>
      <c r="CE136" s="31" t="n"/>
      <c r="CF136" s="31" t="n"/>
      <c r="CG136" s="31" t="n"/>
      <c r="CH136" s="31" t="n"/>
      <c r="CI136" s="31" t="n"/>
      <c r="CJ136" s="31" t="n"/>
      <c r="CK136" s="31" t="n"/>
      <c r="CL136" s="31" t="n"/>
      <c r="CM136" s="31" t="n"/>
      <c r="CN136" s="31" t="n"/>
      <c r="CO136" s="31" t="n"/>
      <c r="CP136" s="31" t="n"/>
      <c r="CQ136" s="31" t="n"/>
      <c r="CR136" s="31" t="n"/>
      <c r="CS136" s="31" t="n"/>
      <c r="CT136" s="31" t="n"/>
      <c r="CU136" s="31" t="n"/>
      <c r="CV136" s="31" t="n"/>
      <c r="CW136" s="31" t="n"/>
      <c r="CX136" s="31" t="n"/>
      <c r="CY136" s="31" t="n"/>
    </row>
    <row r="137">
      <c r="C137" s="18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  <c r="AD137" s="3" t="n"/>
      <c r="AE137" s="3" t="n"/>
      <c r="AF137" s="3" t="n"/>
      <c r="AG137" s="3" t="n"/>
      <c r="AH137" s="3" t="n"/>
      <c r="AI137" s="3" t="n"/>
      <c r="AJ137" s="3" t="n"/>
      <c r="AK137" s="3" t="n"/>
      <c r="AL137" s="3" t="n"/>
      <c r="AM137" s="3" t="n"/>
      <c r="AN137" s="3" t="n"/>
      <c r="AO137" s="3" t="n"/>
      <c r="AP137" s="3" t="n"/>
      <c r="AQ137" s="3" t="n"/>
      <c r="AR137" s="3" t="n"/>
      <c r="AS137" s="3" t="n"/>
      <c r="AT137" s="3" t="n"/>
      <c r="AU137" s="3" t="n"/>
      <c r="AV137" s="3" t="n"/>
      <c r="AW137" s="3" t="n"/>
      <c r="AX137" s="3" t="n"/>
      <c r="AY137" s="3" t="n"/>
      <c r="AZ137" s="3" t="n"/>
      <c r="BA137" s="3" t="n"/>
      <c r="BB137" s="3" t="n"/>
      <c r="BC137" s="3" t="n"/>
      <c r="BD137" s="3" t="n"/>
      <c r="BE137" s="3" t="n"/>
      <c r="BF137" s="3" t="n"/>
      <c r="BG137" s="3" t="n"/>
      <c r="BH137" s="3" t="n"/>
      <c r="BI137" s="3" t="n"/>
      <c r="BJ137" s="3" t="n"/>
      <c r="BK137" s="3" t="n"/>
      <c r="BL137" s="3" t="n"/>
      <c r="BM137" s="3" t="n"/>
      <c r="BN137" s="3" t="n"/>
      <c r="BO137" s="3" t="n"/>
      <c r="BP137" s="3" t="n"/>
      <c r="BQ137" s="3" t="n"/>
      <c r="BR137" s="3" t="n"/>
      <c r="BS137" s="3" t="n"/>
      <c r="BT137" s="3" t="n"/>
      <c r="BU137" s="3" t="n"/>
      <c r="BV137" s="3" t="n"/>
      <c r="BW137" s="3" t="n"/>
      <c r="BX137" s="3" t="n"/>
      <c r="BY137" s="3" t="n"/>
      <c r="BZ137" s="3" t="n"/>
      <c r="CA137" s="3" t="n"/>
      <c r="CB137" s="3" t="n"/>
      <c r="CC137" s="3" t="n"/>
      <c r="CD137" s="3" t="n"/>
      <c r="CE137" s="3" t="n"/>
      <c r="CF137" s="3" t="n"/>
      <c r="CG137" s="3" t="n"/>
      <c r="CH137" s="3" t="n"/>
      <c r="CI137" s="3" t="n"/>
      <c r="CJ137" s="3" t="n"/>
      <c r="CK137" s="3" t="n"/>
      <c r="CL137" s="3" t="n"/>
      <c r="CM137" s="3" t="n"/>
      <c r="CN137" s="3" t="n"/>
      <c r="CO137" s="3" t="n"/>
      <c r="CP137" s="3" t="n"/>
      <c r="CQ137" s="3" t="n"/>
      <c r="CR137" s="3" t="n"/>
      <c r="CS137" s="3" t="n"/>
      <c r="CT137" s="3" t="n"/>
      <c r="CU137" s="3" t="n"/>
      <c r="CV137" s="3" t="n"/>
      <c r="CW137" s="3" t="n"/>
      <c r="CX137" s="3" t="n"/>
      <c r="CY137" s="3" t="n"/>
    </row>
    <row r="138">
      <c r="C138" s="13" t="inlineStr">
        <is>
          <t>Cash and equivalents (inc. investment securities)</t>
        </is>
      </c>
      <c r="D138" s="46" t="n"/>
      <c r="E138" s="46" t="n"/>
      <c r="F138" s="46" t="n"/>
      <c r="G138" s="46" t="n"/>
      <c r="H138" s="12" t="n"/>
      <c r="I138" s="46">
        <f>'Inputs (2)'!D15</f>
        <v>17141</v>
      </c>
      <c r="J138" s="46">
        <f>'Inputs (2)'!E15</f>
        <v>16229</v>
      </c>
      <c r="K138" s="46">
        <f>'Inputs (2)'!F15</f>
        <v>16095</v>
      </c>
      <c r="L138" s="46">
        <f>'Inputs (2)'!G15</f>
        <v>17707</v>
      </c>
      <c r="M138" s="12">
        <f>'Inputs (2)'!H15</f>
        <v>17707</v>
      </c>
      <c r="N138" s="46">
        <f>'Inputs (2)'!I15</f>
        <v>18013</v>
      </c>
      <c r="O138" s="46">
        <f>'Inputs (2)'!J15</f>
        <v>18915</v>
      </c>
      <c r="P138" s="46">
        <f>'Inputs (2)'!K15</f>
        <v>21107</v>
      </c>
      <c r="Q138" s="46">
        <f>'Inputs (2)'!L15</f>
        <v>22185</v>
      </c>
      <c r="R138" s="12">
        <f>'Inputs (2)'!M15</f>
        <v>22185</v>
      </c>
      <c r="S138" s="46">
        <f>'Inputs (2)'!N15</f>
        <v>22402</v>
      </c>
      <c r="T138" s="46">
        <f>'Inputs (2)'!O15</f>
        <v>23075</v>
      </c>
      <c r="U138" s="46">
        <f>'Inputs (2)'!P15</f>
        <v>26077</v>
      </c>
      <c r="V138" s="46">
        <f>'Inputs (2)'!Q15</f>
        <v>29094</v>
      </c>
      <c r="W138" s="12">
        <f>'Inputs (2)'!R15</f>
        <v>29094</v>
      </c>
      <c r="X138" s="46">
        <f>'Inputs (2)'!S15</f>
        <v>26863</v>
      </c>
      <c r="Y138" s="46">
        <f>'Inputs (2)'!T15</f>
        <v>30720</v>
      </c>
      <c r="Z138" s="46">
        <f>'Inputs (2)'!U15</f>
        <v>33648</v>
      </c>
      <c r="AA138" s="46">
        <f>'Inputs (2)'!V15</f>
        <v>36563</v>
      </c>
      <c r="AB138" s="12">
        <f>'Inputs (2)'!W15</f>
        <v>36563</v>
      </c>
      <c r="AC138" s="46">
        <f>'Inputs (2)'!X15</f>
        <v>36996</v>
      </c>
      <c r="AD138" s="46">
        <f>'Inputs (2)'!Y15</f>
        <v>36782</v>
      </c>
      <c r="AE138" s="46">
        <f>'Inputs (2)'!Z15</f>
        <v>41647</v>
      </c>
      <c r="AF138" s="46">
        <f>'Inputs (2)'!AA15</f>
        <v>44059</v>
      </c>
      <c r="AG138" s="12">
        <f>'Inputs (2)'!AB15</f>
        <v>44059</v>
      </c>
      <c r="AH138" s="12">
        <f>'Inputs (2)'!AC15</f>
        <v>44743</v>
      </c>
      <c r="AI138" s="12">
        <f>'Inputs (2)'!AD15</f>
        <v>43524</v>
      </c>
      <c r="AJ138" s="12">
        <f>AJ267-SUM(AJ139,AJ143,AJ147,AJ148,AJ149,AJ155,AJ160,AJ170,AJ173,AJ174,AJ183)</f>
        <v>40142.1343247547</v>
      </c>
      <c r="AK138" s="12">
        <f>AK267-SUM(AK139,AK143,AK147,AK148,AK149,AK155,AK160,AK170,AK173,AK174,AK183)</f>
        <v>39687.6554478722</v>
      </c>
      <c r="AL138" s="12">
        <f>AK138</f>
        <v>39687.6554478722</v>
      </c>
      <c r="AM138" s="12">
        <f>AM267-SUM(AM139,AM143,AM147,AM148,AM149,AM155,AM160,AM170,AM173,AM174,AM183)</f>
        <v>39133.833085408</v>
      </c>
      <c r="AN138" s="12">
        <f>AN267-SUM(AN139,AN143,AN147,AN148,AN149,AN155,AN160,AN170,AN173,AN174,AN183)</f>
        <v>37041.6508678743</v>
      </c>
      <c r="AO138" s="12">
        <f>AO267-SUM(AO139,AO143,AO147,AO148,AO149,AO155,AO160,AO170,AO173,AO174,AO183)</f>
        <v>35711.1422931302</v>
      </c>
      <c r="AP138" s="12">
        <f>AP267-SUM(AP139,AP143,AP147,AP148,AP149,AP155,AP160,AP170,AP173,AP174,AP183)</f>
        <v>35234.9067994131</v>
      </c>
      <c r="AQ138" s="12">
        <f>AP138</f>
        <v>35234.9067994131</v>
      </c>
      <c r="AR138" s="12">
        <f>AR267-SUM(AR139,AR143,AR147,AR148,AR149,AR155,AR160,AR170,AR173,AR174,AR183)</f>
        <v>34723.0339439019</v>
      </c>
      <c r="AS138" s="12">
        <f>AS267-SUM(AS139,AS143,AS147,AS148,AS149,AS155,AS160,AS170,AS173,AS174,AS183)</f>
        <v>32496.6112995927</v>
      </c>
      <c r="AT138" s="12">
        <f>AT267-SUM(AT139,AT143,AT147,AT148,AT149,AT155,AT160,AT170,AT173,AT174,AT183)</f>
        <v>31109.0617349129</v>
      </c>
      <c r="AU138" s="12">
        <f>AU267-SUM(AU139,AU143,AU147,AU148,AU149,AU155,AU160,AU170,AU173,AU174,AU183)</f>
        <v>30612.4092784496</v>
      </c>
      <c r="AV138" s="12">
        <f>AU138</f>
        <v>30612.4092784496</v>
      </c>
      <c r="AW138" s="12">
        <f>AW267-SUM(AW139,AW143,AW147,AW148,AW149,AW155,AW160,AW170,AW173,AW174,AW183)</f>
        <v>30057.0785110348</v>
      </c>
      <c r="AX138" s="12">
        <f>AX267-SUM(AX139,AX143,AX147,AX148,AX149,AX155,AX160,AX170,AX173,AX174,AX183)</f>
        <v>27792.5700412799</v>
      </c>
      <c r="AY138" s="12">
        <f>AY267-SUM(AY139,AY143,AY147,AY148,AY149,AY155,AY160,AY170,AY173,AY174,AY183)</f>
        <v>26352.471797762</v>
      </c>
      <c r="AZ138" s="12">
        <f>AZ267-SUM(AZ139,AZ143,AZ147,AZ148,AZ149,AZ155,AZ160,AZ170,AZ173,AZ174,AZ183)</f>
        <v>25837.0103336112</v>
      </c>
      <c r="BA138" s="12">
        <f>AZ138</f>
        <v>25837.0103336112</v>
      </c>
      <c r="BB138" s="12">
        <f>BB267-SUM(BB139,BB143,BB147,BB148,BB149,BB155,BB160,BB170,BB173,BB174,BB183)</f>
        <v>25286.5348075746</v>
      </c>
      <c r="BC138" s="12">
        <f>BC267-SUM(BC139,BC143,BC147,BC148,BC149,BC155,BC160,BC170,BC173,BC174,BC183)</f>
        <v>22947.5883917994</v>
      </c>
      <c r="BD138" s="12">
        <f>BD267-SUM(BD139,BD143,BD147,BD148,BD149,BD155,BD160,BD170,BD173,BD174,BD183)</f>
        <v>21460.1518597537</v>
      </c>
      <c r="BE138" s="12">
        <f>BE267-SUM(BE139,BE143,BE147,BE148,BE149,BE155,BE160,BE170,BE173,BE174,BE183)</f>
        <v>20927.7463686068</v>
      </c>
      <c r="BF138" s="12">
        <f>BE138</f>
        <v>20927.7463686068</v>
      </c>
      <c r="BG138" s="12" t="n"/>
      <c r="BH138" s="12" t="n"/>
      <c r="BI138" s="12" t="n"/>
      <c r="BJ138" s="12" t="n"/>
      <c r="BK138" s="12" t="n"/>
      <c r="BL138" s="12" t="n"/>
      <c r="BM138" s="12" t="n"/>
      <c r="BN138" s="12" t="n"/>
      <c r="BO138" s="12" t="n"/>
      <c r="BP138" s="12" t="n"/>
      <c r="BQ138" s="12" t="n"/>
      <c r="BR138" s="12" t="n"/>
      <c r="BS138" s="12" t="n"/>
      <c r="BT138" s="12" t="n"/>
      <c r="BU138" s="12" t="n"/>
      <c r="BV138" s="12" t="n"/>
      <c r="BW138" s="12" t="n"/>
      <c r="BX138" s="12" t="n"/>
      <c r="BY138" s="12" t="n"/>
      <c r="BZ138" s="12" t="n"/>
      <c r="CA138" s="12" t="n"/>
      <c r="CB138" s="12" t="n"/>
      <c r="CC138" s="12" t="n"/>
      <c r="CD138" s="12" t="n"/>
      <c r="CE138" s="12" t="n"/>
      <c r="CF138" s="12" t="n"/>
      <c r="CG138" s="12" t="n"/>
      <c r="CH138" s="12" t="n"/>
      <c r="CI138" s="12" t="n"/>
      <c r="CJ138" s="12" t="n"/>
      <c r="CK138" s="12" t="n"/>
      <c r="CL138" s="12" t="n"/>
      <c r="CM138" s="12" t="n"/>
      <c r="CN138" s="12" t="n"/>
      <c r="CO138" s="12" t="n"/>
      <c r="CP138" s="12" t="n"/>
      <c r="CQ138" s="12" t="n"/>
      <c r="CR138" s="12" t="n"/>
      <c r="CS138" s="12" t="n"/>
      <c r="CT138" s="12" t="n"/>
      <c r="CU138" s="12" t="n"/>
      <c r="CV138" s="12" t="n"/>
      <c r="CW138" s="12" t="n"/>
      <c r="CX138" s="12" t="n"/>
      <c r="CY138" s="12" t="n"/>
    </row>
    <row r="139">
      <c r="C139" s="14" t="inlineStr">
        <is>
          <t>Accounts receivable</t>
        </is>
      </c>
      <c r="D139" s="46" t="n"/>
      <c r="E139" s="46" t="n"/>
      <c r="F139" s="46" t="n"/>
      <c r="G139" s="46" t="n"/>
      <c r="H139" s="12" t="n"/>
      <c r="I139" s="46">
        <f>'Inputs (2)'!D16</f>
        <v>1890</v>
      </c>
      <c r="J139" s="46">
        <f>'Inputs (2)'!E16</f>
        <v>2129</v>
      </c>
      <c r="K139" s="46">
        <f>'Inputs (2)'!F16</f>
        <v>1962</v>
      </c>
      <c r="L139" s="46">
        <f>'Inputs (2)'!G16</f>
        <v>1913</v>
      </c>
      <c r="M139" s="12">
        <f>'Inputs (2)'!H16</f>
        <v>1913</v>
      </c>
      <c r="N139" s="46">
        <f>'Inputs (2)'!I16</f>
        <v>2311</v>
      </c>
      <c r="O139" s="46">
        <f>'Inputs (2)'!J16</f>
        <v>2081</v>
      </c>
      <c r="P139" s="46">
        <f>'Inputs (2)'!K16</f>
        <v>2192</v>
      </c>
      <c r="Q139" s="46">
        <f>'Inputs (2)'!L16</f>
        <v>2952</v>
      </c>
      <c r="R139" s="12">
        <f>'Inputs (2)'!M16</f>
        <v>2952</v>
      </c>
      <c r="S139" s="46">
        <f>'Inputs (2)'!N16</f>
        <v>2993</v>
      </c>
      <c r="T139" s="46">
        <f>'Inputs (2)'!O16</f>
        <v>3447</v>
      </c>
      <c r="U139" s="46">
        <f>'Inputs (2)'!P16</f>
        <v>2520</v>
      </c>
      <c r="V139" s="46">
        <f>'Inputs (2)'!Q16</f>
        <v>3508</v>
      </c>
      <c r="W139" s="12">
        <f>'Inputs (2)'!R16</f>
        <v>3508</v>
      </c>
      <c r="X139" s="46">
        <f>'Inputs (2)'!S16</f>
        <v>3887</v>
      </c>
      <c r="Y139" s="46">
        <f>'Inputs (2)'!T16</f>
        <v>3737</v>
      </c>
      <c r="Z139" s="46">
        <f>'Inputs (2)'!U16</f>
        <v>3313</v>
      </c>
      <c r="AA139" s="46">
        <f>'Inputs (2)'!V16</f>
        <v>4418</v>
      </c>
      <c r="AB139" s="12">
        <f>'Inputs (2)'!W16</f>
        <v>4418</v>
      </c>
      <c r="AC139" s="46">
        <f>'Inputs (2)'!X16</f>
        <v>3782</v>
      </c>
      <c r="AD139" s="46">
        <f>'Inputs (2)'!Y16</f>
        <v>3838</v>
      </c>
      <c r="AE139" s="46">
        <f>'Inputs (2)'!Z16</f>
        <v>4703</v>
      </c>
      <c r="AF139" s="46">
        <f>'Inputs (2)'!AA16</f>
        <v>4576</v>
      </c>
      <c r="AG139" s="12">
        <f>'Inputs (2)'!AB16</f>
        <v>4576</v>
      </c>
      <c r="AH139" s="12">
        <f>'Inputs (2)'!AC16</f>
        <v>3959</v>
      </c>
      <c r="AI139" s="12">
        <f>'Inputs (2)'!AD16</f>
        <v>4087</v>
      </c>
      <c r="AJ139" s="12">
        <f>(AJ140/(AJ$5-AI$5))*AJ$15</f>
        <v>5041.29518639546</v>
      </c>
      <c r="AK139" s="12">
        <f>(AK140/(AK$5-AJ$5))*AK$15</f>
        <v>4468.17196783888</v>
      </c>
      <c r="AL139" s="12">
        <f>AK139</f>
        <v>4468.17196783888</v>
      </c>
      <c r="AM139" s="12">
        <f>(AM140/(AM$5-AL$5))*AM$15</f>
        <v>4106.33435410842</v>
      </c>
      <c r="AN139" s="12">
        <f>(AN140/(AN$5-AM$5))*AN$15</f>
        <v>5122.27274464845</v>
      </c>
      <c r="AO139" s="12">
        <f>(AO140/(AO$5-AN$5))*AO$15</f>
        <v>5282.62989588271</v>
      </c>
      <c r="AP139" s="12">
        <f>(AP140/(AP$5-AO$5))*AP$15</f>
        <v>4682.07036972327</v>
      </c>
      <c r="AQ139" s="12">
        <f>AP139</f>
        <v>4682.07036972327</v>
      </c>
      <c r="AR139" s="12">
        <f>(AR140/(AR$5-AQ$5))*AR$15</f>
        <v>4235.32023625658</v>
      </c>
      <c r="AS139" s="12">
        <f>(AS140/(AS$5-AR$5))*AS$15</f>
        <v>5341.87261316571</v>
      </c>
      <c r="AT139" s="12">
        <f>(AT140/(AT$5-AS$5))*AT$15</f>
        <v>5509.10452704584</v>
      </c>
      <c r="AU139" s="12">
        <f>(AU140/(AU$5-AT$5))*AU$15</f>
        <v>4882.7980718266</v>
      </c>
      <c r="AV139" s="12">
        <f>AU139</f>
        <v>4882.7980718266</v>
      </c>
      <c r="AW139" s="12">
        <f>(AW140/(AW$5-AV$5))*AW$15</f>
        <v>4444.55977428466</v>
      </c>
      <c r="AX139" s="12">
        <f>(AX140/(AX$5-AW$5))*AX$15</f>
        <v>5544.17770949445</v>
      </c>
      <c r="AY139" s="12">
        <f>(AY140/(AY$5-AX$5))*AY$15</f>
        <v>5717.74295831097</v>
      </c>
      <c r="AZ139" s="12">
        <f>(AZ140/(AZ$5-AY$5))*AZ$15</f>
        <v>5067.71729506679</v>
      </c>
      <c r="BA139" s="12">
        <f>AZ139</f>
        <v>5067.71729506679</v>
      </c>
      <c r="BB139" s="12">
        <f>(BB140/(BB$5-BA$5))*BB$15</f>
        <v>4590.65942680592</v>
      </c>
      <c r="BC139" s="12">
        <f>(BC140/(BC$5-BB$5))*BC$15</f>
        <v>5726.42352865516</v>
      </c>
      <c r="BD139" s="12">
        <f>(BD140/(BD$5-BC$5))*BD$15</f>
        <v>5905.69413949394</v>
      </c>
      <c r="BE139" s="12">
        <f>(BE140/(BE$5-BD$5))*BE$15</f>
        <v>5234.30111292182</v>
      </c>
      <c r="BF139" s="12">
        <f>BE139</f>
        <v>5234.30111292182</v>
      </c>
      <c r="BG139" s="12" t="n"/>
      <c r="BH139" s="12" t="n"/>
      <c r="BI139" s="12" t="n"/>
      <c r="BJ139" s="12" t="n"/>
      <c r="BK139" s="12" t="n"/>
      <c r="BL139" s="12" t="n"/>
      <c r="BM139" s="12" t="n"/>
      <c r="BN139" s="12" t="n"/>
      <c r="BO139" s="12" t="n"/>
      <c r="BP139" s="12" t="n"/>
      <c r="BQ139" s="12" t="n"/>
      <c r="BR139" s="12" t="n"/>
      <c r="BS139" s="12" t="n"/>
      <c r="BT139" s="12" t="n"/>
      <c r="BU139" s="12" t="n"/>
      <c r="BV139" s="12" t="n"/>
      <c r="BW139" s="12" t="n"/>
      <c r="BX139" s="12" t="n"/>
      <c r="BY139" s="12" t="n"/>
      <c r="BZ139" s="12" t="n"/>
      <c r="CA139" s="12" t="n"/>
      <c r="CB139" s="12" t="n"/>
      <c r="CC139" s="12" t="n"/>
      <c r="CD139" s="12" t="n"/>
      <c r="CE139" s="12" t="n"/>
      <c r="CF139" s="12" t="n"/>
      <c r="CG139" s="12" t="n"/>
      <c r="CH139" s="12" t="n"/>
      <c r="CI139" s="12" t="n"/>
      <c r="CJ139" s="12" t="n"/>
      <c r="CK139" s="12" t="n"/>
      <c r="CL139" s="12" t="n"/>
      <c r="CM139" s="12" t="n"/>
      <c r="CN139" s="12" t="n"/>
      <c r="CO139" s="12" t="n"/>
      <c r="CP139" s="12" t="n"/>
      <c r="CQ139" s="12" t="n"/>
      <c r="CR139" s="12" t="n"/>
      <c r="CS139" s="12" t="n"/>
      <c r="CT139" s="12" t="n"/>
      <c r="CU139" s="12" t="n"/>
      <c r="CV139" s="12" t="n"/>
      <c r="CW139" s="12" t="n"/>
      <c r="CX139" s="12" t="n"/>
      <c r="CY139" s="12" t="n"/>
    </row>
    <row r="140" hidden="1" outlineLevel="1">
      <c r="C140" s="57" t="inlineStr">
        <is>
          <t>DSO</t>
        </is>
      </c>
      <c r="D140" s="12" t="n"/>
      <c r="E140" s="12" t="n"/>
      <c r="F140" s="12" t="n"/>
      <c r="G140" s="12" t="n"/>
      <c r="H140" s="12" t="n"/>
      <c r="I140" s="12">
        <f>IFERROR((I139/I$15)*(I$5-H$5),"")</f>
        <v>16.3730869188565</v>
      </c>
      <c r="J140" s="12">
        <f>IFERROR((J139/J$15)*(J$5-I$5),"")</f>
        <v>16.2016223448737</v>
      </c>
      <c r="K140" s="12">
        <f>IFERROR((K139/K$15)*(K$5-J$5),"")</f>
        <v>13.120883913644</v>
      </c>
      <c r="L140" s="12">
        <f>IFERROR((L139/L$15)*(L$5-K$5),"")</f>
        <v>9.93261470737626</v>
      </c>
      <c r="M140" s="12" t="n"/>
      <c r="N140" s="12">
        <f>IFERROR((N139/N$15)*(N$5-M$5),"")</f>
        <v>11.0892514395393</v>
      </c>
      <c r="O140" s="12">
        <f>IFERROR((O139/O$15)*(O$5-N$5),"")</f>
        <v>11.1828865005315</v>
      </c>
      <c r="P140" s="12">
        <f>IFERROR((P139/P$15)*(P$5-O$5),"")</f>
        <v>9.39983219912371</v>
      </c>
      <c r="Q140" s="12">
        <f>IFERROR((Q139/Q$15)*(Q$5-P$5),"")</f>
        <v>11.1680236861584</v>
      </c>
      <c r="R140" s="12" t="n"/>
      <c r="S140" s="12">
        <f>IFERROR((S139/S$15)*(S$5-R$5),"")</f>
        <v>11.5465729349736</v>
      </c>
      <c r="T140" s="12">
        <f>IFERROR((T139/T$15)*(T$5-S$5),"")</f>
        <v>12.5838247683235</v>
      </c>
      <c r="U140" s="12">
        <f>IFERROR((U139/U$15)*(U$5-T$5),"")</f>
        <v>9.92890792291221</v>
      </c>
      <c r="V140" s="12">
        <f>IFERROR((V139/V$15)*(V$5-U$5),"")</f>
        <v>12.8237771685143</v>
      </c>
      <c r="W140" s="12" t="n"/>
      <c r="X140" s="12">
        <f>IFERROR((X139/X$15)*(X$5-W$5),"")</f>
        <v>16.6056523167926</v>
      </c>
      <c r="Y140" s="12">
        <f>IFERROR((Y139/Y$15)*(Y$5-X$5),"")</f>
        <v>13.3359607843137</v>
      </c>
      <c r="Z140" s="12">
        <f>IFERROR((Z139/Z$15)*(Z$5-Y$5),"")</f>
        <v>12.1037248828528</v>
      </c>
      <c r="AA140" s="12">
        <f>IFERROR((AA139/AA$15)*(AA$5-Z$5),"")</f>
        <v>15.8111020344653</v>
      </c>
      <c r="AB140" s="12" t="n"/>
      <c r="AC140" s="12">
        <f>IFERROR((AC139/AC$15)*(AC$5-AB$5),"")</f>
        <v>17.6043444530644</v>
      </c>
      <c r="AD140" s="12">
        <f>IFERROR((AD139/AD$15)*(AD$5-AC$5),"")</f>
        <v>15.5253378378378</v>
      </c>
      <c r="AE140" s="12">
        <f>IFERROR((AE139/AE$15)*(AE$5-AD$5),"")</f>
        <v>15.4004627157857</v>
      </c>
      <c r="AF140" s="11">
        <f>IFERROR((AF139/AF$15)*(AF$5-AE$5),"")</f>
        <v>16.906630255813</v>
      </c>
      <c r="AG140" s="12" t="n"/>
      <c r="AH140" s="11">
        <f>IFERROR((AH139/AH$15)*(AH$5-AG$5),"")</f>
        <v>15.9159333541788</v>
      </c>
      <c r="AI140" s="11">
        <f>IFERROR((AI139/AI$15)*(AI$5-AH$5),"")</f>
        <v>13.1717311233886</v>
      </c>
      <c r="AJ140" s="11">
        <f>Control!$B$25</f>
        <v>15.7540732900114</v>
      </c>
      <c r="AK140" s="11">
        <f>Control!$B$25</f>
        <v>15.7540732900114</v>
      </c>
      <c r="AL140" s="12" t="n"/>
      <c r="AM140" s="11">
        <f>Control!$C$25</f>
        <v>15.7540732900114</v>
      </c>
      <c r="AN140" s="11">
        <f>Control!$C$25</f>
        <v>15.7540732900114</v>
      </c>
      <c r="AO140" s="11">
        <f>Control!$C$25</f>
        <v>15.7540732900114</v>
      </c>
      <c r="AP140" s="11">
        <f>Control!$C$25</f>
        <v>15.7540732900114</v>
      </c>
      <c r="AQ140" s="12" t="n"/>
      <c r="AR140" s="11">
        <f>Control!$D$25</f>
        <v>15.7540732900114</v>
      </c>
      <c r="AS140" s="11">
        <f>Control!$D$25</f>
        <v>15.7540732900114</v>
      </c>
      <c r="AT140" s="11">
        <f>Control!$D$25</f>
        <v>15.7540732900114</v>
      </c>
      <c r="AU140" s="11">
        <f>Control!$D$25</f>
        <v>15.7540732900114</v>
      </c>
      <c r="AV140" s="12" t="n"/>
      <c r="AW140" s="11">
        <f>Control!$E$25</f>
        <v>15.7540732900114</v>
      </c>
      <c r="AX140" s="11">
        <f>Control!$E$25</f>
        <v>15.7540732900114</v>
      </c>
      <c r="AY140" s="11">
        <f>Control!$E$25</f>
        <v>15.7540732900114</v>
      </c>
      <c r="AZ140" s="11">
        <f>Control!$E$25</f>
        <v>15.7540732900114</v>
      </c>
      <c r="BA140" s="12" t="n"/>
      <c r="BB140" s="11">
        <f>Control!$F$25</f>
        <v>15.7540732900114</v>
      </c>
      <c r="BC140" s="11">
        <f>Control!$F$25</f>
        <v>15.7540732900114</v>
      </c>
      <c r="BD140" s="11">
        <f>Control!$F$25</f>
        <v>15.7540732900114</v>
      </c>
      <c r="BE140" s="11">
        <f>Control!$F$25</f>
        <v>15.7540732900114</v>
      </c>
      <c r="BF140" s="12" t="n"/>
      <c r="BG140" s="11" t="n"/>
      <c r="BH140" s="11" t="n"/>
      <c r="BI140" s="11" t="n"/>
      <c r="BJ140" s="11" t="n"/>
      <c r="BK140" s="12" t="n"/>
      <c r="BL140" s="11" t="n"/>
      <c r="BM140" s="11" t="n"/>
      <c r="BN140" s="11" t="n"/>
      <c r="BO140" s="11" t="n"/>
      <c r="BP140" s="12" t="n"/>
      <c r="BQ140" s="11" t="n"/>
      <c r="BR140" s="11" t="n"/>
      <c r="BS140" s="11" t="n"/>
      <c r="BT140" s="11" t="n"/>
      <c r="BU140" s="12" t="n"/>
      <c r="BV140" s="11" t="n"/>
      <c r="BW140" s="11" t="n"/>
      <c r="BX140" s="11" t="n"/>
      <c r="BY140" s="11" t="n"/>
      <c r="BZ140" s="12" t="n"/>
      <c r="CA140" s="11" t="n"/>
      <c r="CB140" s="11" t="n"/>
      <c r="CC140" s="11" t="n"/>
      <c r="CD140" s="11" t="n"/>
      <c r="CE140" s="12" t="n"/>
      <c r="CF140" s="11" t="n"/>
      <c r="CG140" s="11" t="n"/>
      <c r="CH140" s="11" t="n"/>
      <c r="CI140" s="11" t="n"/>
      <c r="CJ140" s="12" t="n"/>
      <c r="CK140" s="11" t="n"/>
      <c r="CL140" s="11" t="n"/>
      <c r="CM140" s="11" t="n"/>
      <c r="CN140" s="11" t="n"/>
      <c r="CO140" s="12" t="n"/>
      <c r="CP140" s="11" t="n"/>
      <c r="CQ140" s="11" t="n"/>
      <c r="CR140" s="11" t="n"/>
      <c r="CS140" s="11" t="n"/>
      <c r="CT140" s="12" t="n"/>
      <c r="CU140" s="11" t="n"/>
      <c r="CV140" s="11" t="n"/>
      <c r="CW140" s="11" t="n"/>
      <c r="CX140" s="11" t="n"/>
      <c r="CY140" s="12" t="n"/>
    </row>
    <row r="141" hidden="1" outlineLevel="1">
      <c r="C141" s="57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  <c r="AJ141" s="12" t="n"/>
      <c r="AK141" s="12" t="n"/>
      <c r="AL141" s="12" t="n"/>
      <c r="AM141" s="12" t="n"/>
      <c r="AN141" s="12" t="n"/>
      <c r="AO141" s="12" t="n"/>
      <c r="AP141" s="12" t="n"/>
      <c r="AQ141" s="12" t="n"/>
      <c r="AR141" s="12" t="n"/>
      <c r="AS141" s="12" t="n"/>
      <c r="AT141" s="12" t="n"/>
      <c r="AU141" s="12" t="n"/>
      <c r="AV141" s="12" t="n"/>
      <c r="AW141" s="12" t="n"/>
      <c r="AX141" s="12" t="n"/>
      <c r="AY141" s="12" t="n"/>
      <c r="AZ141" s="12" t="n"/>
      <c r="BA141" s="12" t="n"/>
      <c r="BB141" s="12" t="n"/>
      <c r="BC141" s="12" t="n"/>
      <c r="BD141" s="12" t="n"/>
      <c r="BE141" s="12" t="n"/>
      <c r="BF141" s="12" t="n"/>
      <c r="BG141" s="12" t="n"/>
      <c r="BH141" s="12" t="n"/>
      <c r="BI141" s="12" t="n"/>
      <c r="BJ141" s="12" t="n"/>
      <c r="BK141" s="12" t="n"/>
      <c r="BL141" s="12" t="n"/>
      <c r="BM141" s="12" t="n"/>
      <c r="BN141" s="12" t="n"/>
      <c r="BO141" s="12" t="n"/>
      <c r="BP141" s="12" t="n"/>
      <c r="BQ141" s="12" t="n"/>
      <c r="BR141" s="12" t="n"/>
      <c r="BS141" s="12" t="n"/>
      <c r="BT141" s="12" t="n"/>
      <c r="BU141" s="12" t="n"/>
      <c r="BV141" s="12" t="n"/>
      <c r="BW141" s="12" t="n"/>
      <c r="BX141" s="12" t="n"/>
      <c r="BY141" s="12" t="n"/>
      <c r="BZ141" s="12" t="n"/>
      <c r="CA141" s="12" t="n"/>
      <c r="CB141" s="12" t="n"/>
      <c r="CC141" s="12" t="n"/>
      <c r="CD141" s="12" t="n"/>
      <c r="CE141" s="12" t="n"/>
      <c r="CF141" s="12" t="n"/>
      <c r="CG141" s="12" t="n"/>
      <c r="CH141" s="12" t="n"/>
      <c r="CI141" s="12" t="n"/>
      <c r="CJ141" s="12" t="n"/>
      <c r="CK141" s="12" t="n"/>
      <c r="CL141" s="12" t="n"/>
      <c r="CM141" s="12" t="n"/>
      <c r="CN141" s="12" t="n"/>
      <c r="CO141" s="12" t="n"/>
      <c r="CP141" s="12" t="n"/>
      <c r="CQ141" s="12" t="n"/>
      <c r="CR141" s="12" t="n"/>
      <c r="CS141" s="12" t="n"/>
      <c r="CT141" s="12" t="n"/>
      <c r="CU141" s="12" t="n"/>
      <c r="CV141" s="12" t="n"/>
      <c r="CW141" s="12" t="n"/>
      <c r="CX141" s="12" t="n"/>
      <c r="CY141" s="12" t="n"/>
    </row>
    <row r="142" hidden="1" outlineLevel="1">
      <c r="C142" s="57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  <c r="AJ142" s="12" t="n"/>
      <c r="AK142" s="12" t="n"/>
      <c r="AL142" s="12" t="n"/>
      <c r="AM142" s="12" t="n"/>
      <c r="AN142" s="12" t="n"/>
      <c r="AO142" s="12" t="n"/>
      <c r="AP142" s="12" t="n"/>
      <c r="AQ142" s="12" t="n"/>
      <c r="AR142" s="12" t="n"/>
      <c r="AS142" s="12" t="n"/>
      <c r="AT142" s="12" t="n"/>
      <c r="AU142" s="12" t="n"/>
      <c r="AV142" s="12" t="n"/>
      <c r="AW142" s="12" t="n"/>
      <c r="AX142" s="12" t="n"/>
      <c r="AY142" s="12" t="n"/>
      <c r="AZ142" s="12" t="n"/>
      <c r="BA142" s="12" t="n"/>
      <c r="BB142" s="12" t="n"/>
      <c r="BC142" s="12" t="n"/>
      <c r="BD142" s="12" t="n"/>
      <c r="BE142" s="12" t="n"/>
      <c r="BF142" s="12" t="n"/>
      <c r="BG142" s="12" t="n"/>
      <c r="BH142" s="12" t="n"/>
      <c r="BI142" s="12" t="n"/>
      <c r="BJ142" s="12" t="n"/>
      <c r="BK142" s="12" t="n"/>
      <c r="BL142" s="12" t="n"/>
      <c r="BM142" s="12" t="n"/>
      <c r="BN142" s="12" t="n"/>
      <c r="BO142" s="12" t="n"/>
      <c r="BP142" s="12" t="n"/>
      <c r="BQ142" s="12" t="n"/>
      <c r="BR142" s="12" t="n"/>
      <c r="BS142" s="12" t="n"/>
      <c r="BT142" s="12" t="n"/>
      <c r="BU142" s="12" t="n"/>
      <c r="BV142" s="12" t="n"/>
      <c r="BW142" s="12" t="n"/>
      <c r="BX142" s="12" t="n"/>
      <c r="BY142" s="12" t="n"/>
      <c r="BZ142" s="12" t="n"/>
      <c r="CA142" s="12" t="n"/>
      <c r="CB142" s="12" t="n"/>
      <c r="CC142" s="12" t="n"/>
      <c r="CD142" s="12" t="n"/>
      <c r="CE142" s="12" t="n"/>
      <c r="CF142" s="12" t="n"/>
      <c r="CG142" s="12" t="n"/>
      <c r="CH142" s="12" t="n"/>
      <c r="CI142" s="12" t="n"/>
      <c r="CJ142" s="12" t="n"/>
      <c r="CK142" s="12" t="n"/>
      <c r="CL142" s="12" t="n"/>
      <c r="CM142" s="12" t="n"/>
      <c r="CN142" s="12" t="n"/>
      <c r="CO142" s="12" t="n"/>
      <c r="CP142" s="12" t="n"/>
      <c r="CQ142" s="12" t="n"/>
      <c r="CR142" s="12" t="n"/>
      <c r="CS142" s="12" t="n"/>
      <c r="CT142" s="12" t="n"/>
      <c r="CU142" s="12" t="n"/>
      <c r="CV142" s="12" t="n"/>
      <c r="CW142" s="12" t="n"/>
      <c r="CX142" s="12" t="n"/>
      <c r="CY142" s="12" t="n"/>
    </row>
    <row r="143" collapsed="1">
      <c r="C143" s="14" t="inlineStr">
        <is>
          <t>Inventories</t>
        </is>
      </c>
      <c r="D143" s="46" t="n"/>
      <c r="E143" s="46" t="n"/>
      <c r="F143" s="46" t="n"/>
      <c r="G143" s="46" t="n"/>
      <c r="H143" s="12" t="n"/>
      <c r="I143" s="46">
        <f>'Inputs (2)'!D17</f>
        <v>4132</v>
      </c>
      <c r="J143" s="46">
        <f>'Inputs (2)'!E17</f>
        <v>4733</v>
      </c>
      <c r="K143" s="46">
        <f>'Inputs (2)'!F17</f>
        <v>5199</v>
      </c>
      <c r="L143" s="46">
        <f>'Inputs (2)'!G17</f>
        <v>5757</v>
      </c>
      <c r="M143" s="12">
        <f>'Inputs (2)'!H17</f>
        <v>5757</v>
      </c>
      <c r="N143" s="46">
        <f>'Inputs (2)'!I17</f>
        <v>6691</v>
      </c>
      <c r="O143" s="46">
        <f>'Inputs (2)'!J17</f>
        <v>8108</v>
      </c>
      <c r="P143" s="46">
        <f>'Inputs (2)'!K17</f>
        <v>10327</v>
      </c>
      <c r="Q143" s="46">
        <f>'Inputs (2)'!L17</f>
        <v>12839</v>
      </c>
      <c r="R143" s="12">
        <f>'Inputs (2)'!M17</f>
        <v>12839</v>
      </c>
      <c r="S143" s="46">
        <f>'Inputs (2)'!N17</f>
        <v>14375</v>
      </c>
      <c r="T143" s="46">
        <f>'Inputs (2)'!O17</f>
        <v>14356</v>
      </c>
      <c r="U143" s="46">
        <f>'Inputs (2)'!P17</f>
        <v>13721</v>
      </c>
      <c r="V143" s="46">
        <f>'Inputs (2)'!Q17</f>
        <v>13626</v>
      </c>
      <c r="W143" s="12">
        <f>'Inputs (2)'!R17</f>
        <v>13626</v>
      </c>
      <c r="X143" s="46">
        <f>'Inputs (2)'!S17</f>
        <v>16033</v>
      </c>
      <c r="Y143" s="46">
        <f>'Inputs (2)'!T17</f>
        <v>14195</v>
      </c>
      <c r="Z143" s="46">
        <f>'Inputs (2)'!U17</f>
        <v>14530</v>
      </c>
      <c r="AA143" s="46">
        <f>'Inputs (2)'!V17</f>
        <v>12017</v>
      </c>
      <c r="AB143" s="12">
        <f>'Inputs (2)'!W17</f>
        <v>12017</v>
      </c>
      <c r="AC143" s="46">
        <f>'Inputs (2)'!X17</f>
        <v>13706</v>
      </c>
      <c r="AD143" s="46">
        <f>'Inputs (2)'!Y17</f>
        <v>14570</v>
      </c>
      <c r="AE143" s="46">
        <f>'Inputs (2)'!Z17</f>
        <v>12276</v>
      </c>
      <c r="AF143" s="46">
        <f>'Inputs (2)'!AA17</f>
        <v>12392</v>
      </c>
      <c r="AG143" s="12">
        <f>'Inputs (2)'!AB17</f>
        <v>12392</v>
      </c>
      <c r="AH143" s="12">
        <f>'Inputs (2)'!AC17</f>
        <v>14434</v>
      </c>
      <c r="AI143" s="12">
        <f>'Inputs (2)'!AD17</f>
        <v>13752</v>
      </c>
      <c r="AJ143" s="12">
        <f>(AJ144/(AJ$5-AI$5))*-AJ$48</f>
        <v>16591.6449369609</v>
      </c>
      <c r="AK143" s="12">
        <f>(AK144/(AK$5-AJ$5))*-AK$48</f>
        <v>14705.4120154926</v>
      </c>
      <c r="AL143" s="12">
        <f>AK143</f>
        <v>14705.4120154926</v>
      </c>
      <c r="AM143" s="12">
        <f>(AM144/(AM$5-AL$5))*-AM$48</f>
        <v>13514.5511375074</v>
      </c>
      <c r="AN143" s="12">
        <f>(AN144/(AN$5-AM$5))*-AN$48</f>
        <v>16858.1540074913</v>
      </c>
      <c r="AO143" s="12">
        <f>(AO144/(AO$5-AN$5))*-AO$48</f>
        <v>17385.9130094956</v>
      </c>
      <c r="AP143" s="12">
        <f>(AP144/(AP$5-AO$5))*-AP$48</f>
        <v>15409.3831589055</v>
      </c>
      <c r="AQ143" s="12">
        <f>AP143</f>
        <v>15409.3831589055</v>
      </c>
      <c r="AR143" s="12">
        <f>(AR144/(AR$5-AQ$5))*-AR$48</f>
        <v>13939.0626726102</v>
      </c>
      <c r="AS143" s="12">
        <f>(AS144/(AS$5-AR$5))*-AS$48</f>
        <v>17580.8895173012</v>
      </c>
      <c r="AT143" s="12">
        <f>(AT144/(AT$5-AS$5))*-AT$48</f>
        <v>18131.2743756835</v>
      </c>
      <c r="AU143" s="12">
        <f>(AU144/(AU$5-AT$5))*-AU$48</f>
        <v>16070.0075895673</v>
      </c>
      <c r="AV143" s="12">
        <f>AU143</f>
        <v>16070.0075895673</v>
      </c>
      <c r="AW143" s="12">
        <f>(AW144/(AW$5-AV$5))*-AW$48</f>
        <v>14627.7008089178</v>
      </c>
      <c r="AX143" s="12">
        <f>(AX144/(AX$5-AW$5))*-AX$48</f>
        <v>18246.7053846763</v>
      </c>
      <c r="AY143" s="12">
        <f>(AY144/(AY$5-AX$5))*-AY$48</f>
        <v>18817.9341811036</v>
      </c>
      <c r="AZ143" s="12">
        <f>(AZ144/(AZ$5-AY$5))*-AZ$48</f>
        <v>16678.6039880285</v>
      </c>
      <c r="BA143" s="12">
        <f>AZ143</f>
        <v>16678.6039880285</v>
      </c>
      <c r="BB143" s="12">
        <f>(BB144/(BB$5-BA$5))*-BB$48</f>
        <v>15108.5362828229</v>
      </c>
      <c r="BC143" s="12">
        <f>(BC144/(BC$5-BB$5))*-BC$48</f>
        <v>18846.5032165748</v>
      </c>
      <c r="BD143" s="12">
        <f>(BD144/(BD$5-BC$5))*-BD$48</f>
        <v>19436.5091996991</v>
      </c>
      <c r="BE143" s="12">
        <f>(BE144/(BE$5-BD$5))*-BE$48</f>
        <v>17226.855866941</v>
      </c>
      <c r="BF143" s="12">
        <f>BE143</f>
        <v>17226.855866941</v>
      </c>
      <c r="BG143" s="12" t="n"/>
      <c r="BH143" s="12" t="n"/>
      <c r="BI143" s="12" t="n"/>
      <c r="BJ143" s="12" t="n"/>
      <c r="BK143" s="12" t="n"/>
      <c r="BL143" s="12" t="n"/>
      <c r="BM143" s="12" t="n"/>
      <c r="BN143" s="12" t="n"/>
      <c r="BO143" s="12" t="n"/>
      <c r="BP143" s="12" t="n"/>
      <c r="BQ143" s="12" t="n"/>
      <c r="BR143" s="12" t="n"/>
      <c r="BS143" s="12" t="n"/>
      <c r="BT143" s="12" t="n"/>
      <c r="BU143" s="12" t="n"/>
      <c r="BV143" s="12" t="n"/>
      <c r="BW143" s="12" t="n"/>
      <c r="BX143" s="12" t="n"/>
      <c r="BY143" s="12" t="n"/>
      <c r="BZ143" s="12" t="n"/>
      <c r="CA143" s="12" t="n"/>
      <c r="CB143" s="12" t="n"/>
      <c r="CC143" s="12" t="n"/>
      <c r="CD143" s="12" t="n"/>
      <c r="CE143" s="12" t="n"/>
      <c r="CF143" s="12" t="n"/>
      <c r="CG143" s="12" t="n"/>
      <c r="CH143" s="12" t="n"/>
      <c r="CI143" s="12" t="n"/>
      <c r="CJ143" s="12" t="n"/>
      <c r="CK143" s="12" t="n"/>
      <c r="CL143" s="12" t="n"/>
      <c r="CM143" s="12" t="n"/>
      <c r="CN143" s="12" t="n"/>
      <c r="CO143" s="12" t="n"/>
      <c r="CP143" s="12" t="n"/>
      <c r="CQ143" s="12" t="n"/>
      <c r="CR143" s="12" t="n"/>
      <c r="CS143" s="12" t="n"/>
      <c r="CT143" s="12" t="n"/>
      <c r="CU143" s="12" t="n"/>
      <c r="CV143" s="12" t="n"/>
      <c r="CW143" s="12" t="n"/>
      <c r="CX143" s="12" t="n"/>
      <c r="CY143" s="12" t="n"/>
    </row>
    <row r="144" hidden="1" outlineLevel="1">
      <c r="C144" s="57" t="inlineStr">
        <is>
          <t>DIO</t>
        </is>
      </c>
      <c r="D144" s="12" t="n"/>
      <c r="E144" s="12" t="n"/>
      <c r="F144" s="12" t="n"/>
      <c r="G144" s="12" t="n"/>
      <c r="H144" s="12" t="n"/>
      <c r="I144" s="12">
        <f>IFERROR(((I143/I$48)*(I$5-H$5))*-1,"")</f>
        <v>45.4954734524101</v>
      </c>
      <c r="J144" s="12">
        <f>IFERROR(((J143/J$48)*(J$5-I$5))*-1,"")</f>
        <v>47.4656160458453</v>
      </c>
      <c r="K144" s="12">
        <f>IFERROR(((K143/K$48)*(K$5-J$5))*-1,"")</f>
        <v>47.371298405467</v>
      </c>
      <c r="L144" s="12">
        <f>IFERROR(((L143/L$48)*(L$5-K$5))*-1,"")</f>
        <v>41.1469857054071</v>
      </c>
      <c r="M144" s="12" t="n"/>
      <c r="N144" s="12">
        <f>IFERROR(((N143/N$48)*(N$5-M$5))*-1,"")</f>
        <v>45.2910649819495</v>
      </c>
      <c r="O144" s="12">
        <f>IFERROR(((O143/O$48)*(O$5-N$5))*-1,"")</f>
        <v>58.0966929133858</v>
      </c>
      <c r="P144" s="12">
        <f>IFERROR(((P143/P$48)*(P$5-O$5))*-1,"")</f>
        <v>59.1142359382777</v>
      </c>
      <c r="Q144" s="12">
        <f>IFERROR(((Q143/Q$48)*(Q$5-P$5))*-1,"")</f>
        <v>63.7068119303166</v>
      </c>
      <c r="R144" s="12" t="n"/>
      <c r="S144" s="12">
        <f>IFERROR(((S143/S$48)*(S$5-R$5))*-1,"")</f>
        <v>68.7506642576257</v>
      </c>
      <c r="T144" s="12">
        <f>IFERROR(((T143/T$48)*(T$5-S$5))*-1,"")</f>
        <v>64.0578601549475</v>
      </c>
      <c r="U144" s="12">
        <f>IFERROR(((U143/U$48)*(U$5-T$5))*-1,"")</f>
        <v>65.8424786146464</v>
      </c>
      <c r="V144" s="12">
        <f>IFERROR(((V143/V$48)*(V$5-U$5))*-1,"")</f>
        <v>60.4752761831251</v>
      </c>
      <c r="W144" s="12" t="n"/>
      <c r="X144" s="12">
        <f>IFERROR(((X143/X$48)*(X$5-W$5))*-1,"")</f>
        <v>82.8743538767396</v>
      </c>
      <c r="Y144" s="12">
        <f>IFERROR(((Y143/Y$48)*(Y$5-X$5))*-1,"")</f>
        <v>61.7409903450913</v>
      </c>
      <c r="Z144" s="12">
        <f>IFERROR(((Z143/Z$48)*(Z$5-Y$5))*-1,"")</f>
        <v>66.2254149120634</v>
      </c>
      <c r="AA144" s="12">
        <f>IFERROR(((AA143/AA$48)*(AA$5-Z$5))*-1,"")</f>
        <v>51.3547008547009</v>
      </c>
      <c r="AB144" s="12" t="n"/>
      <c r="AC144" s="12">
        <f>IFERROR(((AC143/AC$48)*(AC$5-AB$5))*-1,"")</f>
        <v>76.2291434927698</v>
      </c>
      <c r="AD144" s="12">
        <f>IFERROR(((AD143/AD$48)*(AD$5-AC$5))*-1,"")</f>
        <v>71.2144161564078</v>
      </c>
      <c r="AE144" s="12">
        <f>IFERROR(((AE143/AE$48)*(AE$5-AD$5))*-1,"")</f>
        <v>49.0166225424244</v>
      </c>
      <c r="AF144" s="11">
        <f>IFERROR(((AF143/AF$48)*(AF$5-AE$5))*-1,"")</f>
        <v>57.3126885179972</v>
      </c>
      <c r="AG144" s="12" t="n"/>
      <c r="AH144" s="11">
        <f>IFERROR(((AH143/AH$48)*(AH$5-AG$5))*-1,"")</f>
        <v>73.5303107488538</v>
      </c>
      <c r="AI144" s="11">
        <f>IFERROR(((AI143/AI$48)*(AI$5-AH$5))*-1,"")</f>
        <v>53.2864381520119</v>
      </c>
      <c r="AJ144" s="11">
        <f>Control!$B$26</f>
        <v>63.4316032684108</v>
      </c>
      <c r="AK144" s="11">
        <f>Control!$B$26</f>
        <v>63.4316032684108</v>
      </c>
      <c r="AL144" s="12" t="n"/>
      <c r="AM144" s="11">
        <f>Control!$C$26</f>
        <v>63.4316032684108</v>
      </c>
      <c r="AN144" s="11">
        <f>Control!$C$26</f>
        <v>63.4316032684108</v>
      </c>
      <c r="AO144" s="11">
        <f>Control!$C$26</f>
        <v>63.4316032684108</v>
      </c>
      <c r="AP144" s="11">
        <f>Control!$C$26</f>
        <v>63.4316032684108</v>
      </c>
      <c r="AQ144" s="12" t="n"/>
      <c r="AR144" s="11">
        <f>Control!$D$26</f>
        <v>63.4316032684108</v>
      </c>
      <c r="AS144" s="11">
        <f>Control!$D$26</f>
        <v>63.4316032684108</v>
      </c>
      <c r="AT144" s="11">
        <f>Control!$D$26</f>
        <v>63.4316032684108</v>
      </c>
      <c r="AU144" s="11">
        <f>Control!$D$26</f>
        <v>63.4316032684108</v>
      </c>
      <c r="AV144" s="12" t="n"/>
      <c r="AW144" s="11">
        <f>Control!$E$26</f>
        <v>63.4316032684108</v>
      </c>
      <c r="AX144" s="11">
        <f>Control!$E$26</f>
        <v>63.4316032684108</v>
      </c>
      <c r="AY144" s="11">
        <f>Control!$E$26</f>
        <v>63.4316032684108</v>
      </c>
      <c r="AZ144" s="11">
        <f>Control!$E$26</f>
        <v>63.4316032684108</v>
      </c>
      <c r="BA144" s="12" t="n"/>
      <c r="BB144" s="11">
        <f>Control!$F$26</f>
        <v>63.4316032684108</v>
      </c>
      <c r="BC144" s="11">
        <f>Control!$F$26</f>
        <v>63.4316032684108</v>
      </c>
      <c r="BD144" s="11">
        <f>Control!$F$26</f>
        <v>63.4316032684108</v>
      </c>
      <c r="BE144" s="11">
        <f>Control!$F$26</f>
        <v>63.4316032684108</v>
      </c>
      <c r="BF144" s="12" t="n"/>
      <c r="BG144" s="11" t="n"/>
      <c r="BH144" s="11" t="n"/>
      <c r="BI144" s="11" t="n"/>
      <c r="BJ144" s="11" t="n"/>
      <c r="BK144" s="12" t="n"/>
      <c r="BL144" s="11" t="n"/>
      <c r="BM144" s="11" t="n"/>
      <c r="BN144" s="11" t="n"/>
      <c r="BO144" s="11" t="n"/>
      <c r="BP144" s="12" t="n"/>
      <c r="BQ144" s="11" t="n"/>
      <c r="BR144" s="11" t="n"/>
      <c r="BS144" s="11" t="n"/>
      <c r="BT144" s="11" t="n"/>
      <c r="BU144" s="12" t="n"/>
      <c r="BV144" s="11" t="n"/>
      <c r="BW144" s="11" t="n"/>
      <c r="BX144" s="11" t="n"/>
      <c r="BY144" s="11" t="n"/>
      <c r="BZ144" s="12" t="n"/>
      <c r="CA144" s="11" t="n"/>
      <c r="CB144" s="11" t="n"/>
      <c r="CC144" s="11" t="n"/>
      <c r="CD144" s="11" t="n"/>
      <c r="CE144" s="12" t="n"/>
      <c r="CF144" s="11" t="n"/>
      <c r="CG144" s="11" t="n"/>
      <c r="CH144" s="11" t="n"/>
      <c r="CI144" s="11" t="n"/>
      <c r="CJ144" s="12" t="n"/>
      <c r="CK144" s="11" t="n"/>
      <c r="CL144" s="11" t="n"/>
      <c r="CM144" s="11" t="n"/>
      <c r="CN144" s="11" t="n"/>
      <c r="CO144" s="12" t="n"/>
      <c r="CP144" s="11" t="n"/>
      <c r="CQ144" s="11" t="n"/>
      <c r="CR144" s="11" t="n"/>
      <c r="CS144" s="11" t="n"/>
      <c r="CT144" s="12" t="n"/>
      <c r="CU144" s="11" t="n"/>
      <c r="CV144" s="11" t="n"/>
      <c r="CW144" s="11" t="n"/>
      <c r="CX144" s="11" t="n"/>
      <c r="CY144" s="12" t="n"/>
    </row>
    <row r="145" hidden="1" outlineLevel="1">
      <c r="C145" s="57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  <c r="AJ145" s="12" t="n"/>
      <c r="AK145" s="12" t="n"/>
      <c r="AL145" s="12" t="n"/>
      <c r="AM145" s="12" t="n"/>
      <c r="AN145" s="12" t="n"/>
      <c r="AO145" s="12" t="n"/>
      <c r="AP145" s="12" t="n"/>
      <c r="AQ145" s="12" t="n"/>
      <c r="AR145" s="12" t="n"/>
      <c r="AS145" s="12" t="n"/>
      <c r="AT145" s="12" t="n"/>
      <c r="AU145" s="12" t="n"/>
      <c r="AV145" s="12" t="n"/>
      <c r="AW145" s="12" t="n"/>
      <c r="AX145" s="12" t="n"/>
      <c r="AY145" s="12" t="n"/>
      <c r="AZ145" s="12" t="n"/>
      <c r="BA145" s="12" t="n"/>
      <c r="BB145" s="12" t="n"/>
      <c r="BC145" s="12" t="n"/>
      <c r="BD145" s="12" t="n"/>
      <c r="BE145" s="12" t="n"/>
      <c r="BF145" s="12" t="n"/>
      <c r="BG145" s="12" t="n"/>
      <c r="BH145" s="12" t="n"/>
      <c r="BI145" s="12" t="n"/>
      <c r="BJ145" s="12" t="n"/>
      <c r="BK145" s="12" t="n"/>
      <c r="BL145" s="12" t="n"/>
      <c r="BM145" s="12" t="n"/>
      <c r="BN145" s="12" t="n"/>
      <c r="BO145" s="12" t="n"/>
      <c r="BP145" s="12" t="n"/>
      <c r="BQ145" s="12" t="n"/>
      <c r="BR145" s="12" t="n"/>
      <c r="BS145" s="12" t="n"/>
      <c r="BT145" s="12" t="n"/>
      <c r="BU145" s="12" t="n"/>
      <c r="BV145" s="12" t="n"/>
      <c r="BW145" s="12" t="n"/>
      <c r="BX145" s="12" t="n"/>
      <c r="BY145" s="12" t="n"/>
      <c r="BZ145" s="12" t="n"/>
      <c r="CA145" s="12" t="n"/>
      <c r="CB145" s="12" t="n"/>
      <c r="CC145" s="12" t="n"/>
      <c r="CD145" s="12" t="n"/>
      <c r="CE145" s="12" t="n"/>
      <c r="CF145" s="12" t="n"/>
      <c r="CG145" s="12" t="n"/>
      <c r="CH145" s="12" t="n"/>
      <c r="CI145" s="12" t="n"/>
      <c r="CJ145" s="12" t="n"/>
      <c r="CK145" s="12" t="n"/>
      <c r="CL145" s="12" t="n"/>
      <c r="CM145" s="12" t="n"/>
      <c r="CN145" s="12" t="n"/>
      <c r="CO145" s="12" t="n"/>
      <c r="CP145" s="12" t="n"/>
      <c r="CQ145" s="12" t="n"/>
      <c r="CR145" s="12" t="n"/>
      <c r="CS145" s="12" t="n"/>
      <c r="CT145" s="12" t="n"/>
      <c r="CU145" s="12" t="n"/>
      <c r="CV145" s="12" t="n"/>
      <c r="CW145" s="12" t="n"/>
      <c r="CX145" s="12" t="n"/>
      <c r="CY145" s="12" t="n"/>
    </row>
    <row r="146" hidden="1" outlineLevel="1">
      <c r="C146" s="57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  <c r="AJ146" s="12" t="n"/>
      <c r="AK146" s="12" t="n"/>
      <c r="AL146" s="12" t="n"/>
      <c r="AM146" s="12" t="n"/>
      <c r="AN146" s="12" t="n"/>
      <c r="AO146" s="12" t="n"/>
      <c r="AP146" s="12" t="n"/>
      <c r="AQ146" s="12" t="n"/>
      <c r="AR146" s="12" t="n"/>
      <c r="AS146" s="12" t="n"/>
      <c r="AT146" s="12" t="n"/>
      <c r="AU146" s="12" t="n"/>
      <c r="AV146" s="12" t="n"/>
      <c r="AW146" s="12" t="n"/>
      <c r="AX146" s="12" t="n"/>
      <c r="AY146" s="12" t="n"/>
      <c r="AZ146" s="12" t="n"/>
      <c r="BA146" s="12" t="n"/>
      <c r="BB146" s="12" t="n"/>
      <c r="BC146" s="12" t="n"/>
      <c r="BD146" s="12" t="n"/>
      <c r="BE146" s="12" t="n"/>
      <c r="BF146" s="12" t="n"/>
      <c r="BG146" s="12" t="n"/>
      <c r="BH146" s="12" t="n"/>
      <c r="BI146" s="12" t="n"/>
      <c r="BJ146" s="12" t="n"/>
      <c r="BK146" s="12" t="n"/>
      <c r="BL146" s="12" t="n"/>
      <c r="BM146" s="12" t="n"/>
      <c r="BN146" s="12" t="n"/>
      <c r="BO146" s="12" t="n"/>
      <c r="BP146" s="12" t="n"/>
      <c r="BQ146" s="12" t="n"/>
      <c r="BR146" s="12" t="n"/>
      <c r="BS146" s="12" t="n"/>
      <c r="BT146" s="12" t="n"/>
      <c r="BU146" s="12" t="n"/>
      <c r="BV146" s="12" t="n"/>
      <c r="BW146" s="12" t="n"/>
      <c r="BX146" s="12" t="n"/>
      <c r="BY146" s="12" t="n"/>
      <c r="BZ146" s="12" t="n"/>
      <c r="CA146" s="12" t="n"/>
      <c r="CB146" s="12" t="n"/>
      <c r="CC146" s="12" t="n"/>
      <c r="CD146" s="12" t="n"/>
      <c r="CE146" s="12" t="n"/>
      <c r="CF146" s="12" t="n"/>
      <c r="CG146" s="12" t="n"/>
      <c r="CH146" s="12" t="n"/>
      <c r="CI146" s="12" t="n"/>
      <c r="CJ146" s="12" t="n"/>
      <c r="CK146" s="12" t="n"/>
      <c r="CL146" s="12" t="n"/>
      <c r="CM146" s="12" t="n"/>
      <c r="CN146" s="12" t="n"/>
      <c r="CO146" s="12" t="n"/>
      <c r="CP146" s="12" t="n"/>
      <c r="CQ146" s="12" t="n"/>
      <c r="CR146" s="12" t="n"/>
      <c r="CS146" s="12" t="n"/>
      <c r="CT146" s="12" t="n"/>
      <c r="CU146" s="12" t="n"/>
      <c r="CV146" s="12" t="n"/>
      <c r="CW146" s="12" t="n"/>
      <c r="CX146" s="12" t="n"/>
      <c r="CY146" s="12" t="n"/>
    </row>
    <row r="147" collapsed="1">
      <c r="C147" s="14" t="inlineStr">
        <is>
          <t>Deferred income taxes</t>
        </is>
      </c>
      <c r="D147" s="46" t="n"/>
      <c r="E147" s="46" t="n"/>
      <c r="F147" s="46" t="n"/>
      <c r="G147" s="46" t="n"/>
      <c r="H147" s="12" t="n"/>
      <c r="I147" s="46">
        <f>'Inputs (2)'!D18</f>
        <v>0</v>
      </c>
      <c r="J147" s="46">
        <f>'Inputs (2)'!E18</f>
        <v>0</v>
      </c>
      <c r="K147" s="46">
        <f>'Inputs (2)'!F18</f>
        <v>0</v>
      </c>
      <c r="L147" s="46">
        <f>'Inputs (2)'!G18</f>
        <v>0</v>
      </c>
      <c r="M147" s="12">
        <f>'Inputs (2)'!H18</f>
        <v>0</v>
      </c>
      <c r="N147" s="46">
        <f>'Inputs (2)'!I18</f>
        <v>0</v>
      </c>
      <c r="O147" s="46">
        <f>'Inputs (2)'!J18</f>
        <v>0</v>
      </c>
      <c r="P147" s="46">
        <f>'Inputs (2)'!K18</f>
        <v>0</v>
      </c>
      <c r="Q147" s="46">
        <f>'Inputs (2)'!L18</f>
        <v>0</v>
      </c>
      <c r="R147" s="12">
        <f>'Inputs (2)'!M18</f>
        <v>0</v>
      </c>
      <c r="S147" s="46">
        <f>'Inputs (2)'!N18</f>
        <v>0</v>
      </c>
      <c r="T147" s="46">
        <f>'Inputs (2)'!O18</f>
        <v>0</v>
      </c>
      <c r="U147" s="46">
        <f>'Inputs (2)'!P18</f>
        <v>0</v>
      </c>
      <c r="V147" s="46">
        <f>'Inputs (2)'!Q18</f>
        <v>6733</v>
      </c>
      <c r="W147" s="12">
        <f>'Inputs (2)'!R18</f>
        <v>6733</v>
      </c>
      <c r="X147" s="46">
        <f>'Inputs (2)'!S18</f>
        <v>6769</v>
      </c>
      <c r="Y147" s="46">
        <f>'Inputs (2)'!T18</f>
        <v>6692</v>
      </c>
      <c r="Z147" s="46">
        <f>'Inputs (2)'!U18</f>
        <v>6486</v>
      </c>
      <c r="AA147" s="46">
        <f>'Inputs (2)'!V18</f>
        <v>6524</v>
      </c>
      <c r="AB147" s="12">
        <f>'Inputs (2)'!W18</f>
        <v>6524</v>
      </c>
      <c r="AC147" s="46">
        <f>'Inputs (2)'!X18</f>
        <v>6687</v>
      </c>
      <c r="AD147" s="46">
        <f>'Inputs (2)'!Y18</f>
        <v>6721</v>
      </c>
      <c r="AE147" s="46">
        <f>'Inputs (2)'!Z18</f>
        <v>6637</v>
      </c>
      <c r="AF147" s="46">
        <f>'Inputs (2)'!AA18</f>
        <v>6925</v>
      </c>
      <c r="AG147" s="12">
        <f>'Inputs (2)'!AB18</f>
        <v>6925</v>
      </c>
      <c r="AH147" s="12">
        <f>'Inputs (2)'!AC18</f>
        <v>7060</v>
      </c>
      <c r="AI147" s="12">
        <f>'Inputs (2)'!AD18</f>
        <v>7235</v>
      </c>
      <c r="AJ147" s="12">
        <f>AI147</f>
        <v>7235</v>
      </c>
      <c r="AK147" s="12">
        <f>AJ147</f>
        <v>7235</v>
      </c>
      <c r="AL147" s="12">
        <f>AK147</f>
        <v>7235</v>
      </c>
      <c r="AM147" s="12">
        <f>AL147</f>
        <v>7235</v>
      </c>
      <c r="AN147" s="12">
        <f>AM147</f>
        <v>7235</v>
      </c>
      <c r="AO147" s="12">
        <f>AN147</f>
        <v>7235</v>
      </c>
      <c r="AP147" s="12">
        <f>AO147</f>
        <v>7235</v>
      </c>
      <c r="AQ147" s="12">
        <f>AP147</f>
        <v>7235</v>
      </c>
      <c r="AR147" s="12">
        <f>AQ147</f>
        <v>7235</v>
      </c>
      <c r="AS147" s="12">
        <f>AR147</f>
        <v>7235</v>
      </c>
      <c r="AT147" s="12">
        <f>AS147</f>
        <v>7235</v>
      </c>
      <c r="AU147" s="12">
        <f>AT147</f>
        <v>7235</v>
      </c>
      <c r="AV147" s="12">
        <f>AU147</f>
        <v>7235</v>
      </c>
      <c r="AW147" s="12">
        <f>AV147</f>
        <v>7235</v>
      </c>
      <c r="AX147" s="12">
        <f>AW147</f>
        <v>7235</v>
      </c>
      <c r="AY147" s="12">
        <f>AX147</f>
        <v>7235</v>
      </c>
      <c r="AZ147" s="12">
        <f>AY147</f>
        <v>7235</v>
      </c>
      <c r="BA147" s="12">
        <f>AZ147</f>
        <v>7235</v>
      </c>
      <c r="BB147" s="12">
        <f>BA147</f>
        <v>7235</v>
      </c>
      <c r="BC147" s="12">
        <f>BB147</f>
        <v>7235</v>
      </c>
      <c r="BD147" s="12">
        <f>BC147</f>
        <v>7235</v>
      </c>
      <c r="BE147" s="12">
        <f>BD147</f>
        <v>7235</v>
      </c>
      <c r="BF147" s="12">
        <f>BE147</f>
        <v>7235</v>
      </c>
      <c r="BG147" s="12" t="n"/>
      <c r="BH147" s="12" t="n"/>
      <c r="BI147" s="12" t="n"/>
      <c r="BJ147" s="12" t="n"/>
      <c r="BK147" s="12" t="n"/>
      <c r="BL147" s="12" t="n"/>
      <c r="BM147" s="12" t="n"/>
      <c r="BN147" s="12" t="n"/>
      <c r="BO147" s="12" t="n"/>
      <c r="BP147" s="12" t="n"/>
      <c r="BQ147" s="12" t="n"/>
      <c r="BR147" s="12" t="n"/>
      <c r="BS147" s="12" t="n"/>
      <c r="BT147" s="12" t="n"/>
      <c r="BU147" s="12" t="n"/>
      <c r="BV147" s="12" t="n"/>
      <c r="BW147" s="12" t="n"/>
      <c r="BX147" s="12" t="n"/>
      <c r="BY147" s="12" t="n"/>
      <c r="BZ147" s="12" t="n"/>
      <c r="CA147" s="12" t="n"/>
      <c r="CB147" s="12" t="n"/>
      <c r="CC147" s="12" t="n"/>
      <c r="CD147" s="12" t="n"/>
      <c r="CE147" s="12" t="n"/>
      <c r="CF147" s="12" t="n"/>
      <c r="CG147" s="12" t="n"/>
      <c r="CH147" s="12" t="n"/>
      <c r="CI147" s="12" t="n"/>
      <c r="CJ147" s="12" t="n"/>
      <c r="CK147" s="12" t="n"/>
      <c r="CL147" s="12" t="n"/>
      <c r="CM147" s="12" t="n"/>
      <c r="CN147" s="12" t="n"/>
      <c r="CO147" s="12" t="n"/>
      <c r="CP147" s="12" t="n"/>
      <c r="CQ147" s="12" t="n"/>
      <c r="CR147" s="12" t="n"/>
      <c r="CS147" s="12" t="n"/>
      <c r="CT147" s="12" t="n"/>
      <c r="CU147" s="12" t="n"/>
      <c r="CV147" s="12" t="n"/>
      <c r="CW147" s="12" t="n"/>
      <c r="CX147" s="12" t="n"/>
      <c r="CY147" s="12" t="n"/>
    </row>
    <row r="148">
      <c r="C148" s="14" t="inlineStr">
        <is>
          <t>Prepaid expenses</t>
        </is>
      </c>
      <c r="D148" s="46" t="n"/>
      <c r="E148" s="46" t="n"/>
      <c r="F148" s="46" t="n"/>
      <c r="G148" s="46" t="n"/>
      <c r="H148" s="12" t="n"/>
      <c r="I148" s="46">
        <f>'Inputs (2)'!D19</f>
        <v>0</v>
      </c>
      <c r="J148" s="46">
        <f>'Inputs (2)'!E19</f>
        <v>0</v>
      </c>
      <c r="K148" s="46">
        <f>'Inputs (2)'!F19</f>
        <v>0</v>
      </c>
      <c r="L148" s="46">
        <f>'Inputs (2)'!G19</f>
        <v>0</v>
      </c>
      <c r="M148" s="12">
        <f>'Inputs (2)'!H19</f>
        <v>0</v>
      </c>
      <c r="N148" s="46">
        <f>'Inputs (2)'!I19</f>
        <v>0</v>
      </c>
      <c r="O148" s="46">
        <f>'Inputs (2)'!J19</f>
        <v>0</v>
      </c>
      <c r="P148" s="46">
        <f>'Inputs (2)'!K19</f>
        <v>0</v>
      </c>
      <c r="Q148" s="46">
        <f>'Inputs (2)'!L19</f>
        <v>0</v>
      </c>
      <c r="R148" s="12">
        <f>'Inputs (2)'!M19</f>
        <v>0</v>
      </c>
      <c r="S148" s="46">
        <f>'Inputs (2)'!N19</f>
        <v>0</v>
      </c>
      <c r="T148" s="46">
        <f>'Inputs (2)'!O19</f>
        <v>0</v>
      </c>
      <c r="U148" s="46">
        <f>'Inputs (2)'!P19</f>
        <v>0</v>
      </c>
      <c r="V148" s="46">
        <f>'Inputs (2)'!Q19</f>
        <v>0</v>
      </c>
      <c r="W148" s="12">
        <f>'Inputs (2)'!R19</f>
        <v>0</v>
      </c>
      <c r="X148" s="46">
        <f>'Inputs (2)'!S19</f>
        <v>0</v>
      </c>
      <c r="Y148" s="46">
        <f>'Inputs (2)'!T19</f>
        <v>0</v>
      </c>
      <c r="Z148" s="46">
        <f>'Inputs (2)'!U19</f>
        <v>0</v>
      </c>
      <c r="AA148" s="46">
        <f>'Inputs (2)'!V19</f>
        <v>0</v>
      </c>
      <c r="AB148" s="12">
        <f>'Inputs (2)'!W19</f>
        <v>0</v>
      </c>
      <c r="AC148" s="46">
        <f>'Inputs (2)'!X19</f>
        <v>0</v>
      </c>
      <c r="AD148" s="46">
        <f>'Inputs (2)'!Y19</f>
        <v>0</v>
      </c>
      <c r="AE148" s="46">
        <f>'Inputs (2)'!Z19</f>
        <v>0</v>
      </c>
      <c r="AF148" s="46">
        <f>'Inputs (2)'!AA19</f>
        <v>0</v>
      </c>
      <c r="AG148" s="12">
        <f>'Inputs (2)'!AB19</f>
        <v>0</v>
      </c>
      <c r="AH148" s="12">
        <f>'Inputs (2)'!AC19</f>
        <v>0</v>
      </c>
      <c r="AI148" s="12">
        <f>'Inputs (2)'!AD19</f>
        <v>0</v>
      </c>
      <c r="AJ148" s="12">
        <f>AI148</f>
        <v>0</v>
      </c>
      <c r="AK148" s="12">
        <f>AJ148</f>
        <v>0</v>
      </c>
      <c r="AL148" s="12">
        <f>AK148</f>
        <v>0</v>
      </c>
      <c r="AM148" s="12">
        <f>AL148</f>
        <v>0</v>
      </c>
      <c r="AN148" s="12">
        <f>AM148</f>
        <v>0</v>
      </c>
      <c r="AO148" s="12">
        <f>AN148</f>
        <v>0</v>
      </c>
      <c r="AP148" s="12">
        <f>AO148</f>
        <v>0</v>
      </c>
      <c r="AQ148" s="12">
        <f>AP148</f>
        <v>0</v>
      </c>
      <c r="AR148" s="12">
        <f>AQ148</f>
        <v>0</v>
      </c>
      <c r="AS148" s="12">
        <f>AR148</f>
        <v>0</v>
      </c>
      <c r="AT148" s="12">
        <f>AS148</f>
        <v>0</v>
      </c>
      <c r="AU148" s="12">
        <f>AT148</f>
        <v>0</v>
      </c>
      <c r="AV148" s="12">
        <f>AU148</f>
        <v>0</v>
      </c>
      <c r="AW148" s="12">
        <f>AV148</f>
        <v>0</v>
      </c>
      <c r="AX148" s="12">
        <f>AW148</f>
        <v>0</v>
      </c>
      <c r="AY148" s="12">
        <f>AX148</f>
        <v>0</v>
      </c>
      <c r="AZ148" s="12">
        <f>AY148</f>
        <v>0</v>
      </c>
      <c r="BA148" s="12">
        <f>AZ148</f>
        <v>0</v>
      </c>
      <c r="BB148" s="12">
        <f>BA148</f>
        <v>0</v>
      </c>
      <c r="BC148" s="12">
        <f>BB148</f>
        <v>0</v>
      </c>
      <c r="BD148" s="12">
        <f>BC148</f>
        <v>0</v>
      </c>
      <c r="BE148" s="12">
        <f>BD148</f>
        <v>0</v>
      </c>
      <c r="BF148" s="12">
        <f>BE148</f>
        <v>0</v>
      </c>
      <c r="BG148" s="12" t="n"/>
      <c r="BH148" s="12" t="n"/>
      <c r="BI148" s="12" t="n"/>
      <c r="BJ148" s="12" t="n"/>
      <c r="BK148" s="12" t="n"/>
      <c r="BL148" s="12" t="n"/>
      <c r="BM148" s="12" t="n"/>
      <c r="BN148" s="12" t="n"/>
      <c r="BO148" s="12" t="n"/>
      <c r="BP148" s="12" t="n"/>
      <c r="BQ148" s="12" t="n"/>
      <c r="BR148" s="12" t="n"/>
      <c r="BS148" s="12" t="n"/>
      <c r="BT148" s="12" t="n"/>
      <c r="BU148" s="12" t="n"/>
      <c r="BV148" s="12" t="n"/>
      <c r="BW148" s="12" t="n"/>
      <c r="BX148" s="12" t="n"/>
      <c r="BY148" s="12" t="n"/>
      <c r="BZ148" s="12" t="n"/>
      <c r="CA148" s="12" t="n"/>
      <c r="CB148" s="12" t="n"/>
      <c r="CC148" s="12" t="n"/>
      <c r="CD148" s="12" t="n"/>
      <c r="CE148" s="12" t="n"/>
      <c r="CF148" s="12" t="n"/>
      <c r="CG148" s="12" t="n"/>
      <c r="CH148" s="12" t="n"/>
      <c r="CI148" s="12" t="n"/>
      <c r="CJ148" s="12" t="n"/>
      <c r="CK148" s="12" t="n"/>
      <c r="CL148" s="12" t="n"/>
      <c r="CM148" s="12" t="n"/>
      <c r="CN148" s="12" t="n"/>
      <c r="CO148" s="12" t="n"/>
      <c r="CP148" s="12" t="n"/>
      <c r="CQ148" s="12" t="n"/>
      <c r="CR148" s="12" t="n"/>
      <c r="CS148" s="12" t="n"/>
      <c r="CT148" s="12" t="n"/>
      <c r="CU148" s="12" t="n"/>
      <c r="CV148" s="12" t="n"/>
      <c r="CW148" s="12" t="n"/>
      <c r="CX148" s="12" t="n"/>
      <c r="CY148" s="12" t="n"/>
    </row>
    <row r="149">
      <c r="C149" s="14" t="inlineStr">
        <is>
          <t>Other current assets</t>
        </is>
      </c>
      <c r="D149" s="46" t="n"/>
      <c r="E149" s="46" t="n"/>
      <c r="F149" s="46" t="n"/>
      <c r="G149" s="46" t="n"/>
      <c r="H149" s="12" t="n"/>
      <c r="I149" s="46">
        <f>'Inputs (2)'!D20</f>
        <v>1542</v>
      </c>
      <c r="J149" s="46">
        <f>'Inputs (2)'!E20</f>
        <v>1602</v>
      </c>
      <c r="K149" s="46">
        <f>'Inputs (2)'!F20</f>
        <v>1746</v>
      </c>
      <c r="L149" s="46">
        <f>'Inputs (2)'!G20</f>
        <v>1723</v>
      </c>
      <c r="M149" s="12">
        <f>'Inputs (2)'!H20</f>
        <v>1723</v>
      </c>
      <c r="N149" s="46">
        <f>'Inputs (2)'!I20</f>
        <v>2035</v>
      </c>
      <c r="O149" s="46">
        <f>'Inputs (2)'!J20</f>
        <v>2118</v>
      </c>
      <c r="P149" s="46">
        <f>'Inputs (2)'!K20</f>
        <v>2364</v>
      </c>
      <c r="Q149" s="46">
        <f>'Inputs (2)'!L20</f>
        <v>2941</v>
      </c>
      <c r="R149" s="12">
        <f>'Inputs (2)'!M20</f>
        <v>2941</v>
      </c>
      <c r="S149" s="46">
        <f>'Inputs (2)'!N20</f>
        <v>3227</v>
      </c>
      <c r="T149" s="46">
        <f>'Inputs (2)'!O20</f>
        <v>2997</v>
      </c>
      <c r="U149" s="46">
        <f>'Inputs (2)'!P20</f>
        <v>2708</v>
      </c>
      <c r="V149" s="46">
        <f>'Inputs (2)'!Q20</f>
        <v>3388</v>
      </c>
      <c r="W149" s="12">
        <f>'Inputs (2)'!R20</f>
        <v>3388</v>
      </c>
      <c r="X149" s="46">
        <f>'Inputs (2)'!S20</f>
        <v>3752</v>
      </c>
      <c r="Y149" s="46">
        <f>'Inputs (2)'!T20</f>
        <v>4325</v>
      </c>
      <c r="Z149" s="46">
        <f>'Inputs (2)'!U20</f>
        <v>4888</v>
      </c>
      <c r="AA149" s="46">
        <f>'Inputs (2)'!V20</f>
        <v>5362</v>
      </c>
      <c r="AB149" s="12">
        <f>'Inputs (2)'!W20</f>
        <v>5362</v>
      </c>
      <c r="AC149" s="46">
        <f>'Inputs (2)'!X20</f>
        <v>4905</v>
      </c>
      <c r="AD149" s="46">
        <f>'Inputs (2)'!Y20</f>
        <v>5943</v>
      </c>
      <c r="AE149" s="46">
        <f>'Inputs (2)'!Z20</f>
        <v>6027</v>
      </c>
      <c r="AF149" s="46">
        <f>'Inputs (2)'!AA20</f>
        <v>7615</v>
      </c>
      <c r="AG149" s="12">
        <f>'Inputs (2)'!AB20</f>
        <v>7615</v>
      </c>
      <c r="AH149" s="12">
        <f>'Inputs (2)'!AC20</f>
        <v>6612</v>
      </c>
      <c r="AI149" s="12">
        <f>'Inputs (2)'!AD20</f>
        <v>7395</v>
      </c>
      <c r="AJ149" s="12">
        <f>AI149</f>
        <v>7395</v>
      </c>
      <c r="AK149" s="12">
        <f>AJ149</f>
        <v>7395</v>
      </c>
      <c r="AL149" s="12">
        <f>AK149</f>
        <v>7395</v>
      </c>
      <c r="AM149" s="12">
        <f>AL149</f>
        <v>7395</v>
      </c>
      <c r="AN149" s="12">
        <f>AM149</f>
        <v>7395</v>
      </c>
      <c r="AO149" s="12">
        <f>AN149</f>
        <v>7395</v>
      </c>
      <c r="AP149" s="12">
        <f>AO149</f>
        <v>7395</v>
      </c>
      <c r="AQ149" s="12">
        <f>AP149</f>
        <v>7395</v>
      </c>
      <c r="AR149" s="12">
        <f>AQ149</f>
        <v>7395</v>
      </c>
      <c r="AS149" s="12">
        <f>AR149</f>
        <v>7395</v>
      </c>
      <c r="AT149" s="12">
        <f>AS149</f>
        <v>7395</v>
      </c>
      <c r="AU149" s="12">
        <f>AT149</f>
        <v>7395</v>
      </c>
      <c r="AV149" s="12">
        <f>AU149</f>
        <v>7395</v>
      </c>
      <c r="AW149" s="12">
        <f>AV149</f>
        <v>7395</v>
      </c>
      <c r="AX149" s="12">
        <f>AW149</f>
        <v>7395</v>
      </c>
      <c r="AY149" s="12">
        <f>AX149</f>
        <v>7395</v>
      </c>
      <c r="AZ149" s="12">
        <f>AY149</f>
        <v>7395</v>
      </c>
      <c r="BA149" s="12">
        <f>AZ149</f>
        <v>7395</v>
      </c>
      <c r="BB149" s="12">
        <f>BA149</f>
        <v>7395</v>
      </c>
      <c r="BC149" s="12">
        <f>BB149</f>
        <v>7395</v>
      </c>
      <c r="BD149" s="12">
        <f>BC149</f>
        <v>7395</v>
      </c>
      <c r="BE149" s="12">
        <f>BD149</f>
        <v>7395</v>
      </c>
      <c r="BF149" s="12">
        <f>BE149</f>
        <v>7395</v>
      </c>
      <c r="BG149" s="12" t="n"/>
      <c r="BH149" s="12" t="n"/>
      <c r="BI149" s="12" t="n"/>
      <c r="BJ149" s="12" t="n"/>
      <c r="BK149" s="12" t="n"/>
      <c r="BL149" s="12" t="n"/>
      <c r="BM149" s="12" t="n"/>
      <c r="BN149" s="12" t="n"/>
      <c r="BO149" s="12" t="n"/>
      <c r="BP149" s="12" t="n"/>
      <c r="BQ149" s="12" t="n"/>
      <c r="BR149" s="12" t="n"/>
      <c r="BS149" s="12" t="n"/>
      <c r="BT149" s="12" t="n"/>
      <c r="BU149" s="12" t="n"/>
      <c r="BV149" s="12" t="n"/>
      <c r="BW149" s="12" t="n"/>
      <c r="BX149" s="12" t="n"/>
      <c r="BY149" s="12" t="n"/>
      <c r="BZ149" s="12" t="n"/>
      <c r="CA149" s="12" t="n"/>
      <c r="CB149" s="12" t="n"/>
      <c r="CC149" s="12" t="n"/>
      <c r="CD149" s="12" t="n"/>
      <c r="CE149" s="12" t="n"/>
      <c r="CF149" s="12" t="n"/>
      <c r="CG149" s="12" t="n"/>
      <c r="CH149" s="12" t="n"/>
      <c r="CI149" s="12" t="n"/>
      <c r="CJ149" s="12" t="n"/>
      <c r="CK149" s="12" t="n"/>
      <c r="CL149" s="12" t="n"/>
      <c r="CM149" s="12" t="n"/>
      <c r="CN149" s="12" t="n"/>
      <c r="CO149" s="12" t="n"/>
      <c r="CP149" s="12" t="n"/>
      <c r="CQ149" s="12" t="n"/>
      <c r="CR149" s="12" t="n"/>
      <c r="CS149" s="12" t="n"/>
      <c r="CT149" s="12" t="n"/>
      <c r="CU149" s="12" t="n"/>
      <c r="CV149" s="12" t="n"/>
      <c r="CW149" s="12" t="n"/>
      <c r="CX149" s="12" t="n"/>
      <c r="CY149" s="12" t="n"/>
    </row>
    <row r="150" hidden="1" outlineLevel="1">
      <c r="C150" s="59" t="inlineStr">
        <is>
          <t>%(Var.)</t>
        </is>
      </c>
      <c r="D150" s="12" t="n"/>
      <c r="E150" s="40" t="n"/>
      <c r="F150" s="40" t="n"/>
      <c r="G150" s="40" t="n"/>
      <c r="H150" s="12" t="n"/>
      <c r="I150" s="40" t="str">
        <f>""</f>
        <v/>
      </c>
      <c r="J150" s="40">
        <f>IFERROR(IF(I149=0,"",J149/I149-1),"")</f>
        <v>0.038910505836576</v>
      </c>
      <c r="K150" s="40">
        <f>IFERROR(IF(J149=0,"",K149/J149-1),"")</f>
        <v>0.0898876404494382</v>
      </c>
      <c r="L150" s="40">
        <f>IFERROR(IF(K149=0,"",L149/K149-1),"")</f>
        <v>-0.0131729667812142</v>
      </c>
      <c r="M150" s="12">
        <f>IFERROR(IF(L149=0,"",M149/L149-1),"")</f>
        <v>0</v>
      </c>
      <c r="N150" s="40">
        <f>IFERROR(IF(M149=0,"",N149/M149-1),"")</f>
        <v>0.181079512478236</v>
      </c>
      <c r="O150" s="40">
        <f>IFERROR(IF(N149=0,"",O149/N149-1),"")</f>
        <v>0.0407862407862407</v>
      </c>
      <c r="P150" s="40">
        <f>IFERROR(IF(O149=0,"",P149/O149-1),"")</f>
        <v>0.11614730878187</v>
      </c>
      <c r="Q150" s="40">
        <f>IFERROR(IF(P149=0,"",Q149/P149-1),"")</f>
        <v>0.244077834179357</v>
      </c>
      <c r="R150" s="12">
        <f>IFERROR(IF(Q149=0,"",R149/Q149-1),"")</f>
        <v>0</v>
      </c>
      <c r="S150" s="40">
        <f>IFERROR(IF(R149=0,"",S149/R149-1),"")</f>
        <v>0.0972458347500851</v>
      </c>
      <c r="T150" s="40">
        <f>IFERROR(IF(S149=0,"",T149/S149-1),"")</f>
        <v>-0.0712736287573598</v>
      </c>
      <c r="U150" s="40">
        <f>IFERROR(IF(T149=0,"",U149/T149-1),"")</f>
        <v>-0.0964297630964298</v>
      </c>
      <c r="V150" s="40">
        <f>IFERROR(IF(U149=0,"",V149/U149-1),"")</f>
        <v>0.251107828655835</v>
      </c>
      <c r="W150" s="12">
        <f>IFERROR(IF(V149=0,"",W149/V149-1),"")</f>
        <v>0</v>
      </c>
      <c r="X150" s="40">
        <f>IFERROR(IF(W149=0,"",X149/W149-1),"")</f>
        <v>0.107438016528926</v>
      </c>
      <c r="Y150" s="40">
        <f>IFERROR(IF(X149=0,"",Y149/X149-1),"")</f>
        <v>0.15271855010661</v>
      </c>
      <c r="Z150" s="40">
        <f>IFERROR(IF(Y149=0,"",Z149/Y149-1),"")</f>
        <v>0.130173410404624</v>
      </c>
      <c r="AA150" s="40">
        <f>IFERROR(IF(Z149=0,"",AA149/Z149-1),"")</f>
        <v>0.0969721767594107</v>
      </c>
      <c r="AB150" s="12">
        <f>IFERROR(IF(AA149=0,"",AB149/AA149-1),"")</f>
        <v>0</v>
      </c>
      <c r="AC150" s="40">
        <f>IFERROR(IF(AB149=0,"",AC149/AB149-1),"")</f>
        <v>-0.0852293920179038</v>
      </c>
      <c r="AD150" s="40">
        <f>IFERROR(IF(AC149=0,"",AD149/AC149-1),"")</f>
        <v>0.211620795107034</v>
      </c>
      <c r="AE150" s="40">
        <f>IFERROR(IF(AD149=0,"",AE149/AD149-1),"")</f>
        <v>0.0141342756183747</v>
      </c>
      <c r="AF150" s="55">
        <f>IFERROR(IF(AE149=0,"",AF149/AE149-1),"")</f>
        <v>0.26348100215696</v>
      </c>
      <c r="AG150" s="12">
        <f>IFERROR(IF(AF149=0,"",AG149/AF149-1),"")</f>
        <v>0</v>
      </c>
      <c r="AH150" s="12">
        <f>IFERROR(IF(AG149=0,"",AH149/AG149-1),"")</f>
        <v>-0.131713722915299</v>
      </c>
      <c r="AI150" s="12">
        <f>IFERROR(IF(AH149=0,"",AI149/AH149-1),"")</f>
        <v>0.118421052631579</v>
      </c>
      <c r="AJ150" s="12">
        <f>IFERROR(IF(AI149=0,"",AJ149/AI149-1),"")</f>
        <v>0</v>
      </c>
      <c r="AK150" s="12">
        <f>IFERROR(IF(AJ149=0,"",AK149/AJ149-1),"")</f>
        <v>0</v>
      </c>
      <c r="AL150" s="12">
        <f>IFERROR(IF(AK149=0,"",AL149/AK149-1),"")</f>
        <v>0</v>
      </c>
      <c r="AM150" s="12">
        <f>IFERROR(IF(AL149=0,"",AM149/AL149-1),"")</f>
        <v>0</v>
      </c>
      <c r="AN150" s="12">
        <f>IFERROR(IF(AM149=0,"",AN149/AM149-1),"")</f>
        <v>0</v>
      </c>
      <c r="AO150" s="12">
        <f>IFERROR(IF(AN149=0,"",AO149/AN149-1),"")</f>
        <v>0</v>
      </c>
      <c r="AP150" s="12">
        <f>IFERROR(IF(AO149=0,"",AP149/AO149-1),"")</f>
        <v>0</v>
      </c>
      <c r="AQ150" s="12">
        <f>IFERROR(IF(AP149=0,"",AQ149/AP149-1),"")</f>
        <v>0</v>
      </c>
      <c r="AR150" s="12">
        <f>IFERROR(IF(AQ149=0,"",AR149/AQ149-1),"")</f>
        <v>0</v>
      </c>
      <c r="AS150" s="12">
        <f>IFERROR(IF(AR149=0,"",AS149/AR149-1),"")</f>
        <v>0</v>
      </c>
      <c r="AT150" s="12">
        <f>IFERROR(IF(AS149=0,"",AT149/AS149-1),"")</f>
        <v>0</v>
      </c>
      <c r="AU150" s="12">
        <f>IFERROR(IF(AT149=0,"",AU149/AT149-1),"")</f>
        <v>0</v>
      </c>
      <c r="AV150" s="12">
        <f>IFERROR(IF(AU149=0,"",AV149/AU149-1),"")</f>
        <v>0</v>
      </c>
      <c r="AW150" s="12">
        <f>IFERROR(IF(AV149=0,"",AW149/AV149-1),"")</f>
        <v>0</v>
      </c>
      <c r="AX150" s="12">
        <f>IFERROR(IF(AW149=0,"",AX149/AW149-1),"")</f>
        <v>0</v>
      </c>
      <c r="AY150" s="12">
        <f>IFERROR(IF(AX149=0,"",AY149/AX149-1),"")</f>
        <v>0</v>
      </c>
      <c r="AZ150" s="12">
        <f>IFERROR(IF(AY149=0,"",AZ149/AY149-1),"")</f>
        <v>0</v>
      </c>
      <c r="BA150" s="12">
        <f>IFERROR(IF(AZ149=0,"",BA149/AZ149-1),"")</f>
        <v>0</v>
      </c>
      <c r="BB150" s="12">
        <f>IFERROR(IF(BA149=0,"",BB149/BA149-1),"")</f>
        <v>0</v>
      </c>
      <c r="BC150" s="12">
        <f>IFERROR(IF(BB149=0,"",BC149/BB149-1),"")</f>
        <v>0</v>
      </c>
      <c r="BD150" s="12">
        <f>IFERROR(IF(BC149=0,"",BD149/BC149-1),"")</f>
        <v>0</v>
      </c>
      <c r="BE150" s="12">
        <f>IFERROR(IF(BD149=0,"",BE149/BD149-1),"")</f>
        <v>0</v>
      </c>
      <c r="BF150" s="12">
        <f>IFERROR(IF(BE149=0,"",BF149/BE149-1),"")</f>
        <v>0</v>
      </c>
      <c r="BG150" s="12" t="n"/>
      <c r="BH150" s="12" t="n"/>
      <c r="BI150" s="12" t="n"/>
      <c r="BJ150" s="12" t="n"/>
      <c r="BK150" s="12" t="n"/>
      <c r="BL150" s="12" t="n"/>
      <c r="BM150" s="12" t="n"/>
      <c r="BN150" s="12" t="n"/>
      <c r="BO150" s="12" t="n"/>
      <c r="BP150" s="12" t="n"/>
      <c r="BQ150" s="12" t="n"/>
      <c r="BR150" s="12" t="n"/>
      <c r="BS150" s="12" t="n"/>
      <c r="BT150" s="12" t="n"/>
      <c r="BU150" s="12" t="n"/>
      <c r="BV150" s="12" t="n"/>
      <c r="BW150" s="12" t="n"/>
      <c r="BX150" s="12" t="n"/>
      <c r="BY150" s="12" t="n"/>
      <c r="BZ150" s="12" t="n"/>
      <c r="CA150" s="12" t="n"/>
      <c r="CB150" s="12" t="n"/>
      <c r="CC150" s="12" t="n"/>
      <c r="CD150" s="12" t="n"/>
      <c r="CE150" s="12" t="n"/>
      <c r="CF150" s="12" t="n"/>
      <c r="CG150" s="12" t="n"/>
      <c r="CH150" s="12" t="n"/>
      <c r="CI150" s="12" t="n"/>
      <c r="CJ150" s="12" t="n"/>
      <c r="CK150" s="12" t="n"/>
      <c r="CL150" s="12" t="n"/>
      <c r="CM150" s="12" t="n"/>
      <c r="CN150" s="12" t="n"/>
      <c r="CO150" s="12" t="n"/>
      <c r="CP150" s="12" t="n"/>
      <c r="CQ150" s="12" t="n"/>
      <c r="CR150" s="12" t="n"/>
      <c r="CS150" s="12" t="n"/>
      <c r="CT150" s="12" t="n"/>
      <c r="CU150" s="12" t="n"/>
      <c r="CV150" s="12" t="n"/>
      <c r="CW150" s="12" t="n"/>
      <c r="CX150" s="12" t="n"/>
      <c r="CY150" s="12" t="n"/>
    </row>
    <row r="151" hidden="1" outlineLevel="1">
      <c r="C151" s="57" t="n"/>
      <c r="D151" s="12" t="n"/>
      <c r="E151" s="40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  <c r="AJ151" s="12" t="n"/>
      <c r="AK151" s="12" t="n"/>
      <c r="AL151" s="12" t="n"/>
      <c r="AM151" s="12" t="n"/>
      <c r="AN151" s="12" t="n"/>
      <c r="AO151" s="12" t="n"/>
      <c r="AP151" s="12" t="n"/>
      <c r="AQ151" s="12" t="n"/>
      <c r="AR151" s="12" t="n"/>
      <c r="AS151" s="12" t="n"/>
      <c r="AT151" s="12" t="n"/>
      <c r="AU151" s="12" t="n"/>
      <c r="AV151" s="12" t="n"/>
      <c r="AW151" s="12" t="n"/>
      <c r="AX151" s="12" t="n"/>
      <c r="AY151" s="12" t="n"/>
      <c r="AZ151" s="12" t="n"/>
      <c r="BA151" s="12" t="n"/>
      <c r="BB151" s="12" t="n"/>
      <c r="BC151" s="12" t="n"/>
      <c r="BD151" s="12" t="n"/>
      <c r="BE151" s="12" t="n"/>
      <c r="BF151" s="12" t="n"/>
      <c r="BG151" s="12" t="n"/>
      <c r="BH151" s="12" t="n"/>
      <c r="BI151" s="12" t="n"/>
      <c r="BJ151" s="12" t="n"/>
      <c r="BK151" s="12" t="n"/>
      <c r="BL151" s="12" t="n"/>
      <c r="BM151" s="12" t="n"/>
      <c r="BN151" s="12" t="n"/>
      <c r="BO151" s="12" t="n"/>
      <c r="BP151" s="12" t="n"/>
      <c r="BQ151" s="12" t="n"/>
      <c r="BR151" s="12" t="n"/>
      <c r="BS151" s="12" t="n"/>
      <c r="BT151" s="12" t="n"/>
      <c r="BU151" s="12" t="n"/>
      <c r="BV151" s="12" t="n"/>
      <c r="BW151" s="12" t="n"/>
      <c r="BX151" s="12" t="n"/>
      <c r="BY151" s="12" t="n"/>
      <c r="BZ151" s="12" t="n"/>
      <c r="CA151" s="12" t="n"/>
      <c r="CB151" s="12" t="n"/>
      <c r="CC151" s="12" t="n"/>
      <c r="CD151" s="12" t="n"/>
      <c r="CE151" s="12" t="n"/>
      <c r="CF151" s="12" t="n"/>
      <c r="CG151" s="12" t="n"/>
      <c r="CH151" s="12" t="n"/>
      <c r="CI151" s="12" t="n"/>
      <c r="CJ151" s="12" t="n"/>
      <c r="CK151" s="12" t="n"/>
      <c r="CL151" s="12" t="n"/>
      <c r="CM151" s="12" t="n"/>
      <c r="CN151" s="12" t="n"/>
      <c r="CO151" s="12" t="n"/>
      <c r="CP151" s="12" t="n"/>
      <c r="CQ151" s="12" t="n"/>
      <c r="CR151" s="12" t="n"/>
      <c r="CS151" s="12" t="n"/>
      <c r="CT151" s="12" t="n"/>
      <c r="CU151" s="12" t="n"/>
      <c r="CV151" s="12" t="n"/>
      <c r="CW151" s="12" t="n"/>
      <c r="CX151" s="12" t="n"/>
      <c r="CY151" s="12" t="n"/>
    </row>
    <row r="152" hidden="1" outlineLevel="1">
      <c r="C152" s="60" t="inlineStr">
        <is>
          <t xml:space="preserve">Impostos e Contribuições a Recuperar </t>
        </is>
      </c>
      <c r="D152" s="11" t="n"/>
      <c r="E152" s="11" t="n"/>
      <c r="F152" s="11" t="n"/>
      <c r="G152" s="11" t="n"/>
      <c r="H152" s="12" t="n"/>
      <c r="I152" s="11" t="n"/>
      <c r="J152" s="11" t="n"/>
      <c r="K152" s="11" t="n"/>
      <c r="L152" s="11" t="n"/>
      <c r="M152" s="12" t="n"/>
      <c r="N152" s="11" t="n"/>
      <c r="O152" s="11" t="n"/>
      <c r="P152" s="11" t="n"/>
      <c r="Q152" s="11" t="n"/>
      <c r="R152" s="12" t="n"/>
      <c r="S152" s="11" t="n"/>
      <c r="T152" s="11" t="n"/>
      <c r="U152" s="11" t="n"/>
      <c r="V152" s="11" t="n"/>
      <c r="W152" s="12" t="n"/>
      <c r="X152" s="11" t="n"/>
      <c r="Y152" s="11" t="n"/>
      <c r="Z152" s="11" t="n"/>
      <c r="AA152" s="11" t="n"/>
      <c r="AB152" s="12" t="n"/>
      <c r="AC152" s="11" t="n"/>
      <c r="AD152" s="11" t="n"/>
      <c r="AE152" s="11" t="n"/>
      <c r="AF152" s="11" t="n"/>
      <c r="AG152" s="12">
        <f>AF152</f>
        <v>0</v>
      </c>
      <c r="AH152" s="61">
        <f>IFERROR(AG152*AH15/AG15,"")</f>
        <v>0</v>
      </c>
      <c r="AI152" s="61">
        <f>IFERROR(AH152*AI15/AH15,"")</f>
        <v>0</v>
      </c>
      <c r="AJ152" s="61">
        <f>IFERROR(AI152*AJ15/AI15,"")</f>
        <v>0</v>
      </c>
      <c r="AK152" s="61">
        <f>IFERROR(AJ152*AK15/AJ15,"")</f>
        <v>0</v>
      </c>
      <c r="AL152" s="12">
        <f>IFERROR(AK152,"")</f>
        <v>0</v>
      </c>
      <c r="AM152" s="12" t="n"/>
      <c r="AN152" s="12" t="n"/>
      <c r="AO152" s="12" t="n"/>
      <c r="AP152" s="12" t="n"/>
      <c r="AQ152" s="12" t="n"/>
      <c r="AR152" s="12" t="n"/>
      <c r="AS152" s="12" t="n"/>
      <c r="AT152" s="12" t="n"/>
      <c r="AU152" s="12" t="n"/>
      <c r="AV152" s="12" t="n"/>
      <c r="AW152" s="12" t="n"/>
      <c r="AX152" s="12" t="n"/>
      <c r="AY152" s="12" t="n"/>
      <c r="AZ152" s="12" t="n"/>
      <c r="BA152" s="12" t="n"/>
      <c r="BB152" s="12" t="n"/>
      <c r="BC152" s="12" t="n"/>
      <c r="BD152" s="12" t="n"/>
      <c r="BE152" s="12" t="n"/>
      <c r="BF152" s="12" t="n"/>
      <c r="BG152" s="12" t="n"/>
      <c r="BH152" s="12" t="n"/>
      <c r="BI152" s="12" t="n"/>
      <c r="BJ152" s="12" t="n"/>
      <c r="BK152" s="12" t="n"/>
      <c r="BL152" s="12" t="n"/>
      <c r="BM152" s="12" t="n"/>
      <c r="BN152" s="12" t="n"/>
      <c r="BO152" s="12" t="n"/>
      <c r="BP152" s="12" t="n"/>
      <c r="BQ152" s="12" t="n"/>
      <c r="BR152" s="12" t="n"/>
      <c r="BS152" s="12" t="n"/>
      <c r="BT152" s="12" t="n"/>
      <c r="BU152" s="12" t="n"/>
      <c r="BV152" s="12" t="n"/>
      <c r="BW152" s="12" t="n"/>
      <c r="BX152" s="12" t="n"/>
      <c r="BY152" s="12" t="n"/>
      <c r="BZ152" s="12" t="n"/>
      <c r="CA152" s="12" t="n"/>
      <c r="CB152" s="12" t="n"/>
      <c r="CC152" s="12" t="n"/>
      <c r="CD152" s="12" t="n"/>
      <c r="CE152" s="12" t="n"/>
      <c r="CF152" s="12" t="n"/>
      <c r="CG152" s="12" t="n"/>
      <c r="CH152" s="12" t="n"/>
      <c r="CI152" s="12" t="n"/>
      <c r="CJ152" s="12" t="n"/>
      <c r="CK152" s="12" t="n"/>
      <c r="CL152" s="12" t="n"/>
      <c r="CM152" s="12" t="n"/>
      <c r="CN152" s="12" t="n"/>
      <c r="CO152" s="12" t="n"/>
      <c r="CP152" s="12" t="n"/>
      <c r="CQ152" s="12" t="n"/>
      <c r="CR152" s="12" t="n"/>
      <c r="CS152" s="12" t="n"/>
      <c r="CT152" s="12" t="n"/>
      <c r="CU152" s="12" t="n"/>
      <c r="CV152" s="12" t="n"/>
      <c r="CW152" s="12" t="n"/>
      <c r="CX152" s="12" t="n"/>
      <c r="CY152" s="12" t="n"/>
    </row>
    <row r="153" hidden="1" outlineLevel="1">
      <c r="C153" s="60" t="inlineStr">
        <is>
          <t>Outros Créditos</t>
        </is>
      </c>
      <c r="D153" s="11" t="n"/>
      <c r="E153" s="11" t="n"/>
      <c r="F153" s="11" t="n"/>
      <c r="G153" s="11" t="n"/>
      <c r="H153" s="12" t="n"/>
      <c r="I153" s="11" t="n"/>
      <c r="J153" s="11" t="n"/>
      <c r="K153" s="11" t="n"/>
      <c r="L153" s="11" t="n"/>
      <c r="M153" s="12" t="n"/>
      <c r="N153" s="11" t="n"/>
      <c r="O153" s="11" t="n"/>
      <c r="P153" s="11" t="n"/>
      <c r="Q153" s="11" t="n"/>
      <c r="R153" s="12" t="n"/>
      <c r="S153" s="11" t="n"/>
      <c r="T153" s="11" t="n"/>
      <c r="U153" s="11" t="n"/>
      <c r="V153" s="11" t="n"/>
      <c r="W153" s="12" t="n"/>
      <c r="X153" s="11" t="n"/>
      <c r="Y153" s="11" t="n"/>
      <c r="Z153" s="11" t="n"/>
      <c r="AA153" s="11" t="n"/>
      <c r="AB153" s="12" t="n"/>
      <c r="AC153" s="11" t="n"/>
      <c r="AD153" s="11" t="n"/>
      <c r="AE153" s="11" t="n"/>
      <c r="AF153" s="11" t="n"/>
      <c r="AG153" s="12">
        <f>AF153</f>
        <v>0</v>
      </c>
      <c r="AH153" s="12">
        <f>AG153</f>
        <v>0</v>
      </c>
      <c r="AI153" s="12">
        <f>AH153</f>
        <v>0</v>
      </c>
      <c r="AJ153" s="12">
        <f>AI153</f>
        <v>0</v>
      </c>
      <c r="AK153" s="12">
        <f>AJ153</f>
        <v>0</v>
      </c>
      <c r="AL153" s="12">
        <f>AK153</f>
        <v>0</v>
      </c>
      <c r="AM153" s="12" t="n"/>
      <c r="AN153" s="12" t="n"/>
      <c r="AO153" s="12" t="n"/>
      <c r="AP153" s="12" t="n"/>
      <c r="AQ153" s="12" t="n"/>
      <c r="AR153" s="12" t="n"/>
      <c r="AS153" s="12" t="n"/>
      <c r="AT153" s="12" t="n"/>
      <c r="AU153" s="12" t="n"/>
      <c r="AV153" s="12" t="n"/>
      <c r="AW153" s="12" t="n"/>
      <c r="AX153" s="12" t="n"/>
      <c r="AY153" s="12" t="n"/>
      <c r="AZ153" s="12" t="n"/>
      <c r="BA153" s="12" t="n"/>
      <c r="BB153" s="12" t="n"/>
      <c r="BC153" s="12" t="n"/>
      <c r="BD153" s="12" t="n"/>
      <c r="BE153" s="12" t="n"/>
      <c r="BF153" s="12" t="n"/>
      <c r="BG153" s="12" t="n"/>
      <c r="BH153" s="12" t="n"/>
      <c r="BI153" s="12" t="n"/>
      <c r="BJ153" s="12" t="n"/>
      <c r="BK153" s="12" t="n"/>
      <c r="BL153" s="12" t="n"/>
      <c r="BM153" s="12" t="n"/>
      <c r="BN153" s="12" t="n"/>
      <c r="BO153" s="12" t="n"/>
      <c r="BP153" s="12" t="n"/>
      <c r="BQ153" s="12" t="n"/>
      <c r="BR153" s="12" t="n"/>
      <c r="BS153" s="12" t="n"/>
      <c r="BT153" s="12" t="n"/>
      <c r="BU153" s="12" t="n"/>
      <c r="BV153" s="12" t="n"/>
      <c r="BW153" s="12" t="n"/>
      <c r="BX153" s="12" t="n"/>
      <c r="BY153" s="12" t="n"/>
      <c r="BZ153" s="12" t="n"/>
      <c r="CA153" s="12" t="n"/>
      <c r="CB153" s="12" t="n"/>
      <c r="CC153" s="12" t="n"/>
      <c r="CD153" s="12" t="n"/>
      <c r="CE153" s="12" t="n"/>
      <c r="CF153" s="12" t="n"/>
      <c r="CG153" s="12" t="n"/>
      <c r="CH153" s="12" t="n"/>
      <c r="CI153" s="12" t="n"/>
      <c r="CJ153" s="12" t="n"/>
      <c r="CK153" s="12" t="n"/>
      <c r="CL153" s="12" t="n"/>
      <c r="CM153" s="12" t="n"/>
      <c r="CN153" s="12" t="n"/>
      <c r="CO153" s="12" t="n"/>
      <c r="CP153" s="12" t="n"/>
      <c r="CQ153" s="12" t="n"/>
      <c r="CR153" s="12" t="n"/>
      <c r="CS153" s="12" t="n"/>
      <c r="CT153" s="12" t="n"/>
      <c r="CU153" s="12" t="n"/>
      <c r="CV153" s="12" t="n"/>
      <c r="CW153" s="12" t="n"/>
      <c r="CX153" s="12" t="n"/>
      <c r="CY153" s="12" t="n"/>
    </row>
    <row r="154" hidden="1" outlineLevel="1">
      <c r="C154" s="57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  <c r="AJ154" s="12" t="n"/>
      <c r="AK154" s="12" t="n"/>
      <c r="AL154" s="12" t="n"/>
      <c r="AM154" s="12" t="n"/>
      <c r="AN154" s="12" t="n"/>
      <c r="AO154" s="12" t="n"/>
      <c r="AP154" s="12" t="n"/>
      <c r="AQ154" s="12" t="n"/>
      <c r="AR154" s="12" t="n"/>
      <c r="AS154" s="12" t="n"/>
      <c r="AT154" s="12" t="n"/>
      <c r="AU154" s="12" t="n"/>
      <c r="AV154" s="12" t="n"/>
      <c r="AW154" s="12" t="n"/>
      <c r="AX154" s="12" t="n"/>
      <c r="AY154" s="12" t="n"/>
      <c r="AZ154" s="12" t="n"/>
      <c r="BA154" s="12" t="n"/>
      <c r="BB154" s="12" t="n"/>
      <c r="BC154" s="12" t="n"/>
      <c r="BD154" s="12" t="n"/>
      <c r="BE154" s="12" t="n"/>
      <c r="BF154" s="12" t="n"/>
      <c r="BG154" s="12" t="n"/>
      <c r="BH154" s="12" t="n"/>
      <c r="BI154" s="12" t="n"/>
      <c r="BJ154" s="12" t="n"/>
      <c r="BK154" s="12" t="n"/>
      <c r="BL154" s="12" t="n"/>
      <c r="BM154" s="12" t="n"/>
      <c r="BN154" s="12" t="n"/>
      <c r="BO154" s="12" t="n"/>
      <c r="BP154" s="12" t="n"/>
      <c r="BQ154" s="12" t="n"/>
      <c r="BR154" s="12" t="n"/>
      <c r="BS154" s="12" t="n"/>
      <c r="BT154" s="12" t="n"/>
      <c r="BU154" s="12" t="n"/>
      <c r="BV154" s="12" t="n"/>
      <c r="BW154" s="12" t="n"/>
      <c r="BX154" s="12" t="n"/>
      <c r="BY154" s="12" t="n"/>
      <c r="BZ154" s="12" t="n"/>
      <c r="CA154" s="12" t="n"/>
      <c r="CB154" s="12" t="n"/>
      <c r="CC154" s="12" t="n"/>
      <c r="CD154" s="12" t="n"/>
      <c r="CE154" s="12" t="n"/>
      <c r="CF154" s="12" t="n"/>
      <c r="CG154" s="12" t="n"/>
      <c r="CH154" s="12" t="n"/>
      <c r="CI154" s="12" t="n"/>
      <c r="CJ154" s="12" t="n"/>
      <c r="CK154" s="12" t="n"/>
      <c r="CL154" s="12" t="n"/>
      <c r="CM154" s="12" t="n"/>
      <c r="CN154" s="12" t="n"/>
      <c r="CO154" s="12" t="n"/>
      <c r="CP154" s="12" t="n"/>
      <c r="CQ154" s="12" t="n"/>
      <c r="CR154" s="12" t="n"/>
      <c r="CS154" s="12" t="n"/>
      <c r="CT154" s="12" t="n"/>
      <c r="CU154" s="12" t="n"/>
      <c r="CV154" s="12" t="n"/>
      <c r="CW154" s="12" t="n"/>
      <c r="CX154" s="12" t="n"/>
      <c r="CY154" s="12" t="n"/>
    </row>
    <row r="155" collapsed="1">
      <c r="C155" s="14" t="inlineStr">
        <is>
          <t>Equity in affiliates</t>
        </is>
      </c>
      <c r="D155" s="46" t="n"/>
      <c r="E155" s="46" t="n"/>
      <c r="F155" s="46" t="n"/>
      <c r="G155" s="46" t="n"/>
      <c r="H155" s="12" t="n"/>
      <c r="I155" s="46">
        <f>'Inputs (2)'!D21</f>
        <v>0</v>
      </c>
      <c r="J155" s="46">
        <f>'Inputs (2)'!E21</f>
        <v>0</v>
      </c>
      <c r="K155" s="46">
        <f>'Inputs (2)'!F21</f>
        <v>0</v>
      </c>
      <c r="L155" s="46">
        <f>'Inputs (2)'!G21</f>
        <v>0</v>
      </c>
      <c r="M155" s="12">
        <f>'Inputs (2)'!H21</f>
        <v>0</v>
      </c>
      <c r="N155" s="46">
        <f>'Inputs (2)'!I21</f>
        <v>0</v>
      </c>
      <c r="O155" s="46">
        <f>'Inputs (2)'!J21</f>
        <v>0</v>
      </c>
      <c r="P155" s="46">
        <f>'Inputs (2)'!K21</f>
        <v>0</v>
      </c>
      <c r="Q155" s="46">
        <f>'Inputs (2)'!L21</f>
        <v>0</v>
      </c>
      <c r="R155" s="12">
        <f>'Inputs (2)'!M21</f>
        <v>0</v>
      </c>
      <c r="S155" s="46">
        <f>'Inputs (2)'!N21</f>
        <v>0</v>
      </c>
      <c r="T155" s="46">
        <f>'Inputs (2)'!O21</f>
        <v>0</v>
      </c>
      <c r="U155" s="46">
        <f>'Inputs (2)'!P21</f>
        <v>0</v>
      </c>
      <c r="V155" s="46">
        <f>'Inputs (2)'!Q21</f>
        <v>0</v>
      </c>
      <c r="W155" s="12">
        <f>'Inputs (2)'!R21</f>
        <v>0</v>
      </c>
      <c r="X155" s="46">
        <f>'Inputs (2)'!S21</f>
        <v>0</v>
      </c>
      <c r="Y155" s="46">
        <f>'Inputs (2)'!T21</f>
        <v>0</v>
      </c>
      <c r="Z155" s="46">
        <f>'Inputs (2)'!U21</f>
        <v>0</v>
      </c>
      <c r="AA155" s="46">
        <f>'Inputs (2)'!V21</f>
        <v>0</v>
      </c>
      <c r="AB155" s="12">
        <f>'Inputs (2)'!W21</f>
        <v>0</v>
      </c>
      <c r="AC155" s="46">
        <f>'Inputs (2)'!X21</f>
        <v>0</v>
      </c>
      <c r="AD155" s="46">
        <f>'Inputs (2)'!Y21</f>
        <v>0</v>
      </c>
      <c r="AE155" s="46">
        <f>'Inputs (2)'!Z21</f>
        <v>0</v>
      </c>
      <c r="AF155" s="46">
        <f>'Inputs (2)'!AA21</f>
        <v>0</v>
      </c>
      <c r="AG155" s="12">
        <f>'Inputs (2)'!AB21</f>
        <v>0</v>
      </c>
      <c r="AH155" s="12">
        <f>'Inputs (2)'!AC21</f>
        <v>0</v>
      </c>
      <c r="AI155" s="12">
        <f>'Inputs (2)'!AD21</f>
        <v>0</v>
      </c>
      <c r="AJ155" s="12">
        <f>AI155+AJ129</f>
        <v>0</v>
      </c>
      <c r="AK155" s="12">
        <f>AJ155+AK129</f>
        <v>0</v>
      </c>
      <c r="AL155" s="12">
        <f>AK155</f>
        <v>0</v>
      </c>
      <c r="AM155" s="12">
        <f>AL155+AM129</f>
        <v>0</v>
      </c>
      <c r="AN155" s="12">
        <f>AM155+AN129</f>
        <v>0</v>
      </c>
      <c r="AO155" s="12">
        <f>AN155+AO129</f>
        <v>0</v>
      </c>
      <c r="AP155" s="12">
        <f>AO155+AP129</f>
        <v>0</v>
      </c>
      <c r="AQ155" s="12">
        <f>AP155</f>
        <v>0</v>
      </c>
      <c r="AR155" s="12">
        <f>AQ155+AR129</f>
        <v>0</v>
      </c>
      <c r="AS155" s="12">
        <f>AR155+AS129</f>
        <v>0</v>
      </c>
      <c r="AT155" s="12">
        <f>AS155+AT129</f>
        <v>0</v>
      </c>
      <c r="AU155" s="12">
        <f>AT155+AU129</f>
        <v>0</v>
      </c>
      <c r="AV155" s="12">
        <f>AU155</f>
        <v>0</v>
      </c>
      <c r="AW155" s="12">
        <f>AV155+AW129</f>
        <v>0</v>
      </c>
      <c r="AX155" s="12">
        <f>AW155+AX129</f>
        <v>0</v>
      </c>
      <c r="AY155" s="12">
        <f>AX155+AY129</f>
        <v>0</v>
      </c>
      <c r="AZ155" s="12">
        <f>AY155+AZ129</f>
        <v>0</v>
      </c>
      <c r="BA155" s="12">
        <f>AZ155</f>
        <v>0</v>
      </c>
      <c r="BB155" s="12">
        <f>BA155+BB129</f>
        <v>0</v>
      </c>
      <c r="BC155" s="12">
        <f>BB155+BC129</f>
        <v>0</v>
      </c>
      <c r="BD155" s="12">
        <f>BC155+BD129</f>
        <v>0</v>
      </c>
      <c r="BE155" s="12">
        <f>BD155+BE129</f>
        <v>0</v>
      </c>
      <c r="BF155" s="12">
        <f>BE155</f>
        <v>0</v>
      </c>
      <c r="BG155" s="12" t="n"/>
      <c r="BH155" s="12" t="n"/>
      <c r="BI155" s="12" t="n"/>
      <c r="BJ155" s="12" t="n"/>
      <c r="BK155" s="12" t="n"/>
      <c r="BL155" s="12" t="n"/>
      <c r="BM155" s="12" t="n"/>
      <c r="BN155" s="12" t="n"/>
      <c r="BO155" s="12" t="n"/>
      <c r="BP155" s="12" t="n"/>
      <c r="BQ155" s="12" t="n"/>
      <c r="BR155" s="12" t="n"/>
      <c r="BS155" s="12" t="n"/>
      <c r="BT155" s="12" t="n"/>
      <c r="BU155" s="12" t="n"/>
      <c r="BV155" s="12" t="n"/>
      <c r="BW155" s="12" t="n"/>
      <c r="BX155" s="12" t="n"/>
      <c r="BY155" s="12" t="n"/>
      <c r="BZ155" s="12" t="n"/>
      <c r="CA155" s="12" t="n"/>
      <c r="CB155" s="12" t="n"/>
      <c r="CC155" s="12" t="n"/>
      <c r="CD155" s="12" t="n"/>
      <c r="CE155" s="12" t="n"/>
      <c r="CF155" s="12" t="n"/>
      <c r="CG155" s="12" t="n"/>
      <c r="CH155" s="12" t="n"/>
      <c r="CI155" s="12" t="n"/>
      <c r="CJ155" s="12" t="n"/>
      <c r="CK155" s="12" t="n"/>
      <c r="CL155" s="12" t="n"/>
      <c r="CM155" s="12" t="n"/>
      <c r="CN155" s="12" t="n"/>
      <c r="CO155" s="12" t="n"/>
      <c r="CP155" s="12" t="n"/>
      <c r="CQ155" s="12" t="n"/>
      <c r="CR155" s="12" t="n"/>
      <c r="CS155" s="12" t="n"/>
      <c r="CT155" s="12" t="n"/>
      <c r="CU155" s="12" t="n"/>
      <c r="CV155" s="12" t="n"/>
      <c r="CW155" s="12" t="n"/>
      <c r="CX155" s="12" t="n"/>
      <c r="CY155" s="12" t="n"/>
    </row>
    <row r="156" hidden="1" outlineLevel="1">
      <c r="C156" s="57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  <c r="AJ156" s="12" t="n"/>
      <c r="AK156" s="12" t="n"/>
      <c r="AL156" s="12" t="n"/>
      <c r="AM156" s="12" t="n"/>
      <c r="AN156" s="12" t="n"/>
      <c r="AO156" s="12" t="n"/>
      <c r="AP156" s="12" t="n"/>
      <c r="AQ156" s="12" t="n"/>
      <c r="AR156" s="12" t="n"/>
      <c r="AS156" s="12" t="n"/>
      <c r="AT156" s="12" t="n"/>
      <c r="AU156" s="12" t="n"/>
      <c r="AV156" s="12" t="n"/>
      <c r="AW156" s="12" t="n"/>
      <c r="AX156" s="12" t="n"/>
      <c r="AY156" s="12" t="n"/>
      <c r="AZ156" s="12" t="n"/>
      <c r="BA156" s="12" t="n"/>
      <c r="BB156" s="12" t="n"/>
      <c r="BC156" s="12" t="n"/>
      <c r="BD156" s="12" t="n"/>
      <c r="BE156" s="12" t="n"/>
      <c r="BF156" s="12" t="n"/>
      <c r="BG156" s="12" t="n"/>
      <c r="BH156" s="12" t="n"/>
      <c r="BI156" s="12" t="n"/>
      <c r="BJ156" s="12" t="n"/>
      <c r="BK156" s="12" t="n"/>
      <c r="BL156" s="12" t="n"/>
      <c r="BM156" s="12" t="n"/>
      <c r="BN156" s="12" t="n"/>
      <c r="BO156" s="12" t="n"/>
      <c r="BP156" s="12" t="n"/>
      <c r="BQ156" s="12" t="n"/>
      <c r="BR156" s="12" t="n"/>
      <c r="BS156" s="12" t="n"/>
      <c r="BT156" s="12" t="n"/>
      <c r="BU156" s="12" t="n"/>
      <c r="BV156" s="12" t="n"/>
      <c r="BW156" s="12" t="n"/>
      <c r="BX156" s="12" t="n"/>
      <c r="BY156" s="12" t="n"/>
      <c r="BZ156" s="12" t="n"/>
      <c r="CA156" s="12" t="n"/>
      <c r="CB156" s="12" t="n"/>
      <c r="CC156" s="12" t="n"/>
      <c r="CD156" s="12" t="n"/>
      <c r="CE156" s="12" t="n"/>
      <c r="CF156" s="12" t="n"/>
      <c r="CG156" s="12" t="n"/>
      <c r="CH156" s="12" t="n"/>
      <c r="CI156" s="12" t="n"/>
      <c r="CJ156" s="12" t="n"/>
      <c r="CK156" s="12" t="n"/>
      <c r="CL156" s="12" t="n"/>
      <c r="CM156" s="12" t="n"/>
      <c r="CN156" s="12" t="n"/>
      <c r="CO156" s="12" t="n"/>
      <c r="CP156" s="12" t="n"/>
      <c r="CQ156" s="12" t="n"/>
      <c r="CR156" s="12" t="n"/>
      <c r="CS156" s="12" t="n"/>
      <c r="CT156" s="12" t="n"/>
      <c r="CU156" s="12" t="n"/>
      <c r="CV156" s="12" t="n"/>
      <c r="CW156" s="12" t="n"/>
      <c r="CX156" s="12" t="n"/>
      <c r="CY156" s="12" t="n"/>
    </row>
    <row r="157" hidden="1" outlineLevel="1">
      <c r="C157" s="57" t="inlineStr">
        <is>
          <t>Equity in Income - % YoY</t>
        </is>
      </c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>
        <f>IF(I129=0,0,N129/I129-1)</f>
        <v>0</v>
      </c>
      <c r="O157" s="12">
        <f>IF(J129=0,0,O129/J129-1)</f>
        <v>0</v>
      </c>
      <c r="P157" s="12">
        <f>IF(K129=0,0,P129/K129-1)</f>
        <v>0</v>
      </c>
      <c r="Q157" s="12">
        <f>IF(L129=0,0,Q129/L129-1)</f>
        <v>0</v>
      </c>
      <c r="R157" s="12" t="n"/>
      <c r="S157" s="12">
        <f>IF(N129=0,0,S129/N129-1)</f>
        <v>0</v>
      </c>
      <c r="T157" s="12">
        <f>IF(O129=0,0,T129/O129-1)</f>
        <v>0</v>
      </c>
      <c r="U157" s="12">
        <f>IF(P129=0,0,U129/P129-1)</f>
        <v>0</v>
      </c>
      <c r="V157" s="12">
        <f>IF(Q129=0,0,V129/Q129-1)</f>
        <v>0</v>
      </c>
      <c r="W157" s="12" t="n"/>
      <c r="X157" s="12">
        <f>IF(S129=0,0,X129/S129-1)</f>
        <v>0</v>
      </c>
      <c r="Y157" s="12">
        <f>IF(T129=0,0,Y129/T129-1)</f>
        <v>0</v>
      </c>
      <c r="Z157" s="12">
        <f>IF(U129=0,0,Z129/U129-1)</f>
        <v>0</v>
      </c>
      <c r="AA157" s="12">
        <f>IF(V129=0,0,AA129/V129-1)</f>
        <v>0</v>
      </c>
      <c r="AB157" s="12" t="n"/>
      <c r="AC157" s="12">
        <f>IF(X129=0,0,AC129/X129-1)</f>
        <v>0</v>
      </c>
      <c r="AD157" s="12">
        <f>IF(Y129=0,0,AD129/Y129-1)</f>
        <v>0</v>
      </c>
      <c r="AE157" s="12">
        <f>IF(Z129=0,0,AE129/Z129-1)</f>
        <v>0</v>
      </c>
      <c r="AF157" s="12">
        <f>IF(AA129=0,0,AF129/AA129-1)</f>
        <v>0</v>
      </c>
      <c r="AG157" s="12" t="n"/>
      <c r="AH157" s="11">
        <f>IF(AC129=0,0,AH129/AC129-1)</f>
        <v>0</v>
      </c>
      <c r="AI157" s="11">
        <f>IF(AD129=0,0,AI129/AD129-1)</f>
        <v>0</v>
      </c>
      <c r="AJ157" s="11" t="n"/>
      <c r="AK157" s="11" t="n"/>
      <c r="AL157" s="12" t="n"/>
      <c r="AM157" s="11" t="n"/>
      <c r="AN157" s="11" t="n"/>
      <c r="AO157" s="11" t="n"/>
      <c r="AP157" s="11" t="n"/>
      <c r="AQ157" s="12" t="n"/>
      <c r="AR157" s="11" t="n"/>
      <c r="AS157" s="11" t="n"/>
      <c r="AT157" s="11" t="n"/>
      <c r="AU157" s="11" t="n"/>
      <c r="AV157" s="12" t="n"/>
      <c r="AW157" s="11" t="n"/>
      <c r="AX157" s="11" t="n"/>
      <c r="AY157" s="11" t="n"/>
      <c r="AZ157" s="11" t="n"/>
      <c r="BA157" s="12" t="n"/>
      <c r="BB157" s="11" t="n"/>
      <c r="BC157" s="11" t="n"/>
      <c r="BD157" s="11" t="n"/>
      <c r="BE157" s="11" t="n"/>
      <c r="BF157" s="12" t="n"/>
      <c r="BG157" s="11" t="n"/>
      <c r="BH157" s="11" t="n"/>
      <c r="BI157" s="11" t="n"/>
      <c r="BJ157" s="11" t="n"/>
      <c r="BK157" s="12" t="n"/>
      <c r="BL157" s="11" t="n"/>
      <c r="BM157" s="11" t="n"/>
      <c r="BN157" s="11" t="n"/>
      <c r="BO157" s="11" t="n"/>
      <c r="BP157" s="12" t="n"/>
      <c r="BQ157" s="11" t="n"/>
      <c r="BR157" s="11" t="n"/>
      <c r="BS157" s="11" t="n"/>
      <c r="BT157" s="11" t="n"/>
      <c r="BU157" s="12" t="n"/>
      <c r="BV157" s="11" t="n"/>
      <c r="BW157" s="11" t="n"/>
      <c r="BX157" s="11" t="n"/>
      <c r="BY157" s="11" t="n"/>
      <c r="BZ157" s="12" t="n"/>
      <c r="CA157" s="11" t="n"/>
      <c r="CB157" s="11" t="n"/>
      <c r="CC157" s="11" t="n"/>
      <c r="CD157" s="11" t="n"/>
      <c r="CE157" s="12" t="n"/>
      <c r="CF157" s="11" t="n"/>
      <c r="CG157" s="11" t="n"/>
      <c r="CH157" s="11" t="n"/>
      <c r="CI157" s="11" t="n"/>
      <c r="CJ157" s="12" t="n"/>
      <c r="CK157" s="11" t="n"/>
      <c r="CL157" s="11" t="n"/>
      <c r="CM157" s="11" t="n"/>
      <c r="CN157" s="11" t="n"/>
      <c r="CO157" s="12" t="n"/>
      <c r="CP157" s="11" t="n"/>
      <c r="CQ157" s="11" t="n"/>
      <c r="CR157" s="11" t="n"/>
      <c r="CS157" s="11" t="n"/>
      <c r="CT157" s="12" t="n"/>
      <c r="CU157" s="11" t="n"/>
      <c r="CV157" s="11" t="n"/>
      <c r="CW157" s="11" t="n"/>
      <c r="CX157" s="11" t="n"/>
      <c r="CY157" s="12" t="n"/>
    </row>
    <row r="158" hidden="1" outlineLevel="1">
      <c r="C158" s="57" t="inlineStr">
        <is>
          <t>Dividends (enter as -)</t>
        </is>
      </c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1" t="n"/>
      <c r="AI158" s="11" t="n"/>
      <c r="AJ158" s="11" t="n"/>
      <c r="AK158" s="11" t="n"/>
      <c r="AL158" s="12" t="n"/>
      <c r="AM158" s="11" t="n"/>
      <c r="AN158" s="11" t="n"/>
      <c r="AO158" s="11" t="n"/>
      <c r="AP158" s="11" t="n"/>
      <c r="AQ158" s="12" t="n"/>
      <c r="AR158" s="11" t="n"/>
      <c r="AS158" s="11" t="n"/>
      <c r="AT158" s="11" t="n"/>
      <c r="AU158" s="11" t="n"/>
      <c r="AV158" s="12" t="n"/>
      <c r="AW158" s="11" t="n"/>
      <c r="AX158" s="11" t="n"/>
      <c r="AY158" s="11" t="n"/>
      <c r="AZ158" s="11" t="n"/>
      <c r="BA158" s="12" t="n"/>
      <c r="BB158" s="11" t="n"/>
      <c r="BC158" s="11" t="n"/>
      <c r="BD158" s="11" t="n"/>
      <c r="BE158" s="11" t="n"/>
      <c r="BF158" s="12" t="n"/>
      <c r="BG158" s="11" t="n"/>
      <c r="BH158" s="11" t="n"/>
      <c r="BI158" s="11" t="n"/>
      <c r="BJ158" s="11" t="n"/>
      <c r="BK158" s="12" t="n"/>
      <c r="BL158" s="11" t="n"/>
      <c r="BM158" s="11" t="n"/>
      <c r="BN158" s="11" t="n"/>
      <c r="BO158" s="11" t="n"/>
      <c r="BP158" s="12" t="n"/>
      <c r="BQ158" s="11" t="n"/>
      <c r="BR158" s="11" t="n"/>
      <c r="BS158" s="11" t="n"/>
      <c r="BT158" s="11" t="n"/>
      <c r="BU158" s="12" t="n"/>
      <c r="BV158" s="11" t="n"/>
      <c r="BW158" s="11" t="n"/>
      <c r="BX158" s="11" t="n"/>
      <c r="BY158" s="11" t="n"/>
      <c r="BZ158" s="12" t="n"/>
      <c r="CA158" s="11" t="n"/>
      <c r="CB158" s="11" t="n"/>
      <c r="CC158" s="11" t="n"/>
      <c r="CD158" s="11" t="n"/>
      <c r="CE158" s="12" t="n"/>
      <c r="CF158" s="11" t="n"/>
      <c r="CG158" s="11" t="n"/>
      <c r="CH158" s="11" t="n"/>
      <c r="CI158" s="11" t="n"/>
      <c r="CJ158" s="12" t="n"/>
      <c r="CK158" s="11" t="n"/>
      <c r="CL158" s="11" t="n"/>
      <c r="CM158" s="11" t="n"/>
      <c r="CN158" s="11" t="n"/>
      <c r="CO158" s="12" t="n"/>
      <c r="CP158" s="11" t="n"/>
      <c r="CQ158" s="11" t="n"/>
      <c r="CR158" s="11" t="n"/>
      <c r="CS158" s="11" t="n"/>
      <c r="CT158" s="12" t="n"/>
      <c r="CU158" s="11" t="n"/>
      <c r="CV158" s="11" t="n"/>
      <c r="CW158" s="11" t="n"/>
      <c r="CX158" s="11" t="n"/>
      <c r="CY158" s="12" t="n"/>
    </row>
    <row r="159" hidden="1" outlineLevel="1">
      <c r="C159" s="57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  <c r="AJ159" s="12" t="n"/>
      <c r="AK159" s="12" t="n"/>
      <c r="AL159" s="12" t="n"/>
      <c r="AM159" s="12" t="n"/>
      <c r="AN159" s="12" t="n"/>
      <c r="AO159" s="12" t="n"/>
      <c r="AP159" s="12" t="n"/>
      <c r="AQ159" s="12" t="n"/>
      <c r="AR159" s="12" t="n"/>
      <c r="AS159" s="12" t="n"/>
      <c r="AT159" s="12" t="n"/>
      <c r="AU159" s="12" t="n"/>
      <c r="AV159" s="12" t="n"/>
      <c r="AW159" s="12" t="n"/>
      <c r="AX159" s="12" t="n"/>
      <c r="AY159" s="12" t="n"/>
      <c r="AZ159" s="12" t="n"/>
      <c r="BA159" s="12" t="n"/>
      <c r="BB159" s="12" t="n"/>
      <c r="BC159" s="12" t="n"/>
      <c r="BD159" s="12" t="n"/>
      <c r="BE159" s="12" t="n"/>
      <c r="BF159" s="12" t="n"/>
      <c r="BG159" s="12" t="n"/>
      <c r="BH159" s="12" t="n"/>
      <c r="BI159" s="12" t="n"/>
      <c r="BJ159" s="12" t="n"/>
      <c r="BK159" s="12" t="n"/>
      <c r="BL159" s="12" t="n"/>
      <c r="BM159" s="12" t="n"/>
      <c r="BN159" s="12" t="n"/>
      <c r="BO159" s="12" t="n"/>
      <c r="BP159" s="12" t="n"/>
      <c r="BQ159" s="12" t="n"/>
      <c r="BR159" s="12" t="n"/>
      <c r="BS159" s="12" t="n"/>
      <c r="BT159" s="12" t="n"/>
      <c r="BU159" s="12" t="n"/>
      <c r="BV159" s="12" t="n"/>
      <c r="BW159" s="12" t="n"/>
      <c r="BX159" s="12" t="n"/>
      <c r="BY159" s="12" t="n"/>
      <c r="BZ159" s="12" t="n"/>
      <c r="CA159" s="12" t="n"/>
      <c r="CB159" s="12" t="n"/>
      <c r="CC159" s="12" t="n"/>
      <c r="CD159" s="12" t="n"/>
      <c r="CE159" s="12" t="n"/>
      <c r="CF159" s="12" t="n"/>
      <c r="CG159" s="12" t="n"/>
      <c r="CH159" s="12" t="n"/>
      <c r="CI159" s="12" t="n"/>
      <c r="CJ159" s="12" t="n"/>
      <c r="CK159" s="12" t="n"/>
      <c r="CL159" s="12" t="n"/>
      <c r="CM159" s="12" t="n"/>
      <c r="CN159" s="12" t="n"/>
      <c r="CO159" s="12" t="n"/>
      <c r="CP159" s="12" t="n"/>
      <c r="CQ159" s="12" t="n"/>
      <c r="CR159" s="12" t="n"/>
      <c r="CS159" s="12" t="n"/>
      <c r="CT159" s="12" t="n"/>
      <c r="CU159" s="12" t="n"/>
      <c r="CV159" s="12" t="n"/>
      <c r="CW159" s="12" t="n"/>
      <c r="CX159" s="12" t="n"/>
      <c r="CY159" s="12" t="n"/>
    </row>
    <row r="160" collapsed="1">
      <c r="C160" s="14" t="inlineStr">
        <is>
          <t>PP&amp;E</t>
        </is>
      </c>
      <c r="D160" s="46" t="n"/>
      <c r="E160" s="46" t="n"/>
      <c r="F160" s="46" t="n"/>
      <c r="G160" s="46" t="n"/>
      <c r="H160" s="12" t="n"/>
      <c r="I160" s="46">
        <f>'Inputs (2)'!D22</f>
        <v>13868</v>
      </c>
      <c r="J160" s="46">
        <f>'Inputs (2)'!E22</f>
        <v>15665</v>
      </c>
      <c r="K160" s="46">
        <f>'Inputs (2)'!F22</f>
        <v>17298</v>
      </c>
      <c r="L160" s="46">
        <f>'Inputs (2)'!G22</f>
        <v>18884</v>
      </c>
      <c r="M160" s="12">
        <f>'Inputs (2)'!H22</f>
        <v>18884</v>
      </c>
      <c r="N160" s="46">
        <f>'Inputs (2)'!I22</f>
        <v>20027</v>
      </c>
      <c r="O160" s="46">
        <f>'Inputs (2)'!J22</f>
        <v>21093</v>
      </c>
      <c r="P160" s="46">
        <f>'Inputs (2)'!K22</f>
        <v>21926</v>
      </c>
      <c r="Q160" s="46">
        <f>'Inputs (2)'!L22</f>
        <v>23548</v>
      </c>
      <c r="R160" s="12">
        <f>'Inputs (2)'!M22</f>
        <v>23548</v>
      </c>
      <c r="S160" s="46">
        <f>'Inputs (2)'!N22</f>
        <v>24969</v>
      </c>
      <c r="T160" s="46">
        <f>'Inputs (2)'!O22</f>
        <v>26389</v>
      </c>
      <c r="U160" s="46">
        <f>'Inputs (2)'!P22</f>
        <v>27744</v>
      </c>
      <c r="V160" s="46">
        <f>'Inputs (2)'!Q22</f>
        <v>29725</v>
      </c>
      <c r="W160" s="12">
        <f>'Inputs (2)'!R22</f>
        <v>29725</v>
      </c>
      <c r="X160" s="46">
        <f>'Inputs (2)'!S22</f>
        <v>31436</v>
      </c>
      <c r="Y160" s="46">
        <f>'Inputs (2)'!T22</f>
        <v>32902</v>
      </c>
      <c r="Z160" s="46">
        <f>'Inputs (2)'!U22</f>
        <v>36116</v>
      </c>
      <c r="AA160" s="46">
        <f>'Inputs (2)'!V22</f>
        <v>35836</v>
      </c>
      <c r="AB160" s="12">
        <f>'Inputs (2)'!W22</f>
        <v>35836</v>
      </c>
      <c r="AC160" s="46">
        <f>'Inputs (2)'!X22</f>
        <v>37088</v>
      </c>
      <c r="AD160" s="46">
        <f>'Inputs (2)'!Y22</f>
        <v>38574</v>
      </c>
      <c r="AE160" s="46">
        <f>'Inputs (2)'!Z22</f>
        <v>39407</v>
      </c>
      <c r="AF160" s="46">
        <f>'Inputs (2)'!AA22</f>
        <v>40643</v>
      </c>
      <c r="AG160" s="12">
        <f>'Inputs (2)'!AB22</f>
        <v>40643</v>
      </c>
      <c r="AH160" s="12">
        <f>'Inputs (2)'!AC22</f>
        <v>43213</v>
      </c>
      <c r="AI160" s="12">
        <f>'Inputs (2)'!AD22</f>
        <v>47255</v>
      </c>
      <c r="AJ160" s="12">
        <f>AJ165</f>
        <v>49543.0530401091</v>
      </c>
      <c r="AK160" s="12">
        <f>AK165</f>
        <v>51570.987147664</v>
      </c>
      <c r="AL160" s="12">
        <f>AK160</f>
        <v>51570.987147664</v>
      </c>
      <c r="AM160" s="12">
        <f>AM165</f>
        <v>53394.181431662</v>
      </c>
      <c r="AN160" s="12">
        <f>AN165</f>
        <v>55693.7174929013</v>
      </c>
      <c r="AO160" s="12">
        <f>AO165</f>
        <v>58091.3032215973</v>
      </c>
      <c r="AP160" s="12">
        <f>AP165</f>
        <v>60216.3177163565</v>
      </c>
      <c r="AQ160" s="12">
        <f>AP160</f>
        <v>60216.3177163565</v>
      </c>
      <c r="AR160" s="12">
        <f>AR165</f>
        <v>62117.6751995839</v>
      </c>
      <c r="AS160" s="12">
        <f>AS165</f>
        <v>64515.7959793403</v>
      </c>
      <c r="AT160" s="12">
        <f>AT165</f>
        <v>67016.1699696201</v>
      </c>
      <c r="AU160" s="12">
        <f>AU165</f>
        <v>69232.2871695474</v>
      </c>
      <c r="AV160" s="12">
        <f>AU160</f>
        <v>69232.2871695474</v>
      </c>
      <c r="AW160" s="12">
        <f>AW165</f>
        <v>71205.6520435635</v>
      </c>
      <c r="AX160" s="12">
        <f>AX165</f>
        <v>73694.5934194833</v>
      </c>
      <c r="AY160" s="12">
        <f>AY165</f>
        <v>76289.6604954265</v>
      </c>
      <c r="AZ160" s="12">
        <f>AZ165</f>
        <v>78589.7055304171</v>
      </c>
      <c r="BA160" s="12">
        <f>AZ160</f>
        <v>78589.7055304171</v>
      </c>
      <c r="BB160" s="12">
        <f>BB165</f>
        <v>80627.938003708</v>
      </c>
      <c r="BC160" s="12">
        <f>BC165</f>
        <v>83198.69478737</v>
      </c>
      <c r="BD160" s="12">
        <f>BD165</f>
        <v>85879.0657893079</v>
      </c>
      <c r="BE160" s="12">
        <f>BE165</f>
        <v>88254.7169129689</v>
      </c>
      <c r="BF160" s="12">
        <f>BE160</f>
        <v>88254.7169129689</v>
      </c>
      <c r="BG160" s="12" t="n"/>
      <c r="BH160" s="12" t="n"/>
      <c r="BI160" s="12" t="n"/>
      <c r="BJ160" s="12" t="n"/>
      <c r="BK160" s="12" t="n"/>
      <c r="BL160" s="12" t="n"/>
      <c r="BM160" s="12" t="n"/>
      <c r="BN160" s="12" t="n"/>
      <c r="BO160" s="12" t="n"/>
      <c r="BP160" s="12" t="n"/>
      <c r="BQ160" s="12" t="n"/>
      <c r="BR160" s="12" t="n"/>
      <c r="BS160" s="12" t="n"/>
      <c r="BT160" s="12" t="n"/>
      <c r="BU160" s="12" t="n"/>
      <c r="BV160" s="12" t="n"/>
      <c r="BW160" s="12" t="n"/>
      <c r="BX160" s="12" t="n"/>
      <c r="BY160" s="12" t="n"/>
      <c r="BZ160" s="12" t="n"/>
      <c r="CA160" s="12" t="n"/>
      <c r="CB160" s="12" t="n"/>
      <c r="CC160" s="12" t="n"/>
      <c r="CD160" s="12" t="n"/>
      <c r="CE160" s="12" t="n"/>
      <c r="CF160" s="12" t="n"/>
      <c r="CG160" s="12" t="n"/>
      <c r="CH160" s="12" t="n"/>
      <c r="CI160" s="12" t="n"/>
      <c r="CJ160" s="12" t="n"/>
      <c r="CK160" s="12" t="n"/>
      <c r="CL160" s="12" t="n"/>
      <c r="CM160" s="12" t="n"/>
      <c r="CN160" s="12" t="n"/>
      <c r="CO160" s="12" t="n"/>
      <c r="CP160" s="12" t="n"/>
      <c r="CQ160" s="12" t="n"/>
      <c r="CR160" s="12" t="n"/>
      <c r="CS160" s="12" t="n"/>
      <c r="CT160" s="12" t="n"/>
      <c r="CU160" s="12" t="n"/>
      <c r="CV160" s="12" t="n"/>
      <c r="CW160" s="12" t="n"/>
      <c r="CX160" s="12" t="n"/>
      <c r="CY160" s="12" t="n"/>
    </row>
    <row r="161" hidden="1" outlineLevel="1">
      <c r="C161" s="57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  <c r="AJ161" s="12" t="n"/>
      <c r="AK161" s="12" t="n"/>
      <c r="AL161" s="12" t="n"/>
      <c r="AM161" s="12" t="n"/>
      <c r="AN161" s="12" t="n"/>
      <c r="AO161" s="12" t="n"/>
      <c r="AP161" s="12" t="n"/>
      <c r="AQ161" s="12" t="n"/>
      <c r="AR161" s="12" t="n"/>
      <c r="AS161" s="12" t="n"/>
      <c r="AT161" s="12" t="n"/>
      <c r="AU161" s="12" t="n"/>
      <c r="AV161" s="12" t="n"/>
      <c r="AW161" s="12" t="n"/>
      <c r="AX161" s="12" t="n"/>
      <c r="AY161" s="12" t="n"/>
      <c r="AZ161" s="12" t="n"/>
      <c r="BA161" s="12" t="n"/>
      <c r="BB161" s="12" t="n"/>
      <c r="BC161" s="12" t="n"/>
      <c r="BD161" s="12" t="n"/>
      <c r="BE161" s="12" t="n"/>
      <c r="BF161" s="12" t="n"/>
      <c r="BG161" s="12" t="n"/>
      <c r="BH161" s="12" t="n"/>
      <c r="BI161" s="12" t="n"/>
      <c r="BJ161" s="12" t="n"/>
      <c r="BK161" s="12" t="n"/>
      <c r="BL161" s="12" t="n"/>
      <c r="BM161" s="12" t="n"/>
      <c r="BN161" s="12" t="n"/>
      <c r="BO161" s="12" t="n"/>
      <c r="BP161" s="12" t="n"/>
      <c r="BQ161" s="12" t="n"/>
      <c r="BR161" s="12" t="n"/>
      <c r="BS161" s="12" t="n"/>
      <c r="BT161" s="12" t="n"/>
      <c r="BU161" s="12" t="n"/>
      <c r="BV161" s="12" t="n"/>
      <c r="BW161" s="12" t="n"/>
      <c r="BX161" s="12" t="n"/>
      <c r="BY161" s="12" t="n"/>
      <c r="BZ161" s="12" t="n"/>
      <c r="CA161" s="12" t="n"/>
      <c r="CB161" s="12" t="n"/>
      <c r="CC161" s="12" t="n"/>
      <c r="CD161" s="12" t="n"/>
      <c r="CE161" s="12" t="n"/>
      <c r="CF161" s="12" t="n"/>
      <c r="CG161" s="12" t="n"/>
      <c r="CH161" s="12" t="n"/>
      <c r="CI161" s="12" t="n"/>
      <c r="CJ161" s="12" t="n"/>
      <c r="CK161" s="12" t="n"/>
      <c r="CL161" s="12" t="n"/>
      <c r="CM161" s="12" t="n"/>
      <c r="CN161" s="12" t="n"/>
      <c r="CO161" s="12" t="n"/>
      <c r="CP161" s="12" t="n"/>
      <c r="CQ161" s="12" t="n"/>
      <c r="CR161" s="12" t="n"/>
      <c r="CS161" s="12" t="n"/>
      <c r="CT161" s="12" t="n"/>
      <c r="CU161" s="12" t="n"/>
      <c r="CV161" s="12" t="n"/>
      <c r="CW161" s="12" t="n"/>
      <c r="CX161" s="12" t="n"/>
      <c r="CY161" s="12" t="n"/>
    </row>
    <row r="162" hidden="1" outlineLevel="1">
      <c r="C162" s="57" t="inlineStr">
        <is>
          <t>Capital expenditures</t>
        </is>
      </c>
      <c r="D162" s="12" t="n"/>
      <c r="E162" s="12" t="n"/>
      <c r="F162" s="12" t="n"/>
      <c r="G162" s="12" t="n"/>
      <c r="H162" s="12" t="n"/>
      <c r="I162" s="12" t="n"/>
      <c r="J162" s="12">
        <f>J160-I160-J64</f>
        <v>2478</v>
      </c>
      <c r="K162" s="12">
        <f>K160-J160-K64</f>
        <v>2394</v>
      </c>
      <c r="L162" s="12">
        <f>L160-K160-L64</f>
        <v>2434</v>
      </c>
      <c r="M162" s="12" t="n"/>
      <c r="N162" s="12">
        <f>N160-M160-N64</f>
        <v>2023</v>
      </c>
      <c r="O162" s="12">
        <f>O160-N160-O64</f>
        <v>1988</v>
      </c>
      <c r="P162" s="12">
        <f>P160-O160-P64</f>
        <v>1789</v>
      </c>
      <c r="Q162" s="12">
        <f>Q160-P160-Q64</f>
        <v>2611</v>
      </c>
      <c r="R162" s="12" t="n"/>
      <c r="S162" s="12">
        <f>S160-R160-S64</f>
        <v>2467</v>
      </c>
      <c r="T162" s="12">
        <f>T160-S160-T64</f>
        <v>2574</v>
      </c>
      <c r="U162" s="12">
        <f>U160-T160-U64</f>
        <v>2590</v>
      </c>
      <c r="V162" s="12">
        <f>V160-U160-V64</f>
        <v>3213</v>
      </c>
      <c r="W162" s="12" t="n"/>
      <c r="X162" s="12">
        <f>X160-W160-X64</f>
        <v>2957</v>
      </c>
      <c r="Y162" s="12">
        <f>Y160-X160-Y64</f>
        <v>2744</v>
      </c>
      <c r="Z162" s="12">
        <f>Z160-Y160-Z64</f>
        <v>4562</v>
      </c>
      <c r="AA162" s="12">
        <f>AA160-Z160-AA64</f>
        <v>1216</v>
      </c>
      <c r="AB162" s="12" t="n"/>
      <c r="AC162" s="12">
        <f>AC160-AB160-AC64</f>
        <v>2699</v>
      </c>
      <c r="AD162" s="12">
        <f>AD160-AC160-AD64</f>
        <v>2919</v>
      </c>
      <c r="AE162" s="12">
        <f>AE160-AD160-AE64</f>
        <v>2458</v>
      </c>
      <c r="AF162" s="11">
        <f>AF160-AE160-AF64</f>
        <v>2879</v>
      </c>
      <c r="AG162" s="12">
        <f>SUM(AC162:AF162)</f>
        <v>10955</v>
      </c>
      <c r="AH162" s="11">
        <f>AH160-AG160-AH64</f>
        <v>4160</v>
      </c>
      <c r="AI162" s="11">
        <f>AI160-AH160-AI64</f>
        <v>5661</v>
      </c>
      <c r="AJ162" s="11">
        <f>AJ15*Control!$B$24</f>
        <v>4205.18691689777</v>
      </c>
      <c r="AK162" s="11">
        <f>AK15*Control!$B$24</f>
        <v>3727.11725992779</v>
      </c>
      <c r="AL162" s="12" t="n"/>
      <c r="AM162" s="11">
        <f>AM15*Control!$C$24</f>
        <v>3350.82824376545</v>
      </c>
      <c r="AN162" s="11">
        <f>AN15*Control!$C$24</f>
        <v>4226.29143212406</v>
      </c>
      <c r="AO162" s="11">
        <f>AO15*Control!$C$24</f>
        <v>4406.49581181584</v>
      </c>
      <c r="AP162" s="11">
        <f>AP15*Control!$C$24</f>
        <v>3905.54021035865</v>
      </c>
      <c r="AQ162" s="12" t="n"/>
      <c r="AR162" s="11">
        <f>AR15*Control!$D$24</f>
        <v>3494.48350744183</v>
      </c>
      <c r="AS162" s="11">
        <f>AS15*Control!$D$24</f>
        <v>4407.47917613471</v>
      </c>
      <c r="AT162" s="11">
        <f>AT15*Control!$D$24</f>
        <v>4595.40920029318</v>
      </c>
      <c r="AU162" s="11">
        <f>AU15*Control!$D$24</f>
        <v>4072.97684628939</v>
      </c>
      <c r="AV162" s="12" t="n"/>
      <c r="AW162" s="11">
        <f>AW15*Control!$E$24</f>
        <v>3626.82508010492</v>
      </c>
      <c r="AX162" s="11">
        <f>AX15*Control!$E$24</f>
        <v>4574.39732710244</v>
      </c>
      <c r="AY162" s="11">
        <f>AY15*Control!$E$24</f>
        <v>4769.44455610529</v>
      </c>
      <c r="AZ162" s="11">
        <f>AZ15*Control!$E$24</f>
        <v>4227.22686924997</v>
      </c>
      <c r="BA162" s="12" t="n"/>
      <c r="BB162" s="11">
        <f>BB15*Control!$F$24</f>
        <v>3746.04451034511</v>
      </c>
      <c r="BC162" s="11">
        <f>BC15*Control!$F$24</f>
        <v>4724.76494367734</v>
      </c>
      <c r="BD162" s="11">
        <f>BD15*Control!$F$24</f>
        <v>4926.22368109265</v>
      </c>
      <c r="BE162" s="11">
        <f>BE15*Control!$F$24</f>
        <v>4366.18244822524</v>
      </c>
      <c r="BF162" s="12" t="n"/>
      <c r="BG162" s="11" t="n"/>
      <c r="BH162" s="11" t="n"/>
      <c r="BI162" s="11" t="n"/>
      <c r="BJ162" s="11" t="n"/>
      <c r="BK162" s="12" t="n"/>
      <c r="BL162" s="11" t="n"/>
      <c r="BM162" s="11" t="n"/>
      <c r="BN162" s="11" t="n"/>
      <c r="BO162" s="11" t="n"/>
      <c r="BP162" s="12" t="n"/>
      <c r="BQ162" s="11" t="n"/>
      <c r="BR162" s="11" t="n"/>
      <c r="BS162" s="11" t="n"/>
      <c r="BT162" s="11" t="n"/>
      <c r="BU162" s="12" t="n"/>
      <c r="BV162" s="11" t="n"/>
      <c r="BW162" s="11" t="n"/>
      <c r="BX162" s="11" t="n"/>
      <c r="BY162" s="11" t="n"/>
      <c r="BZ162" s="12" t="n"/>
      <c r="CA162" s="11" t="n"/>
      <c r="CB162" s="11" t="n"/>
      <c r="CC162" s="11" t="n"/>
      <c r="CD162" s="11" t="n"/>
      <c r="CE162" s="12" t="n"/>
      <c r="CF162" s="11" t="n"/>
      <c r="CG162" s="11" t="n"/>
      <c r="CH162" s="11" t="n"/>
      <c r="CI162" s="11" t="n"/>
      <c r="CJ162" s="12" t="n"/>
      <c r="CK162" s="11" t="n"/>
      <c r="CL162" s="11" t="n"/>
      <c r="CM162" s="11" t="n"/>
      <c r="CN162" s="11" t="n"/>
      <c r="CO162" s="12" t="n"/>
      <c r="CP162" s="11" t="n"/>
      <c r="CQ162" s="11" t="n"/>
      <c r="CR162" s="11" t="n"/>
      <c r="CS162" s="11" t="n"/>
      <c r="CT162" s="12" t="n"/>
      <c r="CU162" s="11" t="n"/>
      <c r="CV162" s="11" t="n"/>
      <c r="CW162" s="11" t="n"/>
      <c r="CX162" s="11" t="n"/>
      <c r="CY162" s="12" t="n"/>
    </row>
    <row r="163" hidden="1" outlineLevel="1">
      <c r="C163" s="57" t="inlineStr">
        <is>
          <t>Recurring asset sales (enter as -)</t>
        </is>
      </c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>
        <f>SUM(I163:L163)</f>
        <v>0</v>
      </c>
      <c r="N163" s="12" t="n"/>
      <c r="O163" s="12" t="n"/>
      <c r="P163" s="12" t="n"/>
      <c r="Q163" s="12" t="n"/>
      <c r="R163" s="12">
        <f>SUM(N163:Q163)</f>
        <v>0</v>
      </c>
      <c r="S163" s="12" t="n"/>
      <c r="T163" s="12" t="n"/>
      <c r="U163" s="12" t="n"/>
      <c r="V163" s="12" t="n"/>
      <c r="W163" s="12">
        <f>SUM(S163:V163)</f>
        <v>0</v>
      </c>
      <c r="X163" s="12" t="n"/>
      <c r="Y163" s="12" t="n"/>
      <c r="Z163" s="12" t="n"/>
      <c r="AA163" s="12" t="n"/>
      <c r="AB163" s="12">
        <f>SUM(X163:AA163)</f>
        <v>0</v>
      </c>
      <c r="AC163" s="12" t="n"/>
      <c r="AD163" s="12" t="n"/>
      <c r="AE163" s="12" t="n"/>
      <c r="AF163" s="11" t="n"/>
      <c r="AG163" s="12">
        <f>SUM(AC163:AF163)</f>
        <v>0</v>
      </c>
      <c r="AH163" s="11" t="n"/>
      <c r="AI163" s="11" t="n"/>
      <c r="AJ163" s="11">
        <f>0</f>
        <v>0</v>
      </c>
      <c r="AK163" s="11">
        <f>0</f>
        <v>0</v>
      </c>
      <c r="AL163" s="12" t="n"/>
      <c r="AM163" s="11">
        <f>0</f>
        <v>0</v>
      </c>
      <c r="AN163" s="11">
        <f>0</f>
        <v>0</v>
      </c>
      <c r="AO163" s="11">
        <f>0</f>
        <v>0</v>
      </c>
      <c r="AP163" s="11">
        <f>0</f>
        <v>0</v>
      </c>
      <c r="AQ163" s="12" t="n"/>
      <c r="AR163" s="11">
        <f>0</f>
        <v>0</v>
      </c>
      <c r="AS163" s="11">
        <f>0</f>
        <v>0</v>
      </c>
      <c r="AT163" s="11">
        <f>0</f>
        <v>0</v>
      </c>
      <c r="AU163" s="11">
        <f>0</f>
        <v>0</v>
      </c>
      <c r="AV163" s="12" t="n"/>
      <c r="AW163" s="11">
        <f>0</f>
        <v>0</v>
      </c>
      <c r="AX163" s="11">
        <f>0</f>
        <v>0</v>
      </c>
      <c r="AY163" s="11">
        <f>0</f>
        <v>0</v>
      </c>
      <c r="AZ163" s="11">
        <f>0</f>
        <v>0</v>
      </c>
      <c r="BA163" s="12" t="n"/>
      <c r="BB163" s="11">
        <f>0</f>
        <v>0</v>
      </c>
      <c r="BC163" s="11">
        <f>0</f>
        <v>0</v>
      </c>
      <c r="BD163" s="11">
        <f>0</f>
        <v>0</v>
      </c>
      <c r="BE163" s="11">
        <f>0</f>
        <v>0</v>
      </c>
      <c r="BF163" s="12" t="n"/>
      <c r="BG163" s="11" t="n"/>
      <c r="BH163" s="11" t="n"/>
      <c r="BI163" s="11" t="n"/>
      <c r="BJ163" s="11" t="n"/>
      <c r="BK163" s="12" t="n"/>
      <c r="BL163" s="11" t="n"/>
      <c r="BM163" s="11" t="n"/>
      <c r="BN163" s="11" t="n"/>
      <c r="BO163" s="11" t="n"/>
      <c r="BP163" s="12" t="n"/>
      <c r="BQ163" s="11" t="n"/>
      <c r="BR163" s="11" t="n"/>
      <c r="BS163" s="11" t="n"/>
      <c r="BT163" s="11" t="n"/>
      <c r="BU163" s="12" t="n"/>
      <c r="BV163" s="11" t="n"/>
      <c r="BW163" s="11" t="n"/>
      <c r="BX163" s="11" t="n"/>
      <c r="BY163" s="11" t="n"/>
      <c r="BZ163" s="12" t="n"/>
      <c r="CA163" s="11" t="n"/>
      <c r="CB163" s="11" t="n"/>
      <c r="CC163" s="11" t="n"/>
      <c r="CD163" s="11" t="n"/>
      <c r="CE163" s="12" t="n"/>
      <c r="CF163" s="11" t="n"/>
      <c r="CG163" s="11" t="n"/>
      <c r="CH163" s="11" t="n"/>
      <c r="CI163" s="11" t="n"/>
      <c r="CJ163" s="12" t="n"/>
      <c r="CK163" s="11" t="n"/>
      <c r="CL163" s="11" t="n"/>
      <c r="CM163" s="11" t="n"/>
      <c r="CN163" s="11" t="n"/>
      <c r="CO163" s="12" t="n"/>
      <c r="CP163" s="11" t="n"/>
      <c r="CQ163" s="11" t="n"/>
      <c r="CR163" s="11" t="n"/>
      <c r="CS163" s="11" t="n"/>
      <c r="CT163" s="12" t="n"/>
      <c r="CU163" s="11" t="n"/>
      <c r="CV163" s="11" t="n"/>
      <c r="CW163" s="11" t="n"/>
      <c r="CX163" s="11" t="n"/>
      <c r="CY163" s="12" t="n"/>
    </row>
    <row r="164" hidden="1" outlineLevel="1">
      <c r="C164" s="57" t="inlineStr">
        <is>
          <t>Depreciation</t>
        </is>
      </c>
      <c r="D164" s="12" t="n"/>
      <c r="E164" s="12" t="n"/>
      <c r="F164" s="12" t="n"/>
      <c r="G164" s="12" t="n"/>
      <c r="H164" s="12" t="n"/>
      <c r="I164" s="12">
        <f>I64</f>
        <v>-621</v>
      </c>
      <c r="J164" s="12">
        <f>J64</f>
        <v>-681</v>
      </c>
      <c r="K164" s="12">
        <f>K64</f>
        <v>-761</v>
      </c>
      <c r="L164" s="12">
        <f>L64</f>
        <v>-848</v>
      </c>
      <c r="M164" s="12" t="n"/>
      <c r="N164" s="12">
        <f>N64</f>
        <v>-880</v>
      </c>
      <c r="O164" s="12">
        <f>O64</f>
        <v>-922</v>
      </c>
      <c r="P164" s="12">
        <f>P64</f>
        <v>-956</v>
      </c>
      <c r="Q164" s="12">
        <f>Q64</f>
        <v>-989</v>
      </c>
      <c r="R164" s="12" t="n"/>
      <c r="S164" s="12">
        <f>S64</f>
        <v>-1046</v>
      </c>
      <c r="T164" s="12">
        <f>T64</f>
        <v>-1154</v>
      </c>
      <c r="U164" s="12">
        <f>U64</f>
        <v>-1235</v>
      </c>
      <c r="V164" s="12">
        <f>V64</f>
        <v>-1232</v>
      </c>
      <c r="W164" s="12" t="n"/>
      <c r="X164" s="12">
        <f>X64</f>
        <v>-1246</v>
      </c>
      <c r="Y164" s="12">
        <f>Y64</f>
        <v>-1278</v>
      </c>
      <c r="Z164" s="12">
        <f>Z64</f>
        <v>-1348</v>
      </c>
      <c r="AA164" s="12">
        <f>AA64</f>
        <v>-1496</v>
      </c>
      <c r="AB164" s="12" t="n"/>
      <c r="AC164" s="12">
        <f>AC64</f>
        <v>-1447</v>
      </c>
      <c r="AD164" s="12">
        <f>AD64</f>
        <v>-1433</v>
      </c>
      <c r="AE164" s="12">
        <f>AE64</f>
        <v>-1625</v>
      </c>
      <c r="AF164" s="12">
        <f>AF64</f>
        <v>-1643</v>
      </c>
      <c r="AG164" s="12" t="n"/>
      <c r="AH164" s="12">
        <f>AH64</f>
        <v>-1590</v>
      </c>
      <c r="AI164" s="12">
        <f>AI64</f>
        <v>-1619</v>
      </c>
      <c r="AJ164" s="12">
        <f>AJ64</f>
        <v>-1917.13387678868</v>
      </c>
      <c r="AK164" s="12">
        <f>AK64</f>
        <v>-1699.18315237284</v>
      </c>
      <c r="AL164" s="12" t="n"/>
      <c r="AM164" s="12">
        <f>AM64</f>
        <v>-1527.63395976751</v>
      </c>
      <c r="AN164" s="12">
        <f>AN64</f>
        <v>-1926.75537088469</v>
      </c>
      <c r="AO164" s="12">
        <f>AO64</f>
        <v>-2008.91008311985</v>
      </c>
      <c r="AP164" s="12">
        <f>AP64</f>
        <v>-1780.52571559948</v>
      </c>
      <c r="AQ164" s="12" t="n"/>
      <c r="AR164" s="12">
        <f>AR64</f>
        <v>-1593.12602421448</v>
      </c>
      <c r="AS164" s="12">
        <f>AS64</f>
        <v>-2009.35839637826</v>
      </c>
      <c r="AT164" s="12">
        <f>AT64</f>
        <v>-2095.03521001338</v>
      </c>
      <c r="AU164" s="12">
        <f>AU64</f>
        <v>-1856.8596463621</v>
      </c>
      <c r="AV164" s="12" t="n"/>
      <c r="AW164" s="12">
        <f>AW64</f>
        <v>-1653.46020608886</v>
      </c>
      <c r="AX164" s="12">
        <f>AX64</f>
        <v>-2085.45595118261</v>
      </c>
      <c r="AY164" s="12">
        <f>AY64</f>
        <v>-2174.3774801621</v>
      </c>
      <c r="AZ164" s="12">
        <f>AZ64</f>
        <v>-1927.18183425935</v>
      </c>
      <c r="BA164" s="12" t="n"/>
      <c r="BB164" s="12">
        <f>BB64</f>
        <v>-1707.81203705421</v>
      </c>
      <c r="BC164" s="12">
        <f>BC64</f>
        <v>-2154.00816001531</v>
      </c>
      <c r="BD164" s="12">
        <f>BD64</f>
        <v>-2245.85267915475</v>
      </c>
      <c r="BE164" s="12">
        <f>BE64</f>
        <v>-1990.53132456425</v>
      </c>
      <c r="BF164" s="12" t="n"/>
      <c r="BG164" s="12" t="n"/>
      <c r="BH164" s="12" t="n"/>
      <c r="BI164" s="12" t="n"/>
      <c r="BJ164" s="12" t="n"/>
      <c r="BK164" s="12" t="n"/>
      <c r="BL164" s="12" t="n"/>
      <c r="BM164" s="12" t="n"/>
      <c r="BN164" s="12" t="n"/>
      <c r="BO164" s="12" t="n"/>
      <c r="BP164" s="12" t="n"/>
      <c r="BQ164" s="12" t="n"/>
      <c r="BR164" s="12" t="n"/>
      <c r="BS164" s="12" t="n"/>
      <c r="BT164" s="12" t="n"/>
      <c r="BU164" s="12" t="n"/>
      <c r="BV164" s="12" t="n"/>
      <c r="BW164" s="12" t="n"/>
      <c r="BX164" s="12" t="n"/>
      <c r="BY164" s="12" t="n"/>
      <c r="BZ164" s="12" t="n"/>
      <c r="CA164" s="12" t="n"/>
      <c r="CB164" s="12" t="n"/>
      <c r="CC164" s="12" t="n"/>
      <c r="CD164" s="12" t="n"/>
      <c r="CE164" s="12" t="n"/>
      <c r="CF164" s="12" t="n"/>
      <c r="CG164" s="12" t="n"/>
      <c r="CH164" s="12" t="n"/>
      <c r="CI164" s="12" t="n"/>
      <c r="CJ164" s="12" t="n"/>
      <c r="CK164" s="12" t="n"/>
      <c r="CL164" s="12" t="n"/>
      <c r="CM164" s="12" t="n"/>
      <c r="CN164" s="12" t="n"/>
      <c r="CO164" s="12" t="n"/>
      <c r="CP164" s="12" t="n"/>
      <c r="CQ164" s="12" t="n"/>
      <c r="CR164" s="12" t="n"/>
      <c r="CS164" s="12" t="n"/>
      <c r="CT164" s="12" t="n"/>
      <c r="CU164" s="12" t="n"/>
      <c r="CV164" s="12" t="n"/>
      <c r="CW164" s="12" t="n"/>
      <c r="CX164" s="12" t="n"/>
      <c r="CY164" s="12" t="n"/>
    </row>
    <row r="165" hidden="1" outlineLevel="1">
      <c r="C165" s="57" t="inlineStr">
        <is>
          <t>PP&amp;E</t>
        </is>
      </c>
      <c r="D165" s="12" t="n"/>
      <c r="E165" s="12" t="n"/>
      <c r="F165" s="12" t="n"/>
      <c r="G165" s="12" t="n"/>
      <c r="H165" s="12" t="n"/>
      <c r="I165" s="12">
        <f>I160</f>
        <v>13868</v>
      </c>
      <c r="J165" s="12">
        <f>J160</f>
        <v>15665</v>
      </c>
      <c r="K165" s="12">
        <f>K160</f>
        <v>17298</v>
      </c>
      <c r="L165" s="12">
        <f>L160</f>
        <v>18884</v>
      </c>
      <c r="M165" s="12" t="n"/>
      <c r="N165" s="12">
        <f>N160</f>
        <v>20027</v>
      </c>
      <c r="O165" s="12">
        <f>O160</f>
        <v>21093</v>
      </c>
      <c r="P165" s="12">
        <f>P160</f>
        <v>21926</v>
      </c>
      <c r="Q165" s="12">
        <f>Q160</f>
        <v>23548</v>
      </c>
      <c r="R165" s="12" t="n"/>
      <c r="S165" s="12">
        <f>S160</f>
        <v>24969</v>
      </c>
      <c r="T165" s="12">
        <f>T160</f>
        <v>26389</v>
      </c>
      <c r="U165" s="12">
        <f>U160</f>
        <v>27744</v>
      </c>
      <c r="V165" s="12">
        <f>V160</f>
        <v>29725</v>
      </c>
      <c r="W165" s="12" t="n"/>
      <c r="X165" s="12">
        <f>X160</f>
        <v>31436</v>
      </c>
      <c r="Y165" s="12">
        <f>Y160</f>
        <v>32902</v>
      </c>
      <c r="Z165" s="12">
        <f>Z160</f>
        <v>36116</v>
      </c>
      <c r="AA165" s="12">
        <f>Y165+SUM(AA162:AA164)</f>
        <v>32622</v>
      </c>
      <c r="AB165" s="12" t="n"/>
      <c r="AC165" s="12">
        <f>AC160</f>
        <v>37088</v>
      </c>
      <c r="AD165" s="12">
        <f>AD160</f>
        <v>38574</v>
      </c>
      <c r="AE165" s="12">
        <f>AE160</f>
        <v>39407</v>
      </c>
      <c r="AF165" s="12">
        <f>AF160</f>
        <v>40643</v>
      </c>
      <c r="AG165" s="12" t="n"/>
      <c r="AH165" s="12">
        <f>AH160</f>
        <v>43213</v>
      </c>
      <c r="AI165" s="12">
        <f>AI160</f>
        <v>47255</v>
      </c>
      <c r="AJ165" s="12">
        <f>AI165+SUM(AJ162:AJ164)</f>
        <v>49543.0530401091</v>
      </c>
      <c r="AK165" s="12">
        <f>AJ165+SUM(AK162:AK164)</f>
        <v>51570.987147664</v>
      </c>
      <c r="AL165" s="12" t="n"/>
      <c r="AM165" s="12">
        <f>AK165+SUM(AM162:AM164)</f>
        <v>53394.181431662</v>
      </c>
      <c r="AN165" s="12">
        <f>AM165+SUM(AN162:AN164)</f>
        <v>55693.7174929013</v>
      </c>
      <c r="AO165" s="12">
        <f>AN165+SUM(AO162:AO164)</f>
        <v>58091.3032215973</v>
      </c>
      <c r="AP165" s="12">
        <f>AO165+SUM(AP162:AP164)</f>
        <v>60216.3177163565</v>
      </c>
      <c r="AQ165" s="12" t="n"/>
      <c r="AR165" s="12">
        <f>AP165+SUM(AR162:AR164)</f>
        <v>62117.6751995839</v>
      </c>
      <c r="AS165" s="12">
        <f>AR165+SUM(AS162:AS164)</f>
        <v>64515.7959793403</v>
      </c>
      <c r="AT165" s="12">
        <f>AS165+SUM(AT162:AT164)</f>
        <v>67016.1699696201</v>
      </c>
      <c r="AU165" s="12">
        <f>AT165+SUM(AU162:AU164)</f>
        <v>69232.2871695474</v>
      </c>
      <c r="AV165" s="12" t="n"/>
      <c r="AW165" s="12">
        <f>AU165+SUM(AW162:AW164)</f>
        <v>71205.6520435635</v>
      </c>
      <c r="AX165" s="12">
        <f>AW165+SUM(AX162:AX164)</f>
        <v>73694.5934194833</v>
      </c>
      <c r="AY165" s="12">
        <f>AX165+SUM(AY162:AY164)</f>
        <v>76289.6604954265</v>
      </c>
      <c r="AZ165" s="12">
        <f>AY165+SUM(AZ162:AZ164)</f>
        <v>78589.7055304171</v>
      </c>
      <c r="BA165" s="12" t="n"/>
      <c r="BB165" s="12">
        <f>AZ165+SUM(BB162:BB164)</f>
        <v>80627.938003708</v>
      </c>
      <c r="BC165" s="12">
        <f>BB165+SUM(BC162:BC164)</f>
        <v>83198.69478737</v>
      </c>
      <c r="BD165" s="12">
        <f>BC165+SUM(BD162:BD164)</f>
        <v>85879.0657893079</v>
      </c>
      <c r="BE165" s="12">
        <f>BD165+SUM(BE162:BE164)</f>
        <v>88254.7169129689</v>
      </c>
      <c r="BF165" s="12" t="n"/>
      <c r="BG165" s="12" t="n"/>
      <c r="BH165" s="12" t="n"/>
      <c r="BI165" s="12" t="n"/>
      <c r="BJ165" s="12" t="n"/>
      <c r="BK165" s="12" t="n"/>
      <c r="BL165" s="12" t="n"/>
      <c r="BM165" s="12" t="n"/>
      <c r="BN165" s="12" t="n"/>
      <c r="BO165" s="12" t="n"/>
      <c r="BP165" s="12" t="n"/>
      <c r="BQ165" s="12" t="n"/>
      <c r="BR165" s="12" t="n"/>
      <c r="BS165" s="12" t="n"/>
      <c r="BT165" s="12" t="n"/>
      <c r="BU165" s="12" t="n"/>
      <c r="BV165" s="12" t="n"/>
      <c r="BW165" s="12" t="n"/>
      <c r="BX165" s="12" t="n"/>
      <c r="BY165" s="12" t="n"/>
      <c r="BZ165" s="12" t="n"/>
      <c r="CA165" s="12" t="n"/>
      <c r="CB165" s="12" t="n"/>
      <c r="CC165" s="12" t="n"/>
      <c r="CD165" s="12" t="n"/>
      <c r="CE165" s="12" t="n"/>
      <c r="CF165" s="12" t="n"/>
      <c r="CG165" s="12" t="n"/>
      <c r="CH165" s="12" t="n"/>
      <c r="CI165" s="12" t="n"/>
      <c r="CJ165" s="12" t="n"/>
      <c r="CK165" s="12" t="n"/>
      <c r="CL165" s="12" t="n"/>
      <c r="CM165" s="12" t="n"/>
      <c r="CN165" s="12" t="n"/>
      <c r="CO165" s="12" t="n"/>
      <c r="CP165" s="12" t="n"/>
      <c r="CQ165" s="12" t="n"/>
      <c r="CR165" s="12" t="n"/>
      <c r="CS165" s="12" t="n"/>
      <c r="CT165" s="12" t="n"/>
      <c r="CU165" s="12" t="n"/>
      <c r="CV165" s="12" t="n"/>
      <c r="CW165" s="12" t="n"/>
      <c r="CX165" s="12" t="n"/>
      <c r="CY165" s="12" t="n"/>
    </row>
    <row r="166" hidden="1" outlineLevel="1">
      <c r="C166" s="57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  <c r="AJ166" s="12">
        <f>IF(AJ15=0,"",AJ162/AJ15)</f>
        <v>0.142839463733242</v>
      </c>
      <c r="AK166" s="12">
        <f>IF(AK15=0,"",AK162/AK15)</f>
        <v>0.142839463733242</v>
      </c>
      <c r="AL166" s="12" t="n"/>
      <c r="AM166" s="12">
        <f>IF(AM15=0,"",AM162/AM15)</f>
        <v>0.142839463733242</v>
      </c>
      <c r="AN166" s="12">
        <f>IF(AN15=0,"",AN162/AN15)</f>
        <v>0.142839463733242</v>
      </c>
      <c r="AO166" s="12">
        <f>IF(AO15=0,"",AO162/AO15)</f>
        <v>0.142839463733242</v>
      </c>
      <c r="AP166" s="12">
        <f>IF(AP15=0,"",AP162/AP15)</f>
        <v>0.142839463733242</v>
      </c>
      <c r="AQ166" s="12" t="n"/>
      <c r="AR166" s="12">
        <f>IF(AR15=0,"",AR162/AR15)</f>
        <v>0.142839463733242</v>
      </c>
      <c r="AS166" s="12">
        <f>IF(AS15=0,"",AS162/AS15)</f>
        <v>0.142839463733242</v>
      </c>
      <c r="AT166" s="12">
        <f>IF(AT15=0,"",AT162/AT15)</f>
        <v>0.142839463733242</v>
      </c>
      <c r="AU166" s="12">
        <f>IF(AU15=0,"",AU162/AU15)</f>
        <v>0.142839463733242</v>
      </c>
      <c r="AV166" s="12" t="n"/>
      <c r="AW166" s="12">
        <f>IF(AW15=0,"",AW162/AW15)</f>
        <v>0.142839463733242</v>
      </c>
      <c r="AX166" s="12">
        <f>IF(AX15=0,"",AX162/AX15)</f>
        <v>0.142839463733242</v>
      </c>
      <c r="AY166" s="12">
        <f>IF(AY15=0,"",AY162/AY15)</f>
        <v>0.142839463733242</v>
      </c>
      <c r="AZ166" s="12">
        <f>IF(AZ15=0,"",AZ162/AZ15)</f>
        <v>0.142839463733242</v>
      </c>
      <c r="BA166" s="12" t="n"/>
      <c r="BB166" s="12">
        <f>IF(BB15=0,"",BB162/BB15)</f>
        <v>0.142839463733242</v>
      </c>
      <c r="BC166" s="12">
        <f>IF(BC15=0,"",BC162/BC15)</f>
        <v>0.142839463733242</v>
      </c>
      <c r="BD166" s="12">
        <f>IF(BD15=0,"",BD162/BD15)</f>
        <v>0.142839463733242</v>
      </c>
      <c r="BE166" s="12">
        <f>IF(BE15=0,"",BE162/BE15)</f>
        <v>0.142839463733242</v>
      </c>
      <c r="BF166" s="12" t="n"/>
      <c r="BG166" s="12" t="n"/>
      <c r="BH166" s="12" t="n"/>
      <c r="BI166" s="12" t="n"/>
      <c r="BJ166" s="12" t="n"/>
      <c r="BK166" s="12" t="n"/>
      <c r="BL166" s="12" t="n"/>
      <c r="BM166" s="12" t="n"/>
      <c r="BN166" s="12" t="n"/>
      <c r="BO166" s="12" t="n"/>
      <c r="BP166" s="12" t="n"/>
      <c r="BQ166" s="12" t="n"/>
      <c r="BR166" s="12" t="n"/>
      <c r="BS166" s="12" t="n"/>
      <c r="BT166" s="12" t="n"/>
      <c r="BU166" s="12" t="n"/>
      <c r="BV166" s="12" t="n"/>
      <c r="BW166" s="12" t="n"/>
      <c r="BX166" s="12" t="n"/>
      <c r="BY166" s="12" t="n"/>
      <c r="BZ166" s="12" t="n"/>
      <c r="CA166" s="12" t="n"/>
      <c r="CB166" s="12" t="n"/>
      <c r="CC166" s="12" t="n"/>
      <c r="CD166" s="12" t="n"/>
      <c r="CE166" s="12" t="n"/>
      <c r="CF166" s="12" t="n"/>
      <c r="CG166" s="12" t="n"/>
      <c r="CH166" s="12" t="n"/>
      <c r="CI166" s="12" t="n"/>
      <c r="CJ166" s="12" t="n"/>
      <c r="CK166" s="12" t="n"/>
      <c r="CL166" s="12" t="n"/>
      <c r="CM166" s="12" t="n"/>
      <c r="CN166" s="12" t="n"/>
      <c r="CO166" s="12" t="n"/>
      <c r="CP166" s="12" t="n"/>
      <c r="CQ166" s="12" t="n"/>
      <c r="CR166" s="12" t="n"/>
      <c r="CS166" s="12" t="n"/>
      <c r="CT166" s="12" t="n"/>
      <c r="CU166" s="12" t="n"/>
      <c r="CV166" s="12" t="n"/>
      <c r="CW166" s="12" t="n"/>
      <c r="CX166" s="12" t="n"/>
      <c r="CY166" s="12" t="n"/>
    </row>
    <row r="167" hidden="1" outlineLevel="1">
      <c r="C167" s="57" t="inlineStr">
        <is>
          <t>Capital expenditures (% Net Revenues)</t>
        </is>
      </c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58">
        <f>IFERROR(AF162/AF15,"")</f>
        <v>0.115617846672824</v>
      </c>
      <c r="AG167" s="58">
        <f>IFERROR(AG162/AG15,"")</f>
        <v>0.115526168707225</v>
      </c>
      <c r="AH167" s="58">
        <f>IFERROR(AH162/AH15,"")</f>
        <v>0.185822128914102</v>
      </c>
      <c r="AI167" s="58">
        <f>IFERROR(AI162/AI15,"")</f>
        <v>0.200488737781555</v>
      </c>
      <c r="AJ167" s="58">
        <f>IFERROR(AJ162/AJ15,"")</f>
        <v>0.142839463733242</v>
      </c>
      <c r="AK167" s="58">
        <f>IFERROR(AK162/AK15,"")</f>
        <v>0.142839463733242</v>
      </c>
      <c r="AL167" s="58">
        <f>IFERROR(AL162/AL15,"")</f>
        <v>0</v>
      </c>
      <c r="AM167" s="58">
        <f>IFERROR(AM162/AM15,"")</f>
        <v>0.142839463733242</v>
      </c>
      <c r="AN167" s="58">
        <f>IFERROR(AN162/AN15,"")</f>
        <v>0.142839463733242</v>
      </c>
      <c r="AO167" s="58">
        <f>IFERROR(AO162/AO15,"")</f>
        <v>0.142839463733242</v>
      </c>
      <c r="AP167" s="58">
        <f>IFERROR(AP162/AP15,"")</f>
        <v>0.142839463733242</v>
      </c>
      <c r="AQ167" s="58">
        <f>IFERROR(AQ162/AQ15,"")</f>
        <v>0</v>
      </c>
      <c r="AR167" s="58">
        <f>IFERROR(AR162/AR15,"")</f>
        <v>0.142839463733242</v>
      </c>
      <c r="AS167" s="58">
        <f>IFERROR(AS162/AS15,"")</f>
        <v>0.142839463733242</v>
      </c>
      <c r="AT167" s="58">
        <f>IFERROR(AT162/AT15,"")</f>
        <v>0.142839463733242</v>
      </c>
      <c r="AU167" s="58">
        <f>IFERROR(AU162/AU15,"")</f>
        <v>0.142839463733242</v>
      </c>
      <c r="AV167" s="58">
        <f>IFERROR(AV162/AV15,"")</f>
        <v>0</v>
      </c>
      <c r="AW167" s="58">
        <f>IFERROR(AW162/AW15,"")</f>
        <v>0.142839463733242</v>
      </c>
      <c r="AX167" s="58">
        <f>IFERROR(AX162/AX15,"")</f>
        <v>0.142839463733242</v>
      </c>
      <c r="AY167" s="58">
        <f>IFERROR(AY162/AY15,"")</f>
        <v>0.142839463733242</v>
      </c>
      <c r="AZ167" s="58">
        <f>IFERROR(AZ162/AZ15,"")</f>
        <v>0.142839463733242</v>
      </c>
      <c r="BA167" s="58">
        <f>IFERROR(BA162/BA15,"")</f>
        <v>0</v>
      </c>
      <c r="BB167" s="58">
        <f>IFERROR(BB162/BB15,"")</f>
        <v>0.142839463733242</v>
      </c>
      <c r="BC167" s="58">
        <f>IFERROR(BC162/BC15,"")</f>
        <v>0.142839463733242</v>
      </c>
      <c r="BD167" s="58">
        <f>IFERROR(BD162/BD15,"")</f>
        <v>0.142839463733242</v>
      </c>
      <c r="BE167" s="58">
        <f>IFERROR(BE162/BE15,"")</f>
        <v>0.142839463733242</v>
      </c>
      <c r="BF167" s="58">
        <f>IFERROR(BF162/BF15,"")</f>
        <v>0</v>
      </c>
      <c r="BG167" s="58" t="n"/>
      <c r="BH167" s="58" t="n"/>
      <c r="BI167" s="58" t="n"/>
      <c r="BJ167" s="58" t="n"/>
      <c r="BK167" s="58" t="n"/>
      <c r="BL167" s="58" t="n"/>
      <c r="BM167" s="58" t="n"/>
      <c r="BN167" s="58" t="n"/>
      <c r="BO167" s="58" t="n"/>
      <c r="BP167" s="58" t="n"/>
      <c r="BQ167" s="58" t="n"/>
      <c r="BR167" s="58" t="n"/>
      <c r="BS167" s="58" t="n"/>
      <c r="BT167" s="58" t="n"/>
      <c r="BU167" s="58" t="n"/>
      <c r="BV167" s="58" t="n"/>
      <c r="BW167" s="58" t="n"/>
      <c r="BX167" s="58" t="n"/>
      <c r="BY167" s="58" t="n"/>
      <c r="BZ167" s="58" t="n"/>
      <c r="CA167" s="58" t="n"/>
      <c r="CB167" s="58" t="n"/>
      <c r="CC167" s="58" t="n"/>
      <c r="CD167" s="58" t="n"/>
      <c r="CE167" s="58" t="n"/>
      <c r="CF167" s="58" t="n"/>
      <c r="CG167" s="58" t="n"/>
      <c r="CH167" s="58" t="n"/>
      <c r="CI167" s="58" t="n"/>
      <c r="CJ167" s="58" t="n"/>
      <c r="CK167" s="58" t="n"/>
      <c r="CL167" s="58" t="n"/>
      <c r="CM167" s="58" t="n"/>
      <c r="CN167" s="58" t="n"/>
      <c r="CO167" s="58" t="n"/>
      <c r="CP167" s="58" t="n"/>
      <c r="CQ167" s="58" t="n"/>
      <c r="CR167" s="58" t="n"/>
      <c r="CS167" s="58" t="n"/>
      <c r="CT167" s="58" t="n"/>
      <c r="CU167" s="58" t="n"/>
      <c r="CV167" s="58" t="n"/>
      <c r="CW167" s="58" t="n"/>
      <c r="CX167" s="58" t="n"/>
      <c r="CY167" s="58" t="n"/>
    </row>
    <row r="168" hidden="1" outlineLevel="1">
      <c r="C168" s="57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  <c r="AJ168" s="12" t="n"/>
      <c r="AK168" s="12" t="n"/>
      <c r="AL168" s="12" t="n"/>
      <c r="AM168" s="12" t="n"/>
      <c r="AN168" s="12" t="n"/>
      <c r="AO168" s="12" t="n"/>
      <c r="AP168" s="12" t="n"/>
      <c r="AQ168" s="12" t="n"/>
      <c r="AR168" s="12" t="n"/>
      <c r="AS168" s="12" t="n"/>
      <c r="AT168" s="12" t="n"/>
      <c r="AU168" s="12" t="n"/>
      <c r="AV168" s="12" t="n"/>
      <c r="AW168" s="12" t="n"/>
      <c r="AX168" s="12" t="n"/>
      <c r="AY168" s="12" t="n"/>
      <c r="AZ168" s="12" t="n"/>
      <c r="BA168" s="12" t="n"/>
      <c r="BB168" s="12" t="n"/>
      <c r="BC168" s="12" t="n"/>
      <c r="BD168" s="12" t="n"/>
      <c r="BE168" s="12" t="n"/>
      <c r="BF168" s="12" t="n"/>
      <c r="BG168" s="12" t="n"/>
      <c r="BH168" s="12" t="n"/>
      <c r="BI168" s="12" t="n"/>
      <c r="BJ168" s="12" t="n"/>
      <c r="BK168" s="12" t="n"/>
      <c r="BL168" s="12" t="n"/>
      <c r="BM168" s="12" t="n"/>
      <c r="BN168" s="12" t="n"/>
      <c r="BO168" s="12" t="n"/>
      <c r="BP168" s="12" t="n"/>
      <c r="BQ168" s="12" t="n"/>
      <c r="BR168" s="12" t="n"/>
      <c r="BS168" s="12" t="n"/>
      <c r="BT168" s="12" t="n"/>
      <c r="BU168" s="12" t="n"/>
      <c r="BV168" s="12" t="n"/>
      <c r="BW168" s="12" t="n"/>
      <c r="BX168" s="12" t="n"/>
      <c r="BY168" s="12" t="n"/>
      <c r="BZ168" s="12" t="n"/>
      <c r="CA168" s="12" t="n"/>
      <c r="CB168" s="12" t="n"/>
      <c r="CC168" s="12" t="n"/>
      <c r="CD168" s="12" t="n"/>
      <c r="CE168" s="12" t="n"/>
      <c r="CF168" s="12" t="n"/>
      <c r="CG168" s="12" t="n"/>
      <c r="CH168" s="12" t="n"/>
      <c r="CI168" s="12" t="n"/>
      <c r="CJ168" s="12" t="n"/>
      <c r="CK168" s="12" t="n"/>
      <c r="CL168" s="12" t="n"/>
      <c r="CM168" s="12" t="n"/>
      <c r="CN168" s="12" t="n"/>
      <c r="CO168" s="12" t="n"/>
      <c r="CP168" s="12" t="n"/>
      <c r="CQ168" s="12" t="n"/>
      <c r="CR168" s="12" t="n"/>
      <c r="CS168" s="12" t="n"/>
      <c r="CT168" s="12" t="n"/>
      <c r="CU168" s="12" t="n"/>
      <c r="CV168" s="12" t="n"/>
      <c r="CW168" s="12" t="n"/>
      <c r="CX168" s="12" t="n"/>
      <c r="CY168" s="12" t="n"/>
    </row>
    <row r="169" hidden="1" outlineLevel="1">
      <c r="C169" s="57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  <c r="AJ169" s="12" t="n"/>
      <c r="AK169" s="12" t="n"/>
      <c r="AL169" s="12" t="n"/>
      <c r="AM169" s="12" t="n"/>
      <c r="AN169" s="12" t="n"/>
      <c r="AO169" s="12" t="n"/>
      <c r="AP169" s="12" t="n"/>
      <c r="AQ169" s="12" t="n"/>
      <c r="AR169" s="12" t="n"/>
      <c r="AS169" s="12" t="n"/>
      <c r="AT169" s="12" t="n"/>
      <c r="AU169" s="12" t="n"/>
      <c r="AV169" s="12" t="n"/>
      <c r="AW169" s="12" t="n"/>
      <c r="AX169" s="12" t="n"/>
      <c r="AY169" s="12" t="n"/>
      <c r="AZ169" s="12" t="n"/>
      <c r="BA169" s="12" t="n"/>
      <c r="BB169" s="12" t="n"/>
      <c r="BC169" s="12" t="n"/>
      <c r="BD169" s="12" t="n"/>
      <c r="BE169" s="12" t="n"/>
      <c r="BF169" s="12" t="n"/>
      <c r="BG169" s="12" t="n"/>
      <c r="BH169" s="12" t="n"/>
      <c r="BI169" s="12" t="n"/>
      <c r="BJ169" s="12" t="n"/>
      <c r="BK169" s="12" t="n"/>
      <c r="BL169" s="12" t="n"/>
      <c r="BM169" s="12" t="n"/>
      <c r="BN169" s="12" t="n"/>
      <c r="BO169" s="12" t="n"/>
      <c r="BP169" s="12" t="n"/>
      <c r="BQ169" s="12" t="n"/>
      <c r="BR169" s="12" t="n"/>
      <c r="BS169" s="12" t="n"/>
      <c r="BT169" s="12" t="n"/>
      <c r="BU169" s="12" t="n"/>
      <c r="BV169" s="12" t="n"/>
      <c r="BW169" s="12" t="n"/>
      <c r="BX169" s="12" t="n"/>
      <c r="BY169" s="12" t="n"/>
      <c r="BZ169" s="12" t="n"/>
      <c r="CA169" s="12" t="n"/>
      <c r="CB169" s="12" t="n"/>
      <c r="CC169" s="12" t="n"/>
      <c r="CD169" s="12" t="n"/>
      <c r="CE169" s="12" t="n"/>
      <c r="CF169" s="12" t="n"/>
      <c r="CG169" s="12" t="n"/>
      <c r="CH169" s="12" t="n"/>
      <c r="CI169" s="12" t="n"/>
      <c r="CJ169" s="12" t="n"/>
      <c r="CK169" s="12" t="n"/>
      <c r="CL169" s="12" t="n"/>
      <c r="CM169" s="12" t="n"/>
      <c r="CN169" s="12" t="n"/>
      <c r="CO169" s="12" t="n"/>
      <c r="CP169" s="12" t="n"/>
      <c r="CQ169" s="12" t="n"/>
      <c r="CR169" s="12" t="n"/>
      <c r="CS169" s="12" t="n"/>
      <c r="CT169" s="12" t="n"/>
      <c r="CU169" s="12" t="n"/>
      <c r="CV169" s="12" t="n"/>
      <c r="CW169" s="12" t="n"/>
      <c r="CX169" s="12" t="n"/>
      <c r="CY169" s="12" t="n"/>
    </row>
    <row r="170" collapsed="1">
      <c r="C170" s="14" t="inlineStr">
        <is>
          <t>Right-of-use-assets</t>
        </is>
      </c>
      <c r="D170" s="46" t="n"/>
      <c r="E170" s="46" t="n"/>
      <c r="F170" s="46" t="n"/>
      <c r="G170" s="46" t="n"/>
      <c r="H170" s="12" t="n"/>
      <c r="I170" s="46">
        <f>'Inputs (2)'!D23</f>
        <v>1647</v>
      </c>
      <c r="J170" s="46">
        <f>'Inputs (2)'!E23</f>
        <v>1734</v>
      </c>
      <c r="K170" s="46">
        <f>'Inputs (2)'!F23</f>
        <v>1962</v>
      </c>
      <c r="L170" s="46">
        <f>'Inputs (2)'!G23</f>
        <v>2016</v>
      </c>
      <c r="M170" s="12">
        <f>'Inputs (2)'!H23</f>
        <v>2016</v>
      </c>
      <c r="N170" s="46">
        <f>'Inputs (2)'!I23</f>
        <v>2181</v>
      </c>
      <c r="O170" s="46">
        <f>'Inputs (2)'!J23</f>
        <v>2185</v>
      </c>
      <c r="P170" s="46">
        <f>'Inputs (2)'!K23</f>
        <v>2251</v>
      </c>
      <c r="Q170" s="46">
        <f>'Inputs (2)'!L23</f>
        <v>2563</v>
      </c>
      <c r="R170" s="12">
        <f>'Inputs (2)'!M23</f>
        <v>2563</v>
      </c>
      <c r="S170" s="46">
        <f>'Inputs (2)'!N23</f>
        <v>2800</v>
      </c>
      <c r="T170" s="46">
        <f>'Inputs (2)'!O23</f>
        <v>3352</v>
      </c>
      <c r="U170" s="46">
        <f>'Inputs (2)'!P23</f>
        <v>3637</v>
      </c>
      <c r="V170" s="46">
        <f>'Inputs (2)'!Q23</f>
        <v>4180</v>
      </c>
      <c r="W170" s="12">
        <f>'Inputs (2)'!R23</f>
        <v>4180</v>
      </c>
      <c r="X170" s="46">
        <f>'Inputs (2)'!S23</f>
        <v>4367</v>
      </c>
      <c r="Y170" s="46">
        <f>'Inputs (2)'!T23</f>
        <v>4563</v>
      </c>
      <c r="Z170" s="46">
        <f>'Inputs (2)'!U23</f>
        <v>4867</v>
      </c>
      <c r="AA170" s="46">
        <f>'Inputs (2)'!V23</f>
        <v>5160</v>
      </c>
      <c r="AB170" s="12">
        <f>'Inputs (2)'!W23</f>
        <v>5160</v>
      </c>
      <c r="AC170" s="46">
        <f>'Inputs (2)'!X23</f>
        <v>5330</v>
      </c>
      <c r="AD170" s="46">
        <f>'Inputs (2)'!Y23</f>
        <v>5633</v>
      </c>
      <c r="AE170" s="46">
        <f>'Inputs (2)'!Z23</f>
        <v>5783</v>
      </c>
      <c r="AF170" s="46">
        <f>'Inputs (2)'!AA23</f>
        <v>6027</v>
      </c>
      <c r="AG170" s="12">
        <f>'Inputs (2)'!AB23</f>
        <v>6027</v>
      </c>
      <c r="AH170" s="12">
        <f>'Inputs (2)'!AC23</f>
        <v>6332</v>
      </c>
      <c r="AI170" s="12">
        <f>'Inputs (2)'!AD23</f>
        <v>6386</v>
      </c>
      <c r="AJ170" s="12">
        <f>AI170</f>
        <v>6386</v>
      </c>
      <c r="AK170" s="12">
        <f>AJ170</f>
        <v>6386</v>
      </c>
      <c r="AL170" s="12">
        <f>AK170</f>
        <v>6386</v>
      </c>
      <c r="AM170" s="12">
        <f>AL170</f>
        <v>6386</v>
      </c>
      <c r="AN170" s="12">
        <f>AM170</f>
        <v>6386</v>
      </c>
      <c r="AO170" s="12">
        <f>AN170</f>
        <v>6386</v>
      </c>
      <c r="AP170" s="12">
        <f>AO170</f>
        <v>6386</v>
      </c>
      <c r="AQ170" s="12">
        <f>AP170</f>
        <v>6386</v>
      </c>
      <c r="AR170" s="12">
        <f>AQ170</f>
        <v>6386</v>
      </c>
      <c r="AS170" s="12">
        <f>AR170</f>
        <v>6386</v>
      </c>
      <c r="AT170" s="12">
        <f>AS170</f>
        <v>6386</v>
      </c>
      <c r="AU170" s="12">
        <f>AT170</f>
        <v>6386</v>
      </c>
      <c r="AV170" s="12">
        <f>AU170</f>
        <v>6386</v>
      </c>
      <c r="AW170" s="12">
        <f>AV170</f>
        <v>6386</v>
      </c>
      <c r="AX170" s="12">
        <f>AW170</f>
        <v>6386</v>
      </c>
      <c r="AY170" s="12">
        <f>AX170</f>
        <v>6386</v>
      </c>
      <c r="AZ170" s="12">
        <f>AY170</f>
        <v>6386</v>
      </c>
      <c r="BA170" s="12">
        <f>AZ170</f>
        <v>6386</v>
      </c>
      <c r="BB170" s="12">
        <f>BA170</f>
        <v>6386</v>
      </c>
      <c r="BC170" s="12">
        <f>BB170</f>
        <v>6386</v>
      </c>
      <c r="BD170" s="12">
        <f>BC170</f>
        <v>6386</v>
      </c>
      <c r="BE170" s="12">
        <f>BD170</f>
        <v>6386</v>
      </c>
      <c r="BF170" s="12">
        <f>BE170</f>
        <v>6386</v>
      </c>
      <c r="BG170" s="12" t="n"/>
      <c r="BH170" s="12" t="n"/>
      <c r="BI170" s="12" t="n"/>
      <c r="BJ170" s="12" t="n"/>
      <c r="BK170" s="12" t="n"/>
      <c r="BL170" s="12" t="n"/>
      <c r="BM170" s="12" t="n"/>
      <c r="BN170" s="12" t="n"/>
      <c r="BO170" s="12" t="n"/>
      <c r="BP170" s="12" t="n"/>
      <c r="BQ170" s="12" t="n"/>
      <c r="BR170" s="12" t="n"/>
      <c r="BS170" s="12" t="n"/>
      <c r="BT170" s="12" t="n"/>
      <c r="BU170" s="12" t="n"/>
      <c r="BV170" s="12" t="n"/>
      <c r="BW170" s="12" t="n"/>
      <c r="BX170" s="12" t="n"/>
      <c r="BY170" s="12" t="n"/>
      <c r="BZ170" s="12" t="n"/>
      <c r="CA170" s="12" t="n"/>
      <c r="CB170" s="12" t="n"/>
      <c r="CC170" s="12" t="n"/>
      <c r="CD170" s="12" t="n"/>
      <c r="CE170" s="12" t="n"/>
      <c r="CF170" s="12" t="n"/>
      <c r="CG170" s="12" t="n"/>
      <c r="CH170" s="12" t="n"/>
      <c r="CI170" s="12" t="n"/>
      <c r="CJ170" s="12" t="n"/>
      <c r="CK170" s="12" t="n"/>
      <c r="CL170" s="12" t="n"/>
      <c r="CM170" s="12" t="n"/>
      <c r="CN170" s="12" t="n"/>
      <c r="CO170" s="12" t="n"/>
      <c r="CP170" s="12" t="n"/>
      <c r="CQ170" s="12" t="n"/>
      <c r="CR170" s="12" t="n"/>
      <c r="CS170" s="12" t="n"/>
      <c r="CT170" s="12" t="n"/>
      <c r="CU170" s="12" t="n"/>
      <c r="CV170" s="12" t="n"/>
      <c r="CW170" s="12" t="n"/>
      <c r="CX170" s="12" t="n"/>
      <c r="CY170" s="12" t="n"/>
    </row>
    <row r="171" hidden="1" outlineLevel="1">
      <c r="C171" s="59" t="inlineStr">
        <is>
          <t>%(Var.)</t>
        </is>
      </c>
      <c r="D171" s="12" t="n"/>
      <c r="E171" s="40" t="n"/>
      <c r="F171" s="40" t="n"/>
      <c r="G171" s="40" t="n"/>
      <c r="H171" s="12" t="n"/>
      <c r="I171" s="40" t="str">
        <f>""</f>
        <v/>
      </c>
      <c r="J171" s="40">
        <f>IFERROR(IF(I170=0,"",J170/I170-1),"")</f>
        <v>0.052823315118397</v>
      </c>
      <c r="K171" s="40">
        <f>IFERROR(IF(J170=0,"",K170/J170-1),"")</f>
        <v>0.131487889273356</v>
      </c>
      <c r="L171" s="40">
        <f>IFERROR(IF(K170=0,"",L170/K170-1),"")</f>
        <v>0.0275229357798166</v>
      </c>
      <c r="M171" s="12">
        <f>IFERROR(IF(L170=0,"",M170/L170-1),"")</f>
        <v>0</v>
      </c>
      <c r="N171" s="40">
        <f>IFERROR(IF(M170=0,"",N170/M170-1),"")</f>
        <v>0.0818452380952381</v>
      </c>
      <c r="O171" s="40">
        <f>IFERROR(IF(N170=0,"",O170/N170-1),"")</f>
        <v>0.00183402109124264</v>
      </c>
      <c r="P171" s="40">
        <f>IFERROR(IF(O170=0,"",P170/O170-1),"")</f>
        <v>0.0302059496567506</v>
      </c>
      <c r="Q171" s="40">
        <f>IFERROR(IF(P170=0,"",Q170/P170-1),"")</f>
        <v>0.138605064415815</v>
      </c>
      <c r="R171" s="12">
        <f>IFERROR(IF(Q170=0,"",R170/Q170-1),"")</f>
        <v>0</v>
      </c>
      <c r="S171" s="40">
        <f>IFERROR(IF(R170=0,"",S170/R170-1),"")</f>
        <v>0.0924697619976589</v>
      </c>
      <c r="T171" s="40">
        <f>IFERROR(IF(S170=0,"",T170/S170-1),"")</f>
        <v>0.197142857142857</v>
      </c>
      <c r="U171" s="40">
        <f>IFERROR(IF(T170=0,"",U170/T170-1),"")</f>
        <v>0.0850238663484486</v>
      </c>
      <c r="V171" s="40">
        <f>IFERROR(IF(U170=0,"",V170/U170-1),"")</f>
        <v>0.149298872697278</v>
      </c>
      <c r="W171" s="12">
        <f>IFERROR(IF(V170=0,"",W170/V170-1),"")</f>
        <v>0</v>
      </c>
      <c r="X171" s="40">
        <f>IFERROR(IF(W170=0,"",X170/W170-1),"")</f>
        <v>0.0447368421052632</v>
      </c>
      <c r="Y171" s="40">
        <f>IFERROR(IF(X170=0,"",Y170/X170-1),"")</f>
        <v>0.0448820700709869</v>
      </c>
      <c r="Z171" s="40">
        <f>IFERROR(IF(Y170=0,"",Z170/Y170-1),"")</f>
        <v>0.0666228358536052</v>
      </c>
      <c r="AA171" s="40">
        <f>IFERROR(IF(Z170=0,"",AA170/Z170-1),"")</f>
        <v>0.060201356071502</v>
      </c>
      <c r="AB171" s="12">
        <f>IFERROR(IF(AA170=0,"",AB170/AA170-1),"")</f>
        <v>0</v>
      </c>
      <c r="AC171" s="40">
        <f>IFERROR(IF(AB170=0,"",AC170/AB170-1),"")</f>
        <v>0.0329457364341086</v>
      </c>
      <c r="AD171" s="40">
        <f>IFERROR(IF(AC170=0,"",AD170/AC170-1),"")</f>
        <v>0.0568480300187617</v>
      </c>
      <c r="AE171" s="40">
        <f>IFERROR(IF(AD170=0,"",AE170/AD170-1),"")</f>
        <v>0.0266287946032309</v>
      </c>
      <c r="AF171" s="55">
        <f>IFERROR(IF(AE170=0,"",AF170/AE170-1),"")</f>
        <v>0.0421926335811862</v>
      </c>
      <c r="AG171" s="12">
        <f>IFERROR(IF(AF170=0,"",AG170/AF170-1),"")</f>
        <v>0</v>
      </c>
      <c r="AH171" s="55">
        <f>IFERROR(IF(AG170=0,"",AH170/AG170-1),"")</f>
        <v>0.0506056080968973</v>
      </c>
      <c r="AI171" s="55">
        <f>IFERROR(IF(AH170=0,"",AI170/AH170-1),"")</f>
        <v>0.00852811118130137</v>
      </c>
      <c r="AJ171" s="55">
        <f>IFERROR(IF(AI170=0,"",AJ170/AI170-1),"")</f>
        <v>0</v>
      </c>
      <c r="AK171" s="55">
        <f>IFERROR(IF(AJ170=0,"",AK170/AJ170-1),"")</f>
        <v>0</v>
      </c>
      <c r="AL171" s="12">
        <f>IFERROR(IF(AK170=0,"",AL170/AK170-1),"")</f>
        <v>0</v>
      </c>
      <c r="AM171" s="55">
        <f>IFERROR(IF(AL170=0,"",AM170/AL170-1),"")</f>
        <v>0</v>
      </c>
      <c r="AN171" s="55">
        <f>IFERROR(IF(AM170=0,"",AN170/AM170-1),"")</f>
        <v>0</v>
      </c>
      <c r="AO171" s="55">
        <f>IFERROR(IF(AN170=0,"",AO170/AN170-1),"")</f>
        <v>0</v>
      </c>
      <c r="AP171" s="55">
        <f>IFERROR(IF(AO170=0,"",AP170/AO170-1),"")</f>
        <v>0</v>
      </c>
      <c r="AQ171" s="12">
        <f>IFERROR(IF(AP170=0,"",AQ170/AP170-1),"")</f>
        <v>0</v>
      </c>
      <c r="AR171" s="55">
        <f>IFERROR(IF(AQ170=0,"",AR170/AQ170-1),"")</f>
        <v>0</v>
      </c>
      <c r="AS171" s="55">
        <f>IFERROR(IF(AR170=0,"",AS170/AR170-1),"")</f>
        <v>0</v>
      </c>
      <c r="AT171" s="55">
        <f>IFERROR(IF(AS170=0,"",AT170/AS170-1),"")</f>
        <v>0</v>
      </c>
      <c r="AU171" s="55">
        <f>IFERROR(IF(AT170=0,"",AU170/AT170-1),"")</f>
        <v>0</v>
      </c>
      <c r="AV171" s="12">
        <f>IFERROR(IF(AU170=0,"",AV170/AU170-1),"")</f>
        <v>0</v>
      </c>
      <c r="AW171" s="55">
        <f>IFERROR(IF(AV170=0,"",AW170/AV170-1),"")</f>
        <v>0</v>
      </c>
      <c r="AX171" s="55">
        <f>IFERROR(IF(AW170=0,"",AX170/AW170-1),"")</f>
        <v>0</v>
      </c>
      <c r="AY171" s="55">
        <f>IFERROR(IF(AX170=0,"",AY170/AX170-1),"")</f>
        <v>0</v>
      </c>
      <c r="AZ171" s="55">
        <f>IFERROR(IF(AY170=0,"",AZ170/AY170-1),"")</f>
        <v>0</v>
      </c>
      <c r="BA171" s="12">
        <f>IFERROR(IF(AZ170=0,"",BA170/AZ170-1),"")</f>
        <v>0</v>
      </c>
      <c r="BB171" s="55">
        <f>IFERROR(IF(BA170=0,"",BB170/BA170-1),"")</f>
        <v>0</v>
      </c>
      <c r="BC171" s="55">
        <f>IFERROR(IF(BB170=0,"",BC170/BB170-1),"")</f>
        <v>0</v>
      </c>
      <c r="BD171" s="55">
        <f>IFERROR(IF(BC170=0,"",BD170/BC170-1),"")</f>
        <v>0</v>
      </c>
      <c r="BE171" s="55">
        <f>IFERROR(IF(BD170=0,"",BE170/BD170-1),"")</f>
        <v>0</v>
      </c>
      <c r="BF171" s="12">
        <f>IFERROR(IF(BE170=0,"",BF170/BE170-1),"")</f>
        <v>0</v>
      </c>
      <c r="BG171" s="55" t="n"/>
      <c r="BH171" s="55" t="n"/>
      <c r="BI171" s="55" t="n"/>
      <c r="BJ171" s="55" t="n"/>
      <c r="BK171" s="12" t="n"/>
      <c r="BL171" s="55" t="n"/>
      <c r="BM171" s="55" t="n"/>
      <c r="BN171" s="55" t="n"/>
      <c r="BO171" s="55" t="n"/>
      <c r="BP171" s="12" t="n"/>
      <c r="BQ171" s="55" t="n"/>
      <c r="BR171" s="55" t="n"/>
      <c r="BS171" s="55" t="n"/>
      <c r="BT171" s="55" t="n"/>
      <c r="BU171" s="12" t="n"/>
      <c r="BV171" s="55" t="n"/>
      <c r="BW171" s="55" t="n"/>
      <c r="BX171" s="55" t="n"/>
      <c r="BY171" s="55" t="n"/>
      <c r="BZ171" s="12" t="n"/>
      <c r="CA171" s="55" t="n"/>
      <c r="CB171" s="55" t="n"/>
      <c r="CC171" s="55" t="n"/>
      <c r="CD171" s="55" t="n"/>
      <c r="CE171" s="12" t="n"/>
      <c r="CF171" s="55" t="n"/>
      <c r="CG171" s="55" t="n"/>
      <c r="CH171" s="55" t="n"/>
      <c r="CI171" s="55" t="n"/>
      <c r="CJ171" s="12" t="n"/>
      <c r="CK171" s="55" t="n"/>
      <c r="CL171" s="55" t="n"/>
      <c r="CM171" s="55" t="n"/>
      <c r="CN171" s="55" t="n"/>
      <c r="CO171" s="12" t="n"/>
      <c r="CP171" s="55" t="n"/>
      <c r="CQ171" s="55" t="n"/>
      <c r="CR171" s="55" t="n"/>
      <c r="CS171" s="55" t="n"/>
      <c r="CT171" s="12" t="n"/>
      <c r="CU171" s="55" t="n"/>
      <c r="CV171" s="55" t="n"/>
      <c r="CW171" s="55" t="n"/>
      <c r="CX171" s="55" t="n"/>
      <c r="CY171" s="12" t="n"/>
    </row>
    <row r="172" hidden="1" outlineLevel="1">
      <c r="C172" s="57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  <c r="AJ172" s="12" t="n"/>
      <c r="AK172" s="12" t="n"/>
      <c r="AL172" s="12" t="n"/>
      <c r="AM172" s="12" t="n"/>
      <c r="AN172" s="12" t="n"/>
      <c r="AO172" s="12" t="n"/>
      <c r="AP172" s="12" t="n"/>
      <c r="AQ172" s="12" t="n"/>
      <c r="AR172" s="12" t="n"/>
      <c r="AS172" s="12" t="n"/>
      <c r="AT172" s="12" t="n"/>
      <c r="AU172" s="12" t="n"/>
      <c r="AV172" s="12" t="n"/>
      <c r="AW172" s="12" t="n"/>
      <c r="AX172" s="12" t="n"/>
      <c r="AY172" s="12" t="n"/>
      <c r="AZ172" s="12" t="n"/>
      <c r="BA172" s="12" t="n"/>
      <c r="BB172" s="12" t="n"/>
      <c r="BC172" s="12" t="n"/>
      <c r="BD172" s="12" t="n"/>
      <c r="BE172" s="12" t="n"/>
      <c r="BF172" s="12" t="n"/>
      <c r="BG172" s="12" t="n"/>
      <c r="BH172" s="12" t="n"/>
      <c r="BI172" s="12" t="n"/>
      <c r="BJ172" s="12" t="n"/>
      <c r="BK172" s="12" t="n"/>
      <c r="BL172" s="12" t="n"/>
      <c r="BM172" s="12" t="n"/>
      <c r="BN172" s="12" t="n"/>
      <c r="BO172" s="12" t="n"/>
      <c r="BP172" s="12" t="n"/>
      <c r="BQ172" s="12" t="n"/>
      <c r="BR172" s="12" t="n"/>
      <c r="BS172" s="12" t="n"/>
      <c r="BT172" s="12" t="n"/>
      <c r="BU172" s="12" t="n"/>
      <c r="BV172" s="12" t="n"/>
      <c r="BW172" s="12" t="n"/>
      <c r="BX172" s="12" t="n"/>
      <c r="BY172" s="12" t="n"/>
      <c r="BZ172" s="12" t="n"/>
      <c r="CA172" s="12" t="n"/>
      <c r="CB172" s="12" t="n"/>
      <c r="CC172" s="12" t="n"/>
      <c r="CD172" s="12" t="n"/>
      <c r="CE172" s="12" t="n"/>
      <c r="CF172" s="12" t="n"/>
      <c r="CG172" s="12" t="n"/>
      <c r="CH172" s="12" t="n"/>
      <c r="CI172" s="12" t="n"/>
      <c r="CJ172" s="12" t="n"/>
      <c r="CK172" s="12" t="n"/>
      <c r="CL172" s="12" t="n"/>
      <c r="CM172" s="12" t="n"/>
      <c r="CN172" s="12" t="n"/>
      <c r="CO172" s="12" t="n"/>
      <c r="CP172" s="12" t="n"/>
      <c r="CQ172" s="12" t="n"/>
      <c r="CR172" s="12" t="n"/>
      <c r="CS172" s="12" t="n"/>
      <c r="CT172" s="12" t="n"/>
      <c r="CU172" s="12" t="n"/>
      <c r="CV172" s="12" t="n"/>
      <c r="CW172" s="12" t="n"/>
      <c r="CX172" s="12" t="n"/>
      <c r="CY172" s="12" t="n"/>
    </row>
    <row r="173" collapsed="1">
      <c r="C173" s="14" t="inlineStr">
        <is>
          <t>Goodwill</t>
        </is>
      </c>
      <c r="D173" s="46" t="n"/>
      <c r="E173" s="46" t="n"/>
      <c r="F173" s="46" t="n"/>
      <c r="G173" s="46" t="n"/>
      <c r="H173" s="12" t="n"/>
      <c r="I173" s="46">
        <f>'Inputs (2)'!D24</f>
        <v>206</v>
      </c>
      <c r="J173" s="46">
        <f>'Inputs (2)'!E24</f>
        <v>203</v>
      </c>
      <c r="K173" s="46">
        <f>'Inputs (2)'!F24</f>
        <v>201</v>
      </c>
      <c r="L173" s="46">
        <f>'Inputs (2)'!G24</f>
        <v>200</v>
      </c>
      <c r="M173" s="12">
        <f>'Inputs (2)'!H24</f>
        <v>200</v>
      </c>
      <c r="N173" s="46">
        <f>'Inputs (2)'!I24</f>
        <v>200</v>
      </c>
      <c r="O173" s="46">
        <f>'Inputs (2)'!J24</f>
        <v>196</v>
      </c>
      <c r="P173" s="46">
        <f>'Inputs (2)'!K24</f>
        <v>191</v>
      </c>
      <c r="Q173" s="46">
        <f>'Inputs (2)'!L24</f>
        <v>194</v>
      </c>
      <c r="R173" s="12">
        <f>'Inputs (2)'!M24</f>
        <v>194</v>
      </c>
      <c r="S173" s="46">
        <f>'Inputs (2)'!N24</f>
        <v>195</v>
      </c>
      <c r="T173" s="46">
        <f>'Inputs (2)'!O24</f>
        <v>263</v>
      </c>
      <c r="U173" s="46">
        <f>'Inputs (2)'!P24</f>
        <v>250</v>
      </c>
      <c r="V173" s="46">
        <f>'Inputs (2)'!Q24</f>
        <v>253</v>
      </c>
      <c r="W173" s="12">
        <f>'Inputs (2)'!R24</f>
        <v>253</v>
      </c>
      <c r="X173" s="46">
        <f>'Inputs (2)'!S24</f>
        <v>250</v>
      </c>
      <c r="Y173" s="46">
        <f>'Inputs (2)'!T24</f>
        <v>249</v>
      </c>
      <c r="Z173" s="46">
        <f>'Inputs (2)'!U24</f>
        <v>253</v>
      </c>
      <c r="AA173" s="46">
        <f>'Inputs (2)'!V24</f>
        <v>244</v>
      </c>
      <c r="AB173" s="12">
        <f>'Inputs (2)'!W24</f>
        <v>244</v>
      </c>
      <c r="AC173" s="46">
        <f>'Inputs (2)'!X24</f>
        <v>248</v>
      </c>
      <c r="AD173" s="46">
        <f>'Inputs (2)'!Y24</f>
        <v>258</v>
      </c>
      <c r="AE173" s="46">
        <f>'Inputs (2)'!Z24</f>
        <v>257</v>
      </c>
      <c r="AF173" s="46">
        <f>'Inputs (2)'!AA24</f>
        <v>0</v>
      </c>
      <c r="AG173" s="12">
        <f>'Inputs (2)'!AB24</f>
        <v>0</v>
      </c>
      <c r="AH173" s="12">
        <f>'Inputs (2)'!AC24</f>
        <v>0</v>
      </c>
      <c r="AI173" s="12">
        <f>'Inputs (2)'!AD24</f>
        <v>0</v>
      </c>
      <c r="AJ173" s="12">
        <f>AI173</f>
        <v>0</v>
      </c>
      <c r="AK173" s="12">
        <f>AJ173</f>
        <v>0</v>
      </c>
      <c r="AL173" s="12">
        <f>AK173</f>
        <v>0</v>
      </c>
      <c r="AM173" s="12">
        <f>AL173</f>
        <v>0</v>
      </c>
      <c r="AN173" s="12">
        <f>AM173</f>
        <v>0</v>
      </c>
      <c r="AO173" s="12">
        <f>AN173</f>
        <v>0</v>
      </c>
      <c r="AP173" s="12">
        <f>AO173</f>
        <v>0</v>
      </c>
      <c r="AQ173" s="12">
        <f>AP173</f>
        <v>0</v>
      </c>
      <c r="AR173" s="12">
        <f>AQ173</f>
        <v>0</v>
      </c>
      <c r="AS173" s="12">
        <f>AR173</f>
        <v>0</v>
      </c>
      <c r="AT173" s="12">
        <f>AS173</f>
        <v>0</v>
      </c>
      <c r="AU173" s="12">
        <f>AT173</f>
        <v>0</v>
      </c>
      <c r="AV173" s="12">
        <f>AU173</f>
        <v>0</v>
      </c>
      <c r="AW173" s="12">
        <f>AV173</f>
        <v>0</v>
      </c>
      <c r="AX173" s="12">
        <f>AW173</f>
        <v>0</v>
      </c>
      <c r="AY173" s="12">
        <f>AX173</f>
        <v>0</v>
      </c>
      <c r="AZ173" s="12">
        <f>AY173</f>
        <v>0</v>
      </c>
      <c r="BA173" s="12">
        <f>AZ173</f>
        <v>0</v>
      </c>
      <c r="BB173" s="12">
        <f>BA173</f>
        <v>0</v>
      </c>
      <c r="BC173" s="12">
        <f>BB173</f>
        <v>0</v>
      </c>
      <c r="BD173" s="12">
        <f>BC173</f>
        <v>0</v>
      </c>
      <c r="BE173" s="12">
        <f>BD173</f>
        <v>0</v>
      </c>
      <c r="BF173" s="12">
        <f>BE173</f>
        <v>0</v>
      </c>
      <c r="BG173" s="12" t="n"/>
      <c r="BH173" s="12" t="n"/>
      <c r="BI173" s="12" t="n"/>
      <c r="BJ173" s="12" t="n"/>
      <c r="BK173" s="12" t="n"/>
      <c r="BL173" s="12" t="n"/>
      <c r="BM173" s="12" t="n"/>
      <c r="BN173" s="12" t="n"/>
      <c r="BO173" s="12" t="n"/>
      <c r="BP173" s="12" t="n"/>
      <c r="BQ173" s="12" t="n"/>
      <c r="BR173" s="12" t="n"/>
      <c r="BS173" s="12" t="n"/>
      <c r="BT173" s="12" t="n"/>
      <c r="BU173" s="12" t="n"/>
      <c r="BV173" s="12" t="n"/>
      <c r="BW173" s="12" t="n"/>
      <c r="BX173" s="12" t="n"/>
      <c r="BY173" s="12" t="n"/>
      <c r="BZ173" s="12" t="n"/>
      <c r="CA173" s="12" t="n"/>
      <c r="CB173" s="12" t="n"/>
      <c r="CC173" s="12" t="n"/>
      <c r="CD173" s="12" t="n"/>
      <c r="CE173" s="12" t="n"/>
      <c r="CF173" s="12" t="n"/>
      <c r="CG173" s="12" t="n"/>
      <c r="CH173" s="12" t="n"/>
      <c r="CI173" s="12" t="n"/>
      <c r="CJ173" s="12" t="n"/>
      <c r="CK173" s="12" t="n"/>
      <c r="CL173" s="12" t="n"/>
      <c r="CM173" s="12" t="n"/>
      <c r="CN173" s="12" t="n"/>
      <c r="CO173" s="12" t="n"/>
      <c r="CP173" s="12" t="n"/>
      <c r="CQ173" s="12" t="n"/>
      <c r="CR173" s="12" t="n"/>
      <c r="CS173" s="12" t="n"/>
      <c r="CT173" s="12" t="n"/>
      <c r="CU173" s="12" t="n"/>
      <c r="CV173" s="12" t="n"/>
      <c r="CW173" s="12" t="n"/>
      <c r="CX173" s="12" t="n"/>
      <c r="CY173" s="12" t="n"/>
    </row>
    <row r="174">
      <c r="C174" s="14" t="inlineStr">
        <is>
          <t>Intangibles</t>
        </is>
      </c>
      <c r="D174" s="46" t="n"/>
      <c r="E174" s="46" t="n"/>
      <c r="F174" s="46" t="n"/>
      <c r="G174" s="46" t="n"/>
      <c r="H174" s="12" t="n"/>
      <c r="I174" s="46">
        <f>'Inputs (2)'!D25</f>
        <v>299</v>
      </c>
      <c r="J174" s="46">
        <f>'Inputs (2)'!E25</f>
        <v>283</v>
      </c>
      <c r="K174" s="46">
        <f>'Inputs (2)'!F25</f>
        <v>269</v>
      </c>
      <c r="L174" s="46">
        <f>'Inputs (2)'!G25</f>
        <v>257</v>
      </c>
      <c r="M174" s="12">
        <f>'Inputs (2)'!H25</f>
        <v>257</v>
      </c>
      <c r="N174" s="46">
        <f>'Inputs (2)'!I25</f>
        <v>254</v>
      </c>
      <c r="O174" s="46">
        <f>'Inputs (2)'!J25</f>
        <v>241</v>
      </c>
      <c r="P174" s="46">
        <f>'Inputs (2)'!K25</f>
        <v>228</v>
      </c>
      <c r="Q174" s="46">
        <f>'Inputs (2)'!L25</f>
        <v>215</v>
      </c>
      <c r="R174" s="12">
        <f>'Inputs (2)'!M25</f>
        <v>215</v>
      </c>
      <c r="S174" s="46">
        <f>'Inputs (2)'!N25</f>
        <v>204</v>
      </c>
      <c r="T174" s="46">
        <f>'Inputs (2)'!O25</f>
        <v>202</v>
      </c>
      <c r="U174" s="46">
        <f>'Inputs (2)'!P25</f>
        <v>191</v>
      </c>
      <c r="V174" s="46">
        <f>'Inputs (2)'!Q25</f>
        <v>178</v>
      </c>
      <c r="W174" s="12">
        <f>'Inputs (2)'!R25</f>
        <v>178</v>
      </c>
      <c r="X174" s="46">
        <f>'Inputs (2)'!S25</f>
        <v>171</v>
      </c>
      <c r="Y174" s="46">
        <f>'Inputs (2)'!T25</f>
        <v>164</v>
      </c>
      <c r="Z174" s="46">
        <f>'Inputs (2)'!U25</f>
        <v>158</v>
      </c>
      <c r="AA174" s="46">
        <f>'Inputs (2)'!V25</f>
        <v>150</v>
      </c>
      <c r="AB174" s="12">
        <f>'Inputs (2)'!W25</f>
        <v>150</v>
      </c>
      <c r="AC174" s="46">
        <f>'Inputs (2)'!X25</f>
        <v>144</v>
      </c>
      <c r="AD174" s="46">
        <f>'Inputs (2)'!Y25</f>
        <v>138</v>
      </c>
      <c r="AE174" s="46">
        <f>'Inputs (2)'!Z25</f>
        <v>131</v>
      </c>
      <c r="AF174" s="46">
        <f>'Inputs (2)'!AA25</f>
        <v>0</v>
      </c>
      <c r="AG174" s="12">
        <f>'Inputs (2)'!AB25</f>
        <v>0</v>
      </c>
      <c r="AH174" s="12">
        <f>'Inputs (2)'!AC25</f>
        <v>0</v>
      </c>
      <c r="AI174" s="12">
        <f>'Inputs (2)'!AD25</f>
        <v>0</v>
      </c>
      <c r="AJ174" s="12">
        <f>AI174</f>
        <v>0</v>
      </c>
      <c r="AK174" s="12">
        <f>AJ174</f>
        <v>0</v>
      </c>
      <c r="AL174" s="12">
        <f>AK174</f>
        <v>0</v>
      </c>
      <c r="AM174" s="16">
        <f>AL174</f>
        <v>0</v>
      </c>
      <c r="AN174" s="12">
        <f>AM174</f>
        <v>0</v>
      </c>
      <c r="AO174" s="12">
        <f>AN174</f>
        <v>0</v>
      </c>
      <c r="AP174" s="12">
        <f>AO174</f>
        <v>0</v>
      </c>
      <c r="AQ174" s="12">
        <f>AP174</f>
        <v>0</v>
      </c>
      <c r="AR174" s="16">
        <f>AQ174</f>
        <v>0</v>
      </c>
      <c r="AS174" s="12">
        <f>AR174</f>
        <v>0</v>
      </c>
      <c r="AT174" s="12">
        <f>AS174</f>
        <v>0</v>
      </c>
      <c r="AU174" s="12">
        <f>AT174</f>
        <v>0</v>
      </c>
      <c r="AV174" s="12">
        <f>AU174</f>
        <v>0</v>
      </c>
      <c r="AW174" s="16">
        <f>AV174</f>
        <v>0</v>
      </c>
      <c r="AX174" s="12">
        <f>AW174</f>
        <v>0</v>
      </c>
      <c r="AY174" s="12">
        <f>AX174</f>
        <v>0</v>
      </c>
      <c r="AZ174" s="12">
        <f>AY174</f>
        <v>0</v>
      </c>
      <c r="BA174" s="12">
        <f>AZ174</f>
        <v>0</v>
      </c>
      <c r="BB174" s="16">
        <f>BA174</f>
        <v>0</v>
      </c>
      <c r="BC174" s="12">
        <f>BB174</f>
        <v>0</v>
      </c>
      <c r="BD174" s="12">
        <f>BC174</f>
        <v>0</v>
      </c>
      <c r="BE174" s="12">
        <f>BD174</f>
        <v>0</v>
      </c>
      <c r="BF174" s="12">
        <f>BE174</f>
        <v>0</v>
      </c>
      <c r="BH174" s="12" t="n"/>
      <c r="BI174" s="12" t="n"/>
      <c r="BJ174" s="12" t="n"/>
      <c r="BK174" s="12" t="n"/>
      <c r="BM174" s="12" t="n"/>
      <c r="BN174" s="12" t="n"/>
      <c r="BO174" s="12" t="n"/>
      <c r="BP174" s="12" t="n"/>
      <c r="BR174" s="12" t="n"/>
      <c r="BS174" s="12" t="n"/>
      <c r="BT174" s="12" t="n"/>
      <c r="BU174" s="12" t="n"/>
      <c r="BW174" s="12" t="n"/>
      <c r="BX174" s="12" t="n"/>
      <c r="BY174" s="12" t="n"/>
      <c r="BZ174" s="12" t="n"/>
      <c r="CB174" s="12" t="n"/>
      <c r="CC174" s="12" t="n"/>
      <c r="CD174" s="12" t="n"/>
      <c r="CE174" s="12" t="n"/>
      <c r="CG174" s="12" t="n"/>
      <c r="CH174" s="12" t="n"/>
      <c r="CI174" s="12" t="n"/>
      <c r="CJ174" s="12" t="n"/>
      <c r="CL174" s="12" t="n"/>
      <c r="CM174" s="12" t="n"/>
      <c r="CN174" s="12" t="n"/>
      <c r="CO174" s="12" t="n"/>
      <c r="CQ174" s="12" t="n"/>
      <c r="CR174" s="12" t="n"/>
      <c r="CS174" s="12" t="n"/>
      <c r="CT174" s="12" t="n"/>
      <c r="CV174" s="12" t="n"/>
      <c r="CW174" s="12" t="n"/>
      <c r="CX174" s="12" t="n"/>
      <c r="CY174" s="12" t="n"/>
    </row>
    <row r="175" hidden="1" outlineLevel="1">
      <c r="C175" s="57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  <c r="AJ175" s="12" t="n"/>
      <c r="AK175" s="12" t="n"/>
      <c r="AL175" s="12" t="n"/>
      <c r="AM175" s="12" t="n"/>
      <c r="AN175" s="12" t="n"/>
      <c r="AO175" s="12" t="n"/>
      <c r="AP175" s="12" t="n"/>
      <c r="AQ175" s="12" t="n"/>
      <c r="AR175" s="12" t="n"/>
      <c r="AS175" s="12" t="n"/>
      <c r="AT175" s="12" t="n"/>
      <c r="AU175" s="12" t="n"/>
      <c r="AV175" s="12" t="n"/>
      <c r="AW175" s="12" t="n"/>
      <c r="AX175" s="12" t="n"/>
      <c r="AY175" s="12" t="n"/>
      <c r="AZ175" s="12" t="n"/>
      <c r="BA175" s="12" t="n"/>
      <c r="BB175" s="12" t="n"/>
      <c r="BC175" s="12" t="n"/>
      <c r="BD175" s="12" t="n"/>
      <c r="BE175" s="12" t="n"/>
      <c r="BF175" s="12" t="n"/>
      <c r="BG175" s="12" t="n"/>
      <c r="BH175" s="12" t="n"/>
      <c r="BI175" s="12" t="n"/>
      <c r="BJ175" s="12" t="n"/>
      <c r="BK175" s="12" t="n"/>
      <c r="BL175" s="12" t="n"/>
      <c r="BM175" s="12" t="n"/>
      <c r="BN175" s="12" t="n"/>
      <c r="BO175" s="12" t="n"/>
      <c r="BP175" s="12" t="n"/>
      <c r="BQ175" s="12" t="n"/>
      <c r="BR175" s="12" t="n"/>
      <c r="BS175" s="12" t="n"/>
      <c r="BT175" s="12" t="n"/>
      <c r="BU175" s="12" t="n"/>
      <c r="BV175" s="12" t="n"/>
      <c r="BW175" s="12" t="n"/>
      <c r="BX175" s="12" t="n"/>
      <c r="BY175" s="12" t="n"/>
      <c r="BZ175" s="12" t="n"/>
      <c r="CA175" s="12" t="n"/>
      <c r="CB175" s="12" t="n"/>
      <c r="CC175" s="12" t="n"/>
      <c r="CD175" s="12" t="n"/>
      <c r="CE175" s="12" t="n"/>
      <c r="CF175" s="12" t="n"/>
      <c r="CG175" s="12" t="n"/>
      <c r="CH175" s="12" t="n"/>
      <c r="CI175" s="12" t="n"/>
      <c r="CJ175" s="12" t="n"/>
      <c r="CK175" s="12" t="n"/>
      <c r="CL175" s="12" t="n"/>
      <c r="CM175" s="12" t="n"/>
      <c r="CN175" s="12" t="n"/>
      <c r="CO175" s="12" t="n"/>
      <c r="CP175" s="12" t="n"/>
      <c r="CQ175" s="12" t="n"/>
      <c r="CR175" s="12" t="n"/>
      <c r="CS175" s="12" t="n"/>
      <c r="CT175" s="12" t="n"/>
      <c r="CU175" s="12" t="n"/>
      <c r="CV175" s="12" t="n"/>
      <c r="CW175" s="12" t="n"/>
      <c r="CX175" s="12" t="n"/>
      <c r="CY175" s="12" t="n"/>
    </row>
    <row r="176" hidden="1" outlineLevel="1">
      <c r="C176" s="57" t="inlineStr">
        <is>
          <t>Purchase of intangible assets</t>
        </is>
      </c>
      <c r="D176" s="12" t="n"/>
      <c r="E176" s="12" t="n"/>
      <c r="F176" s="12" t="n"/>
      <c r="G176" s="12" t="n"/>
      <c r="H176" s="12" t="n"/>
      <c r="I176" s="12" t="str">
        <f>IF(COUNT(H174)=0,"",I174-H174-I78)</f>
        <v/>
      </c>
      <c r="J176" s="12">
        <f>J174-I174-J78</f>
        <v>-16</v>
      </c>
      <c r="K176" s="12">
        <f>K174-J174-K78</f>
        <v>-14</v>
      </c>
      <c r="L176" s="12">
        <f>L174-K174-L78</f>
        <v>-12</v>
      </c>
      <c r="M176" s="12" t="n"/>
      <c r="N176" s="12">
        <f>N174-M174-N78</f>
        <v>-3</v>
      </c>
      <c r="O176" s="12">
        <f>O174-N174-O78</f>
        <v>-13</v>
      </c>
      <c r="P176" s="12">
        <f>P174-O174-P78</f>
        <v>-13</v>
      </c>
      <c r="Q176" s="12">
        <f>Q174-P174-Q78</f>
        <v>-13</v>
      </c>
      <c r="R176" s="12" t="n"/>
      <c r="S176" s="12">
        <f>S174-R174-S78</f>
        <v>-11</v>
      </c>
      <c r="T176" s="12">
        <f>T174-S174-T78</f>
        <v>-2</v>
      </c>
      <c r="U176" s="12">
        <f>U174-T174-U78</f>
        <v>-11</v>
      </c>
      <c r="V176" s="12">
        <f>V174-U174-V78</f>
        <v>-13</v>
      </c>
      <c r="W176" s="12" t="n"/>
      <c r="X176" s="12">
        <f>X174-W174-X78</f>
        <v>-7</v>
      </c>
      <c r="Y176" s="12">
        <f>Y174-X174-Y78</f>
        <v>-7</v>
      </c>
      <c r="Z176" s="12">
        <f>Z174-Y174-Z78</f>
        <v>-6</v>
      </c>
      <c r="AA176" s="12">
        <f>AA174-Z174-AA78</f>
        <v>-8</v>
      </c>
      <c r="AB176" s="12" t="n"/>
      <c r="AC176" s="12">
        <f>AC174-AB174-AC78</f>
        <v>-6</v>
      </c>
      <c r="AD176" s="12">
        <f>AD174-AC174-AD78</f>
        <v>-6</v>
      </c>
      <c r="AE176" s="12">
        <f>AE174-AD174-AE78</f>
        <v>-7</v>
      </c>
      <c r="AF176" s="12">
        <f>AF174-AE174-AF78</f>
        <v>-131</v>
      </c>
      <c r="AG176" s="12" t="n"/>
      <c r="AH176" s="11">
        <f>AH174-AG174-AH78</f>
        <v>0</v>
      </c>
      <c r="AI176" s="11">
        <f>AI174-AH174-AI78</f>
        <v>0</v>
      </c>
      <c r="AJ176" s="11" t="n"/>
      <c r="AK176" s="11" t="n"/>
      <c r="AL176" s="12" t="n"/>
      <c r="AM176" s="11" t="n"/>
      <c r="AN176" s="11" t="n"/>
      <c r="AO176" s="11" t="n"/>
      <c r="AP176" s="11" t="n"/>
      <c r="AQ176" s="12" t="n"/>
      <c r="AR176" s="11" t="n"/>
      <c r="AS176" s="11" t="n"/>
      <c r="AT176" s="11" t="n"/>
      <c r="AU176" s="11" t="n"/>
      <c r="AV176" s="12" t="n"/>
      <c r="AW176" s="11" t="n"/>
      <c r="AX176" s="11" t="n"/>
      <c r="AY176" s="11" t="n"/>
      <c r="AZ176" s="11" t="n"/>
      <c r="BA176" s="12" t="n"/>
      <c r="BB176" s="11" t="n"/>
      <c r="BC176" s="11" t="n"/>
      <c r="BD176" s="11" t="n"/>
      <c r="BE176" s="11" t="n"/>
      <c r="BF176" s="12" t="n"/>
      <c r="BG176" s="11" t="n"/>
      <c r="BH176" s="11" t="n"/>
      <c r="BI176" s="11" t="n"/>
      <c r="BJ176" s="11" t="n"/>
      <c r="BK176" s="12" t="n"/>
      <c r="BL176" s="11" t="n"/>
      <c r="BM176" s="11" t="n"/>
      <c r="BN176" s="11" t="n"/>
      <c r="BO176" s="11" t="n"/>
      <c r="BP176" s="12" t="n"/>
      <c r="BQ176" s="11" t="n"/>
      <c r="BR176" s="11" t="n"/>
      <c r="BS176" s="11" t="n"/>
      <c r="BT176" s="11" t="n"/>
      <c r="BU176" s="12" t="n"/>
      <c r="BV176" s="11" t="n"/>
      <c r="BW176" s="11" t="n"/>
      <c r="BX176" s="11" t="n"/>
      <c r="BY176" s="11" t="n"/>
      <c r="BZ176" s="12" t="n"/>
      <c r="CA176" s="11" t="n"/>
      <c r="CB176" s="11" t="n"/>
      <c r="CC176" s="11" t="n"/>
      <c r="CD176" s="11" t="n"/>
      <c r="CE176" s="12" t="n"/>
      <c r="CF176" s="11" t="n"/>
      <c r="CG176" s="11" t="n"/>
      <c r="CH176" s="11" t="n"/>
      <c r="CI176" s="11" t="n"/>
      <c r="CJ176" s="12" t="n"/>
      <c r="CK176" s="11" t="n"/>
      <c r="CL176" s="11" t="n"/>
      <c r="CM176" s="11" t="n"/>
      <c r="CN176" s="11" t="n"/>
      <c r="CO176" s="12" t="n"/>
      <c r="CP176" s="11" t="n"/>
      <c r="CQ176" s="11" t="n"/>
      <c r="CR176" s="11" t="n"/>
      <c r="CS176" s="11" t="n"/>
      <c r="CT176" s="12" t="n"/>
      <c r="CU176" s="11" t="n"/>
      <c r="CV176" s="11" t="n"/>
      <c r="CW176" s="11" t="n"/>
      <c r="CX176" s="11" t="n"/>
      <c r="CY176" s="12" t="n"/>
    </row>
    <row r="177" hidden="1" outlineLevel="1">
      <c r="C177" s="57" t="inlineStr">
        <is>
          <t>Amortization (enter as -)</t>
        </is>
      </c>
      <c r="D177" s="12" t="n"/>
      <c r="E177" s="12" t="n"/>
      <c r="F177" s="12" t="n"/>
      <c r="G177" s="12" t="n"/>
      <c r="H177" s="12" t="n"/>
      <c r="I177" s="12">
        <f>I77</f>
        <v>0</v>
      </c>
      <c r="J177" s="12">
        <f>J77</f>
        <v>0</v>
      </c>
      <c r="K177" s="12">
        <f>K77</f>
        <v>0</v>
      </c>
      <c r="L177" s="12">
        <f>L77</f>
        <v>0</v>
      </c>
      <c r="M177" s="12" t="n"/>
      <c r="N177" s="12">
        <f>N77</f>
        <v>0</v>
      </c>
      <c r="O177" s="12">
        <f>O77</f>
        <v>0</v>
      </c>
      <c r="P177" s="12">
        <f>P77</f>
        <v>0</v>
      </c>
      <c r="Q177" s="12">
        <f>Q77</f>
        <v>0</v>
      </c>
      <c r="R177" s="12" t="n"/>
      <c r="S177" s="12">
        <f>S77</f>
        <v>0</v>
      </c>
      <c r="T177" s="12">
        <f>T77</f>
        <v>0</v>
      </c>
      <c r="U177" s="12">
        <f>U77</f>
        <v>0</v>
      </c>
      <c r="V177" s="12">
        <f>V77</f>
        <v>0</v>
      </c>
      <c r="W177" s="12" t="n"/>
      <c r="X177" s="12">
        <f>X77</f>
        <v>0</v>
      </c>
      <c r="Y177" s="12">
        <f>Y77</f>
        <v>0</v>
      </c>
      <c r="Z177" s="12">
        <f>Z77</f>
        <v>0</v>
      </c>
      <c r="AA177" s="12">
        <f>AA77</f>
        <v>0</v>
      </c>
      <c r="AB177" s="12" t="n"/>
      <c r="AC177" s="12">
        <f>AC77</f>
        <v>0</v>
      </c>
      <c r="AD177" s="12">
        <f>AD77</f>
        <v>0</v>
      </c>
      <c r="AE177" s="12">
        <f>AE77</f>
        <v>0</v>
      </c>
      <c r="AF177" s="12">
        <f>AF77</f>
        <v>0</v>
      </c>
      <c r="AG177" s="12" t="n"/>
      <c r="AH177" s="12">
        <f>AH77</f>
        <v>0</v>
      </c>
      <c r="AI177" s="11">
        <f>AI77</f>
        <v>0</v>
      </c>
      <c r="AJ177" s="11" t="n"/>
      <c r="AK177" s="11" t="n"/>
      <c r="AL177" s="12" t="n"/>
      <c r="AM177" s="11" t="n"/>
      <c r="AN177" s="11" t="n"/>
      <c r="AO177" s="11" t="n"/>
      <c r="AP177" s="11" t="n"/>
      <c r="AQ177" s="12" t="n"/>
      <c r="AR177" s="11" t="n"/>
      <c r="AS177" s="11" t="n"/>
      <c r="AT177" s="11" t="n"/>
      <c r="AU177" s="11" t="n"/>
      <c r="AV177" s="12" t="n"/>
      <c r="AW177" s="11" t="n"/>
      <c r="AX177" s="11" t="n"/>
      <c r="AY177" s="11" t="n"/>
      <c r="AZ177" s="11" t="n"/>
      <c r="BA177" s="12" t="n"/>
      <c r="BB177" s="11" t="n"/>
      <c r="BC177" s="11" t="n"/>
      <c r="BD177" s="11" t="n"/>
      <c r="BE177" s="11" t="n"/>
      <c r="BF177" s="12" t="n"/>
      <c r="BG177" s="11" t="n"/>
      <c r="BH177" s="11" t="n"/>
      <c r="BI177" s="11" t="n"/>
      <c r="BJ177" s="11" t="n"/>
      <c r="BK177" s="12" t="n"/>
      <c r="BL177" s="11" t="n"/>
      <c r="BM177" s="11" t="n"/>
      <c r="BN177" s="11" t="n"/>
      <c r="BO177" s="11" t="n"/>
      <c r="BP177" s="12" t="n"/>
      <c r="BQ177" s="11" t="n"/>
      <c r="BR177" s="11" t="n"/>
      <c r="BS177" s="11" t="n"/>
      <c r="BT177" s="11" t="n"/>
      <c r="BU177" s="12" t="n"/>
      <c r="BV177" s="11" t="n"/>
      <c r="BW177" s="11" t="n"/>
      <c r="BX177" s="11" t="n"/>
      <c r="BY177" s="11" t="n"/>
      <c r="BZ177" s="12" t="n"/>
      <c r="CA177" s="11" t="n"/>
      <c r="CB177" s="11" t="n"/>
      <c r="CC177" s="11" t="n"/>
      <c r="CD177" s="11" t="n"/>
      <c r="CE177" s="12" t="n"/>
      <c r="CF177" s="11" t="n"/>
      <c r="CG177" s="11" t="n"/>
      <c r="CH177" s="11" t="n"/>
      <c r="CI177" s="11" t="n"/>
      <c r="CJ177" s="12" t="n"/>
      <c r="CK177" s="11" t="n"/>
      <c r="CL177" s="11" t="n"/>
      <c r="CM177" s="11" t="n"/>
      <c r="CN177" s="11" t="n"/>
      <c r="CO177" s="12" t="n"/>
      <c r="CP177" s="11" t="n"/>
      <c r="CQ177" s="11" t="n"/>
      <c r="CR177" s="11" t="n"/>
      <c r="CS177" s="11" t="n"/>
      <c r="CT177" s="12" t="n"/>
      <c r="CU177" s="11" t="n"/>
      <c r="CV177" s="11" t="n"/>
      <c r="CW177" s="11" t="n"/>
      <c r="CX177" s="11" t="n"/>
      <c r="CY177" s="12" t="n"/>
    </row>
    <row r="178" hidden="1" outlineLevel="1">
      <c r="C178" s="57" t="inlineStr">
        <is>
          <t>Intangibles</t>
        </is>
      </c>
      <c r="D178" s="12" t="n"/>
      <c r="E178" s="12" t="n"/>
      <c r="F178" s="12" t="n"/>
      <c r="G178" s="12" t="n"/>
      <c r="H178" s="12" t="n"/>
      <c r="I178" s="12">
        <f>I174</f>
        <v>299</v>
      </c>
      <c r="J178" s="12">
        <f>J174</f>
        <v>283</v>
      </c>
      <c r="K178" s="12">
        <f>K174</f>
        <v>269</v>
      </c>
      <c r="L178" s="12">
        <f>L174</f>
        <v>257</v>
      </c>
      <c r="M178" s="12">
        <f>M174</f>
        <v>257</v>
      </c>
      <c r="N178" s="12">
        <f>N174</f>
        <v>254</v>
      </c>
      <c r="O178" s="12">
        <f>O174</f>
        <v>241</v>
      </c>
      <c r="P178" s="12">
        <f>P174</f>
        <v>228</v>
      </c>
      <c r="Q178" s="12">
        <f>Q174</f>
        <v>215</v>
      </c>
      <c r="R178" s="12">
        <f>R174</f>
        <v>215</v>
      </c>
      <c r="S178" s="12">
        <f>S174</f>
        <v>204</v>
      </c>
      <c r="T178" s="12">
        <f>T174</f>
        <v>202</v>
      </c>
      <c r="U178" s="12">
        <f>U174</f>
        <v>191</v>
      </c>
      <c r="V178" s="12">
        <f>V174</f>
        <v>178</v>
      </c>
      <c r="W178" s="12">
        <f>W174</f>
        <v>178</v>
      </c>
      <c r="X178" s="12">
        <f>X174</f>
        <v>171</v>
      </c>
      <c r="Y178" s="12">
        <f>Y174</f>
        <v>164</v>
      </c>
      <c r="Z178" s="12">
        <f>Z174</f>
        <v>158</v>
      </c>
      <c r="AA178" s="12">
        <f>AA174</f>
        <v>150</v>
      </c>
      <c r="AB178" s="12">
        <f>AB174</f>
        <v>150</v>
      </c>
      <c r="AC178" s="12">
        <f>AC174</f>
        <v>144</v>
      </c>
      <c r="AD178" s="12">
        <f>AD174</f>
        <v>138</v>
      </c>
      <c r="AE178" s="12">
        <f>AE174</f>
        <v>131</v>
      </c>
      <c r="AF178" s="12">
        <f>AF174</f>
        <v>0</v>
      </c>
      <c r="AG178" s="12">
        <f>AG174</f>
        <v>0</v>
      </c>
      <c r="AH178" s="12">
        <f>AH174</f>
        <v>0</v>
      </c>
      <c r="AI178" s="12">
        <f>AI174</f>
        <v>0</v>
      </c>
      <c r="AJ178" s="12">
        <f>AJ174</f>
        <v>0</v>
      </c>
      <c r="AK178" s="12">
        <f>AK174</f>
        <v>0</v>
      </c>
      <c r="AL178" s="12" t="n"/>
      <c r="AM178" s="12">
        <f>AM174</f>
        <v>0</v>
      </c>
      <c r="AN178" s="12">
        <f>AN174</f>
        <v>0</v>
      </c>
      <c r="AO178" s="12">
        <f>AO174</f>
        <v>0</v>
      </c>
      <c r="AP178" s="12">
        <f>AP174</f>
        <v>0</v>
      </c>
      <c r="AQ178" s="12" t="n"/>
      <c r="AR178" s="12">
        <f>AR174</f>
        <v>0</v>
      </c>
      <c r="AS178" s="12">
        <f>AS174</f>
        <v>0</v>
      </c>
      <c r="AT178" s="12">
        <f>AT174</f>
        <v>0</v>
      </c>
      <c r="AU178" s="12">
        <f>AU174</f>
        <v>0</v>
      </c>
      <c r="AV178" s="12" t="n"/>
      <c r="AW178" s="12">
        <f>AW174</f>
        <v>0</v>
      </c>
      <c r="AX178" s="12">
        <f>AX174</f>
        <v>0</v>
      </c>
      <c r="AY178" s="12">
        <f>AY174</f>
        <v>0</v>
      </c>
      <c r="AZ178" s="12">
        <f>AZ174</f>
        <v>0</v>
      </c>
      <c r="BA178" s="12" t="n"/>
      <c r="BB178" s="12">
        <f>BB174</f>
        <v>0</v>
      </c>
      <c r="BC178" s="12">
        <f>BC174</f>
        <v>0</v>
      </c>
      <c r="BD178" s="12">
        <f>BD174</f>
        <v>0</v>
      </c>
      <c r="BE178" s="12">
        <f>BE174</f>
        <v>0</v>
      </c>
      <c r="BF178" s="12" t="n"/>
      <c r="BG178" s="12" t="n"/>
      <c r="BH178" s="12" t="n"/>
      <c r="BI178" s="12" t="n"/>
      <c r="BJ178" s="12" t="n"/>
      <c r="BK178" s="12" t="n"/>
      <c r="BL178" s="12" t="n"/>
      <c r="BM178" s="12" t="n"/>
      <c r="BN178" s="12" t="n"/>
      <c r="BO178" s="12" t="n"/>
      <c r="BP178" s="12" t="n"/>
      <c r="BQ178" s="12" t="n"/>
      <c r="BR178" s="12" t="n"/>
      <c r="BS178" s="12" t="n"/>
      <c r="BT178" s="12" t="n"/>
      <c r="BU178" s="12" t="n"/>
      <c r="BV178" s="12" t="n"/>
      <c r="BW178" s="12" t="n"/>
      <c r="BX178" s="12" t="n"/>
      <c r="BY178" s="12" t="n"/>
      <c r="BZ178" s="12" t="n"/>
      <c r="CA178" s="12" t="n"/>
      <c r="CB178" s="12" t="n"/>
      <c r="CC178" s="12" t="n"/>
      <c r="CD178" s="12" t="n"/>
      <c r="CE178" s="12" t="n"/>
      <c r="CF178" s="12" t="n"/>
      <c r="CG178" s="12" t="n"/>
      <c r="CH178" s="12" t="n"/>
      <c r="CI178" s="12" t="n"/>
      <c r="CJ178" s="12" t="n"/>
      <c r="CK178" s="12" t="n"/>
      <c r="CL178" s="12" t="n"/>
      <c r="CM178" s="12" t="n"/>
      <c r="CN178" s="12" t="n"/>
      <c r="CO178" s="12" t="n"/>
      <c r="CP178" s="12" t="n"/>
      <c r="CQ178" s="12" t="n"/>
      <c r="CR178" s="12" t="n"/>
      <c r="CS178" s="12" t="n"/>
      <c r="CT178" s="12" t="n"/>
      <c r="CU178" s="12" t="n"/>
      <c r="CV178" s="12" t="n"/>
      <c r="CW178" s="12" t="n"/>
      <c r="CX178" s="12" t="n"/>
      <c r="CY178" s="12" t="n"/>
    </row>
    <row r="179" hidden="1" outlineLevel="1">
      <c r="C179" s="57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  <c r="AJ179" s="12" t="n"/>
      <c r="AK179" s="12" t="n"/>
      <c r="AL179" s="12" t="n"/>
      <c r="AM179" s="12" t="n"/>
      <c r="AN179" s="12" t="n"/>
      <c r="AO179" s="12" t="n"/>
      <c r="AP179" s="12" t="n"/>
      <c r="AQ179" s="12" t="n"/>
      <c r="AR179" s="12" t="n"/>
      <c r="AS179" s="12" t="n"/>
      <c r="AT179" s="12" t="n"/>
      <c r="AU179" s="12" t="n"/>
      <c r="AV179" s="12" t="n"/>
      <c r="AW179" s="12" t="n"/>
      <c r="AX179" s="12" t="n"/>
      <c r="AY179" s="12" t="n"/>
      <c r="AZ179" s="12" t="n"/>
      <c r="BA179" s="12" t="n"/>
      <c r="BB179" s="12" t="n"/>
      <c r="BC179" s="12" t="n"/>
      <c r="BD179" s="12" t="n"/>
      <c r="BE179" s="12" t="n"/>
      <c r="BF179" s="12" t="n"/>
      <c r="BG179" s="12" t="n"/>
      <c r="BH179" s="12" t="n"/>
      <c r="BI179" s="12" t="n"/>
      <c r="BJ179" s="12" t="n"/>
      <c r="BK179" s="12" t="n"/>
      <c r="BL179" s="12" t="n"/>
      <c r="BM179" s="12" t="n"/>
      <c r="BN179" s="12" t="n"/>
      <c r="BO179" s="12" t="n"/>
      <c r="BP179" s="12" t="n"/>
      <c r="BQ179" s="12" t="n"/>
      <c r="BR179" s="12" t="n"/>
      <c r="BS179" s="12" t="n"/>
      <c r="BT179" s="12" t="n"/>
      <c r="BU179" s="12" t="n"/>
      <c r="BV179" s="12" t="n"/>
      <c r="BW179" s="12" t="n"/>
      <c r="BX179" s="12" t="n"/>
      <c r="BY179" s="12" t="n"/>
      <c r="BZ179" s="12" t="n"/>
      <c r="CA179" s="12" t="n"/>
      <c r="CB179" s="12" t="n"/>
      <c r="CC179" s="12" t="n"/>
      <c r="CD179" s="12" t="n"/>
      <c r="CE179" s="12" t="n"/>
      <c r="CF179" s="12" t="n"/>
      <c r="CG179" s="12" t="n"/>
      <c r="CH179" s="12" t="n"/>
      <c r="CI179" s="12" t="n"/>
      <c r="CJ179" s="12" t="n"/>
      <c r="CK179" s="12" t="n"/>
      <c r="CL179" s="12" t="n"/>
      <c r="CM179" s="12" t="n"/>
      <c r="CN179" s="12" t="n"/>
      <c r="CO179" s="12" t="n"/>
      <c r="CP179" s="12" t="n"/>
      <c r="CQ179" s="12" t="n"/>
      <c r="CR179" s="12" t="n"/>
      <c r="CS179" s="12" t="n"/>
      <c r="CT179" s="12" t="n"/>
      <c r="CU179" s="12" t="n"/>
      <c r="CV179" s="12" t="n"/>
      <c r="CW179" s="12" t="n"/>
      <c r="CX179" s="12" t="n"/>
      <c r="CY179" s="12" t="n"/>
    </row>
    <row r="180" hidden="1" outlineLevel="1">
      <c r="C180" s="57" t="inlineStr">
        <is>
          <t>Definir % do D&amp;A No PPE and Intagibles</t>
        </is>
      </c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  <c r="AL180" s="12" t="n"/>
      <c r="AM180" s="12" t="n"/>
      <c r="AN180" s="12" t="n"/>
      <c r="AO180" s="12" t="n"/>
      <c r="AP180" s="12" t="n"/>
      <c r="AQ180" s="12" t="n"/>
      <c r="AR180" s="12" t="n"/>
      <c r="AS180" s="12" t="n"/>
      <c r="AT180" s="12" t="n"/>
      <c r="AU180" s="12" t="n"/>
      <c r="AV180" s="12" t="n"/>
      <c r="AW180" s="12" t="n"/>
      <c r="AX180" s="12" t="n"/>
      <c r="AY180" s="12" t="n"/>
      <c r="AZ180" s="12" t="n"/>
      <c r="BA180" s="12" t="n"/>
      <c r="BB180" s="12" t="n"/>
      <c r="BC180" s="12" t="n"/>
      <c r="BD180" s="12" t="n"/>
      <c r="BE180" s="12" t="n"/>
      <c r="BF180" s="12" t="n"/>
      <c r="BG180" s="12" t="n"/>
      <c r="BH180" s="12" t="n"/>
      <c r="BI180" s="12" t="n"/>
      <c r="BJ180" s="12" t="n"/>
      <c r="BK180" s="12" t="n"/>
      <c r="BL180" s="12" t="n"/>
      <c r="BM180" s="12" t="n"/>
      <c r="BN180" s="12" t="n"/>
      <c r="BO180" s="12" t="n"/>
      <c r="BP180" s="12" t="n"/>
      <c r="BQ180" s="12" t="n"/>
      <c r="BR180" s="12" t="n"/>
      <c r="BS180" s="12" t="n"/>
      <c r="BT180" s="12" t="n"/>
      <c r="BU180" s="12" t="n"/>
      <c r="BV180" s="12" t="n"/>
      <c r="BW180" s="12" t="n"/>
      <c r="BX180" s="12" t="n"/>
      <c r="BY180" s="12" t="n"/>
      <c r="BZ180" s="12" t="n"/>
      <c r="CA180" s="12" t="n"/>
      <c r="CB180" s="12" t="n"/>
      <c r="CC180" s="12" t="n"/>
      <c r="CD180" s="12" t="n"/>
      <c r="CE180" s="12" t="n"/>
      <c r="CF180" s="12" t="n"/>
      <c r="CG180" s="12" t="n"/>
      <c r="CH180" s="12" t="n"/>
      <c r="CI180" s="12" t="n"/>
      <c r="CJ180" s="12" t="n"/>
      <c r="CK180" s="12" t="n"/>
      <c r="CL180" s="12" t="n"/>
      <c r="CM180" s="12" t="n"/>
      <c r="CN180" s="12" t="n"/>
      <c r="CO180" s="12" t="n"/>
      <c r="CP180" s="12" t="n"/>
      <c r="CQ180" s="12" t="n"/>
      <c r="CR180" s="12" t="n"/>
      <c r="CS180" s="12" t="n"/>
      <c r="CT180" s="12" t="n"/>
      <c r="CU180" s="12" t="n"/>
      <c r="CV180" s="12" t="n"/>
      <c r="CW180" s="12" t="n"/>
      <c r="CX180" s="12" t="n"/>
      <c r="CY180" s="12" t="n"/>
    </row>
    <row r="181" hidden="1" outlineLevel="1">
      <c r="C181" s="57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  <c r="AJ181" s="12" t="n"/>
      <c r="AK181" s="12" t="n"/>
      <c r="AL181" s="12" t="n"/>
      <c r="AM181" s="12" t="n"/>
      <c r="AN181" s="12" t="n"/>
      <c r="AO181" s="12" t="n"/>
      <c r="AP181" s="12" t="n"/>
      <c r="AQ181" s="12" t="n"/>
      <c r="AR181" s="12" t="n"/>
      <c r="AS181" s="12" t="n"/>
      <c r="AT181" s="12" t="n"/>
      <c r="AU181" s="12" t="n"/>
      <c r="AV181" s="12" t="n"/>
      <c r="AW181" s="12" t="n"/>
      <c r="AX181" s="12" t="n"/>
      <c r="AY181" s="12" t="n"/>
      <c r="AZ181" s="12" t="n"/>
      <c r="BA181" s="12" t="n"/>
      <c r="BB181" s="12" t="n"/>
      <c r="BC181" s="12" t="n"/>
      <c r="BD181" s="12" t="n"/>
      <c r="BE181" s="12" t="n"/>
      <c r="BF181" s="12" t="n"/>
      <c r="BG181" s="12" t="n"/>
      <c r="BH181" s="12" t="n"/>
      <c r="BI181" s="12" t="n"/>
      <c r="BJ181" s="12" t="n"/>
      <c r="BK181" s="12" t="n"/>
      <c r="BL181" s="12" t="n"/>
      <c r="BM181" s="12" t="n"/>
      <c r="BN181" s="12" t="n"/>
      <c r="BO181" s="12" t="n"/>
      <c r="BP181" s="12" t="n"/>
      <c r="BQ181" s="12" t="n"/>
      <c r="BR181" s="12" t="n"/>
      <c r="BS181" s="12" t="n"/>
      <c r="BT181" s="12" t="n"/>
      <c r="BU181" s="12" t="n"/>
      <c r="BV181" s="12" t="n"/>
      <c r="BW181" s="12" t="n"/>
      <c r="BX181" s="12" t="n"/>
      <c r="BY181" s="12" t="n"/>
      <c r="BZ181" s="12" t="n"/>
      <c r="CA181" s="12" t="n"/>
      <c r="CB181" s="12" t="n"/>
      <c r="CC181" s="12" t="n"/>
      <c r="CD181" s="12" t="n"/>
      <c r="CE181" s="12" t="n"/>
      <c r="CF181" s="12" t="n"/>
      <c r="CG181" s="12" t="n"/>
      <c r="CH181" s="12" t="n"/>
      <c r="CI181" s="12" t="n"/>
      <c r="CJ181" s="12" t="n"/>
      <c r="CK181" s="12" t="n"/>
      <c r="CL181" s="12" t="n"/>
      <c r="CM181" s="12" t="n"/>
      <c r="CN181" s="12" t="n"/>
      <c r="CO181" s="12" t="n"/>
      <c r="CP181" s="12" t="n"/>
      <c r="CQ181" s="12" t="n"/>
      <c r="CR181" s="12" t="n"/>
      <c r="CS181" s="12" t="n"/>
      <c r="CT181" s="12" t="n"/>
      <c r="CU181" s="12" t="n"/>
      <c r="CV181" s="12" t="n"/>
      <c r="CW181" s="12" t="n"/>
      <c r="CX181" s="12" t="n"/>
      <c r="CY181" s="12" t="n"/>
    </row>
    <row r="182" hidden="1" outlineLevel="1">
      <c r="C182" s="57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  <c r="AJ182" s="12" t="n"/>
      <c r="AK182" s="12" t="n"/>
      <c r="AL182" s="12" t="n"/>
      <c r="AM182" s="12" t="n"/>
      <c r="AN182" s="12" t="n"/>
      <c r="AO182" s="12" t="n"/>
      <c r="AP182" s="12" t="n"/>
      <c r="AQ182" s="12" t="n"/>
      <c r="AR182" s="12" t="n"/>
      <c r="AS182" s="12" t="n"/>
      <c r="AT182" s="12" t="n"/>
      <c r="AU182" s="12" t="n"/>
      <c r="AV182" s="12" t="n"/>
      <c r="AW182" s="12" t="n"/>
      <c r="AX182" s="12" t="n"/>
      <c r="AY182" s="12" t="n"/>
      <c r="AZ182" s="12" t="n"/>
      <c r="BA182" s="12" t="n"/>
      <c r="BB182" s="12" t="n"/>
      <c r="BC182" s="12" t="n"/>
      <c r="BD182" s="12" t="n"/>
      <c r="BE182" s="12" t="n"/>
      <c r="BF182" s="12" t="n"/>
      <c r="BG182" s="12" t="n"/>
      <c r="BH182" s="12" t="n"/>
      <c r="BI182" s="12" t="n"/>
      <c r="BJ182" s="12" t="n"/>
      <c r="BK182" s="12" t="n"/>
      <c r="BL182" s="12" t="n"/>
      <c r="BM182" s="12" t="n"/>
      <c r="BN182" s="12" t="n"/>
      <c r="BO182" s="12" t="n"/>
      <c r="BP182" s="12" t="n"/>
      <c r="BQ182" s="12" t="n"/>
      <c r="BR182" s="12" t="n"/>
      <c r="BS182" s="12" t="n"/>
      <c r="BT182" s="12" t="n"/>
      <c r="BU182" s="12" t="n"/>
      <c r="BV182" s="12" t="n"/>
      <c r="BW182" s="12" t="n"/>
      <c r="BX182" s="12" t="n"/>
      <c r="BY182" s="12" t="n"/>
      <c r="BZ182" s="12" t="n"/>
      <c r="CA182" s="12" t="n"/>
      <c r="CB182" s="12" t="n"/>
      <c r="CC182" s="12" t="n"/>
      <c r="CD182" s="12" t="n"/>
      <c r="CE182" s="12" t="n"/>
      <c r="CF182" s="12" t="n"/>
      <c r="CG182" s="12" t="n"/>
      <c r="CH182" s="12" t="n"/>
      <c r="CI182" s="12" t="n"/>
      <c r="CJ182" s="12" t="n"/>
      <c r="CK182" s="12" t="n"/>
      <c r="CL182" s="12" t="n"/>
      <c r="CM182" s="12" t="n"/>
      <c r="CN182" s="12" t="n"/>
      <c r="CO182" s="12" t="n"/>
      <c r="CP182" s="12" t="n"/>
      <c r="CQ182" s="12" t="n"/>
      <c r="CR182" s="12" t="n"/>
      <c r="CS182" s="12" t="n"/>
      <c r="CT182" s="12" t="n"/>
      <c r="CU182" s="12" t="n"/>
      <c r="CV182" s="12" t="n"/>
      <c r="CW182" s="12" t="n"/>
      <c r="CX182" s="12" t="n"/>
      <c r="CY182" s="12" t="n"/>
    </row>
    <row r="183" collapsed="1">
      <c r="C183" s="14" t="inlineStr">
        <is>
          <t>Other non-current assets</t>
        </is>
      </c>
      <c r="D183" s="46" t="n"/>
      <c r="E183" s="46" t="n"/>
      <c r="F183" s="46" t="n"/>
      <c r="G183" s="46" t="n"/>
      <c r="H183" s="12" t="n"/>
      <c r="I183" s="46">
        <f>'Inputs (2)'!D26</f>
        <v>12247</v>
      </c>
      <c r="J183" s="46">
        <f>'Inputs (2)'!E26</f>
        <v>12568</v>
      </c>
      <c r="K183" s="46">
        <f>'Inputs (2)'!F26</f>
        <v>13102</v>
      </c>
      <c r="L183" s="46">
        <f>'Inputs (2)'!G26</f>
        <v>13674</v>
      </c>
      <c r="M183" s="12">
        <f>'Inputs (2)'!H26</f>
        <v>13674</v>
      </c>
      <c r="N183" s="46">
        <f>'Inputs (2)'!I26</f>
        <v>14326</v>
      </c>
      <c r="O183" s="46">
        <f>'Inputs (2)'!J26</f>
        <v>13576</v>
      </c>
      <c r="P183" s="46">
        <f>'Inputs (2)'!K26</f>
        <v>13840</v>
      </c>
      <c r="Q183" s="46">
        <f>'Inputs (2)'!L26</f>
        <v>14901</v>
      </c>
      <c r="R183" s="12">
        <f>'Inputs (2)'!M26</f>
        <v>14901</v>
      </c>
      <c r="S183" s="46">
        <f>'Inputs (2)'!N26</f>
        <v>15668</v>
      </c>
      <c r="T183" s="46">
        <f>'Inputs (2)'!O26</f>
        <v>16510</v>
      </c>
      <c r="U183" s="46">
        <f>'Inputs (2)'!P26</f>
        <v>17093</v>
      </c>
      <c r="V183" s="46">
        <f>'Inputs (2)'!Q26</f>
        <v>15933</v>
      </c>
      <c r="W183" s="12">
        <f>'Inputs (2)'!R26</f>
        <v>15933</v>
      </c>
      <c r="X183" s="46">
        <f>'Inputs (2)'!S26</f>
        <v>15698</v>
      </c>
      <c r="Y183" s="46">
        <f>'Inputs (2)'!T26</f>
        <v>15285</v>
      </c>
      <c r="Z183" s="46">
        <f>'Inputs (2)'!U26</f>
        <v>15593</v>
      </c>
      <c r="AA183" s="46">
        <f>'Inputs (2)'!V26</f>
        <v>15796</v>
      </c>
      <c r="AB183" s="12">
        <f>'Inputs (2)'!W26</f>
        <v>15796</v>
      </c>
      <c r="AC183" s="46">
        <f>'Inputs (2)'!X26</f>
        <v>16225</v>
      </c>
      <c r="AD183" s="46">
        <f>'Inputs (2)'!Y26</f>
        <v>16110</v>
      </c>
      <c r="AE183" s="46">
        <f>'Inputs (2)'!Z26</f>
        <v>16867</v>
      </c>
      <c r="AF183" s="46">
        <f>'Inputs (2)'!AA26</f>
        <v>15569</v>
      </c>
      <c r="AG183" s="12">
        <f>'Inputs (2)'!AB26</f>
        <v>15569</v>
      </c>
      <c r="AH183" s="12">
        <f>'Inputs (2)'!AC26</f>
        <v>17371</v>
      </c>
      <c r="AI183" s="12">
        <f>'Inputs (2)'!AD26</f>
        <v>18890</v>
      </c>
      <c r="AJ183" s="12">
        <f>AI183</f>
        <v>18890</v>
      </c>
      <c r="AK183" s="12">
        <f>AJ183</f>
        <v>18890</v>
      </c>
      <c r="AL183" s="12">
        <f>AK183</f>
        <v>18890</v>
      </c>
      <c r="AM183" s="12">
        <f>AL183</f>
        <v>18890</v>
      </c>
      <c r="AN183" s="12">
        <f>AM183</f>
        <v>18890</v>
      </c>
      <c r="AO183" s="12">
        <f>AN183</f>
        <v>18890</v>
      </c>
      <c r="AP183" s="12">
        <f>AO183</f>
        <v>18890</v>
      </c>
      <c r="AQ183" s="12">
        <f>AP183</f>
        <v>18890</v>
      </c>
      <c r="AR183" s="12">
        <f>AQ183</f>
        <v>18890</v>
      </c>
      <c r="AS183" s="12">
        <f>AR183</f>
        <v>18890</v>
      </c>
      <c r="AT183" s="12">
        <f>AS183</f>
        <v>18890</v>
      </c>
      <c r="AU183" s="12">
        <f>AT183</f>
        <v>18890</v>
      </c>
      <c r="AV183" s="12">
        <f>AU183</f>
        <v>18890</v>
      </c>
      <c r="AW183" s="12">
        <f>AV183</f>
        <v>18890</v>
      </c>
      <c r="AX183" s="12">
        <f>AW183</f>
        <v>18890</v>
      </c>
      <c r="AY183" s="12">
        <f>AX183</f>
        <v>18890</v>
      </c>
      <c r="AZ183" s="12">
        <f>AY183</f>
        <v>18890</v>
      </c>
      <c r="BA183" s="12">
        <f>AZ183</f>
        <v>18890</v>
      </c>
      <c r="BB183" s="12">
        <f>BA183</f>
        <v>18890</v>
      </c>
      <c r="BC183" s="12">
        <f>BB183</f>
        <v>18890</v>
      </c>
      <c r="BD183" s="12">
        <f>BC183</f>
        <v>18890</v>
      </c>
      <c r="BE183" s="12">
        <f>BD183</f>
        <v>18890</v>
      </c>
      <c r="BF183" s="12">
        <f>BE183</f>
        <v>18890</v>
      </c>
      <c r="BG183" s="12" t="n"/>
      <c r="BH183" s="12" t="n"/>
      <c r="BI183" s="12" t="n"/>
      <c r="BJ183" s="12" t="n"/>
      <c r="BK183" s="12" t="n"/>
      <c r="BL183" s="12" t="n"/>
      <c r="BM183" s="12" t="n"/>
      <c r="BN183" s="12" t="n"/>
      <c r="BO183" s="12" t="n"/>
      <c r="BP183" s="12" t="n"/>
      <c r="BQ183" s="12" t="n"/>
      <c r="BR183" s="12" t="n"/>
      <c r="BS183" s="12" t="n"/>
      <c r="BT183" s="12" t="n"/>
      <c r="BU183" s="12" t="n"/>
      <c r="BV183" s="12" t="n"/>
      <c r="BW183" s="12" t="n"/>
      <c r="BX183" s="12" t="n"/>
      <c r="BY183" s="12" t="n"/>
      <c r="BZ183" s="12" t="n"/>
      <c r="CA183" s="12" t="n"/>
      <c r="CB183" s="12" t="n"/>
      <c r="CC183" s="12" t="n"/>
      <c r="CD183" s="12" t="n"/>
      <c r="CE183" s="12" t="n"/>
      <c r="CF183" s="12" t="n"/>
      <c r="CG183" s="12" t="n"/>
      <c r="CH183" s="12" t="n"/>
      <c r="CI183" s="12" t="n"/>
      <c r="CJ183" s="12" t="n"/>
      <c r="CK183" s="12" t="n"/>
      <c r="CL183" s="12" t="n"/>
      <c r="CM183" s="12" t="n"/>
      <c r="CN183" s="12" t="n"/>
      <c r="CO183" s="12" t="n"/>
      <c r="CP183" s="12" t="n"/>
      <c r="CQ183" s="12" t="n"/>
      <c r="CR183" s="12" t="n"/>
      <c r="CS183" s="12" t="n"/>
      <c r="CT183" s="12" t="n"/>
      <c r="CU183" s="12" t="n"/>
      <c r="CV183" s="12" t="n"/>
      <c r="CW183" s="12" t="n"/>
      <c r="CX183" s="12" t="n"/>
      <c r="CY183" s="12" t="n"/>
    </row>
    <row r="184" hidden="1" outlineLevel="1">
      <c r="C184" s="59" t="inlineStr">
        <is>
          <t>%(Var.)</t>
        </is>
      </c>
      <c r="D184" s="12" t="n"/>
      <c r="E184" s="40" t="n"/>
      <c r="F184" s="40" t="n"/>
      <c r="G184" s="40" t="n"/>
      <c r="H184" s="12" t="n"/>
      <c r="I184" s="40" t="str">
        <f>""</f>
        <v/>
      </c>
      <c r="J184" s="40">
        <f>IF(I183=0,"",J183/I183-1)</f>
        <v>0.0262105005307423</v>
      </c>
      <c r="K184" s="40">
        <f>IF(J183=0,"",K183/J183-1)</f>
        <v>0.0424888605983451</v>
      </c>
      <c r="L184" s="40">
        <f>IF(K183=0,"",L183/K183-1)</f>
        <v>0.0436574568768127</v>
      </c>
      <c r="M184" s="12">
        <f>IF(L183=0,"",M183/L183-1)</f>
        <v>0</v>
      </c>
      <c r="N184" s="40">
        <f>IF(M183=0,"",N183/M183-1)</f>
        <v>0.0476817317536931</v>
      </c>
      <c r="O184" s="40">
        <f>IF(N183=0,"",O183/N183-1)</f>
        <v>-0.0523523663269579</v>
      </c>
      <c r="P184" s="40">
        <f>IF(O183=0,"",P183/O183-1)</f>
        <v>0.0194460813199764</v>
      </c>
      <c r="Q184" s="40">
        <f>IF(P183=0,"",Q183/P183-1)</f>
        <v>0.0766618497109826</v>
      </c>
      <c r="R184" s="12">
        <f>IF(Q183=0,"",R183/Q183-1)</f>
        <v>0</v>
      </c>
      <c r="S184" s="40">
        <f>IF(R183=0,"",S183/R183-1)</f>
        <v>0.051473055499631</v>
      </c>
      <c r="T184" s="40">
        <f>IF(S183=0,"",T183/S183-1)</f>
        <v>0.0537401072249171</v>
      </c>
      <c r="U184" s="40">
        <f>IF(T183=0,"",U183/T183-1)</f>
        <v>0.0353119321623259</v>
      </c>
      <c r="V184" s="40">
        <f>IF(U183=0,"",V183/U183-1)</f>
        <v>-0.0678640379102556</v>
      </c>
      <c r="W184" s="12">
        <f>IF(V183=0,"",W183/V183-1)</f>
        <v>0</v>
      </c>
      <c r="X184" s="40">
        <f>IF(W183=0,"",X183/W183-1)</f>
        <v>-0.0147492625368731</v>
      </c>
      <c r="Y184" s="40">
        <f>IF(X183=0,"",Y183/X183-1)</f>
        <v>-0.0263090839597401</v>
      </c>
      <c r="Z184" s="40">
        <f>IF(Y183=0,"",Z183/Y183-1)</f>
        <v>0.02015047432123</v>
      </c>
      <c r="AA184" s="40">
        <f>IF(Z183=0,"",AA183/Z183-1)</f>
        <v>0.0130186622202271</v>
      </c>
      <c r="AB184" s="12">
        <f>IF(AA183=0,"",AB183/AA183-1)</f>
        <v>0</v>
      </c>
      <c r="AC184" s="40">
        <f>IF(AB183=0,"",AC183/AB183-1)</f>
        <v>0.0271587743732591</v>
      </c>
      <c r="AD184" s="40">
        <f>IF(AC183=0,"",AD183/AC183-1)</f>
        <v>-0.00708782742681047</v>
      </c>
      <c r="AE184" s="40">
        <f>IF(AD183=0,"",AE183/AD183-1)</f>
        <v>0.0469894475481067</v>
      </c>
      <c r="AF184" s="55">
        <f>IF(AE183=0,"",AF183/AE183-1)</f>
        <v>-0.0769550008893105</v>
      </c>
      <c r="AG184" s="12">
        <f>IF(AF183=0,"",AG183/AF183-1)</f>
        <v>0</v>
      </c>
      <c r="AH184" s="55">
        <f>IF(AG183=0,"",AH183/AG183-1)</f>
        <v>0.115742822275034</v>
      </c>
      <c r="AI184" s="55">
        <f>IF(AH183=0,"",AI183/AH183-1)</f>
        <v>0.087444591560647</v>
      </c>
      <c r="AJ184" s="55">
        <f>IF(AI183=0,"",AJ183/AI183-1)</f>
        <v>0</v>
      </c>
      <c r="AK184" s="55">
        <f>IF(AJ183=0,"",AK183/AJ183-1)</f>
        <v>0</v>
      </c>
      <c r="AL184" s="12">
        <f>IF(AK183=0,"",AL183/AK183-1)</f>
        <v>0</v>
      </c>
      <c r="AM184" s="55">
        <f>IF(AL183=0,"",AM183/AL183-1)</f>
        <v>0</v>
      </c>
      <c r="AN184" s="55">
        <f>IF(AM183=0,"",AN183/AM183-1)</f>
        <v>0</v>
      </c>
      <c r="AO184" s="55">
        <f>IF(AN183=0,"",AO183/AN183-1)</f>
        <v>0</v>
      </c>
      <c r="AP184" s="55">
        <f>IF(AO183=0,"",AP183/AO183-1)</f>
        <v>0</v>
      </c>
      <c r="AQ184" s="12">
        <f>IF(AP183=0,"",AQ183/AP183-1)</f>
        <v>0</v>
      </c>
      <c r="AR184" s="55">
        <f>IF(AQ183=0,"",AR183/AQ183-1)</f>
        <v>0</v>
      </c>
      <c r="AS184" s="55">
        <f>IF(AR183=0,"",AS183/AR183-1)</f>
        <v>0</v>
      </c>
      <c r="AT184" s="55">
        <f>IF(AS183=0,"",AT183/AS183-1)</f>
        <v>0</v>
      </c>
      <c r="AU184" s="55">
        <f>IF(AT183=0,"",AU183/AT183-1)</f>
        <v>0</v>
      </c>
      <c r="AV184" s="12">
        <f>IF(AU183=0,"",AV183/AU183-1)</f>
        <v>0</v>
      </c>
      <c r="AW184" s="55">
        <f>IF(AV183=0,"",AW183/AV183-1)</f>
        <v>0</v>
      </c>
      <c r="AX184" s="55">
        <f>IF(AW183=0,"",AX183/AW183-1)</f>
        <v>0</v>
      </c>
      <c r="AY184" s="55">
        <f>IF(AX183=0,"",AY183/AX183-1)</f>
        <v>0</v>
      </c>
      <c r="AZ184" s="55">
        <f>IF(AY183=0,"",AZ183/AY183-1)</f>
        <v>0</v>
      </c>
      <c r="BA184" s="12">
        <f>IF(AZ183=0,"",BA183/AZ183-1)</f>
        <v>0</v>
      </c>
      <c r="BB184" s="55">
        <f>IF(BA183=0,"",BB183/BA183-1)</f>
        <v>0</v>
      </c>
      <c r="BC184" s="55">
        <f>IF(BB183=0,"",BC183/BB183-1)</f>
        <v>0</v>
      </c>
      <c r="BD184" s="55">
        <f>IF(BC183=0,"",BD183/BC183-1)</f>
        <v>0</v>
      </c>
      <c r="BE184" s="55">
        <f>IF(BD183=0,"",BE183/BD183-1)</f>
        <v>0</v>
      </c>
      <c r="BF184" s="12">
        <f>IF(BE183=0,"",BF183/BE183-1)</f>
        <v>0</v>
      </c>
      <c r="BG184" s="55" t="n"/>
      <c r="BH184" s="55" t="n"/>
      <c r="BI184" s="55" t="n"/>
      <c r="BJ184" s="55" t="n"/>
      <c r="BK184" s="12" t="n"/>
      <c r="BL184" s="55" t="n"/>
      <c r="BM184" s="55" t="n"/>
      <c r="BN184" s="55" t="n"/>
      <c r="BO184" s="55" t="n"/>
      <c r="BP184" s="12" t="n"/>
      <c r="BQ184" s="55" t="n"/>
      <c r="BR184" s="55" t="n"/>
      <c r="BS184" s="55" t="n"/>
      <c r="BT184" s="55" t="n"/>
      <c r="BU184" s="12" t="n"/>
      <c r="BV184" s="55" t="n"/>
      <c r="BW184" s="55" t="n"/>
      <c r="BX184" s="55" t="n"/>
      <c r="BY184" s="55" t="n"/>
      <c r="BZ184" s="12" t="n"/>
      <c r="CA184" s="55" t="n"/>
      <c r="CB184" s="55" t="n"/>
      <c r="CC184" s="55" t="n"/>
      <c r="CD184" s="55" t="n"/>
      <c r="CE184" s="12" t="n"/>
      <c r="CF184" s="55" t="n"/>
      <c r="CG184" s="55" t="n"/>
      <c r="CH184" s="55" t="n"/>
      <c r="CI184" s="55" t="n"/>
      <c r="CJ184" s="12" t="n"/>
      <c r="CK184" s="55" t="n"/>
      <c r="CL184" s="55" t="n"/>
      <c r="CM184" s="55" t="n"/>
      <c r="CN184" s="55" t="n"/>
      <c r="CO184" s="12" t="n"/>
      <c r="CP184" s="55" t="n"/>
      <c r="CQ184" s="55" t="n"/>
      <c r="CR184" s="55" t="n"/>
      <c r="CS184" s="55" t="n"/>
      <c r="CT184" s="12" t="n"/>
      <c r="CU184" s="55" t="n"/>
      <c r="CV184" s="55" t="n"/>
      <c r="CW184" s="55" t="n"/>
      <c r="CX184" s="55" t="n"/>
      <c r="CY184" s="12" t="n"/>
    </row>
    <row r="185" hidden="1" outlineLevel="1">
      <c r="C185" s="57" t="n"/>
      <c r="D185" s="12" t="n"/>
      <c r="E185" s="40" t="n"/>
      <c r="F185" s="40" t="n"/>
      <c r="G185" s="40" t="n"/>
      <c r="H185" s="12" t="n"/>
      <c r="I185" s="40" t="n"/>
      <c r="J185" s="40" t="n"/>
      <c r="K185" s="40" t="n"/>
      <c r="L185" s="40" t="n"/>
      <c r="M185" s="12" t="n"/>
      <c r="N185" s="40" t="n"/>
      <c r="O185" s="40" t="n"/>
      <c r="P185" s="40" t="n"/>
      <c r="Q185" s="40" t="n"/>
      <c r="R185" s="12" t="n"/>
      <c r="S185" s="40" t="n"/>
      <c r="T185" s="40" t="n"/>
      <c r="U185" s="40" t="n"/>
      <c r="V185" s="40" t="n"/>
      <c r="W185" s="12" t="n"/>
      <c r="X185" s="40" t="n"/>
      <c r="Y185" s="40" t="n"/>
      <c r="Z185" s="40" t="n"/>
      <c r="AA185" s="40" t="n"/>
      <c r="AB185" s="12" t="n"/>
      <c r="AC185" s="40" t="n"/>
      <c r="AD185" s="40" t="n"/>
      <c r="AE185" s="40" t="n"/>
      <c r="AF185" s="55" t="n"/>
      <c r="AG185" s="12" t="n"/>
      <c r="AH185" s="55" t="n"/>
      <c r="AI185" s="55" t="n"/>
      <c r="AJ185" s="55" t="n"/>
      <c r="AK185" s="55" t="n"/>
      <c r="AL185" s="12" t="n"/>
      <c r="AM185" s="55" t="n"/>
      <c r="AN185" s="55" t="n"/>
      <c r="AO185" s="55" t="n"/>
      <c r="AP185" s="55" t="n"/>
      <c r="AQ185" s="12" t="n"/>
      <c r="AR185" s="55" t="n"/>
      <c r="AS185" s="55" t="n"/>
      <c r="AT185" s="55" t="n"/>
      <c r="AU185" s="55" t="n"/>
      <c r="AV185" s="12" t="n"/>
      <c r="AW185" s="55" t="n"/>
      <c r="AX185" s="55" t="n"/>
      <c r="AY185" s="55" t="n"/>
      <c r="AZ185" s="55" t="n"/>
      <c r="BA185" s="12" t="n"/>
      <c r="BB185" s="55" t="n"/>
      <c r="BC185" s="55" t="n"/>
      <c r="BD185" s="55" t="n"/>
      <c r="BE185" s="55" t="n"/>
      <c r="BF185" s="12" t="n"/>
      <c r="BG185" s="55" t="n"/>
      <c r="BH185" s="55" t="n"/>
      <c r="BI185" s="55" t="n"/>
      <c r="BJ185" s="55" t="n"/>
      <c r="BK185" s="12" t="n"/>
      <c r="BL185" s="55" t="n"/>
      <c r="BM185" s="55" t="n"/>
      <c r="BN185" s="55" t="n"/>
      <c r="BO185" s="55" t="n"/>
      <c r="BP185" s="12" t="n"/>
      <c r="BQ185" s="55" t="n"/>
      <c r="BR185" s="55" t="n"/>
      <c r="BS185" s="55" t="n"/>
      <c r="BT185" s="55" t="n"/>
      <c r="BU185" s="12" t="n"/>
      <c r="BV185" s="55" t="n"/>
      <c r="BW185" s="55" t="n"/>
      <c r="BX185" s="55" t="n"/>
      <c r="BY185" s="55" t="n"/>
      <c r="BZ185" s="12" t="n"/>
      <c r="CA185" s="55" t="n"/>
      <c r="CB185" s="55" t="n"/>
      <c r="CC185" s="55" t="n"/>
      <c r="CD185" s="55" t="n"/>
      <c r="CE185" s="12" t="n"/>
      <c r="CF185" s="55" t="n"/>
      <c r="CG185" s="55" t="n"/>
      <c r="CH185" s="55" t="n"/>
      <c r="CI185" s="55" t="n"/>
      <c r="CJ185" s="12" t="n"/>
      <c r="CK185" s="55" t="n"/>
      <c r="CL185" s="55" t="n"/>
      <c r="CM185" s="55" t="n"/>
      <c r="CN185" s="55" t="n"/>
      <c r="CO185" s="12" t="n"/>
      <c r="CP185" s="55" t="n"/>
      <c r="CQ185" s="55" t="n"/>
      <c r="CR185" s="55" t="n"/>
      <c r="CS185" s="55" t="n"/>
      <c r="CT185" s="12" t="n"/>
      <c r="CU185" s="55" t="n"/>
      <c r="CV185" s="55" t="n"/>
      <c r="CW185" s="55" t="n"/>
      <c r="CX185" s="55" t="n"/>
      <c r="CY185" s="12" t="n"/>
    </row>
    <row r="186" hidden="1" outlineLevel="1">
      <c r="C186" s="60" t="inlineStr">
        <is>
          <t>Outros Créditos - LP</t>
        </is>
      </c>
      <c r="D186" s="11" t="n"/>
      <c r="E186" s="11" t="n"/>
      <c r="F186" s="11" t="n"/>
      <c r="G186" s="11" t="n"/>
      <c r="H186" s="12" t="n"/>
      <c r="I186" s="11" t="n"/>
      <c r="J186" s="11" t="n"/>
      <c r="K186" s="11" t="n"/>
      <c r="L186" s="11" t="n"/>
      <c r="M186" s="12" t="n"/>
      <c r="N186" s="11" t="n"/>
      <c r="O186" s="11" t="n"/>
      <c r="P186" s="11" t="n"/>
      <c r="Q186" s="11" t="n"/>
      <c r="R186" s="12" t="n"/>
      <c r="S186" s="11" t="n"/>
      <c r="T186" s="11" t="n"/>
      <c r="U186" s="11" t="n"/>
      <c r="V186" s="11" t="n"/>
      <c r="W186" s="12" t="n"/>
      <c r="X186" s="11" t="n"/>
      <c r="Y186" s="11" t="n"/>
      <c r="Z186" s="11" t="n"/>
      <c r="AA186" s="11" t="n"/>
      <c r="AB186" s="12" t="n"/>
      <c r="AC186" s="11" t="n"/>
      <c r="AD186" s="11" t="n"/>
      <c r="AE186" s="11" t="n"/>
      <c r="AF186" s="11" t="n"/>
      <c r="AG186" s="12" t="n"/>
      <c r="AH186" s="12" t="n"/>
      <c r="AI186" s="12" t="n"/>
      <c r="AJ186" s="12" t="n"/>
      <c r="AK186" s="12" t="n"/>
      <c r="AL186" s="12" t="n"/>
      <c r="AM186" s="12" t="n"/>
      <c r="AN186" s="12" t="n"/>
      <c r="AO186" s="12" t="n"/>
      <c r="AP186" s="12" t="n"/>
      <c r="AQ186" s="12" t="n"/>
      <c r="AR186" s="12" t="n"/>
      <c r="AS186" s="12" t="n"/>
      <c r="AT186" s="12" t="n"/>
      <c r="AU186" s="12" t="n"/>
      <c r="AV186" s="12" t="n"/>
      <c r="AW186" s="12" t="n"/>
      <c r="AX186" s="12" t="n"/>
      <c r="AY186" s="12" t="n"/>
      <c r="AZ186" s="12" t="n"/>
      <c r="BA186" s="12" t="n"/>
      <c r="BB186" s="12" t="n"/>
      <c r="BC186" s="12" t="n"/>
      <c r="BD186" s="12" t="n"/>
      <c r="BE186" s="12" t="n"/>
      <c r="BF186" s="12" t="n"/>
      <c r="BG186" s="12" t="n"/>
      <c r="BH186" s="12" t="n"/>
      <c r="BI186" s="12" t="n"/>
      <c r="BJ186" s="12" t="n"/>
      <c r="BK186" s="12" t="n"/>
      <c r="BL186" s="12" t="n"/>
      <c r="BM186" s="12" t="n"/>
      <c r="BN186" s="12" t="n"/>
      <c r="BO186" s="12" t="n"/>
      <c r="BP186" s="12" t="n"/>
      <c r="BQ186" s="12" t="n"/>
      <c r="BR186" s="12" t="n"/>
      <c r="BS186" s="12" t="n"/>
      <c r="BT186" s="12" t="n"/>
      <c r="BU186" s="12" t="n"/>
      <c r="BV186" s="12" t="n"/>
      <c r="BW186" s="12" t="n"/>
      <c r="BX186" s="12" t="n"/>
      <c r="BY186" s="12" t="n"/>
      <c r="BZ186" s="12" t="n"/>
      <c r="CA186" s="12" t="n"/>
      <c r="CB186" s="12" t="n"/>
      <c r="CC186" s="12" t="n"/>
      <c r="CD186" s="12" t="n"/>
      <c r="CE186" s="12" t="n"/>
      <c r="CF186" s="12" t="n"/>
      <c r="CG186" s="12" t="n"/>
      <c r="CH186" s="12" t="n"/>
      <c r="CI186" s="12" t="n"/>
      <c r="CJ186" s="12" t="n"/>
      <c r="CK186" s="12" t="n"/>
      <c r="CL186" s="12" t="n"/>
      <c r="CM186" s="12" t="n"/>
      <c r="CN186" s="12" t="n"/>
      <c r="CO186" s="12" t="n"/>
      <c r="CP186" s="12" t="n"/>
      <c r="CQ186" s="12" t="n"/>
      <c r="CR186" s="12" t="n"/>
      <c r="CS186" s="12" t="n"/>
      <c r="CT186" s="12" t="n"/>
      <c r="CU186" s="12" t="n"/>
      <c r="CV186" s="12" t="n"/>
      <c r="CW186" s="12" t="n"/>
      <c r="CX186" s="12" t="n"/>
      <c r="CY186" s="12" t="n"/>
    </row>
    <row r="187" hidden="1" outlineLevel="1">
      <c r="C187" s="60" t="inlineStr">
        <is>
          <t xml:space="preserve">Impostos e Contribuições a Recuperar </t>
        </is>
      </c>
      <c r="D187" s="11" t="n"/>
      <c r="E187" s="11" t="n"/>
      <c r="F187" s="11" t="n"/>
      <c r="G187" s="11" t="n"/>
      <c r="H187" s="12" t="n"/>
      <c r="I187" s="11" t="n"/>
      <c r="J187" s="11" t="n"/>
      <c r="K187" s="11" t="n"/>
      <c r="L187" s="11" t="n"/>
      <c r="M187" s="12" t="n"/>
      <c r="N187" s="11" t="n"/>
      <c r="O187" s="11" t="n"/>
      <c r="P187" s="11" t="n"/>
      <c r="Q187" s="11" t="n"/>
      <c r="R187" s="12" t="n"/>
      <c r="S187" s="11" t="n"/>
      <c r="T187" s="11" t="n"/>
      <c r="U187" s="11" t="n"/>
      <c r="V187" s="11" t="n"/>
      <c r="W187" s="12" t="n"/>
      <c r="X187" s="11" t="n"/>
      <c r="Y187" s="11" t="n"/>
      <c r="Z187" s="11" t="n"/>
      <c r="AA187" s="11" t="n"/>
      <c r="AB187" s="12" t="n"/>
      <c r="AC187" s="11" t="n"/>
      <c r="AD187" s="11" t="n"/>
      <c r="AE187" s="11" t="n"/>
      <c r="AF187" s="11" t="n"/>
      <c r="AG187" s="12" t="n"/>
      <c r="AH187" s="12" t="n"/>
      <c r="AI187" s="12" t="n"/>
      <c r="AJ187" s="12" t="n"/>
      <c r="AK187" s="12" t="n"/>
      <c r="AL187" s="12" t="n"/>
      <c r="AM187" s="12" t="n"/>
      <c r="AN187" s="12" t="n"/>
      <c r="AO187" s="12" t="n"/>
      <c r="AP187" s="12" t="n"/>
      <c r="AQ187" s="12" t="n"/>
      <c r="AR187" s="12" t="n"/>
      <c r="AS187" s="12" t="n"/>
      <c r="AT187" s="12" t="n"/>
      <c r="AU187" s="12" t="n"/>
      <c r="AV187" s="12" t="n"/>
      <c r="AW187" s="12" t="n"/>
      <c r="AX187" s="12" t="n"/>
      <c r="AY187" s="12" t="n"/>
      <c r="AZ187" s="12" t="n"/>
      <c r="BA187" s="12" t="n"/>
      <c r="BB187" s="12" t="n"/>
      <c r="BC187" s="12" t="n"/>
      <c r="BD187" s="12" t="n"/>
      <c r="BE187" s="12" t="n"/>
      <c r="BF187" s="12" t="n"/>
      <c r="BG187" s="12" t="n"/>
      <c r="BH187" s="12" t="n"/>
      <c r="BI187" s="12" t="n"/>
      <c r="BJ187" s="12" t="n"/>
      <c r="BK187" s="12" t="n"/>
      <c r="BL187" s="12" t="n"/>
      <c r="BM187" s="12" t="n"/>
      <c r="BN187" s="12" t="n"/>
      <c r="BO187" s="12" t="n"/>
      <c r="BP187" s="12" t="n"/>
      <c r="BQ187" s="12" t="n"/>
      <c r="BR187" s="12" t="n"/>
      <c r="BS187" s="12" t="n"/>
      <c r="BT187" s="12" t="n"/>
      <c r="BU187" s="12" t="n"/>
      <c r="BV187" s="12" t="n"/>
      <c r="BW187" s="12" t="n"/>
      <c r="BX187" s="12" t="n"/>
      <c r="BY187" s="12" t="n"/>
      <c r="BZ187" s="12" t="n"/>
      <c r="CA187" s="12" t="n"/>
      <c r="CB187" s="12" t="n"/>
      <c r="CC187" s="12" t="n"/>
      <c r="CD187" s="12" t="n"/>
      <c r="CE187" s="12" t="n"/>
      <c r="CF187" s="12" t="n"/>
      <c r="CG187" s="12" t="n"/>
      <c r="CH187" s="12" t="n"/>
      <c r="CI187" s="12" t="n"/>
      <c r="CJ187" s="12" t="n"/>
      <c r="CK187" s="12" t="n"/>
      <c r="CL187" s="12" t="n"/>
      <c r="CM187" s="12" t="n"/>
      <c r="CN187" s="12" t="n"/>
      <c r="CO187" s="12" t="n"/>
      <c r="CP187" s="12" t="n"/>
      <c r="CQ187" s="12" t="n"/>
      <c r="CR187" s="12" t="n"/>
      <c r="CS187" s="12" t="n"/>
      <c r="CT187" s="12" t="n"/>
      <c r="CU187" s="12" t="n"/>
      <c r="CV187" s="12" t="n"/>
      <c r="CW187" s="12" t="n"/>
      <c r="CX187" s="12" t="n"/>
      <c r="CY187" s="12" t="n"/>
    </row>
    <row r="188" hidden="1" outlineLevel="1">
      <c r="C188" s="60" t="inlineStr">
        <is>
          <t xml:space="preserve">Imposto de Renda e Contribuição Social Diferidos </t>
        </is>
      </c>
      <c r="D188" s="11" t="n"/>
      <c r="E188" s="11" t="n"/>
      <c r="F188" s="11" t="n"/>
      <c r="G188" s="11" t="n"/>
      <c r="H188" s="12" t="n"/>
      <c r="I188" s="11" t="n"/>
      <c r="J188" s="11" t="n"/>
      <c r="K188" s="11" t="n"/>
      <c r="L188" s="11" t="n"/>
      <c r="M188" s="12" t="n"/>
      <c r="N188" s="11" t="n"/>
      <c r="O188" s="11" t="n"/>
      <c r="P188" s="11" t="n"/>
      <c r="Q188" s="11" t="n"/>
      <c r="R188" s="12" t="n"/>
      <c r="S188" s="11" t="n"/>
      <c r="T188" s="11" t="n"/>
      <c r="U188" s="11" t="n"/>
      <c r="V188" s="11" t="n"/>
      <c r="W188" s="12" t="n"/>
      <c r="X188" s="11" t="n"/>
      <c r="Y188" s="11" t="n"/>
      <c r="Z188" s="11" t="n"/>
      <c r="AA188" s="11" t="n"/>
      <c r="AB188" s="12" t="n"/>
      <c r="AC188" s="11" t="n"/>
      <c r="AD188" s="11" t="n"/>
      <c r="AE188" s="11" t="n"/>
      <c r="AF188" s="11" t="n"/>
      <c r="AG188" s="12" t="n"/>
      <c r="AH188" s="12" t="n"/>
      <c r="AI188" s="12" t="n"/>
      <c r="AJ188" s="12" t="n"/>
      <c r="AK188" s="12" t="n"/>
      <c r="AL188" s="12" t="n"/>
      <c r="AM188" s="12" t="n"/>
      <c r="AN188" s="12" t="n"/>
      <c r="AO188" s="12" t="n"/>
      <c r="AP188" s="12" t="n"/>
      <c r="AQ188" s="12" t="n"/>
      <c r="AR188" s="12" t="n"/>
      <c r="AS188" s="12" t="n"/>
      <c r="AT188" s="12" t="n"/>
      <c r="AU188" s="12" t="n"/>
      <c r="AV188" s="12" t="n"/>
      <c r="AW188" s="12" t="n"/>
      <c r="AX188" s="12" t="n"/>
      <c r="AY188" s="12" t="n"/>
      <c r="AZ188" s="12" t="n"/>
      <c r="BA188" s="12" t="n"/>
      <c r="BB188" s="12" t="n"/>
      <c r="BC188" s="12" t="n"/>
      <c r="BD188" s="12" t="n"/>
      <c r="BE188" s="12" t="n"/>
      <c r="BF188" s="12" t="n"/>
      <c r="BG188" s="12" t="n"/>
      <c r="BH188" s="12" t="n"/>
      <c r="BI188" s="12" t="n"/>
      <c r="BJ188" s="12" t="n"/>
      <c r="BK188" s="12" t="n"/>
      <c r="BL188" s="12" t="n"/>
      <c r="BM188" s="12" t="n"/>
      <c r="BN188" s="12" t="n"/>
      <c r="BO188" s="12" t="n"/>
      <c r="BP188" s="12" t="n"/>
      <c r="BQ188" s="12" t="n"/>
      <c r="BR188" s="12" t="n"/>
      <c r="BS188" s="12" t="n"/>
      <c r="BT188" s="12" t="n"/>
      <c r="BU188" s="12" t="n"/>
      <c r="BV188" s="12" t="n"/>
      <c r="BW188" s="12" t="n"/>
      <c r="BX188" s="12" t="n"/>
      <c r="BY188" s="12" t="n"/>
      <c r="BZ188" s="12" t="n"/>
      <c r="CA188" s="12" t="n"/>
      <c r="CB188" s="12" t="n"/>
      <c r="CC188" s="12" t="n"/>
      <c r="CD188" s="12" t="n"/>
      <c r="CE188" s="12" t="n"/>
      <c r="CF188" s="12" t="n"/>
      <c r="CG188" s="12" t="n"/>
      <c r="CH188" s="12" t="n"/>
      <c r="CI188" s="12" t="n"/>
      <c r="CJ188" s="12" t="n"/>
      <c r="CK188" s="12" t="n"/>
      <c r="CL188" s="12" t="n"/>
      <c r="CM188" s="12" t="n"/>
      <c r="CN188" s="12" t="n"/>
      <c r="CO188" s="12" t="n"/>
      <c r="CP188" s="12" t="n"/>
      <c r="CQ188" s="12" t="n"/>
      <c r="CR188" s="12" t="n"/>
      <c r="CS188" s="12" t="n"/>
      <c r="CT188" s="12" t="n"/>
      <c r="CU188" s="12" t="n"/>
      <c r="CV188" s="12" t="n"/>
      <c r="CW188" s="12" t="n"/>
      <c r="CX188" s="12" t="n"/>
      <c r="CY188" s="12" t="n"/>
    </row>
    <row r="189" hidden="1" outlineLevel="1">
      <c r="C189" s="60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  <c r="AJ189" s="12" t="n"/>
      <c r="AK189" s="12" t="n"/>
      <c r="AL189" s="12" t="n"/>
      <c r="AM189" s="12" t="n"/>
      <c r="AN189" s="12" t="n"/>
      <c r="AO189" s="12" t="n"/>
      <c r="AP189" s="12" t="n"/>
      <c r="AQ189" s="12" t="n"/>
      <c r="AR189" s="12" t="n"/>
      <c r="AS189" s="12" t="n"/>
      <c r="AT189" s="12" t="n"/>
      <c r="AU189" s="12" t="n"/>
      <c r="AV189" s="12" t="n"/>
      <c r="AW189" s="12" t="n"/>
      <c r="AX189" s="12" t="n"/>
      <c r="AY189" s="12" t="n"/>
      <c r="AZ189" s="12" t="n"/>
      <c r="BA189" s="12" t="n"/>
      <c r="BB189" s="12" t="n"/>
      <c r="BC189" s="12" t="n"/>
      <c r="BD189" s="12" t="n"/>
      <c r="BE189" s="12" t="n"/>
      <c r="BF189" s="12" t="n"/>
      <c r="BG189" s="12" t="n"/>
      <c r="BH189" s="12" t="n"/>
      <c r="BI189" s="12" t="n"/>
      <c r="BJ189" s="12" t="n"/>
      <c r="BK189" s="12" t="n"/>
      <c r="BL189" s="12" t="n"/>
      <c r="BM189" s="12" t="n"/>
      <c r="BN189" s="12" t="n"/>
      <c r="BO189" s="12" t="n"/>
      <c r="BP189" s="12" t="n"/>
      <c r="BQ189" s="12" t="n"/>
      <c r="BR189" s="12" t="n"/>
      <c r="BS189" s="12" t="n"/>
      <c r="BT189" s="12" t="n"/>
      <c r="BU189" s="12" t="n"/>
      <c r="BV189" s="12" t="n"/>
      <c r="BW189" s="12" t="n"/>
      <c r="BX189" s="12" t="n"/>
      <c r="BY189" s="12" t="n"/>
      <c r="BZ189" s="12" t="n"/>
      <c r="CA189" s="12" t="n"/>
      <c r="CB189" s="12" t="n"/>
      <c r="CC189" s="12" t="n"/>
      <c r="CD189" s="12" t="n"/>
      <c r="CE189" s="12" t="n"/>
      <c r="CF189" s="12" t="n"/>
      <c r="CG189" s="12" t="n"/>
      <c r="CH189" s="12" t="n"/>
      <c r="CI189" s="12" t="n"/>
      <c r="CJ189" s="12" t="n"/>
      <c r="CK189" s="12" t="n"/>
      <c r="CL189" s="12" t="n"/>
      <c r="CM189" s="12" t="n"/>
      <c r="CN189" s="12" t="n"/>
      <c r="CO189" s="12" t="n"/>
      <c r="CP189" s="12" t="n"/>
      <c r="CQ189" s="12" t="n"/>
      <c r="CR189" s="12" t="n"/>
      <c r="CS189" s="12" t="n"/>
      <c r="CT189" s="12" t="n"/>
      <c r="CU189" s="12" t="n"/>
      <c r="CV189" s="12" t="n"/>
      <c r="CW189" s="12" t="n"/>
      <c r="CX189" s="12" t="n"/>
      <c r="CY189" s="12" t="n"/>
    </row>
    <row r="190" hidden="1" outlineLevel="1">
      <c r="C190" s="57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  <c r="AJ190" s="12" t="n"/>
      <c r="AK190" s="12" t="n"/>
      <c r="AL190" s="12" t="n"/>
      <c r="AM190" s="12" t="n"/>
      <c r="AN190" s="12" t="n"/>
      <c r="AO190" s="12" t="n"/>
      <c r="AP190" s="12" t="n"/>
      <c r="AQ190" s="12" t="n"/>
      <c r="AR190" s="12" t="n"/>
      <c r="AS190" s="12" t="n"/>
      <c r="AT190" s="12" t="n"/>
      <c r="AU190" s="12" t="n"/>
      <c r="AV190" s="12" t="n"/>
      <c r="AW190" s="12" t="n"/>
      <c r="AX190" s="12" t="n"/>
      <c r="AY190" s="12" t="n"/>
      <c r="AZ190" s="12" t="n"/>
      <c r="BA190" s="12" t="n"/>
      <c r="BB190" s="12" t="n"/>
      <c r="BC190" s="12" t="n"/>
      <c r="BD190" s="12" t="n"/>
      <c r="BE190" s="12" t="n"/>
      <c r="BF190" s="12" t="n"/>
      <c r="BG190" s="12" t="n"/>
      <c r="BH190" s="12" t="n"/>
      <c r="BI190" s="12" t="n"/>
      <c r="BJ190" s="12" t="n"/>
      <c r="BK190" s="12" t="n"/>
      <c r="BL190" s="12" t="n"/>
      <c r="BM190" s="12" t="n"/>
      <c r="BN190" s="12" t="n"/>
      <c r="BO190" s="12" t="n"/>
      <c r="BP190" s="12" t="n"/>
      <c r="BQ190" s="12" t="n"/>
      <c r="BR190" s="12" t="n"/>
      <c r="BS190" s="12" t="n"/>
      <c r="BT190" s="12" t="n"/>
      <c r="BU190" s="12" t="n"/>
      <c r="BV190" s="12" t="n"/>
      <c r="BW190" s="12" t="n"/>
      <c r="BX190" s="12" t="n"/>
      <c r="BY190" s="12" t="n"/>
      <c r="BZ190" s="12" t="n"/>
      <c r="CA190" s="12" t="n"/>
      <c r="CB190" s="12" t="n"/>
      <c r="CC190" s="12" t="n"/>
      <c r="CD190" s="12" t="n"/>
      <c r="CE190" s="12" t="n"/>
      <c r="CF190" s="12" t="n"/>
      <c r="CG190" s="12" t="n"/>
      <c r="CH190" s="12" t="n"/>
      <c r="CI190" s="12" t="n"/>
      <c r="CJ190" s="12" t="n"/>
      <c r="CK190" s="12" t="n"/>
      <c r="CL190" s="12" t="n"/>
      <c r="CM190" s="12" t="n"/>
      <c r="CN190" s="12" t="n"/>
      <c r="CO190" s="12" t="n"/>
      <c r="CP190" s="12" t="n"/>
      <c r="CQ190" s="12" t="n"/>
      <c r="CR190" s="12" t="n"/>
      <c r="CS190" s="12" t="n"/>
      <c r="CT190" s="12" t="n"/>
      <c r="CU190" s="12" t="n"/>
      <c r="CV190" s="12" t="n"/>
      <c r="CW190" s="12" t="n"/>
      <c r="CX190" s="12" t="n"/>
      <c r="CY190" s="12" t="n"/>
    </row>
    <row r="191" collapsed="1" customFormat="1" s="32">
      <c r="A191" s="30" t="n"/>
      <c r="B191" s="3" t="n"/>
      <c r="C191" s="33" t="inlineStr">
        <is>
          <t>Total Assets</t>
        </is>
      </c>
      <c r="D191" s="35" t="n"/>
      <c r="E191" s="35" t="n"/>
      <c r="F191" s="35" t="n"/>
      <c r="G191" s="35" t="n"/>
      <c r="H191" s="35" t="n"/>
      <c r="I191" s="35">
        <f>SUM(I138,I139,I143,I147,I148,I149,I155,I160,I170,I173,I174,I183)</f>
        <v>52972</v>
      </c>
      <c r="J191" s="35">
        <f>SUM(J138,J139,J143,J147,J148,J149,J155,J160,J170,J173,J174,J183)</f>
        <v>55146</v>
      </c>
      <c r="K191" s="35">
        <f>SUM(K138,K139,K143,K147,K148,K149,K155,K160,K170,K173,K174,K183)</f>
        <v>57834</v>
      </c>
      <c r="L191" s="35">
        <f>SUM(L138,L139,L143,L147,L148,L149,L155,L160,L170,L173,L174,L183)</f>
        <v>62131</v>
      </c>
      <c r="M191" s="35">
        <f>SUM(M138,M139,M143,M147,M148,M149,M155,M160,M170,M173,M174,M183)</f>
        <v>62131</v>
      </c>
      <c r="N191" s="35">
        <f>SUM(N138,N139,N143,N147,N148,N149,N155,N160,N170,N173,N174,N183)</f>
        <v>66038</v>
      </c>
      <c r="O191" s="35">
        <f>SUM(O138,O139,O143,O147,O148,O149,O155,O160,O170,O173,O174,O183)</f>
        <v>68513</v>
      </c>
      <c r="P191" s="35">
        <f>SUM(P138,P139,P143,P147,P148,P149,P155,P160,P170,P173,P174,P183)</f>
        <v>74426</v>
      </c>
      <c r="Q191" s="35">
        <f>SUM(Q138,Q139,Q143,Q147,Q148,Q149,Q155,Q160,Q170,Q173,Q174,Q183)</f>
        <v>82338</v>
      </c>
      <c r="R191" s="35">
        <f>SUM(R138,R139,R143,R147,R148,R149,R155,R160,R170,R173,R174,R183)</f>
        <v>82338</v>
      </c>
      <c r="S191" s="35">
        <f>SUM(S138,S139,S143,S147,S148,S149,S155,S160,S170,S173,S174,S183)</f>
        <v>86833</v>
      </c>
      <c r="T191" s="35">
        <f>SUM(T138,T139,T143,T147,T148,T149,T155,T160,T170,T173,T174,T183)</f>
        <v>90591</v>
      </c>
      <c r="U191" s="35">
        <f>SUM(U138,U139,U143,U147,U148,U149,U155,U160,U170,U173,U174,U183)</f>
        <v>93941</v>
      </c>
      <c r="V191" s="35">
        <f>SUM(V138,V139,V143,V147,V148,V149,V155,V160,V170,V173,V174,V183)</f>
        <v>106618</v>
      </c>
      <c r="W191" s="35">
        <f>SUM(W138,W139,W143,W147,W148,W149,W155,W160,W170,W173,W174,W183)</f>
        <v>106618</v>
      </c>
      <c r="X191" s="35">
        <f>SUM(X138,X139,X143,X147,X148,X149,X155,X160,X170,X173,X174,X183)</f>
        <v>109226</v>
      </c>
      <c r="Y191" s="35">
        <f>SUM(Y138,Y139,Y143,Y147,Y148,Y149,Y155,Y160,Y170,Y173,Y174,Y183)</f>
        <v>112832</v>
      </c>
      <c r="Z191" s="35">
        <f>SUM(Z138,Z139,Z143,Z147,Z148,Z149,Z155,Z160,Z170,Z173,Z174,Z183)</f>
        <v>119852</v>
      </c>
      <c r="AA191" s="35">
        <f>SUM(AA138,AA139,AA143,AA147,AA148,AA149,AA155,AA160,AA170,AA173,AA174,AA183)</f>
        <v>122070</v>
      </c>
      <c r="AB191" s="35">
        <f>SUM(AB138,AB139,AB143,AB147,AB148,AB149,AB155,AB160,AB170,AB173,AB174,AB183)</f>
        <v>122070</v>
      </c>
      <c r="AC191" s="35">
        <f>SUM(AC138,AC139,AC143,AC147,AC148,AC149,AC155,AC160,AC170,AC173,AC174,AC183)</f>
        <v>125111</v>
      </c>
      <c r="AD191" s="35">
        <f>SUM(AD138,AD139,AD143,AD147,AD148,AD149,AD155,AD160,AD170,AD173,AD174,AD183)</f>
        <v>128567</v>
      </c>
      <c r="AE191" s="35">
        <f>SUM(AE138,AE139,AE143,AE147,AE148,AE149,AE155,AE160,AE170,AE173,AE174,AE183)</f>
        <v>133735</v>
      </c>
      <c r="AF191" s="35">
        <f>SUM(AF138,AF139,AF143,AF147,AF148,AF149,AF155,AF160,AF170,AF173,AF174,AF183)</f>
        <v>137806</v>
      </c>
      <c r="AG191" s="35">
        <f>SUM(AG138,AG139,AG143,AG147,AG148,AG149,AG155,AG160,AG170,AG173,AG174,AG183)</f>
        <v>137806</v>
      </c>
      <c r="AH191" s="35">
        <f>SUM(AH138,AH139,AH143,AH147,AH148,AH149,AH155,AH160,AH170,AH173,AH174,AH183)</f>
        <v>143724</v>
      </c>
      <c r="AI191" s="35">
        <f>SUM(AI138,AI139,AI143,AI147,AI148,AI149,AI155,AI160,AI170,AI173,AI174,AI183)</f>
        <v>148524</v>
      </c>
      <c r="AJ191" s="35">
        <f>SUM(AJ138,AJ139,AJ143,AJ147,AJ148,AJ149,AJ155,AJ160,AJ170,AJ173,AJ174,AJ183)</f>
        <v>151224.12748822</v>
      </c>
      <c r="AK191" s="35">
        <f>SUM(AK138,AK139,AK143,AK147,AK148,AK149,AK155,AK160,AK170,AK173,AK174,AK183)</f>
        <v>150338.226578868</v>
      </c>
      <c r="AL191" s="35">
        <f>SUM(AL138,AL139,AL143,AL147,AL148,AL149,AL155,AL160,AL170,AL173,AL174,AL183)</f>
        <v>150338.226578868</v>
      </c>
      <c r="AM191" s="35">
        <f>SUM(AM138,AM139,AM143,AM147,AM148,AM149,AM155,AM160,AM170,AM173,AM174,AM183)</f>
        <v>150054.900008686</v>
      </c>
      <c r="AN191" s="35">
        <f>SUM(AN138,AN139,AN143,AN147,AN148,AN149,AN155,AN160,AN170,AN173,AN174,AN183)</f>
        <v>154621.795112915</v>
      </c>
      <c r="AO191" s="35">
        <f>SUM(AO138,AO139,AO143,AO147,AO148,AO149,AO155,AO160,AO170,AO173,AO174,AO183)</f>
        <v>156376.988420106</v>
      </c>
      <c r="AP191" s="35">
        <f>SUM(AP138,AP139,AP143,AP147,AP148,AP149,AP155,AP160,AP170,AP173,AP174,AP183)</f>
        <v>155448.678044398</v>
      </c>
      <c r="AQ191" s="35">
        <f>SUM(AQ138,AQ139,AQ143,AQ147,AQ148,AQ149,AQ155,AQ160,AQ170,AQ173,AQ174,AQ183)</f>
        <v>155448.678044398</v>
      </c>
      <c r="AR191" s="35">
        <f>SUM(AR138,AR139,AR143,AR147,AR148,AR149,AR155,AR160,AR170,AR173,AR174,AR183)</f>
        <v>154921.092052353</v>
      </c>
      <c r="AS191" s="35">
        <f>SUM(AS138,AS139,AS143,AS147,AS148,AS149,AS155,AS160,AS170,AS173,AS174,AS183)</f>
        <v>159841.1694094</v>
      </c>
      <c r="AT191" s="35">
        <f>SUM(AT138,AT139,AT143,AT147,AT148,AT149,AT155,AT160,AT170,AT173,AT174,AT183)</f>
        <v>161671.610607262</v>
      </c>
      <c r="AU191" s="35">
        <f>SUM(AU138,AU139,AU143,AU147,AU148,AU149,AU155,AU160,AU170,AU173,AU174,AU183)</f>
        <v>160703.502109391</v>
      </c>
      <c r="AV191" s="35">
        <f>SUM(AV138,AV139,AV143,AV147,AV148,AV149,AV155,AV160,AV170,AV173,AV174,AV183)</f>
        <v>160703.502109391</v>
      </c>
      <c r="AW191" s="35">
        <f>SUM(AW138,AW139,AW143,AW147,AW148,AW149,AW155,AW160,AW170,AW173,AW174,AW183)</f>
        <v>160240.991137801</v>
      </c>
      <c r="AX191" s="35">
        <f>SUM(AX138,AX139,AX143,AX147,AX148,AX149,AX155,AX160,AX170,AX173,AX174,AX183)</f>
        <v>165184.046554934</v>
      </c>
      <c r="AY191" s="35">
        <f>SUM(AY138,AY139,AY143,AY147,AY148,AY149,AY155,AY160,AY170,AY173,AY174,AY183)</f>
        <v>167083.809432603</v>
      </c>
      <c r="AZ191" s="35">
        <f>SUM(AZ138,AZ139,AZ143,AZ147,AZ148,AZ149,AZ155,AZ160,AZ170,AZ173,AZ174,AZ183)</f>
        <v>166079.037147124</v>
      </c>
      <c r="BA191" s="35">
        <f>SUM(BA138,BA139,BA143,BA147,BA148,BA149,BA155,BA160,BA170,BA173,BA174,BA183)</f>
        <v>166079.037147124</v>
      </c>
      <c r="BB191" s="35">
        <f>SUM(BB138,BB139,BB143,BB147,BB148,BB149,BB155,BB160,BB170,BB173,BB174,BB183)</f>
        <v>165519.668520911</v>
      </c>
      <c r="BC191" s="35">
        <f>SUM(BC138,BC139,BC143,BC147,BC148,BC149,BC155,BC160,BC170,BC173,BC174,BC183)</f>
        <v>170625.209924399</v>
      </c>
      <c r="BD191" s="35">
        <f>SUM(BD138,BD139,BD143,BD147,BD148,BD149,BD155,BD160,BD170,BD173,BD174,BD183)</f>
        <v>172587.420988255</v>
      </c>
      <c r="BE191" s="35">
        <f>SUM(BE138,BE139,BE143,BE147,BE148,BE149,BE155,BE160,BE170,BE173,BE174,BE183)</f>
        <v>171549.620261439</v>
      </c>
      <c r="BF191" s="35">
        <f>SUM(BF138,BF139,BF143,BF147,BF148,BF149,BF155,BF160,BF170,BF173,BF174,BF183)</f>
        <v>171549.620261439</v>
      </c>
      <c r="BG191" s="35" t="n"/>
      <c r="BH191" s="35" t="n"/>
      <c r="BI191" s="35" t="n"/>
      <c r="BJ191" s="35" t="n"/>
      <c r="BK191" s="35" t="n"/>
      <c r="BL191" s="35" t="n"/>
      <c r="BM191" s="35" t="n"/>
      <c r="BN191" s="35" t="n"/>
      <c r="BO191" s="35" t="n"/>
      <c r="BP191" s="35" t="n"/>
      <c r="BQ191" s="35" t="n"/>
      <c r="BR191" s="35" t="n"/>
      <c r="BS191" s="35" t="n"/>
      <c r="BT191" s="35" t="n"/>
      <c r="BU191" s="35" t="n"/>
      <c r="BV191" s="35" t="n"/>
      <c r="BW191" s="35" t="n"/>
      <c r="BX191" s="35" t="n"/>
      <c r="BY191" s="35" t="n"/>
      <c r="BZ191" s="35" t="n"/>
      <c r="CA191" s="35" t="n"/>
      <c r="CB191" s="35" t="n"/>
      <c r="CC191" s="35" t="n"/>
      <c r="CD191" s="35" t="n"/>
      <c r="CE191" s="35" t="n"/>
      <c r="CF191" s="35" t="n"/>
      <c r="CG191" s="35" t="n"/>
      <c r="CH191" s="35" t="n"/>
      <c r="CI191" s="35" t="n"/>
      <c r="CJ191" s="35" t="n"/>
      <c r="CK191" s="35" t="n"/>
      <c r="CL191" s="35" t="n"/>
      <c r="CM191" s="35" t="n"/>
      <c r="CN191" s="35" t="n"/>
      <c r="CO191" s="35" t="n"/>
      <c r="CP191" s="35" t="n"/>
      <c r="CQ191" s="35" t="n"/>
      <c r="CR191" s="35" t="n"/>
      <c r="CS191" s="35" t="n"/>
      <c r="CT191" s="35" t="n"/>
      <c r="CU191" s="35" t="n"/>
      <c r="CV191" s="35" t="n"/>
      <c r="CW191" s="35" t="n"/>
      <c r="CX191" s="35" t="n"/>
      <c r="CY191" s="35" t="n"/>
    </row>
    <row r="192">
      <c r="C192" s="14" t="inlineStr">
        <is>
          <t>Accounts payable</t>
        </is>
      </c>
      <c r="D192" s="46" t="n"/>
      <c r="E192" s="46" t="n"/>
      <c r="F192" s="46" t="n"/>
      <c r="G192" s="46" t="n"/>
      <c r="H192" s="12" t="n"/>
      <c r="I192" s="46">
        <f>'Inputs (2)'!D28</f>
        <v>6648</v>
      </c>
      <c r="J192" s="46">
        <f>'Inputs (2)'!E28</f>
        <v>7558</v>
      </c>
      <c r="K192" s="46">
        <f>'Inputs (2)'!F28</f>
        <v>8260</v>
      </c>
      <c r="L192" s="46">
        <f>'Inputs (2)'!G28</f>
        <v>10025</v>
      </c>
      <c r="M192" s="12">
        <f>'Inputs (2)'!H28</f>
        <v>10025</v>
      </c>
      <c r="N192" s="46">
        <f>'Inputs (2)'!I28</f>
        <v>11171</v>
      </c>
      <c r="O192" s="46">
        <f>'Inputs (2)'!J28</f>
        <v>11212</v>
      </c>
      <c r="P192" s="46">
        <f>'Inputs (2)'!K28</f>
        <v>13897</v>
      </c>
      <c r="Q192" s="46">
        <f>'Inputs (2)'!L28</f>
        <v>15255</v>
      </c>
      <c r="R192" s="12">
        <f>'Inputs (2)'!M28</f>
        <v>15255</v>
      </c>
      <c r="S192" s="46">
        <f>'Inputs (2)'!N28</f>
        <v>15904</v>
      </c>
      <c r="T192" s="46">
        <f>'Inputs (2)'!O28</f>
        <v>15273</v>
      </c>
      <c r="U192" s="46">
        <f>'Inputs (2)'!P28</f>
        <v>13937</v>
      </c>
      <c r="V192" s="46">
        <f>'Inputs (2)'!Q28</f>
        <v>14431</v>
      </c>
      <c r="W192" s="12">
        <f>'Inputs (2)'!R28</f>
        <v>14431</v>
      </c>
      <c r="X192" s="46">
        <f>'Inputs (2)'!S28</f>
        <v>14725</v>
      </c>
      <c r="Y192" s="46">
        <f>'Inputs (2)'!T28</f>
        <v>13056</v>
      </c>
      <c r="Z192" s="46">
        <f>'Inputs (2)'!U28</f>
        <v>14654</v>
      </c>
      <c r="AA192" s="46">
        <f>'Inputs (2)'!V28</f>
        <v>12474</v>
      </c>
      <c r="AB192" s="12">
        <f>'Inputs (2)'!W28</f>
        <v>12474</v>
      </c>
      <c r="AC192" s="46">
        <f>'Inputs (2)'!X28</f>
        <v>13471</v>
      </c>
      <c r="AD192" s="46">
        <f>'Inputs (2)'!Y28</f>
        <v>13212</v>
      </c>
      <c r="AE192" s="46">
        <f>'Inputs (2)'!Z28</f>
        <v>12819</v>
      </c>
      <c r="AF192" s="46">
        <f>'Inputs (2)'!AA28</f>
        <v>13371</v>
      </c>
      <c r="AG192" s="12">
        <f>'Inputs (2)'!AB28</f>
        <v>13371</v>
      </c>
      <c r="AH192" s="12">
        <f>'Inputs (2)'!AC28</f>
        <v>14696</v>
      </c>
      <c r="AI192" s="12">
        <f>'Inputs (2)'!AD28</f>
        <v>15324</v>
      </c>
      <c r="AJ192" s="12">
        <f>(AJ193/(AJ$5-AI$5))*-AJ$48</f>
        <v>16860.9426813464</v>
      </c>
      <c r="AK192" s="12">
        <f>(AK193/(AK$5-AJ$5))*-AK$48</f>
        <v>14944.0944548214</v>
      </c>
      <c r="AL192" s="12">
        <f>AK192</f>
        <v>14944.0944548214</v>
      </c>
      <c r="AM192" s="12">
        <f>(AM193/(AM$5-AL$5))*-AM$48</f>
        <v>13733.9048032555</v>
      </c>
      <c r="AN192" s="12">
        <f>(AN193/(AN$5-AM$5))*-AN$48</f>
        <v>17131.777440609</v>
      </c>
      <c r="AO192" s="12">
        <f>(AO193/(AO$5-AN$5))*-AO$48</f>
        <v>17668.1024593862</v>
      </c>
      <c r="AP192" s="12">
        <f>(AP193/(AP$5-AO$5))*-AP$48</f>
        <v>15659.4917010562</v>
      </c>
      <c r="AQ192" s="12">
        <f>AP192</f>
        <v>15659.4917010562</v>
      </c>
      <c r="AR192" s="12">
        <f>(AR193/(AR$5-AQ$5))*-AR$48</f>
        <v>14165.3065532408</v>
      </c>
      <c r="AS192" s="12">
        <f>(AS193/(AS$5-AR$5))*-AS$48</f>
        <v>17866.2436162642</v>
      </c>
      <c r="AT192" s="12">
        <f>(AT193/(AT$5-AS$5))*-AT$48</f>
        <v>18425.5617299969</v>
      </c>
      <c r="AU192" s="12">
        <f>(AU193/(AU$5-AT$5))*-AU$48</f>
        <v>16330.8386772968</v>
      </c>
      <c r="AV192" s="12">
        <f>AU192</f>
        <v>16330.8386772968</v>
      </c>
      <c r="AW192" s="12">
        <f>(AW193/(AW$5-AV$5))*-AW$48</f>
        <v>14865.121923482</v>
      </c>
      <c r="AX192" s="12">
        <f>(AX193/(AX$5-AW$5))*-AX$48</f>
        <v>18542.866291038</v>
      </c>
      <c r="AY192" s="12">
        <f>(AY193/(AY$5-AX$5))*-AY$48</f>
        <v>19123.3666592105</v>
      </c>
      <c r="AZ192" s="12">
        <f>(AZ193/(AZ$5-AY$5))*-AZ$48</f>
        <v>16949.3131582488</v>
      </c>
      <c r="BA192" s="12">
        <f>AZ192</f>
        <v>16949.3131582488</v>
      </c>
      <c r="BB192" s="12">
        <f>(BB193/(BB$5-BA$5))*-BB$48</f>
        <v>15353.7618018953</v>
      </c>
      <c r="BC192" s="12">
        <f>(BC193/(BC$5-BB$5))*-BC$48</f>
        <v>19152.3993965534</v>
      </c>
      <c r="BD192" s="12">
        <f>(BD193/(BD$5-BC$5))*-BD$48</f>
        <v>19751.9817225318</v>
      </c>
      <c r="BE192" s="12">
        <f>(BE193/(BE$5-BD$5))*-BE$48</f>
        <v>17506.4636722821</v>
      </c>
      <c r="BF192" s="12">
        <f>BE192</f>
        <v>17506.4636722821</v>
      </c>
      <c r="BG192" s="12" t="n"/>
      <c r="BH192" s="12" t="n"/>
      <c r="BI192" s="12" t="n"/>
      <c r="BJ192" s="12" t="n"/>
      <c r="BK192" s="12" t="n"/>
      <c r="BL192" s="12" t="n"/>
      <c r="BM192" s="12" t="n"/>
      <c r="BN192" s="12" t="n"/>
      <c r="BO192" s="12" t="n"/>
      <c r="BP192" s="12" t="n"/>
      <c r="BQ192" s="12" t="n"/>
      <c r="BR192" s="12" t="n"/>
      <c r="BS192" s="12" t="n"/>
      <c r="BT192" s="12" t="n"/>
      <c r="BU192" s="12" t="n"/>
      <c r="BV192" s="12" t="n"/>
      <c r="BW192" s="12" t="n"/>
      <c r="BX192" s="12" t="n"/>
      <c r="BY192" s="12" t="n"/>
      <c r="BZ192" s="12" t="n"/>
      <c r="CA192" s="12" t="n"/>
      <c r="CB192" s="12" t="n"/>
      <c r="CC192" s="12" t="n"/>
      <c r="CD192" s="12" t="n"/>
      <c r="CE192" s="12" t="n"/>
      <c r="CF192" s="12" t="n"/>
      <c r="CG192" s="12" t="n"/>
      <c r="CH192" s="12" t="n"/>
      <c r="CI192" s="12" t="n"/>
      <c r="CJ192" s="12" t="n"/>
      <c r="CK192" s="12" t="n"/>
      <c r="CL192" s="12" t="n"/>
      <c r="CM192" s="12" t="n"/>
      <c r="CN192" s="12" t="n"/>
      <c r="CO192" s="12" t="n"/>
      <c r="CP192" s="12" t="n"/>
      <c r="CQ192" s="12" t="n"/>
      <c r="CR192" s="12" t="n"/>
      <c r="CS192" s="12" t="n"/>
      <c r="CT192" s="12" t="n"/>
      <c r="CU192" s="12" t="n"/>
      <c r="CV192" s="12" t="n"/>
      <c r="CW192" s="12" t="n"/>
      <c r="CX192" s="12" t="n"/>
      <c r="CY192" s="12" t="n"/>
    </row>
    <row r="193" hidden="1" outlineLevel="1">
      <c r="C193" s="57" t="inlineStr">
        <is>
          <t>DPO</t>
        </is>
      </c>
      <c r="D193" s="12" t="n"/>
      <c r="E193" s="12" t="n"/>
      <c r="F193" s="12" t="n"/>
      <c r="G193" s="12" t="n"/>
      <c r="H193" s="12" t="n"/>
      <c r="I193" s="12">
        <f>IFERROR(-(I192/I$48)*(I$5-H$5),"")</f>
        <v>73.1979447027159</v>
      </c>
      <c r="J193" s="12">
        <f>IFERROR(-(J192/J$48)*(J$5-I$5),"")</f>
        <v>75.7965616045845</v>
      </c>
      <c r="K193" s="12">
        <f>IFERROR(-(K192/K$48)*(K$5-J$5),"")</f>
        <v>75.2619589977221</v>
      </c>
      <c r="L193" s="12">
        <f>IFERROR(-(L192/L$48)*(L$5-K$5),"")</f>
        <v>71.6516469857054</v>
      </c>
      <c r="M193" s="12" t="n"/>
      <c r="N193" s="12">
        <f>IFERROR(-(N192/N$48)*(N$5-M$5),"")</f>
        <v>75.6159747292419</v>
      </c>
      <c r="O193" s="12">
        <f>IFERROR(-(O192/O$48)*(O$5-N$5),"")</f>
        <v>80.3379527559055</v>
      </c>
      <c r="P193" s="12">
        <f>IFERROR(-(P192/P$48)*(P$5-O$5),"")</f>
        <v>79.5497760079642</v>
      </c>
      <c r="Q193" s="12">
        <f>IFERROR(-(Q192/Q$48)*(Q$5-P$5),"")</f>
        <v>75.6949463351491</v>
      </c>
      <c r="R193" s="12" t="n"/>
      <c r="S193" s="12">
        <f>IFERROR(-(S192/S$48)*(S$5-R$5),"")</f>
        <v>76.0633436071846</v>
      </c>
      <c r="T193" s="12">
        <f>IFERROR(-(T192/T$48)*(T$5-S$5),"")</f>
        <v>68.1496028243601</v>
      </c>
      <c r="U193" s="12">
        <f>IFERROR(-(U192/U$48)*(U$5-T$5),"")</f>
        <v>66.878990194033</v>
      </c>
      <c r="V193" s="12">
        <f>IFERROR(-(V192/V$48)*(V$5-U$5),"")</f>
        <v>64.0480486275267</v>
      </c>
      <c r="W193" s="12" t="n"/>
      <c r="X193" s="12">
        <f>IFERROR(-(X192/X$48)*(X$5-W$5),"")</f>
        <v>76.1133200795229</v>
      </c>
      <c r="Y193" s="12">
        <f>IFERROR(-(Y192/Y$48)*(Y$5-X$5),"")</f>
        <v>56.7869228563235</v>
      </c>
      <c r="Z193" s="12">
        <f>IFERROR(-(Z192/Z$48)*(Z$5-Y$5),"")</f>
        <v>66.7905870696062</v>
      </c>
      <c r="AA193" s="12">
        <f>IFERROR(-(AA192/AA$48)*(AA$5-Z$5),"")</f>
        <v>53.3076923076923</v>
      </c>
      <c r="AB193" s="12" t="n"/>
      <c r="AC193" s="12">
        <f>IFERROR(-(AC192/AC$48)*(AC$5-AB$5),"")</f>
        <v>74.9221357063404</v>
      </c>
      <c r="AD193" s="12">
        <f>IFERROR(-(AD192/AD$48)*(AD$5-AC$5),"")</f>
        <v>64.5768611021592</v>
      </c>
      <c r="AE193" s="12">
        <f>IFERROR(-(AE192/AE$48)*(AE$5-AD$5),"")</f>
        <v>51.1847576060067</v>
      </c>
      <c r="AF193" s="11">
        <f>IFERROR(-(AF192/AF$48)*(AF$5-AE$5),"")</f>
        <v>61.8405389101146</v>
      </c>
      <c r="AG193" s="12" t="n"/>
      <c r="AH193" s="11">
        <f>IFERROR(-(AH192/AH$48)*(AH$5-AG$5),"")</f>
        <v>74.8650025471218</v>
      </c>
      <c r="AI193" s="11">
        <f>IFERROR(-(AI192/AI$48)*(AI$5-AH$5),"")</f>
        <v>59.3776453055142</v>
      </c>
      <c r="AJ193" s="11">
        <f>Control!$B$27</f>
        <v>64.4611568628761</v>
      </c>
      <c r="AK193" s="11">
        <f>Control!$B$27</f>
        <v>64.4611568628761</v>
      </c>
      <c r="AL193" s="12" t="n"/>
      <c r="AM193" s="11">
        <f>Control!$C$27</f>
        <v>64.4611568628761</v>
      </c>
      <c r="AN193" s="11">
        <f>Control!$C$27</f>
        <v>64.4611568628761</v>
      </c>
      <c r="AO193" s="11">
        <f>Control!$C$27</f>
        <v>64.4611568628761</v>
      </c>
      <c r="AP193" s="11">
        <f>Control!$C$27</f>
        <v>64.4611568628761</v>
      </c>
      <c r="AQ193" s="12" t="n"/>
      <c r="AR193" s="11">
        <f>Control!$D$27</f>
        <v>64.4611568628761</v>
      </c>
      <c r="AS193" s="11">
        <f>Control!$D$27</f>
        <v>64.4611568628761</v>
      </c>
      <c r="AT193" s="11">
        <f>Control!$D$27</f>
        <v>64.4611568628761</v>
      </c>
      <c r="AU193" s="11">
        <f>Control!$D$27</f>
        <v>64.4611568628761</v>
      </c>
      <c r="AV193" s="12" t="n"/>
      <c r="AW193" s="11">
        <f>Control!$E$27</f>
        <v>64.4611568628761</v>
      </c>
      <c r="AX193" s="11">
        <f>Control!$E$27</f>
        <v>64.4611568628761</v>
      </c>
      <c r="AY193" s="11">
        <f>Control!$E$27</f>
        <v>64.4611568628761</v>
      </c>
      <c r="AZ193" s="11">
        <f>Control!$E$27</f>
        <v>64.4611568628761</v>
      </c>
      <c r="BA193" s="12" t="n"/>
      <c r="BB193" s="11">
        <f>Control!$F$27</f>
        <v>64.4611568628761</v>
      </c>
      <c r="BC193" s="11">
        <f>Control!$F$27</f>
        <v>64.4611568628761</v>
      </c>
      <c r="BD193" s="11">
        <f>Control!$F$27</f>
        <v>64.4611568628761</v>
      </c>
      <c r="BE193" s="11">
        <f>Control!$F$27</f>
        <v>64.4611568628761</v>
      </c>
      <c r="BF193" s="12" t="n"/>
      <c r="BG193" s="11" t="n"/>
      <c r="BH193" s="11" t="n"/>
      <c r="BI193" s="11" t="n"/>
      <c r="BJ193" s="11" t="n"/>
      <c r="BK193" s="12" t="n"/>
      <c r="BL193" s="11" t="n"/>
      <c r="BM193" s="11" t="n"/>
      <c r="BN193" s="11" t="n"/>
      <c r="BO193" s="11" t="n"/>
      <c r="BP193" s="12" t="n"/>
      <c r="BQ193" s="11" t="n"/>
      <c r="BR193" s="11" t="n"/>
      <c r="BS193" s="11" t="n"/>
      <c r="BT193" s="11" t="n"/>
      <c r="BU193" s="12" t="n"/>
      <c r="BV193" s="11" t="n"/>
      <c r="BW193" s="11" t="n"/>
      <c r="BX193" s="11" t="n"/>
      <c r="BY193" s="11" t="n"/>
      <c r="BZ193" s="12" t="n"/>
      <c r="CA193" s="11" t="n"/>
      <c r="CB193" s="11" t="n"/>
      <c r="CC193" s="11" t="n"/>
      <c r="CD193" s="11" t="n"/>
      <c r="CE193" s="12" t="n"/>
      <c r="CF193" s="11" t="n"/>
      <c r="CG193" s="11" t="n"/>
      <c r="CH193" s="11" t="n"/>
      <c r="CI193" s="11" t="n"/>
      <c r="CJ193" s="12" t="n"/>
      <c r="CK193" s="11" t="n"/>
      <c r="CL193" s="11" t="n"/>
      <c r="CM193" s="11" t="n"/>
      <c r="CN193" s="11" t="n"/>
      <c r="CO193" s="12" t="n"/>
      <c r="CP193" s="11" t="n"/>
      <c r="CQ193" s="11" t="n"/>
      <c r="CR193" s="11" t="n"/>
      <c r="CS193" s="11" t="n"/>
      <c r="CT193" s="12" t="n"/>
      <c r="CU193" s="11" t="n"/>
      <c r="CV193" s="11" t="n"/>
      <c r="CW193" s="11" t="n"/>
      <c r="CX193" s="11" t="n"/>
      <c r="CY193" s="12" t="n"/>
    </row>
    <row r="194" hidden="1" outlineLevel="1">
      <c r="C194" s="57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  <c r="AJ194" s="12" t="n"/>
      <c r="AK194" s="12" t="n"/>
      <c r="AL194" s="12" t="n"/>
      <c r="AM194" s="12" t="n"/>
      <c r="AN194" s="12" t="n"/>
      <c r="AO194" s="12" t="n"/>
      <c r="AP194" s="12" t="n"/>
      <c r="AQ194" s="12" t="n"/>
      <c r="AR194" s="12" t="n"/>
      <c r="AS194" s="12" t="n"/>
      <c r="AT194" s="12" t="n"/>
      <c r="AU194" s="12" t="n"/>
      <c r="AV194" s="12" t="n"/>
      <c r="AW194" s="12" t="n"/>
      <c r="AX194" s="12" t="n"/>
      <c r="AY194" s="12" t="n"/>
      <c r="AZ194" s="12" t="n"/>
      <c r="BA194" s="12" t="n"/>
      <c r="BB194" s="12" t="n"/>
      <c r="BC194" s="12" t="n"/>
      <c r="BD194" s="12" t="n"/>
      <c r="BE194" s="12" t="n"/>
      <c r="BF194" s="12" t="n"/>
      <c r="BG194" s="12" t="n"/>
      <c r="BH194" s="12" t="n"/>
      <c r="BI194" s="12" t="n"/>
      <c r="BJ194" s="12" t="n"/>
      <c r="BK194" s="12" t="n"/>
      <c r="BL194" s="12" t="n"/>
      <c r="BM194" s="12" t="n"/>
      <c r="BN194" s="12" t="n"/>
      <c r="BO194" s="12" t="n"/>
      <c r="BP194" s="12" t="n"/>
      <c r="BQ194" s="12" t="n"/>
      <c r="BR194" s="12" t="n"/>
      <c r="BS194" s="12" t="n"/>
      <c r="BT194" s="12" t="n"/>
      <c r="BU194" s="12" t="n"/>
      <c r="BV194" s="12" t="n"/>
      <c r="BW194" s="12" t="n"/>
      <c r="BX194" s="12" t="n"/>
      <c r="BY194" s="12" t="n"/>
      <c r="BZ194" s="12" t="n"/>
      <c r="CA194" s="12" t="n"/>
      <c r="CB194" s="12" t="n"/>
      <c r="CC194" s="12" t="n"/>
      <c r="CD194" s="12" t="n"/>
      <c r="CE194" s="12" t="n"/>
      <c r="CF194" s="12" t="n"/>
      <c r="CG194" s="12" t="n"/>
      <c r="CH194" s="12" t="n"/>
      <c r="CI194" s="12" t="n"/>
      <c r="CJ194" s="12" t="n"/>
      <c r="CK194" s="12" t="n"/>
      <c r="CL194" s="12" t="n"/>
      <c r="CM194" s="12" t="n"/>
      <c r="CN194" s="12" t="n"/>
      <c r="CO194" s="12" t="n"/>
      <c r="CP194" s="12" t="n"/>
      <c r="CQ194" s="12" t="n"/>
      <c r="CR194" s="12" t="n"/>
      <c r="CS194" s="12" t="n"/>
      <c r="CT194" s="12" t="n"/>
      <c r="CU194" s="12" t="n"/>
      <c r="CV194" s="12" t="n"/>
      <c r="CW194" s="12" t="n"/>
      <c r="CX194" s="12" t="n"/>
      <c r="CY194" s="12" t="n"/>
    </row>
    <row r="195" hidden="1" outlineLevel="1">
      <c r="C195" s="57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  <c r="AJ195" s="12" t="n"/>
      <c r="AK195" s="12" t="n"/>
      <c r="AL195" s="12" t="n"/>
      <c r="AM195" s="12" t="n"/>
      <c r="AN195" s="12" t="n"/>
      <c r="AO195" s="12" t="n"/>
      <c r="AP195" s="12" t="n"/>
      <c r="AQ195" s="12" t="n"/>
      <c r="AR195" s="12" t="n"/>
      <c r="AS195" s="12" t="n"/>
      <c r="AT195" s="12" t="n"/>
      <c r="AU195" s="12" t="n"/>
      <c r="AV195" s="12" t="n"/>
      <c r="AW195" s="12" t="n"/>
      <c r="AX195" s="12" t="n"/>
      <c r="AY195" s="12" t="n"/>
      <c r="AZ195" s="12" t="n"/>
      <c r="BA195" s="12" t="n"/>
      <c r="BB195" s="12" t="n"/>
      <c r="BC195" s="12" t="n"/>
      <c r="BD195" s="12" t="n"/>
      <c r="BE195" s="12" t="n"/>
      <c r="BF195" s="12" t="n"/>
      <c r="BG195" s="12" t="n"/>
      <c r="BH195" s="12" t="n"/>
      <c r="BI195" s="12" t="n"/>
      <c r="BJ195" s="12" t="n"/>
      <c r="BK195" s="12" t="n"/>
      <c r="BL195" s="12" t="n"/>
      <c r="BM195" s="12" t="n"/>
      <c r="BN195" s="12" t="n"/>
      <c r="BO195" s="12" t="n"/>
      <c r="BP195" s="12" t="n"/>
      <c r="BQ195" s="12" t="n"/>
      <c r="BR195" s="12" t="n"/>
      <c r="BS195" s="12" t="n"/>
      <c r="BT195" s="12" t="n"/>
      <c r="BU195" s="12" t="n"/>
      <c r="BV195" s="12" t="n"/>
      <c r="BW195" s="12" t="n"/>
      <c r="BX195" s="12" t="n"/>
      <c r="BY195" s="12" t="n"/>
      <c r="BZ195" s="12" t="n"/>
      <c r="CA195" s="12" t="n"/>
      <c r="CB195" s="12" t="n"/>
      <c r="CC195" s="12" t="n"/>
      <c r="CD195" s="12" t="n"/>
      <c r="CE195" s="12" t="n"/>
      <c r="CF195" s="12" t="n"/>
      <c r="CG195" s="12" t="n"/>
      <c r="CH195" s="12" t="n"/>
      <c r="CI195" s="12" t="n"/>
      <c r="CJ195" s="12" t="n"/>
      <c r="CK195" s="12" t="n"/>
      <c r="CL195" s="12" t="n"/>
      <c r="CM195" s="12" t="n"/>
      <c r="CN195" s="12" t="n"/>
      <c r="CO195" s="12" t="n"/>
      <c r="CP195" s="12" t="n"/>
      <c r="CQ195" s="12" t="n"/>
      <c r="CR195" s="12" t="n"/>
      <c r="CS195" s="12" t="n"/>
      <c r="CT195" s="12" t="n"/>
      <c r="CU195" s="12" t="n"/>
      <c r="CV195" s="12" t="n"/>
      <c r="CW195" s="12" t="n"/>
      <c r="CX195" s="12" t="n"/>
      <c r="CY195" s="12" t="n"/>
    </row>
    <row r="196" collapsed="1">
      <c r="C196" s="14" t="inlineStr">
        <is>
          <t>Accrued expenses</t>
        </is>
      </c>
      <c r="D196" s="46" t="n"/>
      <c r="E196" s="46" t="n"/>
      <c r="F196" s="46" t="n"/>
      <c r="G196" s="46" t="n"/>
      <c r="H196" s="12" t="n"/>
      <c r="I196" s="46">
        <f>'Inputs (2)'!D29</f>
        <v>0</v>
      </c>
      <c r="J196" s="46">
        <f>'Inputs (2)'!E29</f>
        <v>0</v>
      </c>
      <c r="K196" s="46">
        <f>'Inputs (2)'!F29</f>
        <v>0</v>
      </c>
      <c r="L196" s="46">
        <f>'Inputs (2)'!G29</f>
        <v>0</v>
      </c>
      <c r="M196" s="12">
        <f>'Inputs (2)'!H29</f>
        <v>0</v>
      </c>
      <c r="N196" s="46">
        <f>'Inputs (2)'!I29</f>
        <v>0</v>
      </c>
      <c r="O196" s="46">
        <f>'Inputs (2)'!J29</f>
        <v>0</v>
      </c>
      <c r="P196" s="46">
        <f>'Inputs (2)'!K29</f>
        <v>0</v>
      </c>
      <c r="Q196" s="46">
        <f>'Inputs (2)'!L29</f>
        <v>0</v>
      </c>
      <c r="R196" s="12">
        <f>'Inputs (2)'!M29</f>
        <v>0</v>
      </c>
      <c r="S196" s="46">
        <f>'Inputs (2)'!N29</f>
        <v>0</v>
      </c>
      <c r="T196" s="46">
        <f>'Inputs (2)'!O29</f>
        <v>0</v>
      </c>
      <c r="U196" s="46">
        <f>'Inputs (2)'!P29</f>
        <v>0</v>
      </c>
      <c r="V196" s="46">
        <f>'Inputs (2)'!Q29</f>
        <v>0</v>
      </c>
      <c r="W196" s="12">
        <f>'Inputs (2)'!R29</f>
        <v>0</v>
      </c>
      <c r="X196" s="46">
        <f>'Inputs (2)'!S29</f>
        <v>0</v>
      </c>
      <c r="Y196" s="46">
        <f>'Inputs (2)'!T29</f>
        <v>0</v>
      </c>
      <c r="Z196" s="46">
        <f>'Inputs (2)'!U29</f>
        <v>0</v>
      </c>
      <c r="AA196" s="46">
        <f>'Inputs (2)'!V29</f>
        <v>0</v>
      </c>
      <c r="AB196" s="12">
        <f>'Inputs (2)'!W29</f>
        <v>0</v>
      </c>
      <c r="AC196" s="46">
        <f>'Inputs (2)'!X29</f>
        <v>0</v>
      </c>
      <c r="AD196" s="46">
        <f>'Inputs (2)'!Y29</f>
        <v>0</v>
      </c>
      <c r="AE196" s="46">
        <f>'Inputs (2)'!Z29</f>
        <v>0</v>
      </c>
      <c r="AF196" s="46">
        <f>'Inputs (2)'!AA29</f>
        <v>0</v>
      </c>
      <c r="AG196" s="12">
        <f>'Inputs (2)'!AB29</f>
        <v>0</v>
      </c>
      <c r="AH196" s="12">
        <f>'Inputs (2)'!AC29</f>
        <v>0</v>
      </c>
      <c r="AI196" s="12">
        <f>'Inputs (2)'!AD29</f>
        <v>0</v>
      </c>
      <c r="AJ196" s="12">
        <f>AI196*(1+AJ16)</f>
        <v>0</v>
      </c>
      <c r="AK196" s="12">
        <f>AJ196*(1+AK16)</f>
        <v>0</v>
      </c>
      <c r="AL196" s="12">
        <f>AK196</f>
        <v>0</v>
      </c>
      <c r="AM196" s="12">
        <f>AL196*(1+AM16)</f>
        <v>0</v>
      </c>
      <c r="AN196" s="12">
        <f>AM196*(1+AN16)</f>
        <v>0</v>
      </c>
      <c r="AO196" s="12">
        <f>AN196*(1+AO16)</f>
        <v>0</v>
      </c>
      <c r="AP196" s="12">
        <f>AO196*(1+AP16)</f>
        <v>0</v>
      </c>
      <c r="AQ196" s="12">
        <f>AP196</f>
        <v>0</v>
      </c>
      <c r="AR196" s="12">
        <f>AQ196*(1+AR16)</f>
        <v>0</v>
      </c>
      <c r="AS196" s="12">
        <f>AR196*(1+AS16)</f>
        <v>0</v>
      </c>
      <c r="AT196" s="12">
        <f>AS196*(1+AT16)</f>
        <v>0</v>
      </c>
      <c r="AU196" s="12">
        <f>AT196*(1+AU16)</f>
        <v>0</v>
      </c>
      <c r="AV196" s="12">
        <f>AU196</f>
        <v>0</v>
      </c>
      <c r="AW196" s="12">
        <f>AV196*(1+AW16)</f>
        <v>0</v>
      </c>
      <c r="AX196" s="12">
        <f>AW196*(1+AX16)</f>
        <v>0</v>
      </c>
      <c r="AY196" s="12">
        <f>AX196*(1+AY16)</f>
        <v>0</v>
      </c>
      <c r="AZ196" s="12">
        <f>AY196*(1+AZ16)</f>
        <v>0</v>
      </c>
      <c r="BA196" s="12">
        <f>AZ196</f>
        <v>0</v>
      </c>
      <c r="BB196" s="12">
        <f>BA196*(1+BB16)</f>
        <v>0</v>
      </c>
      <c r="BC196" s="12">
        <f>BB196*(1+BC16)</f>
        <v>0</v>
      </c>
      <c r="BD196" s="12">
        <f>BC196*(1+BD16)</f>
        <v>0</v>
      </c>
      <c r="BE196" s="12">
        <f>BD196*(1+BE16)</f>
        <v>0</v>
      </c>
      <c r="BF196" s="12">
        <f>BE196</f>
        <v>0</v>
      </c>
      <c r="BG196" s="12" t="n"/>
      <c r="BH196" s="12" t="n"/>
      <c r="BI196" s="12" t="n"/>
      <c r="BJ196" s="12" t="n"/>
      <c r="BK196" s="12" t="n"/>
      <c r="BL196" s="12" t="n"/>
      <c r="BM196" s="12" t="n"/>
      <c r="BN196" s="12" t="n"/>
      <c r="BO196" s="12" t="n"/>
      <c r="BP196" s="12" t="n"/>
      <c r="BQ196" s="12" t="n"/>
      <c r="BR196" s="12" t="n"/>
      <c r="BS196" s="12" t="n"/>
      <c r="BT196" s="12" t="n"/>
      <c r="BU196" s="12" t="n"/>
      <c r="BV196" s="12" t="n"/>
      <c r="BW196" s="12" t="n"/>
      <c r="BX196" s="12" t="n"/>
      <c r="BY196" s="12" t="n"/>
      <c r="BZ196" s="12" t="n"/>
      <c r="CA196" s="12" t="n"/>
      <c r="CB196" s="12" t="n"/>
      <c r="CC196" s="12" t="n"/>
      <c r="CD196" s="12" t="n"/>
      <c r="CE196" s="12" t="n"/>
      <c r="CF196" s="12" t="n"/>
      <c r="CG196" s="12" t="n"/>
      <c r="CH196" s="12" t="n"/>
      <c r="CI196" s="12" t="n"/>
      <c r="CJ196" s="12" t="n"/>
      <c r="CK196" s="12" t="n"/>
      <c r="CL196" s="12" t="n"/>
      <c r="CM196" s="12" t="n"/>
      <c r="CN196" s="12" t="n"/>
      <c r="CO196" s="12" t="n"/>
      <c r="CP196" s="12" t="n"/>
      <c r="CQ196" s="12" t="n"/>
      <c r="CR196" s="12" t="n"/>
      <c r="CS196" s="12" t="n"/>
      <c r="CT196" s="12" t="n"/>
      <c r="CU196" s="12" t="n"/>
      <c r="CV196" s="12" t="n"/>
      <c r="CW196" s="12" t="n"/>
      <c r="CX196" s="12" t="n"/>
      <c r="CY196" s="12" t="n"/>
    </row>
    <row r="197" hidden="1" outlineLevel="1">
      <c r="C197" s="59" t="inlineStr">
        <is>
          <t>%(Var.)</t>
        </is>
      </c>
      <c r="D197" s="12" t="n"/>
      <c r="E197" s="40" t="n"/>
      <c r="F197" s="40" t="n"/>
      <c r="G197" s="40" t="n"/>
      <c r="H197" s="12" t="n"/>
      <c r="I197" s="40" t="str">
        <f>""</f>
        <v/>
      </c>
      <c r="J197" s="40" t="str">
        <f>IFERROR(IF(I196=0,"",J196/I196-1),"")</f>
        <v/>
      </c>
      <c r="K197" s="40" t="str">
        <f>IFERROR(IF(J196=0,"",K196/J196-1),"")</f>
        <v/>
      </c>
      <c r="L197" s="40" t="str">
        <f>IFERROR(IF(K196=0,"",L196/K196-1),"")</f>
        <v/>
      </c>
      <c r="M197" s="12" t="str">
        <f>IF(L196=0,"",M196/L196-1)</f>
        <v/>
      </c>
      <c r="N197" s="40" t="str">
        <f>IFERROR(IF(M196=0,"",N196/M196-1),"")</f>
        <v/>
      </c>
      <c r="O197" s="40" t="str">
        <f>IFERROR(IF(N196=0,"",O196/N196-1),"")</f>
        <v/>
      </c>
      <c r="P197" s="40" t="str">
        <f>IFERROR(IF(O196=0,"",P196/O196-1),"")</f>
        <v/>
      </c>
      <c r="Q197" s="40" t="str">
        <f>IFERROR(IF(P196=0,"",Q196/P196-1),"")</f>
        <v/>
      </c>
      <c r="R197" s="12" t="str">
        <f>IF(Q196=0,"",R196/Q196-1)</f>
        <v/>
      </c>
      <c r="S197" s="40" t="str">
        <f>IFERROR(IF(R196=0,"",S196/R196-1),"")</f>
        <v/>
      </c>
      <c r="T197" s="40" t="str">
        <f>IFERROR(IF(S196=0,"",T196/S196-1),"")</f>
        <v/>
      </c>
      <c r="U197" s="40" t="str">
        <f>IFERROR(IF(T196=0,"",U196/T196-1),"")</f>
        <v/>
      </c>
      <c r="V197" s="40" t="str">
        <f>IFERROR(IF(U196=0,"",V196/U196-1),"")</f>
        <v/>
      </c>
      <c r="W197" s="12" t="str">
        <f>IF(V196=0,"",W196/V196-1)</f>
        <v/>
      </c>
      <c r="X197" s="40" t="str">
        <f>IFERROR(IF(W196=0,"",X196/W196-1),"")</f>
        <v/>
      </c>
      <c r="Y197" s="40" t="str">
        <f>IFERROR(IF(X196=0,"",Y196/X196-1),"")</f>
        <v/>
      </c>
      <c r="Z197" s="40" t="str">
        <f>IFERROR(IF(Y196=0,"",Z196/Y196-1),"")</f>
        <v/>
      </c>
      <c r="AA197" s="40" t="str">
        <f>IFERROR(IF(Z196=0,"",AA196/Z196-1),"")</f>
        <v/>
      </c>
      <c r="AB197" s="12" t="str">
        <f>IF(AA196=0,"",AB196/AA196-1)</f>
        <v/>
      </c>
      <c r="AC197" s="40" t="str">
        <f>IFERROR(IF(AB196=0,"",AC196/AB196-1),"")</f>
        <v/>
      </c>
      <c r="AD197" s="40" t="str">
        <f>IFERROR(IF(AC196=0,"",AD196/AC196-1),"")</f>
        <v/>
      </c>
      <c r="AE197" s="40" t="str">
        <f>IFERROR(IF(AD196=0,"",AE196/AD196-1),"")</f>
        <v/>
      </c>
      <c r="AF197" s="55" t="str">
        <f>IFERROR(IF(AE196=0,"",AF196/AE196-1),"")</f>
        <v/>
      </c>
      <c r="AG197" s="12" t="str">
        <f>IF(AF196=0,"",AG196/AF196-1)</f>
        <v/>
      </c>
      <c r="AH197" s="55" t="str">
        <f>IFERROR(IF(AG196=0,"",AH196/AG196-1),"")</f>
        <v/>
      </c>
      <c r="AI197" s="55" t="str">
        <f>IFERROR(IF(AH196=0,"",AI196/AH196-1),"")</f>
        <v/>
      </c>
      <c r="AJ197" s="55" t="str">
        <f>IFERROR(IF(AI196=0,"",AJ196/AI196-1),"")</f>
        <v/>
      </c>
      <c r="AK197" s="55" t="str">
        <f>IF(AJ196=0,"",AK196/AJ196-1)</f>
        <v/>
      </c>
      <c r="AL197" s="12" t="str">
        <f>IF(AK196=0,"",AL196/AK196-1)</f>
        <v/>
      </c>
      <c r="AM197" s="55" t="str">
        <f>IF(AL196=0,"",AM196/AL196-1)</f>
        <v/>
      </c>
      <c r="AN197" s="55" t="str">
        <f>IF(AM196=0,"",AN196/AM196-1)</f>
        <v/>
      </c>
      <c r="AO197" s="55" t="str">
        <f>IF(AN196=0,"",AO196/AN196-1)</f>
        <v/>
      </c>
      <c r="AP197" s="55" t="str">
        <f>IF(AO196=0,"",AP196/AO196-1)</f>
        <v/>
      </c>
      <c r="AQ197" s="12" t="str">
        <f>IF(AP196=0,"",AQ196/AP196-1)</f>
        <v/>
      </c>
      <c r="AR197" s="55" t="str">
        <f>IF(AQ196=0,"",AR196/AQ196-1)</f>
        <v/>
      </c>
      <c r="AS197" s="55" t="str">
        <f>IF(AR196=0,"",AS196/AR196-1)</f>
        <v/>
      </c>
      <c r="AT197" s="55" t="str">
        <f>IF(AS196=0,"",AT196/AS196-1)</f>
        <v/>
      </c>
      <c r="AU197" s="55" t="str">
        <f>IF(AT196=0,"",AU196/AT196-1)</f>
        <v/>
      </c>
      <c r="AV197" s="12" t="str">
        <f>IF(AU196=0,"",AV196/AU196-1)</f>
        <v/>
      </c>
      <c r="AW197" s="55" t="str">
        <f>IF(AV196=0,"",AW196/AV196-1)</f>
        <v/>
      </c>
      <c r="AX197" s="55" t="str">
        <f>IF(AW196=0,"",AX196/AW196-1)</f>
        <v/>
      </c>
      <c r="AY197" s="55" t="str">
        <f>IF(AX196=0,"",AY196/AX196-1)</f>
        <v/>
      </c>
      <c r="AZ197" s="55" t="str">
        <f>IF(AY196=0,"",AZ196/AY196-1)</f>
        <v/>
      </c>
      <c r="BA197" s="12" t="str">
        <f>IF(AZ196=0,"",BA196/AZ196-1)</f>
        <v/>
      </c>
      <c r="BB197" s="55" t="str">
        <f>IF(BA196=0,"",BB196/BA196-1)</f>
        <v/>
      </c>
      <c r="BC197" s="55" t="str">
        <f>IF(BB196=0,"",BC196/BB196-1)</f>
        <v/>
      </c>
      <c r="BD197" s="55" t="str">
        <f>IF(BC196=0,"",BD196/BC196-1)</f>
        <v/>
      </c>
      <c r="BE197" s="55" t="str">
        <f>IF(BD196=0,"",BE196/BD196-1)</f>
        <v/>
      </c>
      <c r="BF197" s="12" t="str">
        <f>IF(BE196=0,"",BF196/BE196-1)</f>
        <v/>
      </c>
      <c r="BG197" s="55" t="n"/>
      <c r="BH197" s="55" t="n"/>
      <c r="BI197" s="55" t="n"/>
      <c r="BJ197" s="55" t="n"/>
      <c r="BK197" s="12" t="n"/>
      <c r="BL197" s="55" t="n"/>
      <c r="BM197" s="55" t="n"/>
      <c r="BN197" s="55" t="n"/>
      <c r="BO197" s="55" t="n"/>
      <c r="BP197" s="12" t="n"/>
      <c r="BQ197" s="55" t="n"/>
      <c r="BR197" s="55" t="n"/>
      <c r="BS197" s="55" t="n"/>
      <c r="BT197" s="55" t="n"/>
      <c r="BU197" s="12" t="n"/>
      <c r="BV197" s="55" t="n"/>
      <c r="BW197" s="55" t="n"/>
      <c r="BX197" s="55" t="n"/>
      <c r="BY197" s="55" t="n"/>
      <c r="BZ197" s="12" t="n"/>
      <c r="CA197" s="55" t="n"/>
      <c r="CB197" s="55" t="n"/>
      <c r="CC197" s="55" t="n"/>
      <c r="CD197" s="55" t="n"/>
      <c r="CE197" s="12" t="n"/>
      <c r="CF197" s="55" t="n"/>
      <c r="CG197" s="55" t="n"/>
      <c r="CH197" s="55" t="n"/>
      <c r="CI197" s="55" t="n"/>
      <c r="CJ197" s="12" t="n"/>
      <c r="CK197" s="55" t="n"/>
      <c r="CL197" s="55" t="n"/>
      <c r="CM197" s="55" t="n"/>
      <c r="CN197" s="55" t="n"/>
      <c r="CO197" s="12" t="n"/>
      <c r="CP197" s="55" t="n"/>
      <c r="CQ197" s="55" t="n"/>
      <c r="CR197" s="55" t="n"/>
      <c r="CS197" s="55" t="n"/>
      <c r="CT197" s="12" t="n"/>
      <c r="CU197" s="55" t="n"/>
      <c r="CV197" s="55" t="n"/>
      <c r="CW197" s="55" t="n"/>
      <c r="CX197" s="55" t="n"/>
      <c r="CY197" s="12" t="n"/>
    </row>
    <row r="198" collapsed="1">
      <c r="C198" s="14" t="inlineStr">
        <is>
          <t>Taxes payable</t>
        </is>
      </c>
      <c r="D198" s="46" t="n"/>
      <c r="E198" s="46" t="n"/>
      <c r="F198" s="46" t="n"/>
      <c r="G198" s="46" t="n"/>
      <c r="H198" s="12" t="n"/>
      <c r="I198" s="46">
        <f>'Inputs (2)'!D30</f>
        <v>0</v>
      </c>
      <c r="J198" s="46">
        <f>'Inputs (2)'!E30</f>
        <v>0</v>
      </c>
      <c r="K198" s="46">
        <f>'Inputs (2)'!F30</f>
        <v>0</v>
      </c>
      <c r="L198" s="46">
        <f>'Inputs (2)'!G30</f>
        <v>0</v>
      </c>
      <c r="M198" s="12">
        <f>'Inputs (2)'!H30</f>
        <v>0</v>
      </c>
      <c r="N198" s="46">
        <f>'Inputs (2)'!I30</f>
        <v>0</v>
      </c>
      <c r="O198" s="46">
        <f>'Inputs (2)'!J30</f>
        <v>0</v>
      </c>
      <c r="P198" s="46">
        <f>'Inputs (2)'!K30</f>
        <v>0</v>
      </c>
      <c r="Q198" s="46">
        <f>'Inputs (2)'!L30</f>
        <v>0</v>
      </c>
      <c r="R198" s="12">
        <f>'Inputs (2)'!M30</f>
        <v>0</v>
      </c>
      <c r="S198" s="46">
        <f>'Inputs (2)'!N30</f>
        <v>0</v>
      </c>
      <c r="T198" s="46">
        <f>'Inputs (2)'!O30</f>
        <v>0</v>
      </c>
      <c r="U198" s="46">
        <f>'Inputs (2)'!P30</f>
        <v>0</v>
      </c>
      <c r="V198" s="46">
        <f>'Inputs (2)'!Q30</f>
        <v>0</v>
      </c>
      <c r="W198" s="12">
        <f>'Inputs (2)'!R30</f>
        <v>0</v>
      </c>
      <c r="X198" s="46">
        <f>'Inputs (2)'!S30</f>
        <v>0</v>
      </c>
      <c r="Y198" s="46">
        <f>'Inputs (2)'!T30</f>
        <v>0</v>
      </c>
      <c r="Z198" s="46">
        <f>'Inputs (2)'!U30</f>
        <v>0</v>
      </c>
      <c r="AA198" s="46">
        <f>'Inputs (2)'!V30</f>
        <v>0</v>
      </c>
      <c r="AB198" s="12">
        <f>'Inputs (2)'!W30</f>
        <v>0</v>
      </c>
      <c r="AC198" s="46">
        <f>'Inputs (2)'!X30</f>
        <v>0</v>
      </c>
      <c r="AD198" s="46">
        <f>'Inputs (2)'!Y30</f>
        <v>0</v>
      </c>
      <c r="AE198" s="46">
        <f>'Inputs (2)'!Z30</f>
        <v>0</v>
      </c>
      <c r="AF198" s="46">
        <f>'Inputs (2)'!AA30</f>
        <v>0</v>
      </c>
      <c r="AG198" s="12">
        <f>'Inputs (2)'!AB30</f>
        <v>0</v>
      </c>
      <c r="AH198" s="12">
        <f>'Inputs (2)'!AC30</f>
        <v>0</v>
      </c>
      <c r="AI198" s="12">
        <f>'Inputs (2)'!AD30</f>
        <v>0</v>
      </c>
      <c r="AJ198" s="12">
        <f>AI198*(1+AJ16)</f>
        <v>0</v>
      </c>
      <c r="AK198" s="12">
        <f>AJ198*(1+AK16)</f>
        <v>0</v>
      </c>
      <c r="AL198" s="12">
        <f>AK198</f>
        <v>0</v>
      </c>
      <c r="AM198" s="12">
        <f>AL198*(1+AM16)</f>
        <v>0</v>
      </c>
      <c r="AN198" s="12">
        <f>AM198*(1+AN16)</f>
        <v>0</v>
      </c>
      <c r="AO198" s="12">
        <f>AN198*(1+AO16)</f>
        <v>0</v>
      </c>
      <c r="AP198" s="12">
        <f>AO198*(1+AP16)</f>
        <v>0</v>
      </c>
      <c r="AQ198" s="12">
        <f>AP198</f>
        <v>0</v>
      </c>
      <c r="AR198" s="12">
        <f>AQ198*(1+AR16)</f>
        <v>0</v>
      </c>
      <c r="AS198" s="12">
        <f>AR198*(1+AS16)</f>
        <v>0</v>
      </c>
      <c r="AT198" s="12">
        <f>AS198*(1+AT16)</f>
        <v>0</v>
      </c>
      <c r="AU198" s="12">
        <f>AT198*(1+AU16)</f>
        <v>0</v>
      </c>
      <c r="AV198" s="12">
        <f>AU198</f>
        <v>0</v>
      </c>
      <c r="AW198" s="12">
        <f>AV198*(1+AW16)</f>
        <v>0</v>
      </c>
      <c r="AX198" s="12">
        <f>AW198*(1+AX16)</f>
        <v>0</v>
      </c>
      <c r="AY198" s="12">
        <f>AX198*(1+AY16)</f>
        <v>0</v>
      </c>
      <c r="AZ198" s="12">
        <f>AY198*(1+AZ16)</f>
        <v>0</v>
      </c>
      <c r="BA198" s="12">
        <f>AZ198</f>
        <v>0</v>
      </c>
      <c r="BB198" s="12">
        <f>BA198*(1+BB16)</f>
        <v>0</v>
      </c>
      <c r="BC198" s="12">
        <f>BB198*(1+BC16)</f>
        <v>0</v>
      </c>
      <c r="BD198" s="12">
        <f>BC198*(1+BD16)</f>
        <v>0</v>
      </c>
      <c r="BE198" s="12">
        <f>BD198*(1+BE16)</f>
        <v>0</v>
      </c>
      <c r="BF198" s="12">
        <f>BE198</f>
        <v>0</v>
      </c>
      <c r="BG198" s="12" t="n"/>
      <c r="BH198" s="12" t="n"/>
      <c r="BI198" s="12" t="n"/>
      <c r="BJ198" s="12" t="n"/>
      <c r="BK198" s="12" t="n"/>
      <c r="BL198" s="12" t="n"/>
      <c r="BM198" s="12" t="n"/>
      <c r="BN198" s="12" t="n"/>
      <c r="BO198" s="12" t="n"/>
      <c r="BP198" s="12" t="n"/>
      <c r="BQ198" s="12" t="n"/>
      <c r="BR198" s="12" t="n"/>
      <c r="BS198" s="12" t="n"/>
      <c r="BT198" s="12" t="n"/>
      <c r="BU198" s="12" t="n"/>
      <c r="BV198" s="12" t="n"/>
      <c r="BW198" s="12" t="n"/>
      <c r="BX198" s="12" t="n"/>
      <c r="BY198" s="12" t="n"/>
      <c r="BZ198" s="12" t="n"/>
      <c r="CA198" s="12" t="n"/>
      <c r="CB198" s="12" t="n"/>
      <c r="CC198" s="12" t="n"/>
      <c r="CD198" s="12" t="n"/>
      <c r="CE198" s="12" t="n"/>
      <c r="CF198" s="12" t="n"/>
      <c r="CG198" s="12" t="n"/>
      <c r="CH198" s="12" t="n"/>
      <c r="CI198" s="12" t="n"/>
      <c r="CJ198" s="12" t="n"/>
      <c r="CK198" s="12" t="n"/>
      <c r="CL198" s="12" t="n"/>
      <c r="CM198" s="12" t="n"/>
      <c r="CN198" s="12" t="n"/>
      <c r="CO198" s="12" t="n"/>
      <c r="CP198" s="12" t="n"/>
      <c r="CQ198" s="12" t="n"/>
      <c r="CR198" s="12" t="n"/>
      <c r="CS198" s="12" t="n"/>
      <c r="CT198" s="12" t="n"/>
      <c r="CU198" s="12" t="n"/>
      <c r="CV198" s="12" t="n"/>
      <c r="CW198" s="12" t="n"/>
      <c r="CX198" s="12" t="n"/>
      <c r="CY198" s="12" t="n"/>
    </row>
    <row r="199">
      <c r="C199" s="14" t="inlineStr">
        <is>
          <t>Other current liabilities (non-debt)</t>
        </is>
      </c>
      <c r="D199" s="46" t="n"/>
      <c r="E199" s="46" t="n"/>
      <c r="F199" s="46" t="n"/>
      <c r="G199" s="46" t="n"/>
      <c r="H199" s="12" t="n"/>
      <c r="I199" s="46">
        <f>'Inputs (2)'!D31</f>
        <v>8229</v>
      </c>
      <c r="J199" s="46">
        <f>'Inputs (2)'!E31</f>
        <v>8813</v>
      </c>
      <c r="K199" s="46">
        <f>'Inputs (2)'!F31</f>
        <v>9791</v>
      </c>
      <c r="L199" s="46">
        <f>'Inputs (2)'!G31</f>
        <v>9680</v>
      </c>
      <c r="M199" s="12">
        <f>'Inputs (2)'!H31</f>
        <v>9680</v>
      </c>
      <c r="N199" s="46">
        <f>'Inputs (2)'!I31</f>
        <v>10284</v>
      </c>
      <c r="O199" s="46">
        <f>'Inputs (2)'!J31</f>
        <v>10609</v>
      </c>
      <c r="P199" s="46">
        <f>'Inputs (2)'!K31</f>
        <v>10714</v>
      </c>
      <c r="Q199" s="46">
        <f>'Inputs (2)'!L31</f>
        <v>11454</v>
      </c>
      <c r="R199" s="12">
        <f>'Inputs (2)'!M31</f>
        <v>11454</v>
      </c>
      <c r="S199" s="46">
        <f>'Inputs (2)'!N31</f>
        <v>11532</v>
      </c>
      <c r="T199" s="46">
        <f>'Inputs (2)'!O31</f>
        <v>12319</v>
      </c>
      <c r="U199" s="46">
        <f>'Inputs (2)'!P31</f>
        <v>12703</v>
      </c>
      <c r="V199" s="46">
        <f>'Inputs (2)'!Q31</f>
        <v>14317</v>
      </c>
      <c r="W199" s="12">
        <f>'Inputs (2)'!R31</f>
        <v>14317</v>
      </c>
      <c r="X199" s="46">
        <f>'Inputs (2)'!S31</f>
        <v>14728</v>
      </c>
      <c r="Y199" s="46">
        <f>'Inputs (2)'!T31</f>
        <v>14673</v>
      </c>
      <c r="Z199" s="46">
        <f>'Inputs (2)'!U31</f>
        <v>15923</v>
      </c>
      <c r="AA199" s="46">
        <f>'Inputs (2)'!V31</f>
        <v>16347</v>
      </c>
      <c r="AB199" s="12">
        <f>'Inputs (2)'!W31</f>
        <v>16347</v>
      </c>
      <c r="AC199" s="46">
        <f>'Inputs (2)'!X31</f>
        <v>16282</v>
      </c>
      <c r="AD199" s="46">
        <f>'Inputs (2)'!Y31</f>
        <v>16796</v>
      </c>
      <c r="AE199" s="46">
        <f>'Inputs (2)'!Z31</f>
        <v>18471</v>
      </c>
      <c r="AF199" s="46">
        <f>'Inputs (2)'!AA31</f>
        <v>18343</v>
      </c>
      <c r="AG199" s="12">
        <f>'Inputs (2)'!AB31</f>
        <v>18343</v>
      </c>
      <c r="AH199" s="12">
        <f>'Inputs (2)'!AC31</f>
        <v>19442</v>
      </c>
      <c r="AI199" s="12">
        <f>'Inputs (2)'!AD31</f>
        <v>20101</v>
      </c>
      <c r="AJ199" s="12">
        <f>AI199</f>
        <v>20101</v>
      </c>
      <c r="AK199" s="12">
        <f>AJ199</f>
        <v>20101</v>
      </c>
      <c r="AL199" s="12">
        <f>AK199</f>
        <v>20101</v>
      </c>
      <c r="AM199" s="12">
        <f>AL199</f>
        <v>20101</v>
      </c>
      <c r="AN199" s="12">
        <f>AM199</f>
        <v>20101</v>
      </c>
      <c r="AO199" s="12">
        <f>AN199</f>
        <v>20101</v>
      </c>
      <c r="AP199" s="12">
        <f>AO199</f>
        <v>20101</v>
      </c>
      <c r="AQ199" s="12">
        <f>AP199</f>
        <v>20101</v>
      </c>
      <c r="AR199" s="12">
        <f>AQ199</f>
        <v>20101</v>
      </c>
      <c r="AS199" s="12">
        <f>AR199</f>
        <v>20101</v>
      </c>
      <c r="AT199" s="12">
        <f>AS199</f>
        <v>20101</v>
      </c>
      <c r="AU199" s="12">
        <f>AT199</f>
        <v>20101</v>
      </c>
      <c r="AV199" s="12">
        <f>AU199</f>
        <v>20101</v>
      </c>
      <c r="AW199" s="12">
        <f>AV199</f>
        <v>20101</v>
      </c>
      <c r="AX199" s="12">
        <f>AW199</f>
        <v>20101</v>
      </c>
      <c r="AY199" s="12">
        <f>AX199</f>
        <v>20101</v>
      </c>
      <c r="AZ199" s="12">
        <f>AY199</f>
        <v>20101</v>
      </c>
      <c r="BA199" s="12">
        <f>AZ199</f>
        <v>20101</v>
      </c>
      <c r="BB199" s="12">
        <f>BA199</f>
        <v>20101</v>
      </c>
      <c r="BC199" s="12">
        <f>BB199</f>
        <v>20101</v>
      </c>
      <c r="BD199" s="12">
        <f>BC199</f>
        <v>20101</v>
      </c>
      <c r="BE199" s="12">
        <f>BD199</f>
        <v>20101</v>
      </c>
      <c r="BF199" s="12">
        <f>BE199</f>
        <v>20101</v>
      </c>
      <c r="BG199" s="12" t="n"/>
      <c r="BH199" s="12" t="n"/>
      <c r="BI199" s="12" t="n"/>
      <c r="BJ199" s="12" t="n"/>
      <c r="BK199" s="12" t="n"/>
      <c r="BL199" s="12" t="n"/>
      <c r="BM199" s="12" t="n"/>
      <c r="BN199" s="12" t="n"/>
      <c r="BO199" s="12" t="n"/>
      <c r="BP199" s="12" t="n"/>
      <c r="BQ199" s="12" t="n"/>
      <c r="BR199" s="12" t="n"/>
      <c r="BS199" s="12" t="n"/>
      <c r="BT199" s="12" t="n"/>
      <c r="BU199" s="12" t="n"/>
      <c r="BV199" s="12" t="n"/>
      <c r="BW199" s="12" t="n"/>
      <c r="BX199" s="12" t="n"/>
      <c r="BY199" s="12" t="n"/>
      <c r="BZ199" s="12" t="n"/>
      <c r="CA199" s="12" t="n"/>
      <c r="CB199" s="12" t="n"/>
      <c r="CC199" s="12" t="n"/>
      <c r="CD199" s="12" t="n"/>
      <c r="CE199" s="12" t="n"/>
      <c r="CF199" s="12" t="n"/>
      <c r="CG199" s="12" t="n"/>
      <c r="CH199" s="12" t="n"/>
      <c r="CI199" s="12" t="n"/>
      <c r="CJ199" s="12" t="n"/>
      <c r="CK199" s="12" t="n"/>
      <c r="CL199" s="12" t="n"/>
      <c r="CM199" s="12" t="n"/>
      <c r="CN199" s="12" t="n"/>
      <c r="CO199" s="12" t="n"/>
      <c r="CP199" s="12" t="n"/>
      <c r="CQ199" s="12" t="n"/>
      <c r="CR199" s="12" t="n"/>
      <c r="CS199" s="12" t="n"/>
      <c r="CT199" s="12" t="n"/>
      <c r="CU199" s="12" t="n"/>
      <c r="CV199" s="12" t="n"/>
      <c r="CW199" s="12" t="n"/>
      <c r="CX199" s="12" t="n"/>
      <c r="CY199" s="12" t="n"/>
    </row>
    <row r="200" hidden="1" outlineLevel="1">
      <c r="C200" s="59" t="inlineStr">
        <is>
          <t>%(Var.)</t>
        </is>
      </c>
      <c r="D200" s="12" t="n"/>
      <c r="E200" s="40" t="n"/>
      <c r="F200" s="40" t="n"/>
      <c r="G200" s="40" t="n"/>
      <c r="H200" s="12" t="n"/>
      <c r="I200" s="40" t="str">
        <f>""</f>
        <v/>
      </c>
      <c r="J200" s="40">
        <f>IFERROR(IF(I199=0,"",J199/I199-1),"")</f>
        <v>0.0709685259448292</v>
      </c>
      <c r="K200" s="40">
        <f>IFERROR(IF(J199=0,"",K199/J199-1),"")</f>
        <v>0.110972427096335</v>
      </c>
      <c r="L200" s="40">
        <f>IFERROR(IF(K199=0,"",L199/K199-1),"")</f>
        <v>-0.0113369420896742</v>
      </c>
      <c r="M200" s="12">
        <f>IF(L199=0,"",M199/L199-1)</f>
        <v>0</v>
      </c>
      <c r="N200" s="40">
        <f>IFERROR(IF(M199=0,"",N199/M199-1),"")</f>
        <v>0.0623966942148759</v>
      </c>
      <c r="O200" s="40">
        <f>IFERROR(IF(N199=0,"",O199/N199-1),"")</f>
        <v>0.0316024893037727</v>
      </c>
      <c r="P200" s="40">
        <f>IFERROR(IF(O199=0,"",P199/O199-1),"")</f>
        <v>0.00989725704590438</v>
      </c>
      <c r="Q200" s="40">
        <f>IFERROR(IF(P199=0,"",Q199/P199-1),"")</f>
        <v>0.0690685084935598</v>
      </c>
      <c r="R200" s="12">
        <f>IF(Q199=0,"",R199/Q199-1)</f>
        <v>0</v>
      </c>
      <c r="S200" s="40">
        <f>IFERROR(IF(R199=0,"",S199/R199-1),"")</f>
        <v>0.00680984808800411</v>
      </c>
      <c r="T200" s="40">
        <f>IFERROR(IF(S199=0,"",T199/S199-1),"")</f>
        <v>0.0682448838015957</v>
      </c>
      <c r="U200" s="40">
        <f>IFERROR(IF(T199=0,"",U199/T199-1),"")</f>
        <v>0.0311713613117948</v>
      </c>
      <c r="V200" s="40">
        <f>IFERROR(IF(U199=0,"",V199/U199-1),"")</f>
        <v>0.12705660080296</v>
      </c>
      <c r="W200" s="12">
        <f>IF(V199=0,"",W199/V199-1)</f>
        <v>0</v>
      </c>
      <c r="X200" s="40">
        <f>IFERROR(IF(W199=0,"",X199/W199-1),"")</f>
        <v>0.0287071313822729</v>
      </c>
      <c r="Y200" s="40">
        <f>IFERROR(IF(X199=0,"",Y199/X199-1),"")</f>
        <v>-0.0037343834872352</v>
      </c>
      <c r="Z200" s="40">
        <f>IFERROR(IF(Y199=0,"",Z199/Y199-1),"")</f>
        <v>0.0851904859265318</v>
      </c>
      <c r="AA200" s="40">
        <f>IFERROR(IF(Z199=0,"",AA199/Z199-1),"")</f>
        <v>0.0266281479620674</v>
      </c>
      <c r="AB200" s="12">
        <f>IF(AA199=0,"",AB199/AA199-1)</f>
        <v>0</v>
      </c>
      <c r="AC200" s="40">
        <f>IFERROR(IF(AB199=0,"",AC199/AB199-1),"")</f>
        <v>-0.00397626475805957</v>
      </c>
      <c r="AD200" s="40">
        <f>IFERROR(IF(AC199=0,"",AD199/AC199-1),"")</f>
        <v>0.0315686033656799</v>
      </c>
      <c r="AE200" s="40">
        <f>IFERROR(IF(AD199=0,"",AE199/AD199-1),"")</f>
        <v>0.0997261252679209</v>
      </c>
      <c r="AF200" s="55">
        <f>IFERROR(IF(AE199=0,"",AF199/AE199-1),"")</f>
        <v>-0.00692978182015047</v>
      </c>
      <c r="AG200" s="12">
        <f>IF(AF199=0,"",AG199/AF199-1)</f>
        <v>0</v>
      </c>
      <c r="AH200" s="55">
        <f>IFERROR(IF(AG199=0,"",AH199/AG199-1),"")</f>
        <v>0.0599138635991932</v>
      </c>
      <c r="AI200" s="55">
        <f>IFERROR(IF(AH199=0,"",AI199/AH199-1),"")</f>
        <v>0.0338956897438536</v>
      </c>
      <c r="AJ200" s="55">
        <f>IFERROR(IF(AI199=0,"",AJ199/AI199-1),"")</f>
        <v>0</v>
      </c>
      <c r="AK200" s="55">
        <f>IFERROR(IF(AJ199=0,"",AK199/AJ199-1),"")</f>
        <v>0</v>
      </c>
      <c r="AL200" s="12">
        <f>IFERROR(IF(AK199=0,"",AL199/AK199-1),"")</f>
        <v>0</v>
      </c>
      <c r="AM200" s="55">
        <f>IFERROR(IF(AL199=0,"",AM199/AL199-1),"")</f>
        <v>0</v>
      </c>
      <c r="AN200" s="55">
        <f>IFERROR(IF(AM199=0,"",AN199/AM199-1),"")</f>
        <v>0</v>
      </c>
      <c r="AO200" s="55">
        <f>IFERROR(IF(AN199=0,"",AO199/AN199-1),"")</f>
        <v>0</v>
      </c>
      <c r="AP200" s="55">
        <f>IFERROR(IF(AO199=0,"",AP199/AO199-1),"")</f>
        <v>0</v>
      </c>
      <c r="AQ200" s="12">
        <f>IFERROR(IF(AP199=0,"",AQ199/AP199-1),"")</f>
        <v>0</v>
      </c>
      <c r="AR200" s="55">
        <f>IFERROR(IF(AQ199=0,"",AR199/AQ199-1),"")</f>
        <v>0</v>
      </c>
      <c r="AS200" s="55">
        <f>IFERROR(IF(AR199=0,"",AS199/AR199-1),"")</f>
        <v>0</v>
      </c>
      <c r="AT200" s="55">
        <f>IFERROR(IF(AS199=0,"",AT199/AS199-1),"")</f>
        <v>0</v>
      </c>
      <c r="AU200" s="55">
        <f>IFERROR(IF(AT199=0,"",AU199/AT199-1),"")</f>
        <v>0</v>
      </c>
      <c r="AV200" s="12">
        <f>IFERROR(IF(AU199=0,"",AV199/AU199-1),"")</f>
        <v>0</v>
      </c>
      <c r="AW200" s="55">
        <f>IFERROR(IF(AV199=0,"",AW199/AV199-1),"")</f>
        <v>0</v>
      </c>
      <c r="AX200" s="55">
        <f>IFERROR(IF(AW199=0,"",AX199/AW199-1),"")</f>
        <v>0</v>
      </c>
      <c r="AY200" s="55">
        <f>IFERROR(IF(AX199=0,"",AY199/AX199-1),"")</f>
        <v>0</v>
      </c>
      <c r="AZ200" s="55">
        <f>IFERROR(IF(AY199=0,"",AZ199/AY199-1),"")</f>
        <v>0</v>
      </c>
      <c r="BA200" s="12">
        <f>IFERROR(IF(AZ199=0,"",BA199/AZ199-1),"")</f>
        <v>0</v>
      </c>
      <c r="BB200" s="55">
        <f>IFERROR(IF(BA199=0,"",BB199/BA199-1),"")</f>
        <v>0</v>
      </c>
      <c r="BC200" s="55">
        <f>IFERROR(IF(BB199=0,"",BC199/BB199-1),"")</f>
        <v>0</v>
      </c>
      <c r="BD200" s="55">
        <f>IFERROR(IF(BC199=0,"",BD199/BC199-1),"")</f>
        <v>0</v>
      </c>
      <c r="BE200" s="55">
        <f>IFERROR(IF(BD199=0,"",BE199/BD199-1),"")</f>
        <v>0</v>
      </c>
      <c r="BF200" s="12">
        <f>IFERROR(IF(BE199=0,"",BF199/BE199-1),"")</f>
        <v>0</v>
      </c>
      <c r="BG200" s="55" t="n"/>
      <c r="BH200" s="55" t="n"/>
      <c r="BI200" s="55" t="n"/>
      <c r="BJ200" s="55" t="n"/>
      <c r="BK200" s="12" t="n"/>
      <c r="BL200" s="55" t="n"/>
      <c r="BM200" s="55" t="n"/>
      <c r="BN200" s="55" t="n"/>
      <c r="BO200" s="55" t="n"/>
      <c r="BP200" s="12" t="n"/>
      <c r="BQ200" s="55" t="n"/>
      <c r="BR200" s="55" t="n"/>
      <c r="BS200" s="55" t="n"/>
      <c r="BT200" s="55" t="n"/>
      <c r="BU200" s="12" t="n"/>
      <c r="BV200" s="55" t="n"/>
      <c r="BW200" s="55" t="n"/>
      <c r="BX200" s="55" t="n"/>
      <c r="BY200" s="55" t="n"/>
      <c r="BZ200" s="12" t="n"/>
      <c r="CA200" s="55" t="n"/>
      <c r="CB200" s="55" t="n"/>
      <c r="CC200" s="55" t="n"/>
      <c r="CD200" s="55" t="n"/>
      <c r="CE200" s="12" t="n"/>
      <c r="CF200" s="55" t="n"/>
      <c r="CG200" s="55" t="n"/>
      <c r="CH200" s="55" t="n"/>
      <c r="CI200" s="55" t="n"/>
      <c r="CJ200" s="12" t="n"/>
      <c r="CK200" s="55" t="n"/>
      <c r="CL200" s="55" t="n"/>
      <c r="CM200" s="55" t="n"/>
      <c r="CN200" s="55" t="n"/>
      <c r="CO200" s="12" t="n"/>
      <c r="CP200" s="55" t="n"/>
      <c r="CQ200" s="55" t="n"/>
      <c r="CR200" s="55" t="n"/>
      <c r="CS200" s="55" t="n"/>
      <c r="CT200" s="12" t="n"/>
      <c r="CU200" s="55" t="n"/>
      <c r="CV200" s="55" t="n"/>
      <c r="CW200" s="55" t="n"/>
      <c r="CX200" s="55" t="n"/>
      <c r="CY200" s="12" t="n"/>
    </row>
    <row r="201" hidden="1" outlineLevel="1">
      <c r="C201" s="57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  <c r="AJ201" s="12" t="n"/>
      <c r="AK201" s="12" t="n"/>
      <c r="AL201" s="12" t="n"/>
      <c r="AM201" s="12" t="n"/>
      <c r="AN201" s="12" t="n"/>
      <c r="AO201" s="12" t="n"/>
      <c r="AP201" s="12" t="n"/>
      <c r="AQ201" s="12" t="n"/>
      <c r="AR201" s="12" t="n"/>
      <c r="AS201" s="12" t="n"/>
      <c r="AT201" s="12" t="n"/>
      <c r="AU201" s="12" t="n"/>
      <c r="AV201" s="12" t="n"/>
      <c r="AW201" s="12" t="n"/>
      <c r="AX201" s="12" t="n"/>
      <c r="AY201" s="12" t="n"/>
      <c r="AZ201" s="12" t="n"/>
      <c r="BA201" s="12" t="n"/>
      <c r="BB201" s="12" t="n"/>
      <c r="BC201" s="12" t="n"/>
      <c r="BD201" s="12" t="n"/>
      <c r="BE201" s="12" t="n"/>
      <c r="BF201" s="12" t="n"/>
      <c r="BG201" s="12" t="n"/>
      <c r="BH201" s="12" t="n"/>
      <c r="BI201" s="12" t="n"/>
      <c r="BJ201" s="12" t="n"/>
      <c r="BK201" s="12" t="n"/>
      <c r="BL201" s="12" t="n"/>
      <c r="BM201" s="12" t="n"/>
      <c r="BN201" s="12" t="n"/>
      <c r="BO201" s="12" t="n"/>
      <c r="BP201" s="12" t="n"/>
      <c r="BQ201" s="12" t="n"/>
      <c r="BR201" s="12" t="n"/>
      <c r="BS201" s="12" t="n"/>
      <c r="BT201" s="12" t="n"/>
      <c r="BU201" s="12" t="n"/>
      <c r="BV201" s="12" t="n"/>
      <c r="BW201" s="12" t="n"/>
      <c r="BX201" s="12" t="n"/>
      <c r="BY201" s="12" t="n"/>
      <c r="BZ201" s="12" t="n"/>
      <c r="CA201" s="12" t="n"/>
      <c r="CB201" s="12" t="n"/>
      <c r="CC201" s="12" t="n"/>
      <c r="CD201" s="12" t="n"/>
      <c r="CE201" s="12" t="n"/>
      <c r="CF201" s="12" t="n"/>
      <c r="CG201" s="12" t="n"/>
      <c r="CH201" s="12" t="n"/>
      <c r="CI201" s="12" t="n"/>
      <c r="CJ201" s="12" t="n"/>
      <c r="CK201" s="12" t="n"/>
      <c r="CL201" s="12" t="n"/>
      <c r="CM201" s="12" t="n"/>
      <c r="CN201" s="12" t="n"/>
      <c r="CO201" s="12" t="n"/>
      <c r="CP201" s="12" t="n"/>
      <c r="CQ201" s="12" t="n"/>
      <c r="CR201" s="12" t="n"/>
      <c r="CS201" s="12" t="n"/>
      <c r="CT201" s="12" t="n"/>
      <c r="CU201" s="12" t="n"/>
      <c r="CV201" s="12" t="n"/>
      <c r="CW201" s="12" t="n"/>
      <c r="CX201" s="12" t="n"/>
      <c r="CY201" s="12" t="n"/>
    </row>
    <row r="202" hidden="1" outlineLevel="1">
      <c r="C202" s="57" t="inlineStr">
        <is>
          <t xml:space="preserve">Dividendos a Pagar </t>
        </is>
      </c>
      <c r="D202" s="11" t="n"/>
      <c r="E202" s="11" t="n"/>
      <c r="F202" s="11" t="n"/>
      <c r="G202" s="11" t="n"/>
      <c r="H202" s="12" t="n"/>
      <c r="I202" s="11" t="n"/>
      <c r="J202" s="11" t="n"/>
      <c r="K202" s="11" t="n"/>
      <c r="L202" s="11" t="n"/>
      <c r="M202" s="12" t="n"/>
      <c r="N202" s="11" t="n"/>
      <c r="O202" s="11" t="n"/>
      <c r="P202" s="11" t="n"/>
      <c r="Q202" s="11" t="n"/>
      <c r="R202" s="12" t="n"/>
      <c r="S202" s="11" t="n"/>
      <c r="T202" s="11" t="n"/>
      <c r="U202" s="11" t="n"/>
      <c r="V202" s="11" t="n"/>
      <c r="W202" s="12" t="n"/>
      <c r="X202" s="11" t="n"/>
      <c r="Y202" s="11" t="n"/>
      <c r="Z202" s="11" t="n"/>
      <c r="AA202" s="11" t="n"/>
      <c r="AB202" s="12" t="n"/>
      <c r="AC202" s="11" t="n"/>
      <c r="AD202" s="11" t="n"/>
      <c r="AE202" s="11" t="n"/>
      <c r="AF202" s="11" t="n"/>
      <c r="AG202" s="12" t="n"/>
      <c r="AH202" s="11" t="n"/>
      <c r="AI202" s="11" t="n"/>
      <c r="AJ202" s="11" t="n"/>
      <c r="AK202" s="11" t="n"/>
      <c r="AL202" s="12" t="n"/>
      <c r="AM202" s="11" t="n"/>
      <c r="AN202" s="11" t="n"/>
      <c r="AO202" s="11" t="n"/>
      <c r="AP202" s="11" t="n"/>
      <c r="AQ202" s="12" t="n"/>
      <c r="AR202" s="11" t="n"/>
      <c r="AS202" s="11" t="n"/>
      <c r="AT202" s="11" t="n"/>
      <c r="AU202" s="11" t="n"/>
      <c r="AV202" s="12" t="n"/>
      <c r="AW202" s="11" t="n"/>
      <c r="AX202" s="11" t="n"/>
      <c r="AY202" s="11" t="n"/>
      <c r="AZ202" s="11" t="n"/>
      <c r="BA202" s="12" t="n"/>
      <c r="BB202" s="11" t="n"/>
      <c r="BC202" s="11" t="n"/>
      <c r="BD202" s="11" t="n"/>
      <c r="BE202" s="11" t="n"/>
      <c r="BF202" s="12" t="n"/>
      <c r="BG202" s="11" t="n"/>
      <c r="BH202" s="11" t="n"/>
      <c r="BI202" s="11" t="n"/>
      <c r="BJ202" s="11" t="n"/>
      <c r="BK202" s="12" t="n"/>
      <c r="BL202" s="11" t="n"/>
      <c r="BM202" s="11" t="n"/>
      <c r="BN202" s="11" t="n"/>
      <c r="BO202" s="11" t="n"/>
      <c r="BP202" s="12" t="n"/>
      <c r="BQ202" s="11" t="n"/>
      <c r="BR202" s="11" t="n"/>
      <c r="BS202" s="11" t="n"/>
      <c r="BT202" s="11" t="n"/>
      <c r="BU202" s="12" t="n"/>
      <c r="BV202" s="11" t="n"/>
      <c r="BW202" s="11" t="n"/>
      <c r="BX202" s="11" t="n"/>
      <c r="BY202" s="11" t="n"/>
      <c r="BZ202" s="12" t="n"/>
      <c r="CA202" s="11" t="n"/>
      <c r="CB202" s="11" t="n"/>
      <c r="CC202" s="11" t="n"/>
      <c r="CD202" s="11" t="n"/>
      <c r="CE202" s="12" t="n"/>
      <c r="CF202" s="11" t="n"/>
      <c r="CG202" s="11" t="n"/>
      <c r="CH202" s="11" t="n"/>
      <c r="CI202" s="11" t="n"/>
      <c r="CJ202" s="12" t="n"/>
      <c r="CK202" s="11" t="n"/>
      <c r="CL202" s="11" t="n"/>
      <c r="CM202" s="11" t="n"/>
      <c r="CN202" s="11" t="n"/>
      <c r="CO202" s="12" t="n"/>
      <c r="CP202" s="11" t="n"/>
      <c r="CQ202" s="11" t="n"/>
      <c r="CR202" s="11" t="n"/>
      <c r="CS202" s="11" t="n"/>
      <c r="CT202" s="12" t="n"/>
      <c r="CU202" s="11" t="n"/>
      <c r="CV202" s="11" t="n"/>
      <c r="CW202" s="11" t="n"/>
      <c r="CX202" s="11" t="n"/>
      <c r="CY202" s="12" t="n"/>
    </row>
    <row r="203" hidden="1" outlineLevel="1">
      <c r="C203" s="57" t="inlineStr">
        <is>
          <t>Contas a pagar pela aquisição de controladas</t>
        </is>
      </c>
      <c r="D203" s="11" t="n"/>
      <c r="E203" s="11" t="n"/>
      <c r="F203" s="11" t="n"/>
      <c r="G203" s="11" t="n"/>
      <c r="H203" s="12" t="n"/>
      <c r="I203" s="11" t="n"/>
      <c r="J203" s="11" t="n"/>
      <c r="K203" s="11" t="n"/>
      <c r="L203" s="11" t="n"/>
      <c r="M203" s="12" t="n"/>
      <c r="N203" s="11" t="n"/>
      <c r="O203" s="11" t="n"/>
      <c r="P203" s="11" t="n"/>
      <c r="Q203" s="11" t="n"/>
      <c r="R203" s="12" t="n"/>
      <c r="S203" s="11" t="n"/>
      <c r="T203" s="11" t="n"/>
      <c r="U203" s="11" t="n"/>
      <c r="V203" s="11" t="n"/>
      <c r="W203" s="12" t="n"/>
      <c r="X203" s="11" t="n"/>
      <c r="Y203" s="11" t="n"/>
      <c r="Z203" s="11" t="n"/>
      <c r="AA203" s="11" t="n"/>
      <c r="AB203" s="12" t="n"/>
      <c r="AC203" s="11" t="n"/>
      <c r="AD203" s="11" t="n"/>
      <c r="AE203" s="11" t="n"/>
      <c r="AF203" s="11" t="n"/>
      <c r="AG203" s="12" t="n"/>
      <c r="AH203" s="11" t="n"/>
      <c r="AI203" s="11" t="n"/>
      <c r="AJ203" s="11" t="n"/>
      <c r="AK203" s="11" t="n"/>
      <c r="AL203" s="12" t="n"/>
      <c r="AM203" s="11" t="n"/>
      <c r="AN203" s="11" t="n"/>
      <c r="AO203" s="11" t="n"/>
      <c r="AP203" s="11" t="n"/>
      <c r="AQ203" s="12" t="n"/>
      <c r="AR203" s="11" t="n"/>
      <c r="AS203" s="11" t="n"/>
      <c r="AT203" s="11" t="n"/>
      <c r="AU203" s="11" t="n"/>
      <c r="AV203" s="12" t="n"/>
      <c r="AW203" s="11" t="n"/>
      <c r="AX203" s="11" t="n"/>
      <c r="AY203" s="11" t="n"/>
      <c r="AZ203" s="11" t="n"/>
      <c r="BA203" s="12" t="n"/>
      <c r="BB203" s="11" t="n"/>
      <c r="BC203" s="11" t="n"/>
      <c r="BD203" s="11" t="n"/>
      <c r="BE203" s="11" t="n"/>
      <c r="BF203" s="12" t="n"/>
      <c r="BG203" s="11" t="n"/>
      <c r="BH203" s="11" t="n"/>
      <c r="BI203" s="11" t="n"/>
      <c r="BJ203" s="11" t="n"/>
      <c r="BK203" s="12" t="n"/>
      <c r="BL203" s="11" t="n"/>
      <c r="BM203" s="11" t="n"/>
      <c r="BN203" s="11" t="n"/>
      <c r="BO203" s="11" t="n"/>
      <c r="BP203" s="12" t="n"/>
      <c r="BQ203" s="11" t="n"/>
      <c r="BR203" s="11" t="n"/>
      <c r="BS203" s="11" t="n"/>
      <c r="BT203" s="11" t="n"/>
      <c r="BU203" s="12" t="n"/>
      <c r="BV203" s="11" t="n"/>
      <c r="BW203" s="11" t="n"/>
      <c r="BX203" s="11" t="n"/>
      <c r="BY203" s="11" t="n"/>
      <c r="BZ203" s="12" t="n"/>
      <c r="CA203" s="11" t="n"/>
      <c r="CB203" s="11" t="n"/>
      <c r="CC203" s="11" t="n"/>
      <c r="CD203" s="11" t="n"/>
      <c r="CE203" s="12" t="n"/>
      <c r="CF203" s="11" t="n"/>
      <c r="CG203" s="11" t="n"/>
      <c r="CH203" s="11" t="n"/>
      <c r="CI203" s="11" t="n"/>
      <c r="CJ203" s="12" t="n"/>
      <c r="CK203" s="11" t="n"/>
      <c r="CL203" s="11" t="n"/>
      <c r="CM203" s="11" t="n"/>
      <c r="CN203" s="11" t="n"/>
      <c r="CO203" s="12" t="n"/>
      <c r="CP203" s="11" t="n"/>
      <c r="CQ203" s="11" t="n"/>
      <c r="CR203" s="11" t="n"/>
      <c r="CS203" s="11" t="n"/>
      <c r="CT203" s="12" t="n"/>
      <c r="CU203" s="11" t="n"/>
      <c r="CV203" s="11" t="n"/>
      <c r="CW203" s="11" t="n"/>
      <c r="CX203" s="11" t="n"/>
      <c r="CY203" s="12" t="n"/>
    </row>
    <row r="204" hidden="1" outlineLevel="1">
      <c r="C204" s="57" t="inlineStr">
        <is>
          <t>Outros</t>
        </is>
      </c>
      <c r="D204" s="11" t="n"/>
      <c r="E204" s="11" t="n"/>
      <c r="F204" s="11" t="n"/>
      <c r="G204" s="11" t="n"/>
      <c r="H204" s="12" t="n"/>
      <c r="I204" s="11" t="n"/>
      <c r="J204" s="11" t="n"/>
      <c r="K204" s="11" t="n"/>
      <c r="L204" s="11" t="n"/>
      <c r="M204" s="12" t="n"/>
      <c r="N204" s="11" t="n"/>
      <c r="O204" s="11" t="n"/>
      <c r="P204" s="11" t="n"/>
      <c r="Q204" s="11" t="n"/>
      <c r="R204" s="12" t="n"/>
      <c r="S204" s="11" t="n"/>
      <c r="T204" s="11" t="n"/>
      <c r="U204" s="11" t="n"/>
      <c r="V204" s="11" t="n"/>
      <c r="W204" s="12" t="n"/>
      <c r="X204" s="11" t="n"/>
      <c r="Y204" s="11" t="n"/>
      <c r="Z204" s="11" t="n"/>
      <c r="AA204" s="11" t="n"/>
      <c r="AB204" s="12" t="n"/>
      <c r="AC204" s="11" t="n"/>
      <c r="AD204" s="11" t="n"/>
      <c r="AE204" s="11" t="n"/>
      <c r="AF204" s="11" t="n"/>
      <c r="AG204" s="12" t="n"/>
      <c r="AH204" s="11" t="n"/>
      <c r="AI204" s="11" t="n"/>
      <c r="AJ204" s="11" t="n"/>
      <c r="AK204" s="11" t="n"/>
      <c r="AL204" s="12" t="n"/>
      <c r="AM204" s="11" t="n"/>
      <c r="AN204" s="11" t="n"/>
      <c r="AO204" s="11" t="n"/>
      <c r="AP204" s="11" t="n"/>
      <c r="AQ204" s="12" t="n"/>
      <c r="AR204" s="11" t="n"/>
      <c r="AS204" s="11" t="n"/>
      <c r="AT204" s="11" t="n"/>
      <c r="AU204" s="11" t="n"/>
      <c r="AV204" s="12" t="n"/>
      <c r="AW204" s="11" t="n"/>
      <c r="AX204" s="11" t="n"/>
      <c r="AY204" s="11" t="n"/>
      <c r="AZ204" s="11" t="n"/>
      <c r="BA204" s="12" t="n"/>
      <c r="BB204" s="11" t="n"/>
      <c r="BC204" s="11" t="n"/>
      <c r="BD204" s="11" t="n"/>
      <c r="BE204" s="11" t="n"/>
      <c r="BF204" s="12" t="n"/>
      <c r="BG204" s="11" t="n"/>
      <c r="BH204" s="11" t="n"/>
      <c r="BI204" s="11" t="n"/>
      <c r="BJ204" s="11" t="n"/>
      <c r="BK204" s="12" t="n"/>
      <c r="BL204" s="11" t="n"/>
      <c r="BM204" s="11" t="n"/>
      <c r="BN204" s="11" t="n"/>
      <c r="BO204" s="11" t="n"/>
      <c r="BP204" s="12" t="n"/>
      <c r="BQ204" s="11" t="n"/>
      <c r="BR204" s="11" t="n"/>
      <c r="BS204" s="11" t="n"/>
      <c r="BT204" s="11" t="n"/>
      <c r="BU204" s="12" t="n"/>
      <c r="BV204" s="11" t="n"/>
      <c r="BW204" s="11" t="n"/>
      <c r="BX204" s="11" t="n"/>
      <c r="BY204" s="11" t="n"/>
      <c r="BZ204" s="12" t="n"/>
      <c r="CA204" s="11" t="n"/>
      <c r="CB204" s="11" t="n"/>
      <c r="CC204" s="11" t="n"/>
      <c r="CD204" s="11" t="n"/>
      <c r="CE204" s="12" t="n"/>
      <c r="CF204" s="11" t="n"/>
      <c r="CG204" s="11" t="n"/>
      <c r="CH204" s="11" t="n"/>
      <c r="CI204" s="11" t="n"/>
      <c r="CJ204" s="12" t="n"/>
      <c r="CK204" s="11" t="n"/>
      <c r="CL204" s="11" t="n"/>
      <c r="CM204" s="11" t="n"/>
      <c r="CN204" s="11" t="n"/>
      <c r="CO204" s="12" t="n"/>
      <c r="CP204" s="11" t="n"/>
      <c r="CQ204" s="11" t="n"/>
      <c r="CR204" s="11" t="n"/>
      <c r="CS204" s="11" t="n"/>
      <c r="CT204" s="12" t="n"/>
      <c r="CU204" s="11" t="n"/>
      <c r="CV204" s="11" t="n"/>
      <c r="CW204" s="11" t="n"/>
      <c r="CX204" s="11" t="n"/>
      <c r="CY204" s="12" t="n"/>
    </row>
    <row r="205" hidden="1" outlineLevel="1">
      <c r="C205" s="57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  <c r="AJ205" s="12" t="n"/>
      <c r="AK205" s="12" t="n"/>
      <c r="AL205" s="12" t="n"/>
      <c r="AM205" s="12" t="n"/>
      <c r="AN205" s="12" t="n"/>
      <c r="AO205" s="12" t="n"/>
      <c r="AP205" s="12" t="n"/>
      <c r="AQ205" s="12" t="n"/>
      <c r="AR205" s="12" t="n"/>
      <c r="AS205" s="12" t="n"/>
      <c r="AT205" s="12" t="n"/>
      <c r="AU205" s="12" t="n"/>
      <c r="AV205" s="12" t="n"/>
      <c r="AW205" s="12" t="n"/>
      <c r="AX205" s="12" t="n"/>
      <c r="AY205" s="12" t="n"/>
      <c r="AZ205" s="12" t="n"/>
      <c r="BA205" s="12" t="n"/>
      <c r="BB205" s="12" t="n"/>
      <c r="BC205" s="12" t="n"/>
      <c r="BD205" s="12" t="n"/>
      <c r="BE205" s="12" t="n"/>
      <c r="BF205" s="12" t="n"/>
      <c r="BG205" s="12" t="n"/>
      <c r="BH205" s="12" t="n"/>
      <c r="BI205" s="12" t="n"/>
      <c r="BJ205" s="12" t="n"/>
      <c r="BK205" s="12" t="n"/>
      <c r="BL205" s="12" t="n"/>
      <c r="BM205" s="12" t="n"/>
      <c r="BN205" s="12" t="n"/>
      <c r="BO205" s="12" t="n"/>
      <c r="BP205" s="12" t="n"/>
      <c r="BQ205" s="12" t="n"/>
      <c r="BR205" s="12" t="n"/>
      <c r="BS205" s="12" t="n"/>
      <c r="BT205" s="12" t="n"/>
      <c r="BU205" s="12" t="n"/>
      <c r="BV205" s="12" t="n"/>
      <c r="BW205" s="12" t="n"/>
      <c r="BX205" s="12" t="n"/>
      <c r="BY205" s="12" t="n"/>
      <c r="BZ205" s="12" t="n"/>
      <c r="CA205" s="12" t="n"/>
      <c r="CB205" s="12" t="n"/>
      <c r="CC205" s="12" t="n"/>
      <c r="CD205" s="12" t="n"/>
      <c r="CE205" s="12" t="n"/>
      <c r="CF205" s="12" t="n"/>
      <c r="CG205" s="12" t="n"/>
      <c r="CH205" s="12" t="n"/>
      <c r="CI205" s="12" t="n"/>
      <c r="CJ205" s="12" t="n"/>
      <c r="CK205" s="12" t="n"/>
      <c r="CL205" s="12" t="n"/>
      <c r="CM205" s="12" t="n"/>
      <c r="CN205" s="12" t="n"/>
      <c r="CO205" s="12" t="n"/>
      <c r="CP205" s="12" t="n"/>
      <c r="CQ205" s="12" t="n"/>
      <c r="CR205" s="12" t="n"/>
      <c r="CS205" s="12" t="n"/>
      <c r="CT205" s="12" t="n"/>
      <c r="CU205" s="12" t="n"/>
      <c r="CV205" s="12" t="n"/>
      <c r="CW205" s="12" t="n"/>
      <c r="CX205" s="12" t="n"/>
      <c r="CY205" s="12" t="n"/>
    </row>
    <row r="206" collapsed="1">
      <c r="C206" s="14" t="inlineStr">
        <is>
          <t>Current portion of long-term debt</t>
        </is>
      </c>
      <c r="D206" s="46" t="n"/>
      <c r="E206" s="46" t="n"/>
      <c r="F206" s="46" t="n"/>
      <c r="G206" s="46" t="n"/>
      <c r="H206" s="12" t="n"/>
      <c r="I206" s="46">
        <f>'Inputs (2)'!D32</f>
        <v>0</v>
      </c>
      <c r="J206" s="46">
        <f>'Inputs (2)'!E32</f>
        <v>0</v>
      </c>
      <c r="K206" s="46">
        <f>'Inputs (2)'!F32</f>
        <v>0</v>
      </c>
      <c r="L206" s="46">
        <f>'Inputs (2)'!G32</f>
        <v>0</v>
      </c>
      <c r="M206" s="12">
        <f>'Inputs (2)'!H32</f>
        <v>0</v>
      </c>
      <c r="N206" s="46">
        <f>'Inputs (2)'!I32</f>
        <v>0</v>
      </c>
      <c r="O206" s="46">
        <f>'Inputs (2)'!J32</f>
        <v>0</v>
      </c>
      <c r="P206" s="46">
        <f>'Inputs (2)'!K32</f>
        <v>0</v>
      </c>
      <c r="Q206" s="46">
        <f>'Inputs (2)'!L32</f>
        <v>0</v>
      </c>
      <c r="R206" s="12">
        <f>'Inputs (2)'!M32</f>
        <v>0</v>
      </c>
      <c r="S206" s="46">
        <f>'Inputs (2)'!N32</f>
        <v>0</v>
      </c>
      <c r="T206" s="46">
        <f>'Inputs (2)'!O32</f>
        <v>0</v>
      </c>
      <c r="U206" s="46">
        <f>'Inputs (2)'!P32</f>
        <v>0</v>
      </c>
      <c r="V206" s="46">
        <f>'Inputs (2)'!Q32</f>
        <v>0</v>
      </c>
      <c r="W206" s="12">
        <f>'Inputs (2)'!R32</f>
        <v>0</v>
      </c>
      <c r="X206" s="46">
        <f>'Inputs (2)'!S32</f>
        <v>0</v>
      </c>
      <c r="Y206" s="46">
        <f>'Inputs (2)'!T32</f>
        <v>0</v>
      </c>
      <c r="Z206" s="46">
        <f>'Inputs (2)'!U32</f>
        <v>0</v>
      </c>
      <c r="AA206" s="46">
        <f>'Inputs (2)'!V32</f>
        <v>0</v>
      </c>
      <c r="AB206" s="12">
        <f>'Inputs (2)'!W32</f>
        <v>0</v>
      </c>
      <c r="AC206" s="46">
        <f>'Inputs (2)'!X32</f>
        <v>0</v>
      </c>
      <c r="AD206" s="46">
        <f>'Inputs (2)'!Y32</f>
        <v>0</v>
      </c>
      <c r="AE206" s="46">
        <f>'Inputs (2)'!Z32</f>
        <v>0</v>
      </c>
      <c r="AF206" s="46">
        <f>'Inputs (2)'!AA32</f>
        <v>0</v>
      </c>
      <c r="AG206" s="12">
        <f>'Inputs (2)'!AB32</f>
        <v>0</v>
      </c>
      <c r="AH206" s="12">
        <f>'Inputs (2)'!AC32</f>
        <v>0</v>
      </c>
      <c r="AI206" s="12">
        <f>'Inputs (2)'!AD32</f>
        <v>0</v>
      </c>
      <c r="AJ206" s="12">
        <f>AI206</f>
        <v>0</v>
      </c>
      <c r="AK206" s="12">
        <f>AJ206</f>
        <v>0</v>
      </c>
      <c r="AL206" s="12">
        <f>AK206</f>
        <v>0</v>
      </c>
      <c r="AM206" s="12">
        <f>AL206</f>
        <v>0</v>
      </c>
      <c r="AN206" s="12">
        <f>AM206</f>
        <v>0</v>
      </c>
      <c r="AO206" s="12">
        <f>AN206</f>
        <v>0</v>
      </c>
      <c r="AP206" s="12">
        <f>AO206</f>
        <v>0</v>
      </c>
      <c r="AQ206" s="12">
        <f>AP206</f>
        <v>0</v>
      </c>
      <c r="AR206" s="12">
        <f>AQ206</f>
        <v>0</v>
      </c>
      <c r="AS206" s="12">
        <f>AR206</f>
        <v>0</v>
      </c>
      <c r="AT206" s="12">
        <f>AS206</f>
        <v>0</v>
      </c>
      <c r="AU206" s="12">
        <f>AT206</f>
        <v>0</v>
      </c>
      <c r="AV206" s="12">
        <f>AU206</f>
        <v>0</v>
      </c>
      <c r="AW206" s="12">
        <f>AV206</f>
        <v>0</v>
      </c>
      <c r="AX206" s="12">
        <f>AW206</f>
        <v>0</v>
      </c>
      <c r="AY206" s="12">
        <f>AX206</f>
        <v>0</v>
      </c>
      <c r="AZ206" s="12">
        <f>AY206</f>
        <v>0</v>
      </c>
      <c r="BA206" s="12">
        <f>AZ206</f>
        <v>0</v>
      </c>
      <c r="BB206" s="12">
        <f>BA206</f>
        <v>0</v>
      </c>
      <c r="BC206" s="12">
        <f>BB206</f>
        <v>0</v>
      </c>
      <c r="BD206" s="12">
        <f>BC206</f>
        <v>0</v>
      </c>
      <c r="BE206" s="12">
        <f>BD206</f>
        <v>0</v>
      </c>
      <c r="BF206" s="12">
        <f>BE206</f>
        <v>0</v>
      </c>
      <c r="BG206" s="12" t="n"/>
      <c r="BH206" s="12" t="n"/>
      <c r="BI206" s="12" t="n"/>
      <c r="BJ206" s="12" t="n"/>
      <c r="BK206" s="12" t="n"/>
      <c r="BL206" s="12" t="n"/>
      <c r="BM206" s="12" t="n"/>
      <c r="BN206" s="12" t="n"/>
      <c r="BO206" s="12" t="n"/>
      <c r="BP206" s="12" t="n"/>
      <c r="BQ206" s="12" t="n"/>
      <c r="BR206" s="12" t="n"/>
      <c r="BS206" s="12" t="n"/>
      <c r="BT206" s="12" t="n"/>
      <c r="BU206" s="12" t="n"/>
      <c r="BV206" s="12" t="n"/>
      <c r="BW206" s="12" t="n"/>
      <c r="BX206" s="12" t="n"/>
      <c r="BY206" s="12" t="n"/>
      <c r="BZ206" s="12" t="n"/>
      <c r="CA206" s="12" t="n"/>
      <c r="CB206" s="12" t="n"/>
      <c r="CC206" s="12" t="n"/>
      <c r="CD206" s="12" t="n"/>
      <c r="CE206" s="12" t="n"/>
      <c r="CF206" s="12" t="n"/>
      <c r="CG206" s="12" t="n"/>
      <c r="CH206" s="12" t="n"/>
      <c r="CI206" s="12" t="n"/>
      <c r="CJ206" s="12" t="n"/>
      <c r="CK206" s="12" t="n"/>
      <c r="CL206" s="12" t="n"/>
      <c r="CM206" s="12" t="n"/>
      <c r="CN206" s="12" t="n"/>
      <c r="CO206" s="12" t="n"/>
      <c r="CP206" s="12" t="n"/>
      <c r="CQ206" s="12" t="n"/>
      <c r="CR206" s="12" t="n"/>
      <c r="CS206" s="12" t="n"/>
      <c r="CT206" s="12" t="n"/>
      <c r="CU206" s="12" t="n"/>
      <c r="CV206" s="12" t="n"/>
      <c r="CW206" s="12" t="n"/>
      <c r="CX206" s="12" t="n"/>
      <c r="CY206" s="12" t="n"/>
    </row>
    <row r="207">
      <c r="C207" s="14" t="inlineStr">
        <is>
          <t>Short term debt (Revolving credit facility)</t>
        </is>
      </c>
      <c r="D207" s="46" t="n"/>
      <c r="E207" s="46" t="n"/>
      <c r="F207" s="46" t="n"/>
      <c r="G207" s="46" t="n"/>
      <c r="H207" s="12" t="n"/>
      <c r="I207" s="46">
        <f>'Inputs (2)'!D33</f>
        <v>0</v>
      </c>
      <c r="J207" s="46">
        <f>'Inputs (2)'!E33</f>
        <v>0</v>
      </c>
      <c r="K207" s="46">
        <f>'Inputs (2)'!F33</f>
        <v>0</v>
      </c>
      <c r="L207" s="46">
        <f>'Inputs (2)'!G33</f>
        <v>0</v>
      </c>
      <c r="M207" s="12">
        <f>'Inputs (2)'!H33</f>
        <v>0</v>
      </c>
      <c r="N207" s="46">
        <f>'Inputs (2)'!I33</f>
        <v>0</v>
      </c>
      <c r="O207" s="46">
        <f>'Inputs (2)'!J33</f>
        <v>0</v>
      </c>
      <c r="P207" s="46">
        <f>'Inputs (2)'!K33</f>
        <v>0</v>
      </c>
      <c r="Q207" s="46">
        <f>'Inputs (2)'!L33</f>
        <v>0</v>
      </c>
      <c r="R207" s="12">
        <f>'Inputs (2)'!M33</f>
        <v>0</v>
      </c>
      <c r="S207" s="46">
        <f>'Inputs (2)'!N33</f>
        <v>0</v>
      </c>
      <c r="T207" s="46">
        <f>'Inputs (2)'!O33</f>
        <v>0</v>
      </c>
      <c r="U207" s="46">
        <f>'Inputs (2)'!P33</f>
        <v>0</v>
      </c>
      <c r="V207" s="46">
        <f>'Inputs (2)'!Q33</f>
        <v>0</v>
      </c>
      <c r="W207" s="12">
        <f>'Inputs (2)'!R33</f>
        <v>0</v>
      </c>
      <c r="X207" s="46">
        <f>'Inputs (2)'!S33</f>
        <v>0</v>
      </c>
      <c r="Y207" s="46">
        <f>'Inputs (2)'!T33</f>
        <v>0</v>
      </c>
      <c r="Z207" s="46">
        <f>'Inputs (2)'!U33</f>
        <v>0</v>
      </c>
      <c r="AA207" s="46">
        <f>'Inputs (2)'!V33</f>
        <v>0</v>
      </c>
      <c r="AB207" s="12">
        <f>'Inputs (2)'!W33</f>
        <v>0</v>
      </c>
      <c r="AC207" s="46">
        <f>'Inputs (2)'!X33</f>
        <v>0</v>
      </c>
      <c r="AD207" s="46">
        <f>'Inputs (2)'!Y33</f>
        <v>0</v>
      </c>
      <c r="AE207" s="46">
        <f>'Inputs (2)'!Z33</f>
        <v>0</v>
      </c>
      <c r="AF207" s="46">
        <f>'Inputs (2)'!AA33</f>
        <v>0</v>
      </c>
      <c r="AG207" s="12">
        <f>'Inputs (2)'!AB33</f>
        <v>0</v>
      </c>
      <c r="AH207" s="12">
        <f>'Inputs (2)'!AC33</f>
        <v>0</v>
      </c>
      <c r="AI207" s="12">
        <f>'Inputs (2)'!AD33</f>
        <v>0</v>
      </c>
      <c r="AJ207" s="12">
        <f>AI207</f>
        <v>0</v>
      </c>
      <c r="AK207" s="12">
        <f>AJ207</f>
        <v>0</v>
      </c>
      <c r="AL207" s="12">
        <f>AK207</f>
        <v>0</v>
      </c>
      <c r="AM207" s="12">
        <f>AL207</f>
        <v>0</v>
      </c>
      <c r="AN207" s="12">
        <f>AM207</f>
        <v>0</v>
      </c>
      <c r="AO207" s="12">
        <f>AN207</f>
        <v>0</v>
      </c>
      <c r="AP207" s="12">
        <f>AO207</f>
        <v>0</v>
      </c>
      <c r="AQ207" s="12">
        <f>AP207</f>
        <v>0</v>
      </c>
      <c r="AR207" s="12">
        <f>AQ207</f>
        <v>0</v>
      </c>
      <c r="AS207" s="12">
        <f>AR207</f>
        <v>0</v>
      </c>
      <c r="AT207" s="12">
        <f>AS207</f>
        <v>0</v>
      </c>
      <c r="AU207" s="12">
        <f>AT207</f>
        <v>0</v>
      </c>
      <c r="AV207" s="12">
        <f>AU207</f>
        <v>0</v>
      </c>
      <c r="AW207" s="12">
        <f>AV207</f>
        <v>0</v>
      </c>
      <c r="AX207" s="12">
        <f>AW207</f>
        <v>0</v>
      </c>
      <c r="AY207" s="12">
        <f>AX207</f>
        <v>0</v>
      </c>
      <c r="AZ207" s="12">
        <f>AY207</f>
        <v>0</v>
      </c>
      <c r="BA207" s="12">
        <f>AZ207</f>
        <v>0</v>
      </c>
      <c r="BB207" s="12">
        <f>BA207</f>
        <v>0</v>
      </c>
      <c r="BC207" s="12">
        <f>BB207</f>
        <v>0</v>
      </c>
      <c r="BD207" s="12">
        <f>BC207</f>
        <v>0</v>
      </c>
      <c r="BE207" s="12">
        <f>BD207</f>
        <v>0</v>
      </c>
      <c r="BF207" s="12">
        <f>BE207</f>
        <v>0</v>
      </c>
      <c r="BG207" s="12" t="n"/>
      <c r="BH207" s="12" t="n"/>
      <c r="BI207" s="12" t="n"/>
      <c r="BJ207" s="12" t="n"/>
      <c r="BK207" s="12" t="n"/>
      <c r="BL207" s="12" t="n"/>
      <c r="BM207" s="12" t="n"/>
      <c r="BN207" s="12" t="n"/>
      <c r="BO207" s="12" t="n"/>
      <c r="BP207" s="12" t="n"/>
      <c r="BQ207" s="12" t="n"/>
      <c r="BR207" s="12" t="n"/>
      <c r="BS207" s="12" t="n"/>
      <c r="BT207" s="12" t="n"/>
      <c r="BU207" s="12" t="n"/>
      <c r="BV207" s="12" t="n"/>
      <c r="BW207" s="12" t="n"/>
      <c r="BX207" s="12" t="n"/>
      <c r="BY207" s="12" t="n"/>
      <c r="BZ207" s="12" t="n"/>
      <c r="CA207" s="12" t="n"/>
      <c r="CB207" s="12" t="n"/>
      <c r="CC207" s="12" t="n"/>
      <c r="CD207" s="12" t="n"/>
      <c r="CE207" s="12" t="n"/>
      <c r="CF207" s="12" t="n"/>
      <c r="CG207" s="12" t="n"/>
      <c r="CH207" s="12" t="n"/>
      <c r="CI207" s="12" t="n"/>
      <c r="CJ207" s="12" t="n"/>
      <c r="CK207" s="12" t="n"/>
      <c r="CL207" s="12" t="n"/>
      <c r="CM207" s="12" t="n"/>
      <c r="CN207" s="12" t="n"/>
      <c r="CO207" s="12" t="n"/>
      <c r="CP207" s="12" t="n"/>
      <c r="CQ207" s="12" t="n"/>
      <c r="CR207" s="12" t="n"/>
      <c r="CS207" s="12" t="n"/>
      <c r="CT207" s="12" t="n"/>
      <c r="CU207" s="12" t="n"/>
      <c r="CV207" s="12" t="n"/>
      <c r="CW207" s="12" t="n"/>
      <c r="CX207" s="12" t="n"/>
      <c r="CY207" s="12" t="n"/>
    </row>
    <row r="208">
      <c r="C208" s="14" t="inlineStr">
        <is>
          <t>Short term operating leases</t>
        </is>
      </c>
      <c r="D208" s="46" t="n"/>
      <c r="E208" s="46" t="n"/>
      <c r="F208" s="46" t="n"/>
      <c r="G208" s="46" t="n"/>
      <c r="H208" s="12" t="n"/>
      <c r="I208" s="46">
        <f>'Inputs (2)'!D34</f>
        <v>0</v>
      </c>
      <c r="J208" s="46">
        <f>'Inputs (2)'!E34</f>
        <v>0</v>
      </c>
      <c r="K208" s="46">
        <f>'Inputs (2)'!F34</f>
        <v>0</v>
      </c>
      <c r="L208" s="46">
        <f>'Inputs (2)'!G34</f>
        <v>0</v>
      </c>
      <c r="M208" s="12">
        <f>'Inputs (2)'!H34</f>
        <v>0</v>
      </c>
      <c r="N208" s="46">
        <f>'Inputs (2)'!I34</f>
        <v>0</v>
      </c>
      <c r="O208" s="46">
        <f>'Inputs (2)'!J34</f>
        <v>0</v>
      </c>
      <c r="P208" s="46">
        <f>'Inputs (2)'!K34</f>
        <v>0</v>
      </c>
      <c r="Q208" s="46">
        <f>'Inputs (2)'!L34</f>
        <v>0</v>
      </c>
      <c r="R208" s="12">
        <f>'Inputs (2)'!M34</f>
        <v>0</v>
      </c>
      <c r="S208" s="46">
        <f>'Inputs (2)'!N34</f>
        <v>0</v>
      </c>
      <c r="T208" s="46">
        <f>'Inputs (2)'!O34</f>
        <v>0</v>
      </c>
      <c r="U208" s="46">
        <f>'Inputs (2)'!P34</f>
        <v>0</v>
      </c>
      <c r="V208" s="46">
        <f>'Inputs (2)'!Q34</f>
        <v>0</v>
      </c>
      <c r="W208" s="12">
        <f>'Inputs (2)'!R34</f>
        <v>0</v>
      </c>
      <c r="X208" s="46">
        <f>'Inputs (2)'!S34</f>
        <v>0</v>
      </c>
      <c r="Y208" s="46">
        <f>'Inputs (2)'!T34</f>
        <v>0</v>
      </c>
      <c r="Z208" s="46">
        <f>'Inputs (2)'!U34</f>
        <v>0</v>
      </c>
      <c r="AA208" s="46">
        <f>'Inputs (2)'!V34</f>
        <v>0</v>
      </c>
      <c r="AB208" s="12">
        <f>'Inputs (2)'!W34</f>
        <v>0</v>
      </c>
      <c r="AC208" s="46">
        <f>'Inputs (2)'!X34</f>
        <v>0</v>
      </c>
      <c r="AD208" s="46">
        <f>'Inputs (2)'!Y34</f>
        <v>0</v>
      </c>
      <c r="AE208" s="46">
        <f>'Inputs (2)'!Z34</f>
        <v>0</v>
      </c>
      <c r="AF208" s="46">
        <f>'Inputs (2)'!AA34</f>
        <v>0</v>
      </c>
      <c r="AG208" s="12">
        <f>'Inputs (2)'!AB34</f>
        <v>0</v>
      </c>
      <c r="AH208" s="12">
        <f>'Inputs (2)'!AC34</f>
        <v>0</v>
      </c>
      <c r="AI208" s="12">
        <f>'Inputs (2)'!AD34</f>
        <v>0</v>
      </c>
      <c r="AJ208" s="12">
        <f>AI208</f>
        <v>0</v>
      </c>
      <c r="AK208" s="12">
        <f>AJ208</f>
        <v>0</v>
      </c>
      <c r="AL208" s="12">
        <f>AK208</f>
        <v>0</v>
      </c>
      <c r="AM208" s="12">
        <f>AL208</f>
        <v>0</v>
      </c>
      <c r="AN208" s="12">
        <f>AM208</f>
        <v>0</v>
      </c>
      <c r="AO208" s="12">
        <f>AN208</f>
        <v>0</v>
      </c>
      <c r="AP208" s="12">
        <f>AO208</f>
        <v>0</v>
      </c>
      <c r="AQ208" s="12">
        <f>AP208</f>
        <v>0</v>
      </c>
      <c r="AR208" s="12">
        <f>AQ208</f>
        <v>0</v>
      </c>
      <c r="AS208" s="12">
        <f>AR208</f>
        <v>0</v>
      </c>
      <c r="AT208" s="12">
        <f>AS208</f>
        <v>0</v>
      </c>
      <c r="AU208" s="12">
        <f>AT208</f>
        <v>0</v>
      </c>
      <c r="AV208" s="12">
        <f>AU208</f>
        <v>0</v>
      </c>
      <c r="AW208" s="12">
        <f>AV208</f>
        <v>0</v>
      </c>
      <c r="AX208" s="12">
        <f>AW208</f>
        <v>0</v>
      </c>
      <c r="AY208" s="12">
        <f>AX208</f>
        <v>0</v>
      </c>
      <c r="AZ208" s="12">
        <f>AY208</f>
        <v>0</v>
      </c>
      <c r="BA208" s="12">
        <f>AZ208</f>
        <v>0</v>
      </c>
      <c r="BB208" s="12">
        <f>BA208</f>
        <v>0</v>
      </c>
      <c r="BC208" s="12">
        <f>BB208</f>
        <v>0</v>
      </c>
      <c r="BD208" s="12">
        <f>BC208</f>
        <v>0</v>
      </c>
      <c r="BE208" s="12">
        <f>BD208</f>
        <v>0</v>
      </c>
      <c r="BF208" s="12">
        <f>BE208</f>
        <v>0</v>
      </c>
      <c r="BG208" s="12" t="n"/>
      <c r="BH208" s="12" t="n"/>
      <c r="BI208" s="12" t="n"/>
      <c r="BJ208" s="12" t="n"/>
      <c r="BK208" s="12" t="n"/>
      <c r="BL208" s="12" t="n"/>
      <c r="BM208" s="12" t="n"/>
      <c r="BN208" s="12" t="n"/>
      <c r="BO208" s="12" t="n"/>
      <c r="BP208" s="12" t="n"/>
      <c r="BQ208" s="12" t="n"/>
      <c r="BR208" s="12" t="n"/>
      <c r="BS208" s="12" t="n"/>
      <c r="BT208" s="12" t="n"/>
      <c r="BU208" s="12" t="n"/>
      <c r="BV208" s="12" t="n"/>
      <c r="BW208" s="12" t="n"/>
      <c r="BX208" s="12" t="n"/>
      <c r="BY208" s="12" t="n"/>
      <c r="BZ208" s="12" t="n"/>
      <c r="CA208" s="12" t="n"/>
      <c r="CB208" s="12" t="n"/>
      <c r="CC208" s="12" t="n"/>
      <c r="CD208" s="12" t="n"/>
      <c r="CE208" s="12" t="n"/>
      <c r="CF208" s="12" t="n"/>
      <c r="CG208" s="12" t="n"/>
      <c r="CH208" s="12" t="n"/>
      <c r="CI208" s="12" t="n"/>
      <c r="CJ208" s="12" t="n"/>
      <c r="CK208" s="12" t="n"/>
      <c r="CL208" s="12" t="n"/>
      <c r="CM208" s="12" t="n"/>
      <c r="CN208" s="12" t="n"/>
      <c r="CO208" s="12" t="n"/>
      <c r="CP208" s="12" t="n"/>
      <c r="CQ208" s="12" t="n"/>
      <c r="CR208" s="12" t="n"/>
      <c r="CS208" s="12" t="n"/>
      <c r="CT208" s="12" t="n"/>
      <c r="CU208" s="12" t="n"/>
      <c r="CV208" s="12" t="n"/>
      <c r="CW208" s="12" t="n"/>
      <c r="CX208" s="12" t="n"/>
      <c r="CY208" s="12" t="n"/>
    </row>
    <row r="209" hidden="1" outlineLevel="1">
      <c r="C209" s="59" t="inlineStr">
        <is>
          <t>%(Var.)</t>
        </is>
      </c>
      <c r="D209" s="12" t="n"/>
      <c r="E209" s="40" t="n"/>
      <c r="F209" s="40" t="n"/>
      <c r="G209" s="40" t="n"/>
      <c r="H209" s="12" t="n"/>
      <c r="I209" s="40" t="str">
        <f>""</f>
        <v/>
      </c>
      <c r="J209" s="40" t="str">
        <f>IFERROR(IF(I208=0,"",J208/I208-1),"")</f>
        <v/>
      </c>
      <c r="K209" s="40" t="str">
        <f>IFERROR(IF(J208=0,"",K208/J208-1),"")</f>
        <v/>
      </c>
      <c r="L209" s="40" t="str">
        <f>IFERROR(IF(K208=0,"",L208/K208-1),"")</f>
        <v/>
      </c>
      <c r="M209" s="12" t="str">
        <f>IF(L208=0,"",M208/L208-1)</f>
        <v/>
      </c>
      <c r="N209" s="40" t="str">
        <f>IFERROR(IF(M208=0,"",N208/M208-1),"")</f>
        <v/>
      </c>
      <c r="O209" s="40" t="str">
        <f>IFERROR(IF(N208=0,"",O208/N208-1),"")</f>
        <v/>
      </c>
      <c r="P209" s="40" t="str">
        <f>IFERROR(IF(O208=0,"",P208/O208-1),"")</f>
        <v/>
      </c>
      <c r="Q209" s="40" t="str">
        <f>IFERROR(IF(P208=0,"",Q208/P208-1),"")</f>
        <v/>
      </c>
      <c r="R209" s="12" t="str">
        <f>IF(Q208=0,"",R208/Q208-1)</f>
        <v/>
      </c>
      <c r="S209" s="40" t="str">
        <f>IFERROR(IF(R208=0,"",S208/R208-1),"")</f>
        <v/>
      </c>
      <c r="T209" s="40" t="str">
        <f>IFERROR(IF(S208=0,"",T208/S208-1),"")</f>
        <v/>
      </c>
      <c r="U209" s="40" t="str">
        <f>IFERROR(IF(T208=0,"",U208/T208-1),"")</f>
        <v/>
      </c>
      <c r="V209" s="40" t="str">
        <f>IFERROR(IF(U208=0,"",V208/U208-1),"")</f>
        <v/>
      </c>
      <c r="W209" s="12" t="str">
        <f>IF(V208=0,"",W208/V208-1)</f>
        <v/>
      </c>
      <c r="X209" s="40" t="str">
        <f>IFERROR(IF(W208=0,"",X208/W208-1),"")</f>
        <v/>
      </c>
      <c r="Y209" s="40" t="str">
        <f>IFERROR(IF(X208=0,"",Y208/X208-1),"")</f>
        <v/>
      </c>
      <c r="Z209" s="40" t="str">
        <f>IFERROR(IF(Y208=0,"",Z208/Y208-1),"")</f>
        <v/>
      </c>
      <c r="AA209" s="40" t="str">
        <f>IFERROR(IF(Z208=0,"",AA208/Z208-1),"")</f>
        <v/>
      </c>
      <c r="AB209" s="12" t="str">
        <f>IF(AA208=0,"",AB208/AA208-1)</f>
        <v/>
      </c>
      <c r="AC209" s="40" t="str">
        <f>IFERROR(IF(AB208=0,"",AC208/AB208-1),"")</f>
        <v/>
      </c>
      <c r="AD209" s="40" t="str">
        <f>IFERROR(IF(AC208=0,"",AD208/AC208-1),"")</f>
        <v/>
      </c>
      <c r="AE209" s="40" t="str">
        <f>IFERROR(IF(AD208=0,"",AE208/AD208-1),"")</f>
        <v/>
      </c>
      <c r="AF209" s="11" t="str">
        <f>IFERROR(IF(AE208=0,"",AF208/AE208-1),"")</f>
        <v/>
      </c>
      <c r="AG209" s="12" t="str">
        <f>IF(AF208=0,"",AG208/AF208-1)</f>
        <v/>
      </c>
      <c r="AH209" s="11" t="str">
        <f>IFERROR(IF(AG208=0,"",AH208/AG208-1),"")</f>
        <v/>
      </c>
      <c r="AI209" s="11" t="str">
        <f>IFERROR(IF(AH208=0,"",AI208/AH208-1),"")</f>
        <v/>
      </c>
      <c r="AJ209" s="11" t="str">
        <f>IFERROR(IF(AI208=0,"",AJ208/AI208-1),"")</f>
        <v/>
      </c>
      <c r="AK209" s="11" t="str">
        <f>IFERROR(IF(AJ208=0,"",AK208/AJ208-1),"")</f>
        <v/>
      </c>
      <c r="AL209" s="12" t="str">
        <f>IFERROR(IF(AK208=0,"",AL208/AK208-1),"")</f>
        <v/>
      </c>
      <c r="AM209" s="11" t="str">
        <f>IFERROR(IF(AL208=0,"",AM208/AL208-1),"")</f>
        <v/>
      </c>
      <c r="AN209" s="11" t="str">
        <f>IFERROR(IF(AM208=0,"",AN208/AM208-1),"")</f>
        <v/>
      </c>
      <c r="AO209" s="11" t="str">
        <f>IFERROR(IF(AN208=0,"",AO208/AN208-1),"")</f>
        <v/>
      </c>
      <c r="AP209" s="11" t="str">
        <f>IFERROR(IF(AO208=0,"",AP208/AO208-1),"")</f>
        <v/>
      </c>
      <c r="AQ209" s="12" t="str">
        <f>IFERROR(IF(AP208=0,"",AQ208/AP208-1),"")</f>
        <v/>
      </c>
      <c r="AR209" s="11" t="str">
        <f>IFERROR(IF(AQ208=0,"",AR208/AQ208-1),"")</f>
        <v/>
      </c>
      <c r="AS209" s="11" t="str">
        <f>IFERROR(IF(AR208=0,"",AS208/AR208-1),"")</f>
        <v/>
      </c>
      <c r="AT209" s="11" t="str">
        <f>IFERROR(IF(AS208=0,"",AT208/AS208-1),"")</f>
        <v/>
      </c>
      <c r="AU209" s="11" t="str">
        <f>IFERROR(IF(AT208=0,"",AU208/AT208-1),"")</f>
        <v/>
      </c>
      <c r="AV209" s="12" t="str">
        <f>IFERROR(IF(AU208=0,"",AV208/AU208-1),"")</f>
        <v/>
      </c>
      <c r="AW209" s="11" t="str">
        <f>IFERROR(IF(AV208=0,"",AW208/AV208-1),"")</f>
        <v/>
      </c>
      <c r="AX209" s="11" t="str">
        <f>IFERROR(IF(AW208=0,"",AX208/AW208-1),"")</f>
        <v/>
      </c>
      <c r="AY209" s="11" t="str">
        <f>IFERROR(IF(AX208=0,"",AY208/AX208-1),"")</f>
        <v/>
      </c>
      <c r="AZ209" s="11" t="str">
        <f>IFERROR(IF(AY208=0,"",AZ208/AY208-1),"")</f>
        <v/>
      </c>
      <c r="BA209" s="12" t="str">
        <f>IFERROR(IF(AZ208=0,"",BA208/AZ208-1),"")</f>
        <v/>
      </c>
      <c r="BB209" s="11" t="str">
        <f>IFERROR(IF(BA208=0,"",BB208/BA208-1),"")</f>
        <v/>
      </c>
      <c r="BC209" s="11" t="str">
        <f>IFERROR(IF(BB208=0,"",BC208/BB208-1),"")</f>
        <v/>
      </c>
      <c r="BD209" s="11" t="str">
        <f>IFERROR(IF(BC208=0,"",BD208/BC208-1),"")</f>
        <v/>
      </c>
      <c r="BE209" s="11" t="str">
        <f>IFERROR(IF(BD208=0,"",BE208/BD208-1),"")</f>
        <v/>
      </c>
      <c r="BF209" s="12" t="str">
        <f>IFERROR(IF(BE208=0,"",BF208/BE208-1),"")</f>
        <v/>
      </c>
      <c r="BG209" s="11" t="n"/>
      <c r="BH209" s="11" t="n"/>
      <c r="BI209" s="11" t="n"/>
      <c r="BJ209" s="11" t="n"/>
      <c r="BK209" s="12" t="n"/>
      <c r="BL209" s="11" t="n"/>
      <c r="BM209" s="11" t="n"/>
      <c r="BN209" s="11" t="n"/>
      <c r="BO209" s="11" t="n"/>
      <c r="BP209" s="12" t="n"/>
      <c r="BQ209" s="11" t="n"/>
      <c r="BR209" s="11" t="n"/>
      <c r="BS209" s="11" t="n"/>
      <c r="BT209" s="11" t="n"/>
      <c r="BU209" s="12" t="n"/>
      <c r="BV209" s="11" t="n"/>
      <c r="BW209" s="11" t="n"/>
      <c r="BX209" s="11" t="n"/>
      <c r="BY209" s="11" t="n"/>
      <c r="BZ209" s="12" t="n"/>
      <c r="CA209" s="11" t="n"/>
      <c r="CB209" s="11" t="n"/>
      <c r="CC209" s="11" t="n"/>
      <c r="CD209" s="11" t="n"/>
      <c r="CE209" s="12" t="n"/>
      <c r="CF209" s="11" t="n"/>
      <c r="CG209" s="11" t="n"/>
      <c r="CH209" s="11" t="n"/>
      <c r="CI209" s="11" t="n"/>
      <c r="CJ209" s="12" t="n"/>
      <c r="CK209" s="11" t="n"/>
      <c r="CL209" s="11" t="n"/>
      <c r="CM209" s="11" t="n"/>
      <c r="CN209" s="11" t="n"/>
      <c r="CO209" s="12" t="n"/>
      <c r="CP209" s="11" t="n"/>
      <c r="CQ209" s="11" t="n"/>
      <c r="CR209" s="11" t="n"/>
      <c r="CS209" s="11" t="n"/>
      <c r="CT209" s="12" t="n"/>
      <c r="CU209" s="11" t="n"/>
      <c r="CV209" s="11" t="n"/>
      <c r="CW209" s="11" t="n"/>
      <c r="CX209" s="11" t="n"/>
      <c r="CY209" s="12" t="n"/>
    </row>
    <row r="210" hidden="1" outlineLevel="1">
      <c r="C210" s="57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  <c r="AJ210" s="12" t="n"/>
      <c r="AK210" s="12" t="n"/>
      <c r="AL210" s="12" t="n"/>
      <c r="AM210" s="12" t="n"/>
      <c r="AN210" s="12" t="n"/>
      <c r="AO210" s="12" t="n"/>
      <c r="AP210" s="12" t="n"/>
      <c r="AQ210" s="12" t="n"/>
      <c r="AR210" s="12" t="n"/>
      <c r="AS210" s="12" t="n"/>
      <c r="AT210" s="12" t="n"/>
      <c r="AU210" s="12" t="n"/>
      <c r="AV210" s="12" t="n"/>
      <c r="AW210" s="12" t="n"/>
      <c r="AX210" s="12" t="n"/>
      <c r="AY210" s="12" t="n"/>
      <c r="AZ210" s="12" t="n"/>
      <c r="BA210" s="12" t="n"/>
      <c r="BB210" s="12" t="n"/>
      <c r="BC210" s="12" t="n"/>
      <c r="BD210" s="12" t="n"/>
      <c r="BE210" s="12" t="n"/>
      <c r="BF210" s="12" t="n"/>
      <c r="BG210" s="12" t="n"/>
      <c r="BH210" s="12" t="n"/>
      <c r="BI210" s="12" t="n"/>
      <c r="BJ210" s="12" t="n"/>
      <c r="BK210" s="12" t="n"/>
      <c r="BL210" s="12" t="n"/>
      <c r="BM210" s="12" t="n"/>
      <c r="BN210" s="12" t="n"/>
      <c r="BO210" s="12" t="n"/>
      <c r="BP210" s="12" t="n"/>
      <c r="BQ210" s="12" t="n"/>
      <c r="BR210" s="12" t="n"/>
      <c r="BS210" s="12" t="n"/>
      <c r="BT210" s="12" t="n"/>
      <c r="BU210" s="12" t="n"/>
      <c r="BV210" s="12" t="n"/>
      <c r="BW210" s="12" t="n"/>
      <c r="BX210" s="12" t="n"/>
      <c r="BY210" s="12" t="n"/>
      <c r="BZ210" s="12" t="n"/>
      <c r="CA210" s="12" t="n"/>
      <c r="CB210" s="12" t="n"/>
      <c r="CC210" s="12" t="n"/>
      <c r="CD210" s="12" t="n"/>
      <c r="CE210" s="12" t="n"/>
      <c r="CF210" s="12" t="n"/>
      <c r="CG210" s="12" t="n"/>
      <c r="CH210" s="12" t="n"/>
      <c r="CI210" s="12" t="n"/>
      <c r="CJ210" s="12" t="n"/>
      <c r="CK210" s="12" t="n"/>
      <c r="CL210" s="12" t="n"/>
      <c r="CM210" s="12" t="n"/>
      <c r="CN210" s="12" t="n"/>
      <c r="CO210" s="12" t="n"/>
      <c r="CP210" s="12" t="n"/>
      <c r="CQ210" s="12" t="n"/>
      <c r="CR210" s="12" t="n"/>
      <c r="CS210" s="12" t="n"/>
      <c r="CT210" s="12" t="n"/>
      <c r="CU210" s="12" t="n"/>
      <c r="CV210" s="12" t="n"/>
      <c r="CW210" s="12" t="n"/>
      <c r="CX210" s="12" t="n"/>
      <c r="CY210" s="12" t="n"/>
    </row>
    <row r="211" collapsed="1">
      <c r="C211" s="14" t="inlineStr">
        <is>
          <t>Long term debt</t>
        </is>
      </c>
      <c r="D211" s="46" t="n"/>
      <c r="E211" s="46" t="n"/>
      <c r="F211" s="46" t="n"/>
      <c r="G211" s="46" t="n"/>
      <c r="H211" s="12" t="n"/>
      <c r="I211" s="46">
        <f>'Inputs (2)'!D35</f>
        <v>0</v>
      </c>
      <c r="J211" s="46">
        <f>'Inputs (2)'!E35</f>
        <v>0</v>
      </c>
      <c r="K211" s="46">
        <f>'Inputs (2)'!F35</f>
        <v>0</v>
      </c>
      <c r="L211" s="46">
        <f>'Inputs (2)'!G35</f>
        <v>0</v>
      </c>
      <c r="M211" s="12">
        <f>'Inputs (2)'!H35</f>
        <v>0</v>
      </c>
      <c r="N211" s="46">
        <f>'Inputs (2)'!I35</f>
        <v>0</v>
      </c>
      <c r="O211" s="46">
        <f>'Inputs (2)'!J35</f>
        <v>0</v>
      </c>
      <c r="P211" s="46">
        <f>'Inputs (2)'!K35</f>
        <v>0</v>
      </c>
      <c r="Q211" s="46">
        <f>'Inputs (2)'!L35</f>
        <v>0</v>
      </c>
      <c r="R211" s="12">
        <f>'Inputs (2)'!M35</f>
        <v>0</v>
      </c>
      <c r="S211" s="46">
        <f>'Inputs (2)'!N35</f>
        <v>0</v>
      </c>
      <c r="T211" s="46">
        <f>'Inputs (2)'!O35</f>
        <v>0</v>
      </c>
      <c r="U211" s="46">
        <f>'Inputs (2)'!P35</f>
        <v>0</v>
      </c>
      <c r="V211" s="46">
        <f>'Inputs (2)'!Q35</f>
        <v>0</v>
      </c>
      <c r="W211" s="12">
        <f>'Inputs (2)'!R35</f>
        <v>0</v>
      </c>
      <c r="X211" s="46">
        <f>'Inputs (2)'!S35</f>
        <v>0</v>
      </c>
      <c r="Y211" s="46">
        <f>'Inputs (2)'!T35</f>
        <v>0</v>
      </c>
      <c r="Z211" s="46">
        <f>'Inputs (2)'!U35</f>
        <v>0</v>
      </c>
      <c r="AA211" s="46">
        <f>'Inputs (2)'!V35</f>
        <v>0</v>
      </c>
      <c r="AB211" s="12">
        <f>'Inputs (2)'!W35</f>
        <v>0</v>
      </c>
      <c r="AC211" s="46">
        <f>'Inputs (2)'!X35</f>
        <v>0</v>
      </c>
      <c r="AD211" s="46">
        <f>'Inputs (2)'!Y35</f>
        <v>0</v>
      </c>
      <c r="AE211" s="46">
        <f>'Inputs (2)'!Z35</f>
        <v>0</v>
      </c>
      <c r="AF211" s="46">
        <f>'Inputs (2)'!AA35</f>
        <v>0</v>
      </c>
      <c r="AG211" s="12">
        <f>'Inputs (2)'!AB35</f>
        <v>0</v>
      </c>
      <c r="AH211" s="12">
        <f>'Inputs (2)'!AC35</f>
        <v>0</v>
      </c>
      <c r="AI211" s="12">
        <f>'Inputs (2)'!AD35</f>
        <v>0</v>
      </c>
      <c r="AJ211" s="12">
        <f>AJ217</f>
        <v>0</v>
      </c>
      <c r="AK211" s="12">
        <f>AK217</f>
        <v>0</v>
      </c>
      <c r="AL211" s="12">
        <f>AK211</f>
        <v>0</v>
      </c>
      <c r="AM211" s="12">
        <f>AM217</f>
        <v>0</v>
      </c>
      <c r="AN211" s="12">
        <f>AN217</f>
        <v>0</v>
      </c>
      <c r="AO211" s="12">
        <f>AO217</f>
        <v>0</v>
      </c>
      <c r="AP211" s="12">
        <f>AP217</f>
        <v>0</v>
      </c>
      <c r="AQ211" s="12">
        <f>AP211</f>
        <v>0</v>
      </c>
      <c r="AR211" s="12">
        <f>AR217</f>
        <v>0</v>
      </c>
      <c r="AS211" s="12">
        <f>AS217</f>
        <v>0</v>
      </c>
      <c r="AT211" s="12">
        <f>AT217</f>
        <v>0</v>
      </c>
      <c r="AU211" s="12">
        <f>AU217</f>
        <v>0</v>
      </c>
      <c r="AV211" s="12">
        <f>AU211</f>
        <v>0</v>
      </c>
      <c r="AW211" s="12">
        <f>AW217</f>
        <v>0</v>
      </c>
      <c r="AX211" s="12">
        <f>AX217</f>
        <v>0</v>
      </c>
      <c r="AY211" s="12">
        <f>AY217</f>
        <v>0</v>
      </c>
      <c r="AZ211" s="12">
        <f>AZ217</f>
        <v>0</v>
      </c>
      <c r="BA211" s="12">
        <f>AZ211</f>
        <v>0</v>
      </c>
      <c r="BB211" s="12">
        <f>BB217</f>
        <v>0</v>
      </c>
      <c r="BC211" s="12">
        <f>BC217</f>
        <v>0</v>
      </c>
      <c r="BD211" s="12">
        <f>BD217</f>
        <v>0</v>
      </c>
      <c r="BE211" s="12">
        <f>BE217</f>
        <v>0</v>
      </c>
      <c r="BF211" s="12">
        <f>BE211</f>
        <v>0</v>
      </c>
      <c r="BG211" s="12" t="n"/>
      <c r="BH211" s="12" t="n"/>
      <c r="BI211" s="12" t="n"/>
      <c r="BJ211" s="12" t="n"/>
      <c r="BK211" s="12" t="n"/>
      <c r="BL211" s="12" t="n"/>
      <c r="BM211" s="12" t="n"/>
      <c r="BN211" s="12" t="n"/>
      <c r="BO211" s="12" t="n"/>
      <c r="BP211" s="12" t="n"/>
      <c r="BQ211" s="12" t="n"/>
      <c r="BR211" s="12" t="n"/>
      <c r="BS211" s="12" t="n"/>
      <c r="BT211" s="12" t="n"/>
      <c r="BU211" s="12" t="n"/>
      <c r="BV211" s="12" t="n"/>
      <c r="BW211" s="12" t="n"/>
      <c r="BX211" s="12" t="n"/>
      <c r="BY211" s="12" t="n"/>
      <c r="BZ211" s="12" t="n"/>
      <c r="CA211" s="12" t="n"/>
      <c r="CB211" s="12" t="n"/>
      <c r="CC211" s="12" t="n"/>
      <c r="CD211" s="12" t="n"/>
      <c r="CE211" s="12" t="n"/>
      <c r="CF211" s="12" t="n"/>
      <c r="CG211" s="12" t="n"/>
      <c r="CH211" s="12" t="n"/>
      <c r="CI211" s="12" t="n"/>
      <c r="CJ211" s="12" t="n"/>
      <c r="CK211" s="12" t="n"/>
      <c r="CL211" s="12" t="n"/>
      <c r="CM211" s="12" t="n"/>
      <c r="CN211" s="12" t="n"/>
      <c r="CO211" s="12" t="n"/>
      <c r="CP211" s="12" t="n"/>
      <c r="CQ211" s="12" t="n"/>
      <c r="CR211" s="12" t="n"/>
      <c r="CS211" s="12" t="n"/>
      <c r="CT211" s="12" t="n"/>
      <c r="CU211" s="12" t="n"/>
      <c r="CV211" s="12" t="n"/>
      <c r="CW211" s="12" t="n"/>
      <c r="CX211" s="12" t="n"/>
      <c r="CY211" s="12" t="n"/>
    </row>
    <row r="212" hidden="1" outlineLevel="1">
      <c r="C212" s="57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  <c r="AJ212" s="12" t="n"/>
      <c r="AK212" s="12" t="n"/>
      <c r="AL212" s="12" t="n"/>
      <c r="AM212" s="12" t="n"/>
      <c r="AN212" s="12" t="n"/>
      <c r="AO212" s="12" t="n"/>
      <c r="AP212" s="12" t="n"/>
      <c r="AQ212" s="12" t="n"/>
      <c r="AR212" s="12" t="n"/>
      <c r="AS212" s="12" t="n"/>
      <c r="AT212" s="12" t="n"/>
      <c r="AU212" s="12" t="n"/>
      <c r="AV212" s="12" t="n"/>
      <c r="AW212" s="12" t="n"/>
      <c r="AX212" s="12" t="n"/>
      <c r="AY212" s="12" t="n"/>
      <c r="AZ212" s="12" t="n"/>
      <c r="BA212" s="12" t="n"/>
      <c r="BB212" s="12" t="n"/>
      <c r="BC212" s="12" t="n"/>
      <c r="BD212" s="12" t="n"/>
      <c r="BE212" s="12" t="n"/>
      <c r="BF212" s="12" t="n"/>
      <c r="BG212" s="12" t="n"/>
      <c r="BH212" s="12" t="n"/>
      <c r="BI212" s="12" t="n"/>
      <c r="BJ212" s="12" t="n"/>
      <c r="BK212" s="12" t="n"/>
      <c r="BL212" s="12" t="n"/>
      <c r="BM212" s="12" t="n"/>
      <c r="BN212" s="12" t="n"/>
      <c r="BO212" s="12" t="n"/>
      <c r="BP212" s="12" t="n"/>
      <c r="BQ212" s="12" t="n"/>
      <c r="BR212" s="12" t="n"/>
      <c r="BS212" s="12" t="n"/>
      <c r="BT212" s="12" t="n"/>
      <c r="BU212" s="12" t="n"/>
      <c r="BV212" s="12" t="n"/>
      <c r="BW212" s="12" t="n"/>
      <c r="BX212" s="12" t="n"/>
      <c r="BY212" s="12" t="n"/>
      <c r="BZ212" s="12" t="n"/>
      <c r="CA212" s="12" t="n"/>
      <c r="CB212" s="12" t="n"/>
      <c r="CC212" s="12" t="n"/>
      <c r="CD212" s="12" t="n"/>
      <c r="CE212" s="12" t="n"/>
      <c r="CF212" s="12" t="n"/>
      <c r="CG212" s="12" t="n"/>
      <c r="CH212" s="12" t="n"/>
      <c r="CI212" s="12" t="n"/>
      <c r="CJ212" s="12" t="n"/>
      <c r="CK212" s="12" t="n"/>
      <c r="CL212" s="12" t="n"/>
      <c r="CM212" s="12" t="n"/>
      <c r="CN212" s="12" t="n"/>
      <c r="CO212" s="12" t="n"/>
      <c r="CP212" s="12" t="n"/>
      <c r="CQ212" s="12" t="n"/>
      <c r="CR212" s="12" t="n"/>
      <c r="CS212" s="12" t="n"/>
      <c r="CT212" s="12" t="n"/>
      <c r="CU212" s="12" t="n"/>
      <c r="CV212" s="12" t="n"/>
      <c r="CW212" s="12" t="n"/>
      <c r="CX212" s="12" t="n"/>
      <c r="CY212" s="12" t="n"/>
    </row>
    <row r="213" hidden="1" outlineLevel="1">
      <c r="C213" s="57" t="inlineStr">
        <is>
          <t>Current portion of LTD</t>
        </is>
      </c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>
        <f>AF206</f>
        <v>0</v>
      </c>
      <c r="AI213" s="62" t="n"/>
      <c r="AJ213" s="62" t="n"/>
      <c r="AK213" s="62" t="n"/>
      <c r="AL213" s="12" t="n"/>
      <c r="AM213" s="12">
        <f>AK206</f>
        <v>0</v>
      </c>
      <c r="AN213" s="62" t="n"/>
      <c r="AO213" s="62" t="n"/>
      <c r="AP213" s="62" t="n"/>
      <c r="AQ213" s="12" t="n"/>
      <c r="AR213" s="12">
        <f>AP206</f>
        <v>0</v>
      </c>
      <c r="AS213" s="62" t="n"/>
      <c r="AT213" s="62" t="n"/>
      <c r="AU213" s="62" t="n"/>
      <c r="AV213" s="12" t="n"/>
      <c r="AW213" s="12">
        <f>AU206</f>
        <v>0</v>
      </c>
      <c r="AX213" s="62" t="n"/>
      <c r="AY213" s="62" t="n"/>
      <c r="AZ213" s="62" t="n"/>
      <c r="BA213" s="12" t="n"/>
      <c r="BB213" s="12">
        <f>AZ206</f>
        <v>0</v>
      </c>
      <c r="BC213" s="62" t="n"/>
      <c r="BD213" s="62" t="n"/>
      <c r="BE213" s="62" t="n"/>
      <c r="BF213" s="12" t="n"/>
      <c r="BG213" s="12" t="n"/>
      <c r="BH213" s="62" t="n"/>
      <c r="BI213" s="62" t="n"/>
      <c r="BJ213" s="62" t="n"/>
      <c r="BK213" s="12" t="n"/>
      <c r="BL213" s="12" t="n"/>
      <c r="BM213" s="62" t="n"/>
      <c r="BN213" s="62" t="n"/>
      <c r="BO213" s="62" t="n"/>
      <c r="BP213" s="12" t="n"/>
      <c r="BQ213" s="12" t="n"/>
      <c r="BR213" s="62" t="n"/>
      <c r="BS213" s="62" t="n"/>
      <c r="BT213" s="62" t="n"/>
      <c r="BU213" s="12" t="n"/>
      <c r="BV213" s="12" t="n"/>
      <c r="BW213" s="62" t="n"/>
      <c r="BX213" s="62" t="n"/>
      <c r="BY213" s="62" t="n"/>
      <c r="BZ213" s="12" t="n"/>
      <c r="CA213" s="12" t="n"/>
      <c r="CB213" s="62" t="n"/>
      <c r="CC213" s="62" t="n"/>
      <c r="CD213" s="62" t="n"/>
      <c r="CE213" s="12" t="n"/>
      <c r="CF213" s="12" t="n"/>
      <c r="CG213" s="62" t="n"/>
      <c r="CH213" s="62" t="n"/>
      <c r="CI213" s="62" t="n"/>
      <c r="CJ213" s="12" t="n"/>
      <c r="CK213" s="12" t="n"/>
      <c r="CL213" s="62" t="n"/>
      <c r="CM213" s="62" t="n"/>
      <c r="CN213" s="62" t="n"/>
      <c r="CO213" s="12" t="n"/>
      <c r="CP213" s="12" t="n"/>
      <c r="CQ213" s="62" t="n"/>
      <c r="CR213" s="62" t="n"/>
      <c r="CS213" s="62" t="n"/>
      <c r="CT213" s="12" t="n"/>
      <c r="CU213" s="12" t="n"/>
      <c r="CV213" s="62" t="n"/>
      <c r="CW213" s="62" t="n"/>
      <c r="CX213" s="62" t="n"/>
      <c r="CY213" s="12" t="n"/>
    </row>
    <row r="214" hidden="1" outlineLevel="1">
      <c r="C214" s="57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  <c r="AJ214" s="12" t="n"/>
      <c r="AK214" s="12" t="n"/>
      <c r="AL214" s="12" t="n"/>
      <c r="AM214" s="12" t="n"/>
      <c r="AN214" s="12" t="n"/>
      <c r="AO214" s="12" t="n"/>
      <c r="AP214" s="12" t="n"/>
      <c r="AQ214" s="12" t="n"/>
      <c r="AR214" s="12" t="n"/>
      <c r="AS214" s="12" t="n"/>
      <c r="AT214" s="12" t="n"/>
      <c r="AU214" s="12" t="n"/>
      <c r="AV214" s="12" t="n"/>
      <c r="AW214" s="12" t="n"/>
      <c r="AX214" s="12" t="n"/>
      <c r="AY214" s="12" t="n"/>
      <c r="AZ214" s="12" t="n"/>
      <c r="BA214" s="12" t="n"/>
      <c r="BB214" s="12" t="n"/>
      <c r="BC214" s="12" t="n"/>
      <c r="BD214" s="12" t="n"/>
      <c r="BE214" s="12" t="n"/>
      <c r="BF214" s="12" t="n"/>
      <c r="BG214" s="12" t="n"/>
      <c r="BH214" s="12" t="n"/>
      <c r="BI214" s="12" t="n"/>
      <c r="BJ214" s="12" t="n"/>
      <c r="BK214" s="12" t="n"/>
      <c r="BL214" s="12" t="n"/>
      <c r="BM214" s="12" t="n"/>
      <c r="BN214" s="12" t="n"/>
      <c r="BO214" s="12" t="n"/>
      <c r="BP214" s="12" t="n"/>
      <c r="BQ214" s="12" t="n"/>
      <c r="BR214" s="12" t="n"/>
      <c r="BS214" s="12" t="n"/>
      <c r="BT214" s="12" t="n"/>
      <c r="BU214" s="12" t="n"/>
      <c r="BV214" s="12" t="n"/>
      <c r="BW214" s="12" t="n"/>
      <c r="BX214" s="12" t="n"/>
      <c r="BY214" s="12" t="n"/>
      <c r="BZ214" s="12" t="n"/>
      <c r="CA214" s="12" t="n"/>
      <c r="CB214" s="12" t="n"/>
      <c r="CC214" s="12" t="n"/>
      <c r="CD214" s="12" t="n"/>
      <c r="CE214" s="12" t="n"/>
      <c r="CF214" s="12" t="n"/>
      <c r="CG214" s="12" t="n"/>
      <c r="CH214" s="12" t="n"/>
      <c r="CI214" s="12" t="n"/>
      <c r="CJ214" s="12" t="n"/>
      <c r="CK214" s="12" t="n"/>
      <c r="CL214" s="12" t="n"/>
      <c r="CM214" s="12" t="n"/>
      <c r="CN214" s="12" t="n"/>
      <c r="CO214" s="12" t="n"/>
      <c r="CP214" s="12" t="n"/>
      <c r="CQ214" s="12" t="n"/>
      <c r="CR214" s="12" t="n"/>
      <c r="CS214" s="12" t="n"/>
      <c r="CT214" s="12" t="n"/>
      <c r="CU214" s="12" t="n"/>
      <c r="CV214" s="12" t="n"/>
      <c r="CW214" s="12" t="n"/>
      <c r="CX214" s="12" t="n"/>
      <c r="CY214" s="12" t="n"/>
    </row>
    <row r="215" hidden="1" outlineLevel="1">
      <c r="C215" s="57" t="inlineStr">
        <is>
          <t>Reclassification of LTD to CP of LTD</t>
        </is>
      </c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>
        <f>-AI213</f>
        <v>0</v>
      </c>
      <c r="AJ215" s="12">
        <f>-AJ213</f>
        <v>0</v>
      </c>
      <c r="AK215" s="12">
        <f>-AK213</f>
        <v>0</v>
      </c>
      <c r="AL215" s="12" t="n"/>
      <c r="AM215" s="12" t="n"/>
      <c r="AN215" s="12">
        <f>-AN213</f>
        <v>0</v>
      </c>
      <c r="AO215" s="12">
        <f>-AO213</f>
        <v>0</v>
      </c>
      <c r="AP215" s="12">
        <f>-AP213</f>
        <v>0</v>
      </c>
      <c r="AQ215" s="12" t="n"/>
      <c r="AR215" s="12" t="n"/>
      <c r="AS215" s="12">
        <f>-AS213</f>
        <v>0</v>
      </c>
      <c r="AT215" s="12">
        <f>-AT213</f>
        <v>0</v>
      </c>
      <c r="AU215" s="12">
        <f>-AU213</f>
        <v>0</v>
      </c>
      <c r="AV215" s="12" t="n"/>
      <c r="AW215" s="12" t="n"/>
      <c r="AX215" s="12">
        <f>-AX213</f>
        <v>0</v>
      </c>
      <c r="AY215" s="12">
        <f>-AY213</f>
        <v>0</v>
      </c>
      <c r="AZ215" s="12">
        <f>-AZ213</f>
        <v>0</v>
      </c>
      <c r="BA215" s="12" t="n"/>
      <c r="BB215" s="12" t="n"/>
      <c r="BC215" s="12">
        <f>-BC213</f>
        <v>0</v>
      </c>
      <c r="BD215" s="12">
        <f>-BD213</f>
        <v>0</v>
      </c>
      <c r="BE215" s="12">
        <f>-BE213</f>
        <v>0</v>
      </c>
      <c r="BF215" s="12" t="n"/>
      <c r="BG215" s="12" t="n"/>
      <c r="BH215" s="12" t="n"/>
      <c r="BI215" s="12" t="n"/>
      <c r="BJ215" s="12" t="n"/>
      <c r="BK215" s="12" t="n"/>
      <c r="BL215" s="12" t="n"/>
      <c r="BM215" s="12" t="n"/>
      <c r="BN215" s="12" t="n"/>
      <c r="BO215" s="12" t="n"/>
      <c r="BP215" s="12" t="n"/>
      <c r="BQ215" s="12" t="n"/>
      <c r="BR215" s="12" t="n"/>
      <c r="BS215" s="12" t="n"/>
      <c r="BT215" s="12" t="n"/>
      <c r="BU215" s="12" t="n"/>
      <c r="BV215" s="12" t="n"/>
      <c r="BW215" s="12" t="n"/>
      <c r="BX215" s="12" t="n"/>
      <c r="BY215" s="12" t="n"/>
      <c r="BZ215" s="12" t="n"/>
      <c r="CA215" s="12" t="n"/>
      <c r="CB215" s="12" t="n"/>
      <c r="CC215" s="12" t="n"/>
      <c r="CD215" s="12" t="n"/>
      <c r="CE215" s="12" t="n"/>
      <c r="CF215" s="12" t="n"/>
      <c r="CG215" s="12" t="n"/>
      <c r="CH215" s="12" t="n"/>
      <c r="CI215" s="12" t="n"/>
      <c r="CJ215" s="12" t="n"/>
      <c r="CK215" s="12" t="n"/>
      <c r="CL215" s="12" t="n"/>
      <c r="CM215" s="12" t="n"/>
      <c r="CN215" s="12" t="n"/>
      <c r="CO215" s="12" t="n"/>
      <c r="CP215" s="12" t="n"/>
      <c r="CQ215" s="12" t="n"/>
      <c r="CR215" s="12" t="n"/>
      <c r="CS215" s="12" t="n"/>
      <c r="CT215" s="12" t="n"/>
      <c r="CU215" s="12" t="n"/>
      <c r="CV215" s="12" t="n"/>
      <c r="CW215" s="12" t="n"/>
      <c r="CX215" s="12" t="n"/>
      <c r="CY215" s="12" t="n"/>
    </row>
    <row r="216" hidden="1" outlineLevel="1">
      <c r="C216" s="57" t="inlineStr">
        <is>
          <t>Discretionary (paydown)/borrowing of long term debt</t>
        </is>
      </c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62" t="n"/>
      <c r="AI216" s="62" t="n"/>
      <c r="AJ216" s="62" t="n"/>
      <c r="AK216" s="62" t="n"/>
      <c r="AL216" s="12" t="n"/>
      <c r="AM216" s="62" t="n"/>
      <c r="AN216" s="62" t="n"/>
      <c r="AO216" s="62" t="n"/>
      <c r="AP216" s="62" t="n"/>
      <c r="AQ216" s="12" t="n"/>
      <c r="AR216" s="62" t="n"/>
      <c r="AS216" s="62" t="n"/>
      <c r="AT216" s="62" t="n"/>
      <c r="AU216" s="62" t="n"/>
      <c r="AV216" s="12" t="n"/>
      <c r="AW216" s="62" t="n"/>
      <c r="AX216" s="62" t="n"/>
      <c r="AY216" s="62" t="n"/>
      <c r="AZ216" s="62" t="n"/>
      <c r="BA216" s="12" t="n"/>
      <c r="BB216" s="62" t="n"/>
      <c r="BC216" s="62" t="n"/>
      <c r="BD216" s="62" t="n"/>
      <c r="BE216" s="62" t="n"/>
      <c r="BF216" s="12" t="n"/>
      <c r="BG216" s="62" t="n"/>
      <c r="BH216" s="62" t="n"/>
      <c r="BI216" s="62" t="n"/>
      <c r="BJ216" s="62" t="n"/>
      <c r="BK216" s="12" t="n"/>
      <c r="BL216" s="62" t="n"/>
      <c r="BM216" s="62" t="n"/>
      <c r="BN216" s="62" t="n"/>
      <c r="BO216" s="62" t="n"/>
      <c r="BP216" s="12" t="n"/>
      <c r="BQ216" s="62" t="n"/>
      <c r="BR216" s="62" t="n"/>
      <c r="BS216" s="62" t="n"/>
      <c r="BT216" s="62" t="n"/>
      <c r="BU216" s="12" t="n"/>
      <c r="BV216" s="62" t="n"/>
      <c r="BW216" s="62" t="n"/>
      <c r="BX216" s="62" t="n"/>
      <c r="BY216" s="62" t="n"/>
      <c r="BZ216" s="12" t="n"/>
      <c r="CA216" s="62" t="n"/>
      <c r="CB216" s="62" t="n"/>
      <c r="CC216" s="62" t="n"/>
      <c r="CD216" s="62" t="n"/>
      <c r="CE216" s="12" t="n"/>
      <c r="CF216" s="62" t="n"/>
      <c r="CG216" s="62" t="n"/>
      <c r="CH216" s="62" t="n"/>
      <c r="CI216" s="62" t="n"/>
      <c r="CJ216" s="12" t="n"/>
      <c r="CK216" s="62" t="n"/>
      <c r="CL216" s="62" t="n"/>
      <c r="CM216" s="62" t="n"/>
      <c r="CN216" s="62" t="n"/>
      <c r="CO216" s="12" t="n"/>
      <c r="CP216" s="62" t="n"/>
      <c r="CQ216" s="62" t="n"/>
      <c r="CR216" s="62" t="n"/>
      <c r="CS216" s="62" t="n"/>
      <c r="CT216" s="12" t="n"/>
      <c r="CU216" s="62" t="n"/>
      <c r="CV216" s="62" t="n"/>
      <c r="CW216" s="62" t="n"/>
      <c r="CX216" s="62" t="n"/>
      <c r="CY216" s="12" t="n"/>
    </row>
    <row r="217" hidden="1" outlineLevel="1">
      <c r="C217" s="57" t="inlineStr">
        <is>
          <t>Long term debt</t>
        </is>
      </c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>
        <f>AH211</f>
        <v>0</v>
      </c>
      <c r="AI217" s="12">
        <f>AI211</f>
        <v>0</v>
      </c>
      <c r="AJ217" s="12">
        <f>AI217+SUM(AJ215:AJ216)</f>
        <v>0</v>
      </c>
      <c r="AK217" s="12">
        <f>AJ217+SUM(AK215:AK216)</f>
        <v>0</v>
      </c>
      <c r="AL217" s="12" t="n"/>
      <c r="AM217" s="12">
        <f>AK217+SUM(AM215:AM216)</f>
        <v>0</v>
      </c>
      <c r="AN217" s="12">
        <f>AM217+SUM(AN215:AN216)</f>
        <v>0</v>
      </c>
      <c r="AO217" s="12">
        <f>AN217+SUM(AO215:AO216)</f>
        <v>0</v>
      </c>
      <c r="AP217" s="12">
        <f>AO217+SUM(AP215:AP216)</f>
        <v>0</v>
      </c>
      <c r="AQ217" s="12" t="n"/>
      <c r="AR217" s="12">
        <f>AP217+SUM(AR215:AR216)</f>
        <v>0</v>
      </c>
      <c r="AS217" s="12">
        <f>AR217+SUM(AS215:AS216)</f>
        <v>0</v>
      </c>
      <c r="AT217" s="12">
        <f>AS217+SUM(AT215:AT216)</f>
        <v>0</v>
      </c>
      <c r="AU217" s="12">
        <f>AT217+SUM(AU215:AU216)</f>
        <v>0</v>
      </c>
      <c r="AV217" s="12" t="n"/>
      <c r="AW217" s="12">
        <f>AU217+SUM(AW215:AW216)</f>
        <v>0</v>
      </c>
      <c r="AX217" s="12">
        <f>AW217+SUM(AX215:AX216)</f>
        <v>0</v>
      </c>
      <c r="AY217" s="12">
        <f>AX217+SUM(AY215:AY216)</f>
        <v>0</v>
      </c>
      <c r="AZ217" s="12">
        <f>AY217+SUM(AZ215:AZ216)</f>
        <v>0</v>
      </c>
      <c r="BA217" s="12" t="n"/>
      <c r="BB217" s="12">
        <f>AZ217+SUM(BB215:BB216)</f>
        <v>0</v>
      </c>
      <c r="BC217" s="12">
        <f>BB217+SUM(BC215:BC216)</f>
        <v>0</v>
      </c>
      <c r="BD217" s="12">
        <f>BC217+SUM(BD215:BD216)</f>
        <v>0</v>
      </c>
      <c r="BE217" s="12">
        <f>BD217+SUM(BE215:BE216)</f>
        <v>0</v>
      </c>
      <c r="BF217" s="12" t="n"/>
      <c r="BG217" s="12" t="n"/>
      <c r="BH217" s="12" t="n"/>
      <c r="BI217" s="12" t="n"/>
      <c r="BJ217" s="12" t="n"/>
      <c r="BK217" s="12" t="n"/>
      <c r="BL217" s="12" t="n"/>
      <c r="BM217" s="12" t="n"/>
      <c r="BN217" s="12" t="n"/>
      <c r="BO217" s="12" t="n"/>
      <c r="BP217" s="12" t="n"/>
      <c r="BQ217" s="12" t="n"/>
      <c r="BR217" s="12" t="n"/>
      <c r="BS217" s="12" t="n"/>
      <c r="BT217" s="12" t="n"/>
      <c r="BU217" s="12" t="n"/>
      <c r="BV217" s="12" t="n"/>
      <c r="BW217" s="12" t="n"/>
      <c r="BX217" s="12" t="n"/>
      <c r="BY217" s="12" t="n"/>
      <c r="BZ217" s="12" t="n"/>
      <c r="CA217" s="12" t="n"/>
      <c r="CB217" s="12" t="n"/>
      <c r="CC217" s="12" t="n"/>
      <c r="CD217" s="12" t="n"/>
      <c r="CE217" s="12" t="n"/>
      <c r="CF217" s="12" t="n"/>
      <c r="CG217" s="12" t="n"/>
      <c r="CH217" s="12" t="n"/>
      <c r="CI217" s="12" t="n"/>
      <c r="CJ217" s="12" t="n"/>
      <c r="CK217" s="12" t="n"/>
      <c r="CL217" s="12" t="n"/>
      <c r="CM217" s="12" t="n"/>
      <c r="CN217" s="12" t="n"/>
      <c r="CO217" s="12" t="n"/>
      <c r="CP217" s="12" t="n"/>
      <c r="CQ217" s="12" t="n"/>
      <c r="CR217" s="12" t="n"/>
      <c r="CS217" s="12" t="n"/>
      <c r="CT217" s="12" t="n"/>
      <c r="CU217" s="12" t="n"/>
      <c r="CV217" s="12" t="n"/>
      <c r="CW217" s="12" t="n"/>
      <c r="CX217" s="12" t="n"/>
      <c r="CY217" s="12" t="n"/>
    </row>
    <row r="218" hidden="1" outlineLevel="1">
      <c r="C218" s="57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  <c r="AJ218" s="12" t="n"/>
      <c r="AK218" s="12" t="n"/>
      <c r="AL218" s="12" t="n"/>
      <c r="AM218" s="12" t="n"/>
      <c r="AN218" s="12" t="n"/>
      <c r="AO218" s="12" t="n"/>
      <c r="AP218" s="12" t="n"/>
      <c r="AQ218" s="12" t="n"/>
      <c r="AR218" s="12" t="n"/>
      <c r="AS218" s="12" t="n"/>
      <c r="AT218" s="12" t="n"/>
      <c r="AU218" s="12" t="n"/>
      <c r="AV218" s="12" t="n"/>
      <c r="AW218" s="12" t="n"/>
      <c r="AX218" s="12" t="n"/>
      <c r="AY218" s="12" t="n"/>
      <c r="AZ218" s="12" t="n"/>
      <c r="BA218" s="12" t="n"/>
      <c r="BB218" s="12" t="n"/>
      <c r="BC218" s="12" t="n"/>
      <c r="BD218" s="12" t="n"/>
      <c r="BE218" s="12" t="n"/>
      <c r="BF218" s="12" t="n"/>
      <c r="BG218" s="12" t="n"/>
      <c r="BH218" s="12" t="n"/>
      <c r="BI218" s="12" t="n"/>
      <c r="BJ218" s="12" t="n"/>
      <c r="BK218" s="12" t="n"/>
      <c r="BL218" s="12" t="n"/>
      <c r="BM218" s="12" t="n"/>
      <c r="BN218" s="12" t="n"/>
      <c r="BO218" s="12" t="n"/>
      <c r="BP218" s="12" t="n"/>
      <c r="BQ218" s="12" t="n"/>
      <c r="BR218" s="12" t="n"/>
      <c r="BS218" s="12" t="n"/>
      <c r="BT218" s="12" t="n"/>
      <c r="BU218" s="12" t="n"/>
      <c r="BV218" s="12" t="n"/>
      <c r="BW218" s="12" t="n"/>
      <c r="BX218" s="12" t="n"/>
      <c r="BY218" s="12" t="n"/>
      <c r="BZ218" s="12" t="n"/>
      <c r="CA218" s="12" t="n"/>
      <c r="CB218" s="12" t="n"/>
      <c r="CC218" s="12" t="n"/>
      <c r="CD218" s="12" t="n"/>
      <c r="CE218" s="12" t="n"/>
      <c r="CF218" s="12" t="n"/>
      <c r="CG218" s="12" t="n"/>
      <c r="CH218" s="12" t="n"/>
      <c r="CI218" s="12" t="n"/>
      <c r="CJ218" s="12" t="n"/>
      <c r="CK218" s="12" t="n"/>
      <c r="CL218" s="12" t="n"/>
      <c r="CM218" s="12" t="n"/>
      <c r="CN218" s="12" t="n"/>
      <c r="CO218" s="12" t="n"/>
      <c r="CP218" s="12" t="n"/>
      <c r="CQ218" s="12" t="n"/>
      <c r="CR218" s="12" t="n"/>
      <c r="CS218" s="12" t="n"/>
      <c r="CT218" s="12" t="n"/>
      <c r="CU218" s="12" t="n"/>
      <c r="CV218" s="12" t="n"/>
      <c r="CW218" s="12" t="n"/>
      <c r="CX218" s="12" t="n"/>
      <c r="CY218" s="12" t="n"/>
    </row>
    <row r="219" hidden="1" outlineLevel="1">
      <c r="C219" s="57" t="inlineStr">
        <is>
          <t>Discretionary (paydown)/borrowing of convertible debt</t>
        </is>
      </c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62" t="n"/>
      <c r="AI219" s="62" t="n"/>
      <c r="AJ219" s="62" t="n"/>
      <c r="AK219" s="62" t="n"/>
      <c r="AL219" s="12" t="n"/>
      <c r="AM219" s="62" t="n"/>
      <c r="AN219" s="62" t="n"/>
      <c r="AO219" s="62" t="n"/>
      <c r="AP219" s="62" t="n"/>
      <c r="AQ219" s="12" t="n"/>
      <c r="AR219" s="62" t="n"/>
      <c r="AS219" s="62" t="n"/>
      <c r="AT219" s="62" t="n"/>
      <c r="AU219" s="62" t="n"/>
      <c r="AV219" s="12" t="n"/>
      <c r="AW219" s="62" t="n"/>
      <c r="AX219" s="62" t="n"/>
      <c r="AY219" s="62" t="n"/>
      <c r="AZ219" s="62" t="n"/>
      <c r="BA219" s="12" t="n"/>
      <c r="BB219" s="62" t="n"/>
      <c r="BC219" s="62" t="n"/>
      <c r="BD219" s="62" t="n"/>
      <c r="BE219" s="62" t="n"/>
      <c r="BF219" s="12" t="n"/>
      <c r="BG219" s="62" t="n"/>
      <c r="BH219" s="62" t="n"/>
      <c r="BI219" s="62" t="n"/>
      <c r="BJ219" s="62" t="n"/>
      <c r="BK219" s="12" t="n"/>
      <c r="BL219" s="62" t="n"/>
      <c r="BM219" s="62" t="n"/>
      <c r="BN219" s="62" t="n"/>
      <c r="BO219" s="62" t="n"/>
      <c r="BP219" s="12" t="n"/>
      <c r="BQ219" s="62" t="n"/>
      <c r="BR219" s="62" t="n"/>
      <c r="BS219" s="62" t="n"/>
      <c r="BT219" s="62" t="n"/>
      <c r="BU219" s="12" t="n"/>
      <c r="BV219" s="62" t="n"/>
      <c r="BW219" s="62" t="n"/>
      <c r="BX219" s="62" t="n"/>
      <c r="BY219" s="62" t="n"/>
      <c r="BZ219" s="12" t="n"/>
      <c r="CA219" s="62" t="n"/>
      <c r="CB219" s="62" t="n"/>
      <c r="CC219" s="62" t="n"/>
      <c r="CD219" s="62" t="n"/>
      <c r="CE219" s="12" t="n"/>
      <c r="CF219" s="62" t="n"/>
      <c r="CG219" s="62" t="n"/>
      <c r="CH219" s="62" t="n"/>
      <c r="CI219" s="62" t="n"/>
      <c r="CJ219" s="12" t="n"/>
      <c r="CK219" s="62" t="n"/>
      <c r="CL219" s="62" t="n"/>
      <c r="CM219" s="62" t="n"/>
      <c r="CN219" s="62" t="n"/>
      <c r="CO219" s="12" t="n"/>
      <c r="CP219" s="62" t="n"/>
      <c r="CQ219" s="62" t="n"/>
      <c r="CR219" s="62" t="n"/>
      <c r="CS219" s="62" t="n"/>
      <c r="CT219" s="12" t="n"/>
      <c r="CU219" s="62" t="n"/>
      <c r="CV219" s="62" t="n"/>
      <c r="CW219" s="62" t="n"/>
      <c r="CX219" s="62" t="n"/>
      <c r="CY219" s="12" t="n"/>
    </row>
    <row r="220" hidden="1" outlineLevel="1">
      <c r="C220" s="57" t="inlineStr">
        <is>
          <t>Convertible debt</t>
        </is>
      </c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>
        <f>AH232</f>
        <v>0</v>
      </c>
      <c r="AI220" s="12">
        <f>AH220+SUM(AI219)</f>
        <v>0</v>
      </c>
      <c r="AJ220" s="12">
        <f>AI220+SUM(AJ219)</f>
        <v>0</v>
      </c>
      <c r="AK220" s="12">
        <f>AJ220+SUM(AK219)</f>
        <v>0</v>
      </c>
      <c r="AL220" s="12" t="n"/>
      <c r="AM220" s="12">
        <f>AM232</f>
        <v>0</v>
      </c>
      <c r="AN220" s="12">
        <f>AM220+SUM(AN219)</f>
        <v>0</v>
      </c>
      <c r="AO220" s="12">
        <f>AN220+SUM(AO219)</f>
        <v>0</v>
      </c>
      <c r="AP220" s="12">
        <f>AO220+SUM(AP219)</f>
        <v>0</v>
      </c>
      <c r="AQ220" s="12" t="n"/>
      <c r="AR220" s="12">
        <f>AR232</f>
        <v>0</v>
      </c>
      <c r="AS220" s="12">
        <f>AR220+SUM(AS219)</f>
        <v>0</v>
      </c>
      <c r="AT220" s="12">
        <f>AS220+SUM(AT219)</f>
        <v>0</v>
      </c>
      <c r="AU220" s="12">
        <f>AT220+SUM(AU219)</f>
        <v>0</v>
      </c>
      <c r="AV220" s="12" t="n"/>
      <c r="AW220" s="12">
        <f>AW232</f>
        <v>0</v>
      </c>
      <c r="AX220" s="12">
        <f>AW220+SUM(AX219)</f>
        <v>0</v>
      </c>
      <c r="AY220" s="12">
        <f>AX220+SUM(AY219)</f>
        <v>0</v>
      </c>
      <c r="AZ220" s="12">
        <f>AY220+SUM(AZ219)</f>
        <v>0</v>
      </c>
      <c r="BA220" s="12" t="n"/>
      <c r="BB220" s="12">
        <f>BB232</f>
        <v>0</v>
      </c>
      <c r="BC220" s="12">
        <f>BB220+SUM(BC219)</f>
        <v>0</v>
      </c>
      <c r="BD220" s="12">
        <f>BC220+SUM(BD219)</f>
        <v>0</v>
      </c>
      <c r="BE220" s="12">
        <f>BD220+SUM(BE219)</f>
        <v>0</v>
      </c>
      <c r="BF220" s="12" t="n"/>
      <c r="BG220" s="12" t="n"/>
      <c r="BH220" s="12" t="n"/>
      <c r="BI220" s="12" t="n"/>
      <c r="BJ220" s="12" t="n"/>
      <c r="BK220" s="12" t="n"/>
      <c r="BL220" s="12" t="n"/>
      <c r="BM220" s="12" t="n"/>
      <c r="BN220" s="12" t="n"/>
      <c r="BO220" s="12" t="n"/>
      <c r="BP220" s="12" t="n"/>
      <c r="BQ220" s="12" t="n"/>
      <c r="BR220" s="12" t="n"/>
      <c r="BS220" s="12" t="n"/>
      <c r="BT220" s="12" t="n"/>
      <c r="BU220" s="12" t="n"/>
      <c r="BV220" s="12" t="n"/>
      <c r="BW220" s="12" t="n"/>
      <c r="BX220" s="12" t="n"/>
      <c r="BY220" s="12" t="n"/>
      <c r="BZ220" s="12" t="n"/>
      <c r="CA220" s="12" t="n"/>
      <c r="CB220" s="12" t="n"/>
      <c r="CC220" s="12" t="n"/>
      <c r="CD220" s="12" t="n"/>
      <c r="CE220" s="12" t="n"/>
      <c r="CF220" s="12" t="n"/>
      <c r="CG220" s="12" t="n"/>
      <c r="CH220" s="12" t="n"/>
      <c r="CI220" s="12" t="n"/>
      <c r="CJ220" s="12" t="n"/>
      <c r="CK220" s="12" t="n"/>
      <c r="CL220" s="12" t="n"/>
      <c r="CM220" s="12" t="n"/>
      <c r="CN220" s="12" t="n"/>
      <c r="CO220" s="12" t="n"/>
      <c r="CP220" s="12" t="n"/>
      <c r="CQ220" s="12" t="n"/>
      <c r="CR220" s="12" t="n"/>
      <c r="CS220" s="12" t="n"/>
      <c r="CT220" s="12" t="n"/>
      <c r="CU220" s="12" t="n"/>
      <c r="CV220" s="12" t="n"/>
      <c r="CW220" s="12" t="n"/>
      <c r="CX220" s="12" t="n"/>
      <c r="CY220" s="12" t="n"/>
    </row>
    <row r="221" hidden="1" outlineLevel="1">
      <c r="C221" s="57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I221" s="12" t="n"/>
      <c r="AJ221" s="12" t="n"/>
      <c r="AK221" s="12" t="n"/>
      <c r="AL221" s="12" t="n"/>
      <c r="AN221" s="12" t="n"/>
      <c r="AO221" s="12" t="n"/>
      <c r="AP221" s="12" t="n"/>
      <c r="AQ221" s="12" t="n"/>
      <c r="AS221" s="12" t="n"/>
      <c r="AT221" s="12" t="n"/>
      <c r="AU221" s="12" t="n"/>
      <c r="AV221" s="12" t="n"/>
      <c r="AX221" s="12" t="n"/>
      <c r="AY221" s="12" t="n"/>
      <c r="AZ221" s="12" t="n"/>
      <c r="BA221" s="12" t="n"/>
      <c r="BC221" s="12" t="n"/>
      <c r="BD221" s="12" t="n"/>
      <c r="BE221" s="12" t="n"/>
      <c r="BF221" s="12" t="n"/>
      <c r="BH221" s="12" t="n"/>
      <c r="BI221" s="12" t="n"/>
      <c r="BJ221" s="12" t="n"/>
      <c r="BK221" s="12" t="n"/>
      <c r="BM221" s="12" t="n"/>
      <c r="BN221" s="12" t="n"/>
      <c r="BO221" s="12" t="n"/>
      <c r="BP221" s="12" t="n"/>
      <c r="BR221" s="12" t="n"/>
      <c r="BS221" s="12" t="n"/>
      <c r="BT221" s="12" t="n"/>
      <c r="BU221" s="12" t="n"/>
      <c r="BW221" s="12" t="n"/>
      <c r="BX221" s="12" t="n"/>
      <c r="BY221" s="12" t="n"/>
      <c r="BZ221" s="12" t="n"/>
      <c r="CB221" s="12" t="n"/>
      <c r="CC221" s="12" t="n"/>
      <c r="CD221" s="12" t="n"/>
      <c r="CE221" s="12" t="n"/>
      <c r="CG221" s="12" t="n"/>
      <c r="CH221" s="12" t="n"/>
      <c r="CI221" s="12" t="n"/>
      <c r="CJ221" s="12" t="n"/>
      <c r="CL221" s="12" t="n"/>
      <c r="CM221" s="12" t="n"/>
      <c r="CN221" s="12" t="n"/>
      <c r="CO221" s="12" t="n"/>
      <c r="CQ221" s="12" t="n"/>
      <c r="CR221" s="12" t="n"/>
      <c r="CS221" s="12" t="n"/>
      <c r="CT221" s="12" t="n"/>
      <c r="CV221" s="12" t="n"/>
      <c r="CW221" s="12" t="n"/>
      <c r="CX221" s="12" t="n"/>
      <c r="CY221" s="12" t="n"/>
    </row>
    <row r="222" hidden="1" outlineLevel="1">
      <c r="C222" s="57" t="inlineStr">
        <is>
          <t>Calculation of short term debt</t>
        </is>
      </c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  <c r="AJ222" s="12" t="n"/>
      <c r="AK222" s="12" t="n"/>
      <c r="AL222" s="12" t="n"/>
      <c r="AM222" s="12" t="n"/>
      <c r="AN222" s="12" t="n"/>
      <c r="AO222" s="12" t="n"/>
      <c r="AP222" s="12" t="n"/>
      <c r="AQ222" s="12" t="n"/>
      <c r="AR222" s="12" t="n"/>
      <c r="AS222" s="12" t="n"/>
      <c r="AT222" s="12" t="n"/>
      <c r="AU222" s="12" t="n"/>
      <c r="AV222" s="12" t="n"/>
      <c r="AW222" s="12" t="n"/>
      <c r="AX222" s="12" t="n"/>
      <c r="AY222" s="12" t="n"/>
      <c r="AZ222" s="12" t="n"/>
      <c r="BA222" s="12" t="n"/>
      <c r="BB222" s="12" t="n"/>
      <c r="BC222" s="12" t="n"/>
      <c r="BD222" s="12" t="n"/>
      <c r="BE222" s="12" t="n"/>
      <c r="BF222" s="12" t="n"/>
      <c r="BG222" s="12" t="n"/>
      <c r="BH222" s="12" t="n"/>
      <c r="BI222" s="12" t="n"/>
      <c r="BJ222" s="12" t="n"/>
      <c r="BK222" s="12" t="n"/>
      <c r="BL222" s="12" t="n"/>
      <c r="BM222" s="12" t="n"/>
      <c r="BN222" s="12" t="n"/>
      <c r="BO222" s="12" t="n"/>
      <c r="BP222" s="12" t="n"/>
      <c r="BQ222" s="12" t="n"/>
      <c r="BR222" s="12" t="n"/>
      <c r="BS222" s="12" t="n"/>
      <c r="BT222" s="12" t="n"/>
      <c r="BU222" s="12" t="n"/>
      <c r="BV222" s="12" t="n"/>
      <c r="BW222" s="12" t="n"/>
      <c r="BX222" s="12" t="n"/>
      <c r="BY222" s="12" t="n"/>
      <c r="BZ222" s="12" t="n"/>
      <c r="CA222" s="12" t="n"/>
      <c r="CB222" s="12" t="n"/>
      <c r="CC222" s="12" t="n"/>
      <c r="CD222" s="12" t="n"/>
      <c r="CE222" s="12" t="n"/>
      <c r="CF222" s="12" t="n"/>
      <c r="CG222" s="12" t="n"/>
      <c r="CH222" s="12" t="n"/>
      <c r="CI222" s="12" t="n"/>
      <c r="CJ222" s="12" t="n"/>
      <c r="CK222" s="12" t="n"/>
      <c r="CL222" s="12" t="n"/>
      <c r="CM222" s="12" t="n"/>
      <c r="CN222" s="12" t="n"/>
      <c r="CO222" s="12" t="n"/>
      <c r="CP222" s="12" t="n"/>
      <c r="CQ222" s="12" t="n"/>
      <c r="CR222" s="12" t="n"/>
      <c r="CS222" s="12" t="n"/>
      <c r="CT222" s="12" t="n"/>
      <c r="CU222" s="12" t="n"/>
      <c r="CV222" s="12" t="n"/>
      <c r="CW222" s="12" t="n"/>
      <c r="CX222" s="12" t="n"/>
      <c r="CY222" s="12" t="n"/>
    </row>
    <row r="223" hidden="1" outlineLevel="1">
      <c r="C223" s="57" t="inlineStr">
        <is>
          <t>Cash @ beginning of the period (end of last period)</t>
        </is>
      </c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63">
        <f>AG138</f>
        <v>44059</v>
      </c>
      <c r="AI223" s="12" t="n"/>
      <c r="AJ223" s="12" t="n"/>
      <c r="AK223" s="12" t="n"/>
      <c r="AL223" s="12" t="n"/>
      <c r="AM223" s="63">
        <f>AL138</f>
        <v>39687.6554478722</v>
      </c>
      <c r="AN223" s="12" t="n"/>
      <c r="AO223" s="12" t="n"/>
      <c r="AP223" s="12" t="n"/>
      <c r="AQ223" s="12" t="n"/>
      <c r="AR223" s="63">
        <f>AQ138</f>
        <v>35234.9067994131</v>
      </c>
      <c r="AS223" s="12" t="n"/>
      <c r="AT223" s="12" t="n"/>
      <c r="AU223" s="12" t="n"/>
      <c r="AV223" s="12" t="n"/>
      <c r="AW223" s="63">
        <f>AV138</f>
        <v>30612.4092784496</v>
      </c>
      <c r="AX223" s="12" t="n"/>
      <c r="AY223" s="12" t="n"/>
      <c r="AZ223" s="12" t="n"/>
      <c r="BA223" s="12" t="n"/>
      <c r="BB223" s="63">
        <f>BA138</f>
        <v>25837.0103336112</v>
      </c>
      <c r="BC223" s="12" t="n"/>
      <c r="BD223" s="12" t="n"/>
      <c r="BE223" s="12" t="n"/>
      <c r="BF223" s="12" t="n"/>
      <c r="BG223" s="63" t="n"/>
      <c r="BH223" s="12" t="n"/>
      <c r="BI223" s="12" t="n"/>
      <c r="BJ223" s="12" t="n"/>
      <c r="BK223" s="12" t="n"/>
      <c r="BL223" s="63" t="n"/>
      <c r="BM223" s="12" t="n"/>
      <c r="BN223" s="12" t="n"/>
      <c r="BO223" s="12" t="n"/>
      <c r="BP223" s="12" t="n"/>
      <c r="BQ223" s="63" t="n"/>
      <c r="BR223" s="12" t="n"/>
      <c r="BS223" s="12" t="n"/>
      <c r="BT223" s="12" t="n"/>
      <c r="BU223" s="12" t="n"/>
      <c r="BV223" s="63" t="n"/>
      <c r="BW223" s="12" t="n"/>
      <c r="BX223" s="12" t="n"/>
      <c r="BY223" s="12" t="n"/>
      <c r="BZ223" s="12" t="n"/>
      <c r="CA223" s="63" t="n"/>
      <c r="CB223" s="12" t="n"/>
      <c r="CC223" s="12" t="n"/>
      <c r="CD223" s="12" t="n"/>
      <c r="CE223" s="12" t="n"/>
      <c r="CF223" s="63" t="n"/>
      <c r="CG223" s="12" t="n"/>
      <c r="CH223" s="12" t="n"/>
      <c r="CI223" s="12" t="n"/>
      <c r="CJ223" s="12" t="n"/>
      <c r="CK223" s="63" t="n"/>
      <c r="CL223" s="12" t="n"/>
      <c r="CM223" s="12" t="n"/>
      <c r="CN223" s="12" t="n"/>
      <c r="CO223" s="12" t="n"/>
      <c r="CP223" s="63" t="n"/>
      <c r="CQ223" s="12" t="n"/>
      <c r="CR223" s="12" t="n"/>
      <c r="CS223" s="12" t="n"/>
      <c r="CT223" s="12" t="n"/>
      <c r="CU223" s="63" t="n"/>
      <c r="CV223" s="12" t="n"/>
      <c r="CW223" s="12" t="n"/>
      <c r="CX223" s="12" t="n"/>
      <c r="CY223" s="12" t="n"/>
    </row>
    <row r="224" hidden="1" outlineLevel="1">
      <c r="C224" s="57" t="inlineStr">
        <is>
          <t>Plus: Free cash flows prior to debt during period</t>
        </is>
      </c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inlineStr">
        <is>
          <t>% of sales</t>
        </is>
      </c>
      <c r="AH224" s="64">
        <f>(AH286+AH293)+SUM(AH296:AH302)</f>
        <v>1215</v>
      </c>
      <c r="AI224" s="64">
        <f>(AI286+AI293)+SUM(AI296:AI302)</f>
        <v>880</v>
      </c>
      <c r="AJ224" s="64">
        <f>(AJ286+AJ293)+SUM(AJ296:AJ302)</f>
        <v>0</v>
      </c>
      <c r="AK224" s="64">
        <f>(AK286+AK293)+SUM(AK296:AK302)</f>
        <v>0</v>
      </c>
      <c r="AL224" s="12" t="n"/>
      <c r="AM224" s="64">
        <f>(AM286+AM293)+SUM(AM296:AM302)</f>
        <v>0</v>
      </c>
      <c r="AN224" s="64">
        <f>(AN286+AN293)+SUM(AN296:AN302)</f>
        <v>0</v>
      </c>
      <c r="AO224" s="64">
        <f>(AO286+AO293)+SUM(AO296:AO302)</f>
        <v>0</v>
      </c>
      <c r="AP224" s="64">
        <f>(AP286+AP293)+SUM(AP296:AP302)</f>
        <v>0</v>
      </c>
      <c r="AQ224" s="12" t="n"/>
      <c r="AR224" s="64">
        <f>(AR286+AR293)+SUM(AR296:AR302)</f>
        <v>0</v>
      </c>
      <c r="AS224" s="64">
        <f>(AS286+AS293)+SUM(AS296:AS302)</f>
        <v>0</v>
      </c>
      <c r="AT224" s="64">
        <f>(AT286+AT293)+SUM(AT296:AT302)</f>
        <v>0</v>
      </c>
      <c r="AU224" s="64">
        <f>(AU286+AU293)+SUM(AU296:AU302)</f>
        <v>0</v>
      </c>
      <c r="AV224" s="12" t="n"/>
      <c r="AW224" s="64">
        <f>(AW286+AW293)+SUM(AW296:AW302)</f>
        <v>0</v>
      </c>
      <c r="AX224" s="64">
        <f>(AX286+AX293)+SUM(AX296:AX302)</f>
        <v>0</v>
      </c>
      <c r="AY224" s="64">
        <f>(AY286+AY293)+SUM(AY296:AY302)</f>
        <v>0</v>
      </c>
      <c r="AZ224" s="64">
        <f>(AZ286+AZ293)+SUM(AZ296:AZ302)</f>
        <v>0</v>
      </c>
      <c r="BA224" s="12" t="n"/>
      <c r="BB224" s="64">
        <f>(BB286+BB293)+SUM(BB296:BB302)</f>
        <v>0</v>
      </c>
      <c r="BC224" s="64">
        <f>(BC286+BC293)+SUM(BC296:BC302)</f>
        <v>0</v>
      </c>
      <c r="BD224" s="64">
        <f>(BD286+BD293)+SUM(BD296:BD302)</f>
        <v>0</v>
      </c>
      <c r="BE224" s="64">
        <f>(BE286+BE293)+SUM(BE296:BE302)</f>
        <v>0</v>
      </c>
      <c r="BF224" s="12" t="n"/>
      <c r="BG224" s="64" t="n"/>
      <c r="BH224" s="64" t="n"/>
      <c r="BI224" s="64" t="n"/>
      <c r="BJ224" s="64" t="n"/>
      <c r="BK224" s="12" t="n"/>
      <c r="BL224" s="64" t="n"/>
      <c r="BM224" s="64" t="n"/>
      <c r="BN224" s="64" t="n"/>
      <c r="BO224" s="64" t="n"/>
      <c r="BP224" s="12" t="n"/>
      <c r="BQ224" s="64" t="n"/>
      <c r="BR224" s="64" t="n"/>
      <c r="BS224" s="64" t="n"/>
      <c r="BT224" s="64" t="n"/>
      <c r="BU224" s="12" t="n"/>
      <c r="BV224" s="64" t="n"/>
      <c r="BW224" s="64" t="n"/>
      <c r="BX224" s="64" t="n"/>
      <c r="BY224" s="64" t="n"/>
      <c r="BZ224" s="12" t="n"/>
      <c r="CA224" s="64" t="n"/>
      <c r="CB224" s="64" t="n"/>
      <c r="CC224" s="64" t="n"/>
      <c r="CD224" s="64" t="n"/>
      <c r="CE224" s="12" t="n"/>
      <c r="CF224" s="64" t="n"/>
      <c r="CG224" s="64" t="n"/>
      <c r="CH224" s="64" t="n"/>
      <c r="CI224" s="64" t="n"/>
      <c r="CJ224" s="12" t="n"/>
      <c r="CK224" s="64" t="n"/>
      <c r="CL224" s="64" t="n"/>
      <c r="CM224" s="64" t="n"/>
      <c r="CN224" s="64" t="n"/>
      <c r="CO224" s="12" t="n"/>
      <c r="CP224" s="64" t="n"/>
      <c r="CQ224" s="64" t="n"/>
      <c r="CR224" s="64" t="n"/>
      <c r="CS224" s="64" t="n"/>
      <c r="CT224" s="12" t="n"/>
      <c r="CU224" s="64" t="n"/>
      <c r="CV224" s="64" t="n"/>
      <c r="CW224" s="64" t="n"/>
      <c r="CX224" s="64" t="n"/>
      <c r="CY224" s="12" t="n"/>
    </row>
    <row r="225" hidden="1" outlineLevel="1">
      <c r="C225" s="57" t="inlineStr">
        <is>
          <t>Less: Minimum cash balance</t>
        </is>
      </c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52" t="n"/>
      <c r="AH225" s="12">
        <f>($AG$225*AH15)</f>
        <v>0</v>
      </c>
      <c r="AI225" s="12">
        <f>($AG$225*AI15)</f>
        <v>0</v>
      </c>
      <c r="AJ225" s="12">
        <f>($AG$225*AJ15)</f>
        <v>0</v>
      </c>
      <c r="AK225" s="12">
        <f>($AG$225*AK15)</f>
        <v>0</v>
      </c>
      <c r="AL225" s="12" t="n"/>
      <c r="AM225" s="12">
        <f>($AG$225*AM15)</f>
        <v>0</v>
      </c>
      <c r="AN225" s="12">
        <f>($AG$225*AN15)</f>
        <v>0</v>
      </c>
      <c r="AO225" s="12">
        <f>($AG$225*AO15)</f>
        <v>0</v>
      </c>
      <c r="AP225" s="12">
        <f>($AG$225*AP15)</f>
        <v>0</v>
      </c>
      <c r="AQ225" s="12" t="n"/>
      <c r="AR225" s="12">
        <f>($AG$225*AR15)</f>
        <v>0</v>
      </c>
      <c r="AS225" s="12">
        <f>($AG$225*AS15)</f>
        <v>0</v>
      </c>
      <c r="AT225" s="12">
        <f>($AG$225*AT15)</f>
        <v>0</v>
      </c>
      <c r="AU225" s="12">
        <f>($AG$225*AU15)</f>
        <v>0</v>
      </c>
      <c r="AV225" s="12" t="n"/>
      <c r="AW225" s="12">
        <f>($AG$225*AW15)</f>
        <v>0</v>
      </c>
      <c r="AX225" s="12">
        <f>($AG$225*AX15)</f>
        <v>0</v>
      </c>
      <c r="AY225" s="12">
        <f>($AG$225*AY15)</f>
        <v>0</v>
      </c>
      <c r="AZ225" s="12">
        <f>($AG$225*AZ15)</f>
        <v>0</v>
      </c>
      <c r="BA225" s="12" t="n"/>
      <c r="BB225" s="12">
        <f>($AG$225*BB15)</f>
        <v>0</v>
      </c>
      <c r="BC225" s="12">
        <f>($AG$225*BC15)</f>
        <v>0</v>
      </c>
      <c r="BD225" s="12">
        <f>($AG$225*BD15)</f>
        <v>0</v>
      </c>
      <c r="BE225" s="12">
        <f>($AG$225*BE15)</f>
        <v>0</v>
      </c>
      <c r="BF225" s="12" t="n"/>
      <c r="BG225" s="12" t="n"/>
      <c r="BH225" s="12" t="n"/>
      <c r="BI225" s="12" t="n"/>
      <c r="BJ225" s="12" t="n"/>
      <c r="BK225" s="12" t="n"/>
      <c r="BL225" s="12" t="n"/>
      <c r="BM225" s="12" t="n"/>
      <c r="BN225" s="12" t="n"/>
      <c r="BO225" s="12" t="n"/>
      <c r="BP225" s="12" t="n"/>
      <c r="BQ225" s="12" t="n"/>
      <c r="BR225" s="12" t="n"/>
      <c r="BS225" s="12" t="n"/>
      <c r="BT225" s="12" t="n"/>
      <c r="BU225" s="12" t="n"/>
      <c r="BV225" s="12" t="n"/>
      <c r="BW225" s="12" t="n"/>
      <c r="BX225" s="12" t="n"/>
      <c r="BY225" s="12" t="n"/>
      <c r="BZ225" s="12" t="n"/>
      <c r="CA225" s="12" t="n"/>
      <c r="CB225" s="12" t="n"/>
      <c r="CC225" s="12" t="n"/>
      <c r="CD225" s="12" t="n"/>
      <c r="CE225" s="12" t="n"/>
      <c r="CF225" s="12" t="n"/>
      <c r="CG225" s="12" t="n"/>
      <c r="CH225" s="12" t="n"/>
      <c r="CI225" s="12" t="n"/>
      <c r="CJ225" s="12" t="n"/>
      <c r="CK225" s="12" t="n"/>
      <c r="CL225" s="12" t="n"/>
      <c r="CM225" s="12" t="n"/>
      <c r="CN225" s="12" t="n"/>
      <c r="CO225" s="12" t="n"/>
      <c r="CP225" s="12" t="n"/>
      <c r="CQ225" s="12" t="n"/>
      <c r="CR225" s="12" t="n"/>
      <c r="CS225" s="12" t="n"/>
      <c r="CT225" s="12" t="n"/>
      <c r="CU225" s="12" t="n"/>
      <c r="CV225" s="12" t="n"/>
      <c r="CW225" s="12" t="n"/>
      <c r="CX225" s="12" t="n"/>
      <c r="CY225" s="12" t="n"/>
    </row>
    <row r="226" hidden="1" outlineLevel="1">
      <c r="C226" s="57" t="inlineStr">
        <is>
          <t>Total cash available / (debt required) for short term debt paydown</t>
        </is>
      </c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3">
        <f>AH223+AH224-AH225-AF213+AH215+AH219</f>
        <v>45274</v>
      </c>
      <c r="AI226" s="3">
        <f>AI223+AI224-AI225-AG213+AI215+AI219</f>
        <v>880</v>
      </c>
      <c r="AJ226" s="3">
        <f>AJ223+AJ224-AJ225-AH213+AJ215+AJ219</f>
        <v>0</v>
      </c>
      <c r="AK226" s="3">
        <f>AK223+AK224-AK225-AI213+AK215+AK219</f>
        <v>0</v>
      </c>
      <c r="AL226" s="12" t="n"/>
      <c r="AM226" s="3">
        <f>AM223+AM224-AM225-AK213+AM215+AM219</f>
        <v>39687.6554478722</v>
      </c>
      <c r="AN226" s="3">
        <f>AN223+AN224-AN225-AL213+AN215+AN219</f>
        <v>0</v>
      </c>
      <c r="AO226" s="3">
        <f>AO223+AO224-AO225-AM213+AO215+AO219</f>
        <v>0</v>
      </c>
      <c r="AP226" s="3">
        <f>AP223+AP224-AP225-AN213+AP215+AP219</f>
        <v>0</v>
      </c>
      <c r="AQ226" s="12" t="n"/>
      <c r="AR226" s="3">
        <f>AR223+AR224-AR225-AP213+AR215+AR219</f>
        <v>35234.9067994131</v>
      </c>
      <c r="AS226" s="3">
        <f>AS223+AS224-AS225-AQ213+AS215+AS219</f>
        <v>0</v>
      </c>
      <c r="AT226" s="3">
        <f>AT223+AT224-AT225-AR213+AT215+AT219</f>
        <v>0</v>
      </c>
      <c r="AU226" s="3">
        <f>AU223+AU224-AU225-AS213+AU215+AU219</f>
        <v>0</v>
      </c>
      <c r="AV226" s="12" t="n"/>
      <c r="AW226" s="3">
        <f>AW223+AW224-AW225-AU213+AW215+AW219</f>
        <v>30612.4092784496</v>
      </c>
      <c r="AX226" s="3">
        <f>AX223+AX224-AX225-AV213+AX215+AX219</f>
        <v>0</v>
      </c>
      <c r="AY226" s="3">
        <f>AY223+AY224-AY225-AW213+AY215+AY219</f>
        <v>0</v>
      </c>
      <c r="AZ226" s="3">
        <f>AZ223+AZ224-AZ225-AX213+AZ215+AZ219</f>
        <v>0</v>
      </c>
      <c r="BA226" s="12" t="n"/>
      <c r="BB226" s="3">
        <f>BB223+BB224-BB225-AZ213+BB215+BB219</f>
        <v>25837.0103336112</v>
      </c>
      <c r="BC226" s="3">
        <f>BC223+BC224-BC225-BA213+BC215+BC219</f>
        <v>0</v>
      </c>
      <c r="BD226" s="3">
        <f>BD223+BD224-BD225-BB213+BD215+BD219</f>
        <v>0</v>
      </c>
      <c r="BE226" s="3">
        <f>BE223+BE224-BE225-BC213+BE215+BE219</f>
        <v>0</v>
      </c>
      <c r="BF226" s="12" t="n"/>
      <c r="BG226" s="3" t="n"/>
      <c r="BH226" s="3" t="n"/>
      <c r="BI226" s="3" t="n"/>
      <c r="BJ226" s="3" t="n"/>
      <c r="BK226" s="12" t="n"/>
      <c r="BL226" s="3" t="n"/>
      <c r="BM226" s="3" t="n"/>
      <c r="BN226" s="3" t="n"/>
      <c r="BO226" s="3" t="n"/>
      <c r="BP226" s="12" t="n"/>
      <c r="BQ226" s="3" t="n"/>
      <c r="BR226" s="3" t="n"/>
      <c r="BS226" s="3" t="n"/>
      <c r="BT226" s="3" t="n"/>
      <c r="BU226" s="12" t="n"/>
      <c r="BV226" s="3" t="n"/>
      <c r="BW226" s="3" t="n"/>
      <c r="BX226" s="3" t="n"/>
      <c r="BY226" s="3" t="n"/>
      <c r="BZ226" s="12" t="n"/>
      <c r="CA226" s="3" t="n"/>
      <c r="CB226" s="3" t="n"/>
      <c r="CC226" s="3" t="n"/>
      <c r="CD226" s="3" t="n"/>
      <c r="CE226" s="12" t="n"/>
      <c r="CF226" s="3" t="n"/>
      <c r="CG226" s="3" t="n"/>
      <c r="CH226" s="3" t="n"/>
      <c r="CI226" s="3" t="n"/>
      <c r="CJ226" s="12" t="n"/>
      <c r="CK226" s="3" t="n"/>
      <c r="CL226" s="3" t="n"/>
      <c r="CM226" s="3" t="n"/>
      <c r="CN226" s="3" t="n"/>
      <c r="CO226" s="12" t="n"/>
      <c r="CP226" s="3" t="n"/>
      <c r="CQ226" s="3" t="n"/>
      <c r="CR226" s="3" t="n"/>
      <c r="CS226" s="3" t="n"/>
      <c r="CT226" s="12" t="n"/>
      <c r="CU226" s="3" t="n"/>
      <c r="CV226" s="3" t="n"/>
      <c r="CW226" s="3" t="n"/>
      <c r="CX226" s="3" t="n"/>
      <c r="CY226" s="12" t="n"/>
    </row>
    <row r="227" hidden="1" outlineLevel="1">
      <c r="C227" s="57" t="inlineStr">
        <is>
          <t>Short term debt</t>
        </is>
      </c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>
        <f>AH207</f>
        <v>0</v>
      </c>
      <c r="AI227" s="12">
        <f>MAX(0,AH227-AI226)</f>
        <v>0</v>
      </c>
      <c r="AJ227" s="12">
        <f>MAX(0,AI227-AJ226)</f>
        <v>0</v>
      </c>
      <c r="AK227" s="12">
        <f>MAX(0,AJ227-AK226)</f>
        <v>0</v>
      </c>
      <c r="AL227" s="12" t="n"/>
      <c r="AM227" s="12">
        <f>AM207</f>
        <v>0</v>
      </c>
      <c r="AN227" s="12">
        <f>MAX(0,AM227-AN226)</f>
        <v>0</v>
      </c>
      <c r="AO227" s="12">
        <f>MAX(0,AN227-AO226)</f>
        <v>0</v>
      </c>
      <c r="AP227" s="12">
        <f>MAX(0,AO227-AP226)</f>
        <v>0</v>
      </c>
      <c r="AQ227" s="12" t="n"/>
      <c r="AR227" s="12">
        <f>AR207</f>
        <v>0</v>
      </c>
      <c r="AS227" s="12">
        <f>MAX(0,AR227-AS226)</f>
        <v>0</v>
      </c>
      <c r="AT227" s="12">
        <f>MAX(0,AS227-AT226)</f>
        <v>0</v>
      </c>
      <c r="AU227" s="12">
        <f>MAX(0,AT227-AU226)</f>
        <v>0</v>
      </c>
      <c r="AV227" s="12" t="n"/>
      <c r="AW227" s="12">
        <f>AW207</f>
        <v>0</v>
      </c>
      <c r="AX227" s="12">
        <f>MAX(0,AW227-AX226)</f>
        <v>0</v>
      </c>
      <c r="AY227" s="12">
        <f>MAX(0,AX227-AY226)</f>
        <v>0</v>
      </c>
      <c r="AZ227" s="12">
        <f>MAX(0,AY227-AZ226)</f>
        <v>0</v>
      </c>
      <c r="BA227" s="12" t="n"/>
      <c r="BB227" s="12">
        <f>BB207</f>
        <v>0</v>
      </c>
      <c r="BC227" s="12">
        <f>MAX(0,BB227-BC226)</f>
        <v>0</v>
      </c>
      <c r="BD227" s="12">
        <f>MAX(0,BC227-BD226)</f>
        <v>0</v>
      </c>
      <c r="BE227" s="12">
        <f>MAX(0,BD227-BE226)</f>
        <v>0</v>
      </c>
      <c r="BF227" s="12" t="n"/>
      <c r="BG227" s="12" t="n"/>
      <c r="BH227" s="12" t="n"/>
      <c r="BI227" s="12" t="n"/>
      <c r="BJ227" s="12" t="n"/>
      <c r="BK227" s="12" t="n"/>
      <c r="BL227" s="12" t="n"/>
      <c r="BM227" s="12" t="n"/>
      <c r="BN227" s="12" t="n"/>
      <c r="BO227" s="12" t="n"/>
      <c r="BP227" s="12" t="n"/>
      <c r="BQ227" s="12" t="n"/>
      <c r="BR227" s="12" t="n"/>
      <c r="BS227" s="12" t="n"/>
      <c r="BT227" s="12" t="n"/>
      <c r="BU227" s="12" t="n"/>
      <c r="BV227" s="12" t="n"/>
      <c r="BW227" s="12" t="n"/>
      <c r="BX227" s="12" t="n"/>
      <c r="BY227" s="12" t="n"/>
      <c r="BZ227" s="12" t="n"/>
      <c r="CA227" s="12" t="n"/>
      <c r="CB227" s="12" t="n"/>
      <c r="CC227" s="12" t="n"/>
      <c r="CD227" s="12" t="n"/>
      <c r="CE227" s="12" t="n"/>
      <c r="CF227" s="12" t="n"/>
      <c r="CG227" s="12" t="n"/>
      <c r="CH227" s="12" t="n"/>
      <c r="CI227" s="12" t="n"/>
      <c r="CJ227" s="12" t="n"/>
      <c r="CK227" s="12" t="n"/>
      <c r="CL227" s="12" t="n"/>
      <c r="CM227" s="12" t="n"/>
      <c r="CN227" s="12" t="n"/>
      <c r="CO227" s="12" t="n"/>
      <c r="CP227" s="12" t="n"/>
      <c r="CQ227" s="12" t="n"/>
      <c r="CR227" s="12" t="n"/>
      <c r="CS227" s="12" t="n"/>
      <c r="CT227" s="12" t="n"/>
      <c r="CU227" s="12" t="n"/>
      <c r="CV227" s="12" t="n"/>
      <c r="CW227" s="12" t="n"/>
      <c r="CX227" s="12" t="n"/>
      <c r="CY227" s="12" t="n"/>
    </row>
    <row r="228" hidden="1" outlineLevel="1">
      <c r="C228" s="57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  <c r="AJ228" s="12" t="n"/>
      <c r="AK228" s="12" t="n"/>
      <c r="AL228" s="12" t="n"/>
      <c r="AM228" s="12" t="n"/>
      <c r="AN228" s="12" t="n"/>
      <c r="AO228" s="12" t="n"/>
      <c r="AP228" s="12" t="n"/>
      <c r="AQ228" s="12" t="n"/>
      <c r="AR228" s="12" t="n"/>
      <c r="AS228" s="12" t="n"/>
      <c r="AT228" s="12" t="n"/>
      <c r="AU228" s="12" t="n"/>
      <c r="AV228" s="12" t="n"/>
      <c r="AW228" s="12" t="n"/>
      <c r="AX228" s="12" t="n"/>
      <c r="AY228" s="12" t="n"/>
      <c r="AZ228" s="12" t="n"/>
      <c r="BA228" s="12" t="n"/>
      <c r="BB228" s="12" t="n"/>
      <c r="BC228" s="12" t="n"/>
      <c r="BD228" s="12" t="n"/>
      <c r="BE228" s="12" t="n"/>
      <c r="BF228" s="12" t="n"/>
      <c r="BG228" s="12" t="n"/>
      <c r="BH228" s="12" t="n"/>
      <c r="BI228" s="12" t="n"/>
      <c r="BJ228" s="12" t="n"/>
      <c r="BK228" s="12" t="n"/>
      <c r="BL228" s="12" t="n"/>
      <c r="BM228" s="12" t="n"/>
      <c r="BN228" s="12" t="n"/>
      <c r="BO228" s="12" t="n"/>
      <c r="BP228" s="12" t="n"/>
      <c r="BQ228" s="12" t="n"/>
      <c r="BR228" s="12" t="n"/>
      <c r="BS228" s="12" t="n"/>
      <c r="BT228" s="12" t="n"/>
      <c r="BU228" s="12" t="n"/>
      <c r="BV228" s="12" t="n"/>
      <c r="BW228" s="12" t="n"/>
      <c r="BX228" s="12" t="n"/>
      <c r="BY228" s="12" t="n"/>
      <c r="BZ228" s="12" t="n"/>
      <c r="CA228" s="12" t="n"/>
      <c r="CB228" s="12" t="n"/>
      <c r="CC228" s="12" t="n"/>
      <c r="CD228" s="12" t="n"/>
      <c r="CE228" s="12" t="n"/>
      <c r="CF228" s="12" t="n"/>
      <c r="CG228" s="12" t="n"/>
      <c r="CH228" s="12" t="n"/>
      <c r="CI228" s="12" t="n"/>
      <c r="CJ228" s="12" t="n"/>
      <c r="CK228" s="12" t="n"/>
      <c r="CL228" s="12" t="n"/>
      <c r="CM228" s="12" t="n"/>
      <c r="CN228" s="12" t="n"/>
      <c r="CO228" s="12" t="n"/>
      <c r="CP228" s="12" t="n"/>
      <c r="CQ228" s="12" t="n"/>
      <c r="CR228" s="12" t="n"/>
      <c r="CS228" s="12" t="n"/>
      <c r="CT228" s="12" t="n"/>
      <c r="CU228" s="12" t="n"/>
      <c r="CV228" s="12" t="n"/>
      <c r="CW228" s="12" t="n"/>
      <c r="CX228" s="12" t="n"/>
      <c r="CY228" s="12" t="n"/>
    </row>
    <row r="229" collapsed="1">
      <c r="C229" s="14" t="inlineStr">
        <is>
          <t>Long term operating leases</t>
        </is>
      </c>
      <c r="D229" s="46" t="n"/>
      <c r="E229" s="46" t="n"/>
      <c r="F229" s="46" t="n"/>
      <c r="G229" s="46" t="n"/>
      <c r="H229" s="12" t="n"/>
      <c r="I229" s="46">
        <f>'Inputs (2)'!D36</f>
        <v>0</v>
      </c>
      <c r="J229" s="46">
        <f>'Inputs (2)'!E36</f>
        <v>0</v>
      </c>
      <c r="K229" s="46">
        <f>'Inputs (2)'!F36</f>
        <v>0</v>
      </c>
      <c r="L229" s="46">
        <f>'Inputs (2)'!G36</f>
        <v>0</v>
      </c>
      <c r="M229" s="12">
        <f>'Inputs (2)'!H36</f>
        <v>0</v>
      </c>
      <c r="N229" s="46">
        <f>'Inputs (2)'!I36</f>
        <v>0</v>
      </c>
      <c r="O229" s="46">
        <f>'Inputs (2)'!J36</f>
        <v>0</v>
      </c>
      <c r="P229" s="46">
        <f>'Inputs (2)'!K36</f>
        <v>0</v>
      </c>
      <c r="Q229" s="46">
        <f>'Inputs (2)'!L36</f>
        <v>0</v>
      </c>
      <c r="R229" s="12">
        <f>'Inputs (2)'!M36</f>
        <v>0</v>
      </c>
      <c r="S229" s="46">
        <f>'Inputs (2)'!N36</f>
        <v>0</v>
      </c>
      <c r="T229" s="46">
        <f>'Inputs (2)'!O36</f>
        <v>0</v>
      </c>
      <c r="U229" s="46">
        <f>'Inputs (2)'!P36</f>
        <v>0</v>
      </c>
      <c r="V229" s="46">
        <f>'Inputs (2)'!Q36</f>
        <v>0</v>
      </c>
      <c r="W229" s="12">
        <f>'Inputs (2)'!R36</f>
        <v>0</v>
      </c>
      <c r="X229" s="46">
        <f>'Inputs (2)'!S36</f>
        <v>0</v>
      </c>
      <c r="Y229" s="46">
        <f>'Inputs (2)'!T36</f>
        <v>0</v>
      </c>
      <c r="Z229" s="46">
        <f>'Inputs (2)'!U36</f>
        <v>0</v>
      </c>
      <c r="AA229" s="46">
        <f>'Inputs (2)'!V36</f>
        <v>0</v>
      </c>
      <c r="AB229" s="12">
        <f>'Inputs (2)'!W36</f>
        <v>0</v>
      </c>
      <c r="AC229" s="46">
        <f>'Inputs (2)'!X36</f>
        <v>0</v>
      </c>
      <c r="AD229" s="46">
        <f>'Inputs (2)'!Y36</f>
        <v>0</v>
      </c>
      <c r="AE229" s="46">
        <f>'Inputs (2)'!Z36</f>
        <v>0</v>
      </c>
      <c r="AF229" s="46">
        <f>'Inputs (2)'!AA36</f>
        <v>0</v>
      </c>
      <c r="AG229" s="12">
        <f>'Inputs (2)'!AB36</f>
        <v>0</v>
      </c>
      <c r="AH229" s="12">
        <f>'Inputs (2)'!AC36</f>
        <v>0</v>
      </c>
      <c r="AI229" s="12">
        <f>'Inputs (2)'!AD36</f>
        <v>0</v>
      </c>
      <c r="AJ229" s="12">
        <f>AI229</f>
        <v>0</v>
      </c>
      <c r="AK229" s="12">
        <f>AJ229</f>
        <v>0</v>
      </c>
      <c r="AL229" s="12">
        <f>AK229</f>
        <v>0</v>
      </c>
      <c r="AM229" s="12">
        <f>AL229</f>
        <v>0</v>
      </c>
      <c r="AN229" s="12">
        <f>AM229</f>
        <v>0</v>
      </c>
      <c r="AO229" s="12">
        <f>AN229</f>
        <v>0</v>
      </c>
      <c r="AP229" s="12">
        <f>AO229</f>
        <v>0</v>
      </c>
      <c r="AQ229" s="12">
        <f>AP229</f>
        <v>0</v>
      </c>
      <c r="AR229" s="12">
        <f>AQ229</f>
        <v>0</v>
      </c>
      <c r="AS229" s="12">
        <f>AR229</f>
        <v>0</v>
      </c>
      <c r="AT229" s="12">
        <f>AS229</f>
        <v>0</v>
      </c>
      <c r="AU229" s="12">
        <f>AT229</f>
        <v>0</v>
      </c>
      <c r="AV229" s="12">
        <f>AU229</f>
        <v>0</v>
      </c>
      <c r="AW229" s="12">
        <f>AV229</f>
        <v>0</v>
      </c>
      <c r="AX229" s="12">
        <f>AW229</f>
        <v>0</v>
      </c>
      <c r="AY229" s="12">
        <f>AX229</f>
        <v>0</v>
      </c>
      <c r="AZ229" s="12">
        <f>AY229</f>
        <v>0</v>
      </c>
      <c r="BA229" s="12">
        <f>AZ229</f>
        <v>0</v>
      </c>
      <c r="BB229" s="12">
        <f>BA229</f>
        <v>0</v>
      </c>
      <c r="BC229" s="12">
        <f>BB229</f>
        <v>0</v>
      </c>
      <c r="BD229" s="12">
        <f>BC229</f>
        <v>0</v>
      </c>
      <c r="BE229" s="12">
        <f>BD229</f>
        <v>0</v>
      </c>
      <c r="BF229" s="12">
        <f>BE229</f>
        <v>0</v>
      </c>
      <c r="BG229" s="12" t="n"/>
      <c r="BH229" s="12" t="n"/>
      <c r="BI229" s="12" t="n"/>
      <c r="BJ229" s="12" t="n"/>
      <c r="BK229" s="12" t="n"/>
      <c r="BL229" s="12" t="n"/>
      <c r="BM229" s="12" t="n"/>
      <c r="BN229" s="12" t="n"/>
      <c r="BO229" s="12" t="n"/>
      <c r="BP229" s="12" t="n"/>
      <c r="BQ229" s="12" t="n"/>
      <c r="BR229" s="12" t="n"/>
      <c r="BS229" s="12" t="n"/>
      <c r="BT229" s="12" t="n"/>
      <c r="BU229" s="12" t="n"/>
      <c r="BV229" s="12" t="n"/>
      <c r="BW229" s="12" t="n"/>
      <c r="BX229" s="12" t="n"/>
      <c r="BY229" s="12" t="n"/>
      <c r="BZ229" s="12" t="n"/>
      <c r="CA229" s="12" t="n"/>
      <c r="CB229" s="12" t="n"/>
      <c r="CC229" s="12" t="n"/>
      <c r="CD229" s="12" t="n"/>
      <c r="CE229" s="12" t="n"/>
      <c r="CF229" s="12" t="n"/>
      <c r="CG229" s="12" t="n"/>
      <c r="CH229" s="12" t="n"/>
      <c r="CI229" s="12" t="n"/>
      <c r="CJ229" s="12" t="n"/>
      <c r="CK229" s="12" t="n"/>
      <c r="CL229" s="12" t="n"/>
      <c r="CM229" s="12" t="n"/>
      <c r="CN229" s="12" t="n"/>
      <c r="CO229" s="12" t="n"/>
      <c r="CP229" s="12" t="n"/>
      <c r="CQ229" s="12" t="n"/>
      <c r="CR229" s="12" t="n"/>
      <c r="CS229" s="12" t="n"/>
      <c r="CT229" s="12" t="n"/>
      <c r="CU229" s="12" t="n"/>
      <c r="CV229" s="12" t="n"/>
      <c r="CW229" s="12" t="n"/>
      <c r="CX229" s="12" t="n"/>
      <c r="CY229" s="12" t="n"/>
    </row>
    <row r="230" hidden="1" outlineLevel="1">
      <c r="C230" s="59" t="inlineStr">
        <is>
          <t>%(Var.)</t>
        </is>
      </c>
      <c r="D230" s="12" t="n"/>
      <c r="E230" s="40" t="n"/>
      <c r="F230" s="40" t="n"/>
      <c r="G230" s="40" t="n"/>
      <c r="H230" s="12" t="n"/>
      <c r="I230" s="40" t="str">
        <f>""</f>
        <v/>
      </c>
      <c r="J230" s="40" t="str">
        <f>IFERROR(IF(I229=0,"",J229/I229-1),"")</f>
        <v/>
      </c>
      <c r="K230" s="40" t="str">
        <f>IFERROR(IF(J229=0,"",K229/J229-1),"")</f>
        <v/>
      </c>
      <c r="L230" s="40" t="str">
        <f>IFERROR(IF(K229=0,"",L229/K229-1),"")</f>
        <v/>
      </c>
      <c r="M230" s="12" t="str">
        <f>IF(L229=0,"",M229/L229-1)</f>
        <v/>
      </c>
      <c r="N230" s="40" t="str">
        <f>IFERROR(IF(M229=0,"",N229/M229-1),"")</f>
        <v/>
      </c>
      <c r="O230" s="40" t="str">
        <f>IFERROR(IF(N229=0,"",O229/N229-1),"")</f>
        <v/>
      </c>
      <c r="P230" s="40" t="str">
        <f>IFERROR(IF(O229=0,"",P229/O229-1),"")</f>
        <v/>
      </c>
      <c r="Q230" s="40" t="str">
        <f>IFERROR(IF(P229=0,"",Q229/P229-1),"")</f>
        <v/>
      </c>
      <c r="R230" s="12" t="str">
        <f>IF(Q229=0,"",R229/Q229-1)</f>
        <v/>
      </c>
      <c r="S230" s="40" t="str">
        <f>IFERROR(IF(R229=0,"",S229/R229-1),"")</f>
        <v/>
      </c>
      <c r="T230" s="40" t="str">
        <f>IFERROR(IF(S229=0,"",T229/S229-1),"")</f>
        <v/>
      </c>
      <c r="U230" s="40" t="str">
        <f>IFERROR(IF(T229=0,"",U229/T229-1),"")</f>
        <v/>
      </c>
      <c r="V230" s="40" t="str">
        <f>IFERROR(IF(U229=0,"",V229/U229-1),"")</f>
        <v/>
      </c>
      <c r="W230" s="12" t="str">
        <f>IF(V229=0,"",W229/V229-1)</f>
        <v/>
      </c>
      <c r="X230" s="40" t="str">
        <f>IFERROR(IF(W229=0,"",X229/W229-1),"")</f>
        <v/>
      </c>
      <c r="Y230" s="40" t="str">
        <f>IFERROR(IF(X229=0,"",Y229/X229-1),"")</f>
        <v/>
      </c>
      <c r="Z230" s="40" t="str">
        <f>IFERROR(IF(Y229=0,"",Z229/Y229-1),"")</f>
        <v/>
      </c>
      <c r="AA230" s="40" t="str">
        <f>IFERROR(IF(Z229=0,"",AA229/Z229-1),"")</f>
        <v/>
      </c>
      <c r="AB230" s="12" t="str">
        <f>IF(AA229=0,"",AB229/AA229-1)</f>
        <v/>
      </c>
      <c r="AC230" s="40" t="str">
        <f>IFERROR(IF(AB229=0,"",AC229/AB229-1),"")</f>
        <v/>
      </c>
      <c r="AD230" s="40" t="str">
        <f>IFERROR(IF(AC229=0,"",AD229/AC229-1),"")</f>
        <v/>
      </c>
      <c r="AE230" s="40" t="str">
        <f>IFERROR(IF(AD229=0,"",AE229/AD229-1),"")</f>
        <v/>
      </c>
      <c r="AF230" s="41" t="str">
        <f>IFERROR(IF(AE229=0,"",AF229/AE229-1),"")</f>
        <v/>
      </c>
      <c r="AG230" s="12" t="str">
        <f>IF(AF229=0,"",AG229/AF229-1)</f>
        <v/>
      </c>
      <c r="AH230" s="11" t="str">
        <f>IFERROR(IF(AG229=0,"",AH229/AG229-1),"")</f>
        <v/>
      </c>
      <c r="AI230" s="11" t="str">
        <f>IFERROR(IF(AH229=0,"",AI229/AH229-1),"")</f>
        <v/>
      </c>
      <c r="AJ230" s="11" t="str">
        <f>IFERROR(IF(AI229=0,"",AJ229/AI229-1),"")</f>
        <v/>
      </c>
      <c r="AK230" s="11" t="str">
        <f>IFERROR(IF(AJ229=0,"",AK229/AJ229-1),"")</f>
        <v/>
      </c>
      <c r="AL230" s="12" t="str">
        <f>IFERROR(IF(AK229=0,"",AL229/AK229-1),"")</f>
        <v/>
      </c>
      <c r="AM230" s="11" t="str">
        <f>IFERROR(IF(AL229=0,"",AM229/AL229-1),"")</f>
        <v/>
      </c>
      <c r="AN230" s="11" t="str">
        <f>IFERROR(IF(AM229=0,"",AN229/AM229-1),"")</f>
        <v/>
      </c>
      <c r="AO230" s="11" t="str">
        <f>IFERROR(IF(AN229=0,"",AO229/AN229-1),"")</f>
        <v/>
      </c>
      <c r="AP230" s="11" t="str">
        <f>IFERROR(IF(AO229=0,"",AP229/AO229-1),"")</f>
        <v/>
      </c>
      <c r="AQ230" s="12" t="str">
        <f>IFERROR(IF(AP229=0,"",AQ229/AP229-1),"")</f>
        <v/>
      </c>
      <c r="AR230" s="11" t="str">
        <f>IFERROR(IF(AQ229=0,"",AR229/AQ229-1),"")</f>
        <v/>
      </c>
      <c r="AS230" s="11" t="str">
        <f>IFERROR(IF(AR229=0,"",AS229/AR229-1),"")</f>
        <v/>
      </c>
      <c r="AT230" s="11" t="str">
        <f>IFERROR(IF(AS229=0,"",AT229/AS229-1),"")</f>
        <v/>
      </c>
      <c r="AU230" s="11" t="str">
        <f>IFERROR(IF(AT229=0,"",AU229/AT229-1),"")</f>
        <v/>
      </c>
      <c r="AV230" s="12" t="str">
        <f>IFERROR(IF(AU229=0,"",AV229/AU229-1),"")</f>
        <v/>
      </c>
      <c r="AW230" s="11" t="str">
        <f>IFERROR(IF(AV229=0,"",AW229/AV229-1),"")</f>
        <v/>
      </c>
      <c r="AX230" s="11" t="str">
        <f>IFERROR(IF(AW229=0,"",AX229/AW229-1),"")</f>
        <v/>
      </c>
      <c r="AY230" s="11" t="str">
        <f>IFERROR(IF(AX229=0,"",AY229/AX229-1),"")</f>
        <v/>
      </c>
      <c r="AZ230" s="11" t="str">
        <f>IFERROR(IF(AY229=0,"",AZ229/AY229-1),"")</f>
        <v/>
      </c>
      <c r="BA230" s="12" t="str">
        <f>IFERROR(IF(AZ229=0,"",BA229/AZ229-1),"")</f>
        <v/>
      </c>
      <c r="BB230" s="11" t="str">
        <f>IFERROR(IF(BA229=0,"",BB229/BA229-1),"")</f>
        <v/>
      </c>
      <c r="BC230" s="11" t="str">
        <f>IFERROR(IF(BB229=0,"",BC229/BB229-1),"")</f>
        <v/>
      </c>
      <c r="BD230" s="11" t="str">
        <f>IFERROR(IF(BC229=0,"",BD229/BC229-1),"")</f>
        <v/>
      </c>
      <c r="BE230" s="11" t="str">
        <f>IFERROR(IF(BD229=0,"",BE229/BD229-1),"")</f>
        <v/>
      </c>
      <c r="BF230" s="12" t="str">
        <f>IFERROR(IF(BE229=0,"",BF229/BE229-1),"")</f>
        <v/>
      </c>
      <c r="BG230" s="11" t="n"/>
      <c r="BH230" s="11" t="n"/>
      <c r="BI230" s="11" t="n"/>
      <c r="BJ230" s="11" t="n"/>
      <c r="BK230" s="12" t="n"/>
      <c r="BL230" s="11" t="n"/>
      <c r="BM230" s="11" t="n"/>
      <c r="BN230" s="11" t="n"/>
      <c r="BO230" s="11" t="n"/>
      <c r="BP230" s="12" t="n"/>
      <c r="BQ230" s="11" t="n"/>
      <c r="BR230" s="11" t="n"/>
      <c r="BS230" s="11" t="n"/>
      <c r="BT230" s="11" t="n"/>
      <c r="BU230" s="12" t="n"/>
      <c r="BV230" s="11" t="n"/>
      <c r="BW230" s="11" t="n"/>
      <c r="BX230" s="11" t="n"/>
      <c r="BY230" s="11" t="n"/>
      <c r="BZ230" s="12" t="n"/>
      <c r="CA230" s="11" t="n"/>
      <c r="CB230" s="11" t="n"/>
      <c r="CC230" s="11" t="n"/>
      <c r="CD230" s="11" t="n"/>
      <c r="CE230" s="12" t="n"/>
      <c r="CF230" s="11" t="n"/>
      <c r="CG230" s="11" t="n"/>
      <c r="CH230" s="11" t="n"/>
      <c r="CI230" s="11" t="n"/>
      <c r="CJ230" s="12" t="n"/>
      <c r="CK230" s="11" t="n"/>
      <c r="CL230" s="11" t="n"/>
      <c r="CM230" s="11" t="n"/>
      <c r="CN230" s="11" t="n"/>
      <c r="CO230" s="12" t="n"/>
      <c r="CP230" s="11" t="n"/>
      <c r="CQ230" s="11" t="n"/>
      <c r="CR230" s="11" t="n"/>
      <c r="CS230" s="11" t="n"/>
      <c r="CT230" s="12" t="n"/>
      <c r="CU230" s="11" t="n"/>
      <c r="CV230" s="11" t="n"/>
      <c r="CW230" s="11" t="n"/>
      <c r="CX230" s="11" t="n"/>
      <c r="CY230" s="12" t="n"/>
    </row>
    <row r="231" hidden="1" outlineLevel="1">
      <c r="C231" s="57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  <c r="AJ231" s="12" t="n"/>
      <c r="AK231" s="12" t="n"/>
      <c r="AL231" s="12" t="n"/>
      <c r="AM231" s="12" t="n"/>
      <c r="AN231" s="12" t="n"/>
      <c r="AO231" s="12" t="n"/>
      <c r="AP231" s="12" t="n"/>
      <c r="AQ231" s="12" t="n"/>
      <c r="AR231" s="12" t="n"/>
      <c r="AS231" s="12" t="n"/>
      <c r="AT231" s="12" t="n"/>
      <c r="AU231" s="12" t="n"/>
      <c r="AV231" s="12" t="n"/>
      <c r="AW231" s="12" t="n"/>
      <c r="AX231" s="12" t="n"/>
      <c r="AY231" s="12" t="n"/>
      <c r="AZ231" s="12" t="n"/>
      <c r="BA231" s="12" t="n"/>
      <c r="BB231" s="12" t="n"/>
      <c r="BC231" s="12" t="n"/>
      <c r="BD231" s="12" t="n"/>
      <c r="BE231" s="12" t="n"/>
      <c r="BF231" s="12" t="n"/>
      <c r="BG231" s="12" t="n"/>
      <c r="BH231" s="12" t="n"/>
      <c r="BI231" s="12" t="n"/>
      <c r="BJ231" s="12" t="n"/>
      <c r="BK231" s="12" t="n"/>
      <c r="BL231" s="12" t="n"/>
      <c r="BM231" s="12" t="n"/>
      <c r="BN231" s="12" t="n"/>
      <c r="BO231" s="12" t="n"/>
      <c r="BP231" s="12" t="n"/>
      <c r="BQ231" s="12" t="n"/>
      <c r="BR231" s="12" t="n"/>
      <c r="BS231" s="12" t="n"/>
      <c r="BT231" s="12" t="n"/>
      <c r="BU231" s="12" t="n"/>
      <c r="BV231" s="12" t="n"/>
      <c r="BW231" s="12" t="n"/>
      <c r="BX231" s="12" t="n"/>
      <c r="BY231" s="12" t="n"/>
      <c r="BZ231" s="12" t="n"/>
      <c r="CA231" s="12" t="n"/>
      <c r="CB231" s="12" t="n"/>
      <c r="CC231" s="12" t="n"/>
      <c r="CD231" s="12" t="n"/>
      <c r="CE231" s="12" t="n"/>
      <c r="CF231" s="12" t="n"/>
      <c r="CG231" s="12" t="n"/>
      <c r="CH231" s="12" t="n"/>
      <c r="CI231" s="12" t="n"/>
      <c r="CJ231" s="12" t="n"/>
      <c r="CK231" s="12" t="n"/>
      <c r="CL231" s="12" t="n"/>
      <c r="CM231" s="12" t="n"/>
      <c r="CN231" s="12" t="n"/>
      <c r="CO231" s="12" t="n"/>
      <c r="CP231" s="12" t="n"/>
      <c r="CQ231" s="12" t="n"/>
      <c r="CR231" s="12" t="n"/>
      <c r="CS231" s="12" t="n"/>
      <c r="CT231" s="12" t="n"/>
      <c r="CU231" s="12" t="n"/>
      <c r="CV231" s="12" t="n"/>
      <c r="CW231" s="12" t="n"/>
      <c r="CX231" s="12" t="n"/>
      <c r="CY231" s="12" t="n"/>
    </row>
    <row r="232" collapsed="1">
      <c r="C232" s="14" t="inlineStr">
        <is>
          <t>Convertible debt</t>
        </is>
      </c>
      <c r="D232" s="46" t="n"/>
      <c r="E232" s="46" t="n"/>
      <c r="F232" s="46" t="n"/>
      <c r="G232" s="46" t="n"/>
      <c r="H232" s="12" t="n"/>
      <c r="I232" s="46">
        <f>'Inputs (2)'!D37</f>
        <v>0</v>
      </c>
      <c r="J232" s="46">
        <f>'Inputs (2)'!E37</f>
        <v>0</v>
      </c>
      <c r="K232" s="46">
        <f>'Inputs (2)'!F37</f>
        <v>0</v>
      </c>
      <c r="L232" s="46">
        <f>'Inputs (2)'!G37</f>
        <v>0</v>
      </c>
      <c r="M232" s="12">
        <f>'Inputs (2)'!H37</f>
        <v>0</v>
      </c>
      <c r="N232" s="46">
        <f>'Inputs (2)'!I37</f>
        <v>0</v>
      </c>
      <c r="O232" s="46">
        <f>'Inputs (2)'!J37</f>
        <v>0</v>
      </c>
      <c r="P232" s="46">
        <f>'Inputs (2)'!K37</f>
        <v>0</v>
      </c>
      <c r="Q232" s="46">
        <f>'Inputs (2)'!L37</f>
        <v>0</v>
      </c>
      <c r="R232" s="12">
        <f>'Inputs (2)'!M37</f>
        <v>0</v>
      </c>
      <c r="S232" s="46">
        <f>'Inputs (2)'!N37</f>
        <v>0</v>
      </c>
      <c r="T232" s="46">
        <f>'Inputs (2)'!O37</f>
        <v>0</v>
      </c>
      <c r="U232" s="46">
        <f>'Inputs (2)'!P37</f>
        <v>0</v>
      </c>
      <c r="V232" s="46">
        <f>'Inputs (2)'!Q37</f>
        <v>0</v>
      </c>
      <c r="W232" s="12">
        <f>'Inputs (2)'!R37</f>
        <v>0</v>
      </c>
      <c r="X232" s="46">
        <f>'Inputs (2)'!S37</f>
        <v>0</v>
      </c>
      <c r="Y232" s="46">
        <f>'Inputs (2)'!T37</f>
        <v>0</v>
      </c>
      <c r="Z232" s="46">
        <f>'Inputs (2)'!U37</f>
        <v>0</v>
      </c>
      <c r="AA232" s="46">
        <f>'Inputs (2)'!V37</f>
        <v>0</v>
      </c>
      <c r="AB232" s="12">
        <f>'Inputs (2)'!W37</f>
        <v>0</v>
      </c>
      <c r="AC232" s="46">
        <f>'Inputs (2)'!X37</f>
        <v>0</v>
      </c>
      <c r="AD232" s="46">
        <f>'Inputs (2)'!Y37</f>
        <v>0</v>
      </c>
      <c r="AE232" s="46">
        <f>'Inputs (2)'!Z37</f>
        <v>0</v>
      </c>
      <c r="AF232" s="46">
        <f>'Inputs (2)'!AA37</f>
        <v>0</v>
      </c>
      <c r="AG232" s="12">
        <f>'Inputs (2)'!AB37</f>
        <v>0</v>
      </c>
      <c r="AH232" s="12">
        <f>'Inputs (2)'!AC37</f>
        <v>0</v>
      </c>
      <c r="AI232" s="12">
        <f>'Inputs (2)'!AD37</f>
        <v>0</v>
      </c>
      <c r="AJ232" s="12">
        <f>AI232</f>
        <v>0</v>
      </c>
      <c r="AK232" s="12">
        <f>AJ232</f>
        <v>0</v>
      </c>
      <c r="AL232" s="12">
        <f>AK232</f>
        <v>0</v>
      </c>
      <c r="AM232" s="12">
        <f>AL232</f>
        <v>0</v>
      </c>
      <c r="AN232" s="12">
        <f>AM232</f>
        <v>0</v>
      </c>
      <c r="AO232" s="12">
        <f>AN232</f>
        <v>0</v>
      </c>
      <c r="AP232" s="12">
        <f>AO232</f>
        <v>0</v>
      </c>
      <c r="AQ232" s="12">
        <f>AP232</f>
        <v>0</v>
      </c>
      <c r="AR232" s="12">
        <f>AQ232</f>
        <v>0</v>
      </c>
      <c r="AS232" s="12">
        <f>AR232</f>
        <v>0</v>
      </c>
      <c r="AT232" s="12">
        <f>AS232</f>
        <v>0</v>
      </c>
      <c r="AU232" s="12">
        <f>AT232</f>
        <v>0</v>
      </c>
      <c r="AV232" s="12">
        <f>AU232</f>
        <v>0</v>
      </c>
      <c r="AW232" s="12">
        <f>AV232</f>
        <v>0</v>
      </c>
      <c r="AX232" s="12">
        <f>AW232</f>
        <v>0</v>
      </c>
      <c r="AY232" s="12">
        <f>AX232</f>
        <v>0</v>
      </c>
      <c r="AZ232" s="12">
        <f>AY232</f>
        <v>0</v>
      </c>
      <c r="BA232" s="12">
        <f>AZ232</f>
        <v>0</v>
      </c>
      <c r="BB232" s="12">
        <f>BA232</f>
        <v>0</v>
      </c>
      <c r="BC232" s="12">
        <f>BB232</f>
        <v>0</v>
      </c>
      <c r="BD232" s="12">
        <f>BC232</f>
        <v>0</v>
      </c>
      <c r="BE232" s="12">
        <f>BD232</f>
        <v>0</v>
      </c>
      <c r="BF232" s="12">
        <f>BE232</f>
        <v>0</v>
      </c>
      <c r="BG232" s="12" t="n"/>
      <c r="BH232" s="12" t="n"/>
      <c r="BI232" s="12" t="n"/>
      <c r="BJ232" s="12" t="n"/>
      <c r="BK232" s="12" t="n"/>
      <c r="BL232" s="12" t="n"/>
      <c r="BM232" s="12" t="n"/>
      <c r="BN232" s="12" t="n"/>
      <c r="BO232" s="12" t="n"/>
      <c r="BP232" s="12" t="n"/>
      <c r="BQ232" s="12" t="n"/>
      <c r="BR232" s="12" t="n"/>
      <c r="BS232" s="12" t="n"/>
      <c r="BT232" s="12" t="n"/>
      <c r="BU232" s="12" t="n"/>
      <c r="BV232" s="12" t="n"/>
      <c r="BW232" s="12" t="n"/>
      <c r="BX232" s="12" t="n"/>
      <c r="BY232" s="12" t="n"/>
      <c r="BZ232" s="12" t="n"/>
      <c r="CA232" s="12" t="n"/>
      <c r="CB232" s="12" t="n"/>
      <c r="CC232" s="12" t="n"/>
      <c r="CD232" s="12" t="n"/>
      <c r="CE232" s="12" t="n"/>
      <c r="CF232" s="12" t="n"/>
      <c r="CG232" s="12" t="n"/>
      <c r="CH232" s="12" t="n"/>
      <c r="CI232" s="12" t="n"/>
      <c r="CJ232" s="12" t="n"/>
      <c r="CK232" s="12" t="n"/>
      <c r="CL232" s="12" t="n"/>
      <c r="CM232" s="12" t="n"/>
      <c r="CN232" s="12" t="n"/>
      <c r="CO232" s="12" t="n"/>
      <c r="CP232" s="12" t="n"/>
      <c r="CQ232" s="12" t="n"/>
      <c r="CR232" s="12" t="n"/>
      <c r="CS232" s="12" t="n"/>
      <c r="CT232" s="12" t="n"/>
      <c r="CU232" s="12" t="n"/>
      <c r="CV232" s="12" t="n"/>
      <c r="CW232" s="12" t="n"/>
      <c r="CX232" s="12" t="n"/>
      <c r="CY232" s="12" t="n"/>
    </row>
    <row r="233">
      <c r="C233" s="14" t="inlineStr">
        <is>
          <t>Deferred income taxes</t>
        </is>
      </c>
      <c r="D233" s="46" t="n"/>
      <c r="E233" s="46" t="n"/>
      <c r="F233" s="46" t="n"/>
      <c r="G233" s="46" t="n"/>
      <c r="H233" s="12" t="n"/>
      <c r="I233" s="46">
        <f>'Inputs (2)'!D38</f>
        <v>0</v>
      </c>
      <c r="J233" s="46">
        <f>'Inputs (2)'!E38</f>
        <v>0</v>
      </c>
      <c r="K233" s="46">
        <f>'Inputs (2)'!F38</f>
        <v>0</v>
      </c>
      <c r="L233" s="46">
        <f>'Inputs (2)'!G38</f>
        <v>0</v>
      </c>
      <c r="M233" s="12">
        <f>'Inputs (2)'!H38</f>
        <v>0</v>
      </c>
      <c r="N233" s="46">
        <f>'Inputs (2)'!I38</f>
        <v>0</v>
      </c>
      <c r="O233" s="46">
        <f>'Inputs (2)'!J38</f>
        <v>0</v>
      </c>
      <c r="P233" s="46">
        <f>'Inputs (2)'!K38</f>
        <v>0</v>
      </c>
      <c r="Q233" s="46">
        <f>'Inputs (2)'!L38</f>
        <v>0</v>
      </c>
      <c r="R233" s="12">
        <f>'Inputs (2)'!M38</f>
        <v>0</v>
      </c>
      <c r="S233" s="46">
        <f>'Inputs (2)'!N38</f>
        <v>0</v>
      </c>
      <c r="T233" s="46">
        <f>'Inputs (2)'!O38</f>
        <v>0</v>
      </c>
      <c r="U233" s="46">
        <f>'Inputs (2)'!P38</f>
        <v>0</v>
      </c>
      <c r="V233" s="46">
        <f>'Inputs (2)'!Q38</f>
        <v>0</v>
      </c>
      <c r="W233" s="12">
        <f>'Inputs (2)'!R38</f>
        <v>0</v>
      </c>
      <c r="X233" s="46">
        <f>'Inputs (2)'!S38</f>
        <v>0</v>
      </c>
      <c r="Y233" s="46">
        <f>'Inputs (2)'!T38</f>
        <v>0</v>
      </c>
      <c r="Z233" s="46">
        <f>'Inputs (2)'!U38</f>
        <v>0</v>
      </c>
      <c r="AA233" s="46">
        <f>'Inputs (2)'!V38</f>
        <v>0</v>
      </c>
      <c r="AB233" s="12">
        <f>'Inputs (2)'!W38</f>
        <v>0</v>
      </c>
      <c r="AC233" s="46">
        <f>'Inputs (2)'!X38</f>
        <v>0</v>
      </c>
      <c r="AD233" s="46">
        <f>'Inputs (2)'!Y38</f>
        <v>0</v>
      </c>
      <c r="AE233" s="46">
        <f>'Inputs (2)'!Z38</f>
        <v>0</v>
      </c>
      <c r="AF233" s="46">
        <f>'Inputs (2)'!AA38</f>
        <v>0</v>
      </c>
      <c r="AG233" s="12">
        <f>'Inputs (2)'!AB38</f>
        <v>0</v>
      </c>
      <c r="AH233" s="12">
        <f>'Inputs (2)'!AC38</f>
        <v>0</v>
      </c>
      <c r="AI233" s="12">
        <f>'Inputs (2)'!AD38</f>
        <v>0</v>
      </c>
      <c r="AJ233" s="12">
        <f>AI233</f>
        <v>0</v>
      </c>
      <c r="AK233" s="12">
        <f>AJ233</f>
        <v>0</v>
      </c>
      <c r="AL233" s="12">
        <f>AK233</f>
        <v>0</v>
      </c>
      <c r="AM233" s="12">
        <f>AL233</f>
        <v>0</v>
      </c>
      <c r="AN233" s="12">
        <f>AM233</f>
        <v>0</v>
      </c>
      <c r="AO233" s="12">
        <f>AN233</f>
        <v>0</v>
      </c>
      <c r="AP233" s="12">
        <f>AO233</f>
        <v>0</v>
      </c>
      <c r="AQ233" s="12">
        <f>AP233</f>
        <v>0</v>
      </c>
      <c r="AR233" s="12">
        <f>AQ233</f>
        <v>0</v>
      </c>
      <c r="AS233" s="12">
        <f>AR233</f>
        <v>0</v>
      </c>
      <c r="AT233" s="12">
        <f>AS233</f>
        <v>0</v>
      </c>
      <c r="AU233" s="12">
        <f>AT233</f>
        <v>0</v>
      </c>
      <c r="AV233" s="12">
        <f>AU233</f>
        <v>0</v>
      </c>
      <c r="AW233" s="12">
        <f>AV233</f>
        <v>0</v>
      </c>
      <c r="AX233" s="12">
        <f>AW233</f>
        <v>0</v>
      </c>
      <c r="AY233" s="12">
        <f>AX233</f>
        <v>0</v>
      </c>
      <c r="AZ233" s="12">
        <f>AY233</f>
        <v>0</v>
      </c>
      <c r="BA233" s="12">
        <f>AZ233</f>
        <v>0</v>
      </c>
      <c r="BB233" s="12">
        <f>BA233</f>
        <v>0</v>
      </c>
      <c r="BC233" s="12">
        <f>BB233</f>
        <v>0</v>
      </c>
      <c r="BD233" s="12">
        <f>BC233</f>
        <v>0</v>
      </c>
      <c r="BE233" s="12">
        <f>BD233</f>
        <v>0</v>
      </c>
      <c r="BF233" s="12">
        <f>BE233</f>
        <v>0</v>
      </c>
      <c r="BG233" s="12" t="n"/>
      <c r="BH233" s="12" t="n"/>
      <c r="BI233" s="12" t="n"/>
      <c r="BJ233" s="12" t="n"/>
      <c r="BK233" s="12" t="n"/>
      <c r="BL233" s="12" t="n"/>
      <c r="BM233" s="12" t="n"/>
      <c r="BN233" s="12" t="n"/>
      <c r="BO233" s="12" t="n"/>
      <c r="BP233" s="12" t="n"/>
      <c r="BQ233" s="12" t="n"/>
      <c r="BR233" s="12" t="n"/>
      <c r="BS233" s="12" t="n"/>
      <c r="BT233" s="12" t="n"/>
      <c r="BU233" s="12" t="n"/>
      <c r="BV233" s="12" t="n"/>
      <c r="BW233" s="12" t="n"/>
      <c r="BX233" s="12" t="n"/>
      <c r="BY233" s="12" t="n"/>
      <c r="BZ233" s="12" t="n"/>
      <c r="CA233" s="12" t="n"/>
      <c r="CB233" s="12" t="n"/>
      <c r="CC233" s="12" t="n"/>
      <c r="CD233" s="12" t="n"/>
      <c r="CE233" s="12" t="n"/>
      <c r="CF233" s="12" t="n"/>
      <c r="CG233" s="12" t="n"/>
      <c r="CH233" s="12" t="n"/>
      <c r="CI233" s="12" t="n"/>
      <c r="CJ233" s="12" t="n"/>
      <c r="CK233" s="12" t="n"/>
      <c r="CL233" s="12" t="n"/>
      <c r="CM233" s="12" t="n"/>
      <c r="CN233" s="12" t="n"/>
      <c r="CO233" s="12" t="n"/>
      <c r="CP233" s="12" t="n"/>
      <c r="CQ233" s="12" t="n"/>
      <c r="CR233" s="12" t="n"/>
      <c r="CS233" s="12" t="n"/>
      <c r="CT233" s="12" t="n"/>
      <c r="CU233" s="12" t="n"/>
      <c r="CV233" s="12" t="n"/>
      <c r="CW233" s="12" t="n"/>
      <c r="CX233" s="12" t="n"/>
      <c r="CY233" s="12" t="n"/>
    </row>
    <row r="234">
      <c r="C234" s="14" t="inlineStr">
        <is>
          <t>Other non-current liabilities</t>
        </is>
      </c>
      <c r="D234" s="46" t="n"/>
      <c r="E234" s="46" t="n"/>
      <c r="F234" s="46" t="n"/>
      <c r="G234" s="46" t="n"/>
      <c r="H234" s="12" t="n"/>
      <c r="I234" s="46">
        <f>'Inputs (2)'!D39</f>
        <v>13630</v>
      </c>
      <c r="J234" s="46">
        <f>'Inputs (2)'!E39</f>
        <v>12525</v>
      </c>
      <c r="K234" s="46">
        <f>'Inputs (2)'!F39</f>
        <v>11289</v>
      </c>
      <c r="L234" s="46">
        <f>'Inputs (2)'!G39</f>
        <v>10843</v>
      </c>
      <c r="M234" s="12">
        <f>'Inputs (2)'!H39</f>
        <v>10843</v>
      </c>
      <c r="N234" s="46">
        <f>'Inputs (2)'!I39</f>
        <v>9177</v>
      </c>
      <c r="O234" s="46">
        <f>'Inputs (2)'!J39</f>
        <v>9034</v>
      </c>
      <c r="P234" s="46">
        <f>'Inputs (2)'!K39</f>
        <v>8691</v>
      </c>
      <c r="Q234" s="46">
        <f>'Inputs (2)'!L39</f>
        <v>9731</v>
      </c>
      <c r="R234" s="12">
        <f>'Inputs (2)'!M39</f>
        <v>9731</v>
      </c>
      <c r="S234" s="46">
        <f>'Inputs (2)'!N39</f>
        <v>10162</v>
      </c>
      <c r="T234" s="46">
        <f>'Inputs (2)'!O39</f>
        <v>10817</v>
      </c>
      <c r="U234" s="46">
        <f>'Inputs (2)'!P39</f>
        <v>12806</v>
      </c>
      <c r="V234" s="46">
        <f>'Inputs (2)'!Q39</f>
        <v>14261</v>
      </c>
      <c r="W234" s="12">
        <f>'Inputs (2)'!R39</f>
        <v>14261</v>
      </c>
      <c r="X234" s="46">
        <f>'Inputs (2)'!S39</f>
        <v>14593</v>
      </c>
      <c r="Y234" s="46">
        <f>'Inputs (2)'!T39</f>
        <v>17840</v>
      </c>
      <c r="Z234" s="46">
        <f>'Inputs (2)'!U39</f>
        <v>18565</v>
      </c>
      <c r="AA234" s="46">
        <f>'Inputs (2)'!V39</f>
        <v>19569</v>
      </c>
      <c r="AB234" s="12">
        <f>'Inputs (2)'!W39</f>
        <v>19569</v>
      </c>
      <c r="AC234" s="46">
        <f>'Inputs (2)'!X39</f>
        <v>19940</v>
      </c>
      <c r="AD234" s="46">
        <f>'Inputs (2)'!Y39</f>
        <v>20487</v>
      </c>
      <c r="AE234" s="46">
        <f>'Inputs (2)'!Z39</f>
        <v>21729</v>
      </c>
      <c r="AF234" s="46">
        <f>'Inputs (2)'!AA39</f>
        <v>23227</v>
      </c>
      <c r="AG234" s="12">
        <f>'Inputs (2)'!AB39</f>
        <v>23227</v>
      </c>
      <c r="AH234" s="12">
        <f>'Inputs (2)'!AC39</f>
        <v>24784</v>
      </c>
      <c r="AI234" s="12">
        <f>'Inputs (2)'!AD39</f>
        <v>25580</v>
      </c>
      <c r="AJ234" s="12">
        <f>AI234</f>
        <v>25580</v>
      </c>
      <c r="AK234" s="12">
        <f>AJ234</f>
        <v>25580</v>
      </c>
      <c r="AL234" s="12">
        <f>AK234</f>
        <v>25580</v>
      </c>
      <c r="AM234" s="12">
        <f>AL234</f>
        <v>25580</v>
      </c>
      <c r="AN234" s="12">
        <f>AM234</f>
        <v>25580</v>
      </c>
      <c r="AO234" s="12">
        <f>AN234</f>
        <v>25580</v>
      </c>
      <c r="AP234" s="12">
        <f>AO234</f>
        <v>25580</v>
      </c>
      <c r="AQ234" s="12">
        <f>AP234</f>
        <v>25580</v>
      </c>
      <c r="AR234" s="12">
        <f>AQ234</f>
        <v>25580</v>
      </c>
      <c r="AS234" s="12">
        <f>AR234</f>
        <v>25580</v>
      </c>
      <c r="AT234" s="12">
        <f>AS234</f>
        <v>25580</v>
      </c>
      <c r="AU234" s="12">
        <f>AT234</f>
        <v>25580</v>
      </c>
      <c r="AV234" s="12">
        <f>AU234</f>
        <v>25580</v>
      </c>
      <c r="AW234" s="12">
        <f>AV234</f>
        <v>25580</v>
      </c>
      <c r="AX234" s="12">
        <f>AW234</f>
        <v>25580</v>
      </c>
      <c r="AY234" s="12">
        <f>AX234</f>
        <v>25580</v>
      </c>
      <c r="AZ234" s="12">
        <f>AY234</f>
        <v>25580</v>
      </c>
      <c r="BA234" s="12">
        <f>AZ234</f>
        <v>25580</v>
      </c>
      <c r="BB234" s="12">
        <f>BA234</f>
        <v>25580</v>
      </c>
      <c r="BC234" s="12">
        <f>BB234</f>
        <v>25580</v>
      </c>
      <c r="BD234" s="12">
        <f>BC234</f>
        <v>25580</v>
      </c>
      <c r="BE234" s="12">
        <f>BD234</f>
        <v>25580</v>
      </c>
      <c r="BF234" s="12">
        <f>BE234</f>
        <v>25580</v>
      </c>
      <c r="BG234" s="12" t="n"/>
      <c r="BH234" s="12" t="n"/>
      <c r="BI234" s="12" t="n"/>
      <c r="BJ234" s="12" t="n"/>
      <c r="BK234" s="12" t="n"/>
      <c r="BL234" s="12" t="n"/>
      <c r="BM234" s="12" t="n"/>
      <c r="BN234" s="12" t="n"/>
      <c r="BO234" s="12" t="n"/>
      <c r="BP234" s="12" t="n"/>
      <c r="BQ234" s="12" t="n"/>
      <c r="BR234" s="12" t="n"/>
      <c r="BS234" s="12" t="n"/>
      <c r="BT234" s="12" t="n"/>
      <c r="BU234" s="12" t="n"/>
      <c r="BV234" s="12" t="n"/>
      <c r="BW234" s="12" t="n"/>
      <c r="BX234" s="12" t="n"/>
      <c r="BY234" s="12" t="n"/>
      <c r="BZ234" s="12" t="n"/>
      <c r="CA234" s="12" t="n"/>
      <c r="CB234" s="12" t="n"/>
      <c r="CC234" s="12" t="n"/>
      <c r="CD234" s="12" t="n"/>
      <c r="CE234" s="12" t="n"/>
      <c r="CF234" s="12" t="n"/>
      <c r="CG234" s="12" t="n"/>
      <c r="CH234" s="12" t="n"/>
      <c r="CI234" s="12" t="n"/>
      <c r="CJ234" s="12" t="n"/>
      <c r="CK234" s="12" t="n"/>
      <c r="CL234" s="12" t="n"/>
      <c r="CM234" s="12" t="n"/>
      <c r="CN234" s="12" t="n"/>
      <c r="CO234" s="12" t="n"/>
      <c r="CP234" s="12" t="n"/>
      <c r="CQ234" s="12" t="n"/>
      <c r="CR234" s="12" t="n"/>
      <c r="CS234" s="12" t="n"/>
      <c r="CT234" s="12" t="n"/>
      <c r="CU234" s="12" t="n"/>
      <c r="CV234" s="12" t="n"/>
      <c r="CW234" s="12" t="n"/>
      <c r="CX234" s="12" t="n"/>
      <c r="CY234" s="12" t="n"/>
    </row>
    <row r="235" hidden="1" outlineLevel="1" ht="12" customHeight="1">
      <c r="C235" s="59" t="inlineStr">
        <is>
          <t>%(Var.)</t>
        </is>
      </c>
      <c r="D235" s="12" t="n"/>
      <c r="E235" s="40" t="n"/>
      <c r="F235" s="40" t="n"/>
      <c r="G235" s="40" t="n"/>
      <c r="H235" s="12" t="n"/>
      <c r="I235" s="40" t="str">
        <f>""</f>
        <v/>
      </c>
      <c r="J235" s="40">
        <f>IF(I234=0,"",J234/I234-1)</f>
        <v>-0.0810711665443874</v>
      </c>
      <c r="K235" s="40">
        <f>IF(J234=0,"",K234/J234-1)</f>
        <v>-0.098682634730539</v>
      </c>
      <c r="L235" s="40">
        <f>IF(K234=0,"",L234/K234-1)</f>
        <v>-0.0395074851625477</v>
      </c>
      <c r="M235" s="12">
        <f>IF(L234=0,"",M234/L234-1)</f>
        <v>0</v>
      </c>
      <c r="N235" s="40">
        <f>IF(M234=0,"",N234/M234-1)</f>
        <v>-0.1536475145255</v>
      </c>
      <c r="O235" s="40">
        <f>IF(N234=0,"",O234/N234-1)</f>
        <v>-0.0155824343467365</v>
      </c>
      <c r="P235" s="40">
        <f>IF(O234=0,"",P234/O234-1)</f>
        <v>-0.0379676776621651</v>
      </c>
      <c r="Q235" s="40">
        <f>IF(P234=0,"",Q234/P234-1)</f>
        <v>0.119664020250834</v>
      </c>
      <c r="R235" s="12">
        <f>IF(Q234=0,"",R234/Q234-1)</f>
        <v>0</v>
      </c>
      <c r="S235" s="40">
        <f>IF(R234=0,"",S234/R234-1)</f>
        <v>0.044291439728702</v>
      </c>
      <c r="T235" s="40">
        <f>IF(S234=0,"",T234/S234-1)</f>
        <v>0.0644558157842945</v>
      </c>
      <c r="U235" s="40">
        <f>IF(T234=0,"",U234/T234-1)</f>
        <v>0.183877230285662</v>
      </c>
      <c r="V235" s="40">
        <f>IF(U234=0,"",V234/U234-1)</f>
        <v>0.113618616273622</v>
      </c>
      <c r="W235" s="12">
        <f>IF(V234=0,"",W234/V234-1)</f>
        <v>0</v>
      </c>
      <c r="X235" s="40">
        <f>IF(W234=0,"",X234/W234-1)</f>
        <v>0.0232802748755347</v>
      </c>
      <c r="Y235" s="40">
        <f>IF(X234=0,"",Y234/X234-1)</f>
        <v>0.222503940245323</v>
      </c>
      <c r="Z235" s="40">
        <f>IF(Y234=0,"",Z234/Y234-1)</f>
        <v>0.0406390134529149</v>
      </c>
      <c r="AA235" s="40">
        <f>IF(Z234=0,"",AA234/Z234-1)</f>
        <v>0.0540802585510369</v>
      </c>
      <c r="AB235" s="12">
        <f>IF(AA234=0,"",AB234/AA234-1)</f>
        <v>0</v>
      </c>
      <c r="AC235" s="40">
        <f>IF(AB234=0,"",AC234/AB234-1)</f>
        <v>0.0189585569012214</v>
      </c>
      <c r="AD235" s="40">
        <f>IF(AC234=0,"",AD234/AC234-1)</f>
        <v>0.0274322968906719</v>
      </c>
      <c r="AE235" s="40">
        <f>IF(AD234=0,"",AE234/AD234-1)</f>
        <v>0.0606238102211159</v>
      </c>
      <c r="AF235" s="41">
        <f>IF(AE234=0,"",AF234/AE234-1)</f>
        <v>0.0689401260987621</v>
      </c>
      <c r="AG235" s="12">
        <f>IF(AF234=0,"",AG234/AF234-1)</f>
        <v>0</v>
      </c>
      <c r="AH235" s="41">
        <f>IF(AG234=0,"",AH234/AG234-1)</f>
        <v>0.0670340551943858</v>
      </c>
      <c r="AI235" s="41">
        <f>IF(AH234=0,"",AI234/AH234-1)</f>
        <v>0.0321174951581666</v>
      </c>
      <c r="AJ235" s="41">
        <f>IF(AI234=0,"",AJ234/AI234-1)</f>
        <v>0</v>
      </c>
      <c r="AK235" s="41">
        <f>IF(AJ234=0,"",AK234/AJ234-1)</f>
        <v>0</v>
      </c>
      <c r="AL235" s="12">
        <f>IF(AK234=0,"",AL234/AK234-1)</f>
        <v>0</v>
      </c>
      <c r="AM235" s="41">
        <f>IF(AL234=0,"",AM234/AL234-1)</f>
        <v>0</v>
      </c>
      <c r="AN235" s="41">
        <f>IF(AM234=0,"",AN234/AM234-1)</f>
        <v>0</v>
      </c>
      <c r="AO235" s="41">
        <f>IF(AN234=0,"",AO234/AN234-1)</f>
        <v>0</v>
      </c>
      <c r="AP235" s="41">
        <f>IF(AO234=0,"",AP234/AO234-1)</f>
        <v>0</v>
      </c>
      <c r="AQ235" s="12">
        <f>IF(AP234=0,"",AQ234/AP234-1)</f>
        <v>0</v>
      </c>
      <c r="AR235" s="41">
        <f>IF(AQ234=0,"",AR234/AQ234-1)</f>
        <v>0</v>
      </c>
      <c r="AS235" s="41">
        <f>IF(AR234=0,"",AS234/AR234-1)</f>
        <v>0</v>
      </c>
      <c r="AT235" s="41">
        <f>IF(AS234=0,"",AT234/AS234-1)</f>
        <v>0</v>
      </c>
      <c r="AU235" s="41">
        <f>IF(AT234=0,"",AU234/AT234-1)</f>
        <v>0</v>
      </c>
      <c r="AV235" s="12">
        <f>IF(AU234=0,"",AV234/AU234-1)</f>
        <v>0</v>
      </c>
      <c r="AW235" s="41">
        <f>IF(AV234=0,"",AW234/AV234-1)</f>
        <v>0</v>
      </c>
      <c r="AX235" s="41">
        <f>IF(AW234=0,"",AX234/AW234-1)</f>
        <v>0</v>
      </c>
      <c r="AY235" s="41">
        <f>IF(AX234=0,"",AY234/AX234-1)</f>
        <v>0</v>
      </c>
      <c r="AZ235" s="41">
        <f>IF(AY234=0,"",AZ234/AY234-1)</f>
        <v>0</v>
      </c>
      <c r="BA235" s="12">
        <f>IF(AZ234=0,"",BA234/AZ234-1)</f>
        <v>0</v>
      </c>
      <c r="BB235" s="41">
        <f>IF(BA234=0,"",BB234/BA234-1)</f>
        <v>0</v>
      </c>
      <c r="BC235" s="41">
        <f>IF(BB234=0,"",BC234/BB234-1)</f>
        <v>0</v>
      </c>
      <c r="BD235" s="41">
        <f>IF(BC234=0,"",BD234/BC234-1)</f>
        <v>0</v>
      </c>
      <c r="BE235" s="41">
        <f>IF(BD234=0,"",BE234/BD234-1)</f>
        <v>0</v>
      </c>
      <c r="BF235" s="12">
        <f>IF(BE234=0,"",BF234/BE234-1)</f>
        <v>0</v>
      </c>
      <c r="BG235" s="41" t="n"/>
      <c r="BH235" s="41" t="n"/>
      <c r="BI235" s="41" t="n"/>
      <c r="BJ235" s="41" t="n"/>
      <c r="BK235" s="12" t="n"/>
      <c r="BL235" s="41" t="n"/>
      <c r="BM235" s="41" t="n"/>
      <c r="BN235" s="41" t="n"/>
      <c r="BO235" s="41" t="n"/>
      <c r="BP235" s="12" t="n"/>
      <c r="BQ235" s="41" t="n"/>
      <c r="BR235" s="41" t="n"/>
      <c r="BS235" s="41" t="n"/>
      <c r="BT235" s="41" t="n"/>
      <c r="BU235" s="12" t="n"/>
      <c r="BV235" s="41" t="n"/>
      <c r="BW235" s="41" t="n"/>
      <c r="BX235" s="41" t="n"/>
      <c r="BY235" s="41" t="n"/>
      <c r="BZ235" s="12" t="n"/>
      <c r="CA235" s="41" t="n"/>
      <c r="CB235" s="41" t="n"/>
      <c r="CC235" s="41" t="n"/>
      <c r="CD235" s="41" t="n"/>
      <c r="CE235" s="12" t="n"/>
      <c r="CF235" s="41" t="n"/>
      <c r="CG235" s="41" t="n"/>
      <c r="CH235" s="41" t="n"/>
      <c r="CI235" s="41" t="n"/>
      <c r="CJ235" s="12" t="n"/>
      <c r="CK235" s="41" t="n"/>
      <c r="CL235" s="41" t="n"/>
      <c r="CM235" s="41" t="n"/>
      <c r="CN235" s="41" t="n"/>
      <c r="CO235" s="12" t="n"/>
      <c r="CP235" s="41" t="n"/>
      <c r="CQ235" s="41" t="n"/>
      <c r="CR235" s="41" t="n"/>
      <c r="CS235" s="41" t="n"/>
      <c r="CT235" s="12" t="n"/>
      <c r="CU235" s="41" t="n"/>
      <c r="CV235" s="41" t="n"/>
      <c r="CW235" s="41" t="n"/>
      <c r="CX235" s="41" t="n"/>
      <c r="CY235" s="12" t="n"/>
    </row>
    <row r="236" hidden="1" outlineLevel="1" ht="12" customHeight="1">
      <c r="C236" s="59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  <c r="AJ236" s="12" t="n"/>
      <c r="AK236" s="12" t="n"/>
      <c r="AL236" s="12" t="n"/>
      <c r="AM236" s="12" t="n"/>
      <c r="AN236" s="12" t="n"/>
      <c r="AO236" s="12" t="n"/>
      <c r="AP236" s="12" t="n"/>
      <c r="AQ236" s="12" t="n"/>
      <c r="AR236" s="12" t="n"/>
      <c r="AS236" s="12" t="n"/>
      <c r="AT236" s="12" t="n"/>
      <c r="AU236" s="12" t="n"/>
      <c r="AV236" s="12" t="n"/>
      <c r="AW236" s="12" t="n"/>
      <c r="AX236" s="12" t="n"/>
      <c r="AY236" s="12" t="n"/>
      <c r="AZ236" s="12" t="n"/>
      <c r="BA236" s="12" t="n"/>
      <c r="BB236" s="12" t="n"/>
      <c r="BC236" s="12" t="n"/>
      <c r="BD236" s="12" t="n"/>
      <c r="BE236" s="12" t="n"/>
      <c r="BF236" s="12" t="n"/>
      <c r="BG236" s="12" t="n"/>
      <c r="BH236" s="12" t="n"/>
      <c r="BI236" s="12" t="n"/>
      <c r="BJ236" s="12" t="n"/>
      <c r="BK236" s="12" t="n"/>
      <c r="BL236" s="12" t="n"/>
      <c r="BM236" s="12" t="n"/>
      <c r="BN236" s="12" t="n"/>
      <c r="BO236" s="12" t="n"/>
      <c r="BP236" s="12" t="n"/>
      <c r="BQ236" s="12" t="n"/>
      <c r="BR236" s="12" t="n"/>
      <c r="BS236" s="12" t="n"/>
      <c r="BT236" s="12" t="n"/>
      <c r="BU236" s="12" t="n"/>
      <c r="BV236" s="12" t="n"/>
      <c r="BW236" s="12" t="n"/>
      <c r="BX236" s="12" t="n"/>
      <c r="BY236" s="12" t="n"/>
      <c r="BZ236" s="12" t="n"/>
      <c r="CA236" s="12" t="n"/>
      <c r="CB236" s="12" t="n"/>
      <c r="CC236" s="12" t="n"/>
      <c r="CD236" s="12" t="n"/>
      <c r="CE236" s="12" t="n"/>
      <c r="CF236" s="12" t="n"/>
      <c r="CG236" s="12" t="n"/>
      <c r="CH236" s="12" t="n"/>
      <c r="CI236" s="12" t="n"/>
      <c r="CJ236" s="12" t="n"/>
      <c r="CK236" s="12" t="n"/>
      <c r="CL236" s="12" t="n"/>
      <c r="CM236" s="12" t="n"/>
      <c r="CN236" s="12" t="n"/>
      <c r="CO236" s="12" t="n"/>
      <c r="CP236" s="12" t="n"/>
      <c r="CQ236" s="12" t="n"/>
      <c r="CR236" s="12" t="n"/>
      <c r="CS236" s="12" t="n"/>
      <c r="CT236" s="12" t="n"/>
      <c r="CU236" s="12" t="n"/>
      <c r="CV236" s="12" t="n"/>
      <c r="CW236" s="12" t="n"/>
      <c r="CX236" s="12" t="n"/>
      <c r="CY236" s="12" t="n"/>
    </row>
    <row r="237" hidden="1" outlineLevel="1">
      <c r="C237" s="57" t="inlineStr">
        <is>
          <t>Contas a pagar pela aquisição de controladas</t>
        </is>
      </c>
      <c r="D237" s="11" t="n"/>
      <c r="E237" s="11" t="n"/>
      <c r="F237" s="11" t="n"/>
      <c r="G237" s="11" t="n"/>
      <c r="H237" s="12" t="n"/>
      <c r="I237" s="11" t="n"/>
      <c r="J237" s="11" t="n"/>
      <c r="K237" s="11" t="n"/>
      <c r="L237" s="11" t="n"/>
      <c r="M237" s="12" t="n"/>
      <c r="N237" s="11" t="n"/>
      <c r="O237" s="11" t="n"/>
      <c r="P237" s="11" t="n"/>
      <c r="Q237" s="11" t="n"/>
      <c r="R237" s="12" t="n"/>
      <c r="S237" s="11" t="n"/>
      <c r="T237" s="11" t="n"/>
      <c r="U237" s="11" t="n"/>
      <c r="V237" s="11" t="n"/>
      <c r="W237" s="12" t="n"/>
      <c r="X237" s="11" t="n"/>
      <c r="Y237" s="11" t="n"/>
      <c r="Z237" s="11" t="n"/>
      <c r="AA237" s="11" t="n"/>
      <c r="AB237" s="12" t="n"/>
      <c r="AC237" s="11" t="n"/>
      <c r="AD237" s="11" t="n"/>
      <c r="AE237" s="11" t="n"/>
      <c r="AF237" s="11" t="n"/>
      <c r="AG237" s="12" t="n"/>
      <c r="AH237" s="12" t="n"/>
      <c r="AI237" s="12" t="n"/>
      <c r="AJ237" s="12" t="n"/>
      <c r="AK237" s="12" t="n"/>
      <c r="AL237" s="12" t="n"/>
      <c r="AM237" s="12" t="n"/>
      <c r="AN237" s="12" t="n"/>
      <c r="AO237" s="12" t="n"/>
      <c r="AP237" s="12" t="n"/>
      <c r="AQ237" s="12" t="n"/>
      <c r="AR237" s="12" t="n"/>
      <c r="AS237" s="12" t="n"/>
      <c r="AT237" s="12" t="n"/>
      <c r="AU237" s="12" t="n"/>
      <c r="AV237" s="12" t="n"/>
      <c r="AW237" s="12" t="n"/>
      <c r="AX237" s="12" t="n"/>
      <c r="AY237" s="12" t="n"/>
      <c r="AZ237" s="12" t="n"/>
      <c r="BA237" s="12" t="n"/>
      <c r="BB237" s="12" t="n"/>
      <c r="BC237" s="12" t="n"/>
      <c r="BD237" s="12" t="n"/>
      <c r="BE237" s="12" t="n"/>
      <c r="BF237" s="12" t="n"/>
      <c r="BG237" s="12" t="n"/>
      <c r="BH237" s="12" t="n"/>
      <c r="BI237" s="12" t="n"/>
      <c r="BJ237" s="12" t="n"/>
      <c r="BK237" s="12" t="n"/>
      <c r="BL237" s="12" t="n"/>
      <c r="BM237" s="12" t="n"/>
      <c r="BN237" s="12" t="n"/>
      <c r="BO237" s="12" t="n"/>
      <c r="BP237" s="12" t="n"/>
      <c r="BQ237" s="12" t="n"/>
      <c r="BR237" s="12" t="n"/>
      <c r="BS237" s="12" t="n"/>
      <c r="BT237" s="12" t="n"/>
      <c r="BU237" s="12" t="n"/>
      <c r="BV237" s="12" t="n"/>
      <c r="BW237" s="12" t="n"/>
      <c r="BX237" s="12" t="n"/>
      <c r="BY237" s="12" t="n"/>
      <c r="BZ237" s="12" t="n"/>
      <c r="CA237" s="12" t="n"/>
      <c r="CB237" s="12" t="n"/>
      <c r="CC237" s="12" t="n"/>
      <c r="CD237" s="12" t="n"/>
      <c r="CE237" s="12" t="n"/>
      <c r="CF237" s="12" t="n"/>
      <c r="CG237" s="12" t="n"/>
      <c r="CH237" s="12" t="n"/>
      <c r="CI237" s="12" t="n"/>
      <c r="CJ237" s="12" t="n"/>
      <c r="CK237" s="12" t="n"/>
      <c r="CL237" s="12" t="n"/>
      <c r="CM237" s="12" t="n"/>
      <c r="CN237" s="12" t="n"/>
      <c r="CO237" s="12" t="n"/>
      <c r="CP237" s="12" t="n"/>
      <c r="CQ237" s="12" t="n"/>
      <c r="CR237" s="12" t="n"/>
      <c r="CS237" s="12" t="n"/>
      <c r="CT237" s="12" t="n"/>
      <c r="CU237" s="12" t="n"/>
      <c r="CV237" s="12" t="n"/>
      <c r="CW237" s="12" t="n"/>
      <c r="CX237" s="12" t="n"/>
      <c r="CY237" s="12" t="n"/>
    </row>
    <row r="238" hidden="1" outlineLevel="1">
      <c r="C238" s="57" t="inlineStr">
        <is>
          <t xml:space="preserve">Outras Obrigações </t>
        </is>
      </c>
      <c r="D238" s="11" t="n"/>
      <c r="E238" s="11" t="n"/>
      <c r="F238" s="11" t="n"/>
      <c r="G238" s="11" t="n"/>
      <c r="H238" s="12" t="n"/>
      <c r="I238" s="11" t="n"/>
      <c r="J238" s="11" t="n"/>
      <c r="K238" s="11" t="n"/>
      <c r="L238" s="11" t="n"/>
      <c r="M238" s="12" t="n"/>
      <c r="N238" s="11" t="n"/>
      <c r="O238" s="11" t="n"/>
      <c r="P238" s="11" t="n"/>
      <c r="Q238" s="11" t="n"/>
      <c r="R238" s="12" t="n"/>
      <c r="S238" s="11" t="n"/>
      <c r="T238" s="11" t="n"/>
      <c r="U238" s="11" t="n"/>
      <c r="V238" s="11" t="n"/>
      <c r="W238" s="12" t="n"/>
      <c r="X238" s="11" t="n"/>
      <c r="Y238" s="11" t="n"/>
      <c r="Z238" s="11" t="n"/>
      <c r="AA238" s="11" t="n"/>
      <c r="AB238" s="12" t="n"/>
      <c r="AC238" s="11" t="n"/>
      <c r="AD238" s="11" t="n"/>
      <c r="AE238" s="11" t="n"/>
      <c r="AF238" s="11" t="n"/>
      <c r="AG238" s="12" t="n"/>
      <c r="AH238" s="12" t="n"/>
      <c r="AI238" s="12" t="n"/>
      <c r="AJ238" s="12" t="n"/>
      <c r="AK238" s="12" t="n"/>
      <c r="AL238" s="12" t="n"/>
      <c r="AM238" s="12" t="n"/>
      <c r="AN238" s="12" t="n"/>
      <c r="AO238" s="12" t="n"/>
      <c r="AP238" s="12" t="n"/>
      <c r="AQ238" s="12" t="n"/>
      <c r="AR238" s="12" t="n"/>
      <c r="AS238" s="12" t="n"/>
      <c r="AT238" s="12" t="n"/>
      <c r="AU238" s="12" t="n"/>
      <c r="AV238" s="12" t="n"/>
      <c r="AW238" s="12" t="n"/>
      <c r="AX238" s="12" t="n"/>
      <c r="AY238" s="12" t="n"/>
      <c r="AZ238" s="12" t="n"/>
      <c r="BA238" s="12" t="n"/>
      <c r="BB238" s="12" t="n"/>
      <c r="BC238" s="12" t="n"/>
      <c r="BD238" s="12" t="n"/>
      <c r="BE238" s="12" t="n"/>
      <c r="BF238" s="12" t="n"/>
      <c r="BG238" s="12" t="n"/>
      <c r="BH238" s="12" t="n"/>
      <c r="BI238" s="12" t="n"/>
      <c r="BJ238" s="12" t="n"/>
      <c r="BK238" s="12" t="n"/>
      <c r="BL238" s="12" t="n"/>
      <c r="BM238" s="12" t="n"/>
      <c r="BN238" s="12" t="n"/>
      <c r="BO238" s="12" t="n"/>
      <c r="BP238" s="12" t="n"/>
      <c r="BQ238" s="12" t="n"/>
      <c r="BR238" s="12" t="n"/>
      <c r="BS238" s="12" t="n"/>
      <c r="BT238" s="12" t="n"/>
      <c r="BU238" s="12" t="n"/>
      <c r="BV238" s="12" t="n"/>
      <c r="BW238" s="12" t="n"/>
      <c r="BX238" s="12" t="n"/>
      <c r="BY238" s="12" t="n"/>
      <c r="BZ238" s="12" t="n"/>
      <c r="CA238" s="12" t="n"/>
      <c r="CB238" s="12" t="n"/>
      <c r="CC238" s="12" t="n"/>
      <c r="CD238" s="12" t="n"/>
      <c r="CE238" s="12" t="n"/>
      <c r="CF238" s="12" t="n"/>
      <c r="CG238" s="12" t="n"/>
      <c r="CH238" s="12" t="n"/>
      <c r="CI238" s="12" t="n"/>
      <c r="CJ238" s="12" t="n"/>
      <c r="CK238" s="12" t="n"/>
      <c r="CL238" s="12" t="n"/>
      <c r="CM238" s="12" t="n"/>
      <c r="CN238" s="12" t="n"/>
      <c r="CO238" s="12" t="n"/>
      <c r="CP238" s="12" t="n"/>
      <c r="CQ238" s="12" t="n"/>
      <c r="CR238" s="12" t="n"/>
      <c r="CS238" s="12" t="n"/>
      <c r="CT238" s="12" t="n"/>
      <c r="CU238" s="12" t="n"/>
      <c r="CV238" s="12" t="n"/>
      <c r="CW238" s="12" t="n"/>
      <c r="CX238" s="12" t="n"/>
      <c r="CY238" s="12" t="n"/>
    </row>
    <row r="239" hidden="1" outlineLevel="1">
      <c r="C239" s="57" t="inlineStr">
        <is>
          <t xml:space="preserve">Provisão de Risco Cíveis, Trabalhistas e Tributários </t>
        </is>
      </c>
      <c r="D239" s="11" t="n"/>
      <c r="E239" s="11" t="n"/>
      <c r="F239" s="11" t="n"/>
      <c r="G239" s="11" t="n"/>
      <c r="H239" s="12" t="n"/>
      <c r="I239" s="11" t="n"/>
      <c r="J239" s="11" t="n"/>
      <c r="K239" s="11" t="n"/>
      <c r="L239" s="11" t="n"/>
      <c r="M239" s="12" t="n"/>
      <c r="N239" s="11" t="n"/>
      <c r="O239" s="11" t="n"/>
      <c r="P239" s="11" t="n"/>
      <c r="Q239" s="11" t="n"/>
      <c r="R239" s="12" t="n"/>
      <c r="S239" s="11" t="n"/>
      <c r="T239" s="11" t="n"/>
      <c r="U239" s="11" t="n"/>
      <c r="V239" s="11" t="n"/>
      <c r="W239" s="12" t="n"/>
      <c r="X239" s="11" t="n"/>
      <c r="Y239" s="11" t="n"/>
      <c r="Z239" s="11" t="n"/>
      <c r="AA239" s="11" t="n"/>
      <c r="AB239" s="12" t="n"/>
      <c r="AC239" s="11" t="n"/>
      <c r="AD239" s="11" t="n"/>
      <c r="AE239" s="11" t="n"/>
      <c r="AF239" s="11" t="n"/>
      <c r="AG239" s="12" t="n"/>
      <c r="AH239" s="12" t="n"/>
      <c r="AI239" s="12" t="n"/>
      <c r="AJ239" s="12" t="n"/>
      <c r="AK239" s="12" t="n"/>
      <c r="AL239" s="12" t="n"/>
      <c r="AM239" s="12" t="n"/>
      <c r="AN239" s="12" t="n"/>
      <c r="AO239" s="12" t="n"/>
      <c r="AP239" s="12" t="n"/>
      <c r="AQ239" s="12" t="n"/>
      <c r="AR239" s="12" t="n"/>
      <c r="AS239" s="12" t="n"/>
      <c r="AT239" s="12" t="n"/>
      <c r="AU239" s="12" t="n"/>
      <c r="AV239" s="12" t="n"/>
      <c r="AW239" s="12" t="n"/>
      <c r="AX239" s="12" t="n"/>
      <c r="AY239" s="12" t="n"/>
      <c r="AZ239" s="12" t="n"/>
      <c r="BA239" s="12" t="n"/>
      <c r="BB239" s="12" t="n"/>
      <c r="BC239" s="12" t="n"/>
      <c r="BD239" s="12" t="n"/>
      <c r="BE239" s="12" t="n"/>
      <c r="BF239" s="12" t="n"/>
      <c r="BG239" s="12" t="n"/>
      <c r="BH239" s="12" t="n"/>
      <c r="BI239" s="12" t="n"/>
      <c r="BJ239" s="12" t="n"/>
      <c r="BK239" s="12" t="n"/>
      <c r="BL239" s="12" t="n"/>
      <c r="BM239" s="12" t="n"/>
      <c r="BN239" s="12" t="n"/>
      <c r="BO239" s="12" t="n"/>
      <c r="BP239" s="12" t="n"/>
      <c r="BQ239" s="12" t="n"/>
      <c r="BR239" s="12" t="n"/>
      <c r="BS239" s="12" t="n"/>
      <c r="BT239" s="12" t="n"/>
      <c r="BU239" s="12" t="n"/>
      <c r="BV239" s="12" t="n"/>
      <c r="BW239" s="12" t="n"/>
      <c r="BX239" s="12" t="n"/>
      <c r="BY239" s="12" t="n"/>
      <c r="BZ239" s="12" t="n"/>
      <c r="CA239" s="12" t="n"/>
      <c r="CB239" s="12" t="n"/>
      <c r="CC239" s="12" t="n"/>
      <c r="CD239" s="12" t="n"/>
      <c r="CE239" s="12" t="n"/>
      <c r="CF239" s="12" t="n"/>
      <c r="CG239" s="12" t="n"/>
      <c r="CH239" s="12" t="n"/>
      <c r="CI239" s="12" t="n"/>
      <c r="CJ239" s="12" t="n"/>
      <c r="CK239" s="12" t="n"/>
      <c r="CL239" s="12" t="n"/>
      <c r="CM239" s="12" t="n"/>
      <c r="CN239" s="12" t="n"/>
      <c r="CO239" s="12" t="n"/>
      <c r="CP239" s="12" t="n"/>
      <c r="CQ239" s="12" t="n"/>
      <c r="CR239" s="12" t="n"/>
      <c r="CS239" s="12" t="n"/>
      <c r="CT239" s="12" t="n"/>
      <c r="CU239" s="12" t="n"/>
      <c r="CV239" s="12" t="n"/>
      <c r="CW239" s="12" t="n"/>
      <c r="CX239" s="12" t="n"/>
      <c r="CY239" s="12" t="n"/>
    </row>
    <row r="240" hidden="1" outlineLevel="1">
      <c r="C240" s="57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  <c r="AJ240" s="12" t="n"/>
      <c r="AK240" s="12" t="n"/>
      <c r="AL240" s="12" t="n"/>
      <c r="AM240" s="12" t="n"/>
      <c r="AN240" s="12" t="n"/>
      <c r="AO240" s="12" t="n"/>
      <c r="AP240" s="12" t="n"/>
      <c r="AQ240" s="12" t="n"/>
      <c r="AR240" s="12" t="n"/>
      <c r="AS240" s="12" t="n"/>
      <c r="AT240" s="12" t="n"/>
      <c r="AU240" s="12" t="n"/>
      <c r="AV240" s="12" t="n"/>
      <c r="AW240" s="12" t="n"/>
      <c r="AX240" s="12" t="n"/>
      <c r="AY240" s="12" t="n"/>
      <c r="AZ240" s="12" t="n"/>
      <c r="BA240" s="12" t="n"/>
      <c r="BB240" s="12" t="n"/>
      <c r="BC240" s="12" t="n"/>
      <c r="BD240" s="12" t="n"/>
      <c r="BE240" s="12" t="n"/>
      <c r="BF240" s="12" t="n"/>
      <c r="BG240" s="12" t="n"/>
      <c r="BH240" s="12" t="n"/>
      <c r="BI240" s="12" t="n"/>
      <c r="BJ240" s="12" t="n"/>
      <c r="BK240" s="12" t="n"/>
      <c r="BL240" s="12" t="n"/>
      <c r="BM240" s="12" t="n"/>
      <c r="BN240" s="12" t="n"/>
      <c r="BO240" s="12" t="n"/>
      <c r="BP240" s="12" t="n"/>
      <c r="BQ240" s="12" t="n"/>
      <c r="BR240" s="12" t="n"/>
      <c r="BS240" s="12" t="n"/>
      <c r="BT240" s="12" t="n"/>
      <c r="BU240" s="12" t="n"/>
      <c r="BV240" s="12" t="n"/>
      <c r="BW240" s="12" t="n"/>
      <c r="BX240" s="12" t="n"/>
      <c r="BY240" s="12" t="n"/>
      <c r="BZ240" s="12" t="n"/>
      <c r="CA240" s="12" t="n"/>
      <c r="CB240" s="12" t="n"/>
      <c r="CC240" s="12" t="n"/>
      <c r="CD240" s="12" t="n"/>
      <c r="CE240" s="12" t="n"/>
      <c r="CF240" s="12" t="n"/>
      <c r="CG240" s="12" t="n"/>
      <c r="CH240" s="12" t="n"/>
      <c r="CI240" s="12" t="n"/>
      <c r="CJ240" s="12" t="n"/>
      <c r="CK240" s="12" t="n"/>
      <c r="CL240" s="12" t="n"/>
      <c r="CM240" s="12" t="n"/>
      <c r="CN240" s="12" t="n"/>
      <c r="CO240" s="12" t="n"/>
      <c r="CP240" s="12" t="n"/>
      <c r="CQ240" s="12" t="n"/>
      <c r="CR240" s="12" t="n"/>
      <c r="CS240" s="12" t="n"/>
      <c r="CT240" s="12" t="n"/>
      <c r="CU240" s="12" t="n"/>
      <c r="CV240" s="12" t="n"/>
      <c r="CW240" s="12" t="n"/>
      <c r="CX240" s="12" t="n"/>
      <c r="CY240" s="12" t="n"/>
    </row>
    <row r="241" collapsed="1" customFormat="1" s="32">
      <c r="A241" s="30" t="n"/>
      <c r="B241" s="30" t="n"/>
      <c r="C241" s="65" t="inlineStr">
        <is>
          <t>Total Liabilities</t>
        </is>
      </c>
      <c r="D241" s="35" t="n"/>
      <c r="E241" s="35" t="n"/>
      <c r="F241" s="35" t="n"/>
      <c r="G241" s="35" t="n"/>
      <c r="H241" s="35" t="n"/>
      <c r="I241" s="35">
        <f>SUM(I192+I196+I198+I199+I206+I207+I208+I211+I229+I232+I233+I234)</f>
        <v>28507</v>
      </c>
      <c r="J241" s="35">
        <f>SUM(J192+J196+J198+J199+J206+J207+J208+J211+J229+J232+J233+J234)</f>
        <v>28896</v>
      </c>
      <c r="K241" s="35">
        <f>SUM(K192+K196+K198+K199+K206+K207+K208+K211+K229+K232+K233+K234)</f>
        <v>29340</v>
      </c>
      <c r="L241" s="35">
        <f>SUM(L192+L196+L198+L199+L206+L207+L208+L211+L229+L232+L233+L234)</f>
        <v>30548</v>
      </c>
      <c r="M241" s="35">
        <f>SUM(M192,M196,M198,M199,M206,M207,M211,M208,M229,M232,M233,M234)</f>
        <v>30548</v>
      </c>
      <c r="N241" s="35">
        <f>SUM(N192+N196+N198+N199+N206+N207+N208+N211+N229+N232+N233+N234)</f>
        <v>30632</v>
      </c>
      <c r="O241" s="35">
        <f>SUM(O192+O196+O198+O199+O206+O207+O208+O211+O229+O232+O233+O234)</f>
        <v>30855</v>
      </c>
      <c r="P241" s="35">
        <f>SUM(P192+P196+P198+P199+P206+P207+P208+P211+P229+P232+P233+P234)</f>
        <v>33302</v>
      </c>
      <c r="Q241" s="35">
        <f>SUM(Q192+Q196+Q198+Q199+Q206+Q207+Q208+Q211+Q229+Q232+Q233+Q234)</f>
        <v>36440</v>
      </c>
      <c r="R241" s="35">
        <f>SUM(R192,R196,R198,R199,R206,R207,R211,R208,R229,R232,R233,R234)</f>
        <v>36440</v>
      </c>
      <c r="S241" s="35">
        <f>SUM(S192+S196+S198+S199+S206+S207+S208+S211+S229+S232+S233+S234)</f>
        <v>37598</v>
      </c>
      <c r="T241" s="35">
        <f>SUM(T192+T196+T198+T199+T206+T207+T208+T211+T229+T232+T233+T234)</f>
        <v>38409</v>
      </c>
      <c r="U241" s="35">
        <f>SUM(U192+U196+U198+U199+U206+U207+U208+U211+U229+U232+U233+U234)</f>
        <v>39446</v>
      </c>
      <c r="V241" s="35">
        <f>SUM(V192+V196+V198+V199+V206+V207+V208+V211+V229+V232+V233+V234)</f>
        <v>43009</v>
      </c>
      <c r="W241" s="35">
        <f>SUM(W192,W196,W198,W199,W206,W207,W211,W208,W229,W232,W233,W234)</f>
        <v>43009</v>
      </c>
      <c r="X241" s="35">
        <f>SUM(X192+X196+X198+X199+X206+X207+X208+X211+X229+X232+X233+X234)</f>
        <v>44046</v>
      </c>
      <c r="Y241" s="35">
        <f>SUM(Y192+Y196+Y198+Y199+Y206+Y207+Y208+Y211+Y229+Y232+Y233+Y234)</f>
        <v>45569</v>
      </c>
      <c r="Z241" s="35">
        <f>SUM(Z192+Z196+Z198+Z199+Z206+Z207+Z208+Z211+Z229+Z232+Z233+Z234)</f>
        <v>49142</v>
      </c>
      <c r="AA241" s="35">
        <f>SUM(AA192+AA196+AA198+AA199+AA206+AA207+AA208+AA211+AA229+AA232+AA233+AA234)</f>
        <v>48390</v>
      </c>
      <c r="AB241" s="35">
        <f>SUM(AB192,AB196,AB198,AB199,AB206,AB207,AB211,AB208,AB229,AB232,AB233,AB234)</f>
        <v>48390</v>
      </c>
      <c r="AC241" s="35">
        <f>SUM(AC192+AC196+AC198+AC199+AC206+AC207+AC208+AC211+AC229+AC232+AC233+AC234)</f>
        <v>49693</v>
      </c>
      <c r="AD241" s="35">
        <f>SUM(AD192+AD196+AD198+AD199+AD206+AD207+AD208+AD211+AD229+AD232+AD233+AD234)</f>
        <v>50495</v>
      </c>
      <c r="AE241" s="35">
        <f>SUM(AE192+AE196+AE198+AE199+AE206+AE207+AE208+AE211+AE229+AE232+AE233+AE234)</f>
        <v>53019</v>
      </c>
      <c r="AF241" s="35">
        <f>SUM(AF192+AF196+AF198+AF199+AF206+AF207+AF208+AF211+AF229+AF232+AF233+AF234)</f>
        <v>54941</v>
      </c>
      <c r="AG241" s="35">
        <f>SUM(AG192,AG196,AG198,AG199,AG206,AG207,AG211,AG208,AG229,AG232,AG233,AG234)</f>
        <v>54941</v>
      </c>
      <c r="AH241" s="35">
        <f>SUM(AH192+AH196+AH198+AH199+AH206+AH207+AH208+AH211+AH229+AH232+AH233+AH234)</f>
        <v>58922</v>
      </c>
      <c r="AI241" s="35">
        <f>SUM(AI192+AI196+AI198+AI199+AI206+AI207+AI208+AI211+AI229+AI232+AI233+AI234)</f>
        <v>61005</v>
      </c>
      <c r="AJ241" s="35">
        <f>SUM(AJ192+AJ196+AJ198+AJ199+AJ206+AJ207+AJ208+AJ211+AJ229+AJ232+AJ233+AJ234)</f>
        <v>62541.9426813464</v>
      </c>
      <c r="AK241" s="35">
        <f>SUM(AK192+AK196+AK198+AK199+AK206+AK207+AK208+AK211+AK229+AK232+AK233+AK234)</f>
        <v>60625.0944548214</v>
      </c>
      <c r="AL241" s="35">
        <f>SUM(AL192,AL196,AL198,AL199,AL206,AL207,AL211,AL208,AL229,AL232,AL233,AL234)</f>
        <v>60625.0944548214</v>
      </c>
      <c r="AM241" s="35">
        <f>SUM(AM192+AM196+AM198+AM199+AM206+AM207+AM208+AM211+AM229+AM232+AM233+AM234)</f>
        <v>59414.9048032555</v>
      </c>
      <c r="AN241" s="35">
        <f>SUM(AN192+AN196+AN198+AN199+AN206+AN207+AN208+AN211+AN229+AN232+AN233+AN234)</f>
        <v>62812.777440609</v>
      </c>
      <c r="AO241" s="35">
        <f>SUM(AO192+AO196+AO198+AO199+AO206+AO207+AO208+AO211+AO229+AO232+AO233+AO234)</f>
        <v>63349.1024593862</v>
      </c>
      <c r="AP241" s="35">
        <f>SUM(AP192+AP196+AP198+AP199+AP206+AP207+AP208+AP211+AP229+AP232+AP233+AP234)</f>
        <v>61340.4917010562</v>
      </c>
      <c r="AQ241" s="35">
        <f>SUM(AQ192,AQ196,AQ198,AQ199,AQ206,AQ207,AQ211,AQ208,AQ229,AQ232,AQ233,AQ234)</f>
        <v>61340.4917010562</v>
      </c>
      <c r="AR241" s="35">
        <f>SUM(AR192+AR196+AR198+AR199+AR206+AR207+AR208+AR211+AR229+AR232+AR233+AR234)</f>
        <v>59846.3065532408</v>
      </c>
      <c r="AS241" s="35">
        <f>SUM(AS192+AS196+AS198+AS199+AS206+AS207+AS208+AS211+AS229+AS232+AS233+AS234)</f>
        <v>63547.2436162642</v>
      </c>
      <c r="AT241" s="35">
        <f>SUM(AT192+AT196+AT198+AT199+AT206+AT207+AT208+AT211+AT229+AT232+AT233+AT234)</f>
        <v>64106.5617299969</v>
      </c>
      <c r="AU241" s="35">
        <f>SUM(AU192+AU196+AU198+AU199+AU206+AU207+AU208+AU211+AU229+AU232+AU233+AU234)</f>
        <v>62011.8386772968</v>
      </c>
      <c r="AV241" s="35">
        <f>SUM(AV192,AV196,AV198,AV199,AV206,AV207,AV211,AV208,AV229,AV232,AV233,AV234)</f>
        <v>62011.8386772968</v>
      </c>
      <c r="AW241" s="35">
        <f>SUM(AW192+AW196+AW198+AW199+AW206+AW207+AW208+AW211+AW229+AW232+AW233+AW234)</f>
        <v>60546.121923482</v>
      </c>
      <c r="AX241" s="35">
        <f>SUM(AX192+AX196+AX198+AX199+AX206+AX207+AX208+AX211+AX229+AX232+AX233+AX234)</f>
        <v>64223.866291038</v>
      </c>
      <c r="AY241" s="35">
        <f>SUM(AY192+AY196+AY198+AY199+AY206+AY207+AY208+AY211+AY229+AY232+AY233+AY234)</f>
        <v>64804.3666592105</v>
      </c>
      <c r="AZ241" s="35">
        <f>SUM(AZ192+AZ196+AZ198+AZ199+AZ206+AZ207+AZ208+AZ211+AZ229+AZ232+AZ233+AZ234)</f>
        <v>62630.3131582488</v>
      </c>
      <c r="BA241" s="35">
        <f>SUM(BA192,BA196,BA198,BA199,BA206,BA207,BA211,BA208,BA229,BA232,BA233,BA234)</f>
        <v>62630.3131582488</v>
      </c>
      <c r="BB241" s="35">
        <f>SUM(BB192+BB196+BB198+BB199+BB206+BB207+BB208+BB211+BB229+BB232+BB233+BB234)</f>
        <v>61034.7618018953</v>
      </c>
      <c r="BC241" s="35">
        <f>SUM(BC192+BC196+BC198+BC199+BC206+BC207+BC208+BC211+BC229+BC232+BC233+BC234)</f>
        <v>64833.3993965534</v>
      </c>
      <c r="BD241" s="35">
        <f>SUM(BD192+BD196+BD198+BD199+BD206+BD207+BD208+BD211+BD229+BD232+BD233+BD234)</f>
        <v>65432.9817225318</v>
      </c>
      <c r="BE241" s="35">
        <f>SUM(BE192+BE196+BE198+BE199+BE206+BE207+BE208+BE211+BE229+BE232+BE233+BE234)</f>
        <v>63187.4636722821</v>
      </c>
      <c r="BF241" s="35">
        <f>SUM(BF192,BF196,BF198,BF199,BF206,BF207,BF211,BF208,BF229,BF232,BF233,BF234)</f>
        <v>63187.4636722821</v>
      </c>
      <c r="BG241" s="35" t="n"/>
      <c r="BH241" s="35" t="n"/>
      <c r="BI241" s="35" t="n"/>
      <c r="BJ241" s="35" t="n"/>
      <c r="BK241" s="35" t="n"/>
      <c r="BL241" s="35" t="n"/>
      <c r="BM241" s="35" t="n"/>
      <c r="BN241" s="35" t="n"/>
      <c r="BO241" s="35" t="n"/>
      <c r="BP241" s="35" t="n"/>
      <c r="BQ241" s="35" t="n"/>
      <c r="BR241" s="35" t="n"/>
      <c r="BS241" s="35" t="n"/>
      <c r="BT241" s="35" t="n"/>
      <c r="BU241" s="35" t="n"/>
      <c r="BV241" s="35" t="n"/>
      <c r="BW241" s="35" t="n"/>
      <c r="BX241" s="35" t="n"/>
      <c r="BY241" s="35" t="n"/>
      <c r="BZ241" s="35" t="n"/>
      <c r="CA241" s="35" t="n"/>
      <c r="CB241" s="35" t="n"/>
      <c r="CC241" s="35" t="n"/>
      <c r="CD241" s="35" t="n"/>
      <c r="CE241" s="35" t="n"/>
      <c r="CF241" s="35" t="n"/>
      <c r="CG241" s="35" t="n"/>
      <c r="CH241" s="35" t="n"/>
      <c r="CI241" s="35" t="n"/>
      <c r="CJ241" s="35" t="n"/>
      <c r="CK241" s="35" t="n"/>
      <c r="CL241" s="35" t="n"/>
      <c r="CM241" s="35" t="n"/>
      <c r="CN241" s="35" t="n"/>
      <c r="CO241" s="35" t="n"/>
      <c r="CP241" s="35" t="n"/>
      <c r="CQ241" s="35" t="n"/>
      <c r="CR241" s="35" t="n"/>
      <c r="CS241" s="35" t="n"/>
      <c r="CT241" s="35" t="n"/>
      <c r="CU241" s="35" t="n"/>
      <c r="CV241" s="35" t="n"/>
      <c r="CW241" s="35" t="n"/>
      <c r="CX241" s="35" t="n"/>
      <c r="CY241" s="35" t="n"/>
    </row>
    <row r="242">
      <c r="C242" s="14" t="inlineStr">
        <is>
          <t>Minority interest</t>
        </is>
      </c>
      <c r="D242" s="46" t="n"/>
      <c r="E242" s="46" t="n"/>
      <c r="F242" s="46" t="n"/>
      <c r="G242" s="46" t="n"/>
      <c r="H242" s="12" t="n"/>
      <c r="I242" s="46">
        <f>'Inputs (2)'!D41</f>
        <v>1448</v>
      </c>
      <c r="J242" s="46">
        <f>'Inputs (2)'!E41</f>
        <v>1446</v>
      </c>
      <c r="K242" s="46">
        <f>'Inputs (2)'!F41</f>
        <v>1441</v>
      </c>
      <c r="L242" s="46">
        <f>'Inputs (2)'!G41</f>
        <v>1394</v>
      </c>
      <c r="M242" s="12">
        <f>'Inputs (2)'!H41</f>
        <v>1394</v>
      </c>
      <c r="N242" s="46">
        <f>'Inputs (2)'!I41</f>
        <v>1321</v>
      </c>
      <c r="O242" s="46">
        <f>'Inputs (2)'!J41</f>
        <v>1282</v>
      </c>
      <c r="P242" s="46">
        <f>'Inputs (2)'!K41</f>
        <v>1273</v>
      </c>
      <c r="Q242" s="46">
        <f>'Inputs (2)'!L41</f>
        <v>1194</v>
      </c>
      <c r="R242" s="12">
        <f>'Inputs (2)'!M41</f>
        <v>1194</v>
      </c>
      <c r="S242" s="46">
        <f>'Inputs (2)'!N41</f>
        <v>1181</v>
      </c>
      <c r="T242" s="46">
        <f>'Inputs (2)'!O41</f>
        <v>1052</v>
      </c>
      <c r="U242" s="46">
        <f>'Inputs (2)'!P41</f>
        <v>1029</v>
      </c>
      <c r="V242" s="46">
        <f>'Inputs (2)'!Q41</f>
        <v>975</v>
      </c>
      <c r="W242" s="12">
        <f>'Inputs (2)'!R41</f>
        <v>975</v>
      </c>
      <c r="X242" s="46">
        <f>'Inputs (2)'!S41</f>
        <v>802</v>
      </c>
      <c r="Y242" s="46">
        <f>'Inputs (2)'!T41</f>
        <v>795</v>
      </c>
      <c r="Z242" s="46">
        <f>'Inputs (2)'!U41</f>
        <v>779</v>
      </c>
      <c r="AA242" s="46">
        <f>'Inputs (2)'!V41</f>
        <v>767</v>
      </c>
      <c r="AB242" s="12">
        <f>'Inputs (2)'!W41</f>
        <v>767</v>
      </c>
      <c r="AC242" s="46">
        <f>'Inputs (2)'!X41</f>
        <v>765</v>
      </c>
      <c r="AD242" s="46">
        <f>'Inputs (2)'!Y41</f>
        <v>758</v>
      </c>
      <c r="AE242" s="46">
        <f>'Inputs (2)'!Z41</f>
        <v>746</v>
      </c>
      <c r="AF242" s="46">
        <f>'Inputs (2)'!AA41</f>
        <v>728</v>
      </c>
      <c r="AG242" s="12">
        <f>'Inputs (2)'!AB41</f>
        <v>728</v>
      </c>
      <c r="AH242" s="12">
        <f>'Inputs (2)'!AC41</f>
        <v>686</v>
      </c>
      <c r="AI242" s="12">
        <f>'Inputs (2)'!AD41</f>
        <v>661</v>
      </c>
      <c r="AJ242" s="12">
        <f>AI242</f>
        <v>661</v>
      </c>
      <c r="AK242" s="12">
        <f>AJ242</f>
        <v>661</v>
      </c>
      <c r="AL242" s="12">
        <f>AK242</f>
        <v>661</v>
      </c>
      <c r="AM242" s="12">
        <f>AL242</f>
        <v>661</v>
      </c>
      <c r="AN242" s="12">
        <f>AM242</f>
        <v>661</v>
      </c>
      <c r="AO242" s="12">
        <f>AN242</f>
        <v>661</v>
      </c>
      <c r="AP242" s="12">
        <f>AO242</f>
        <v>661</v>
      </c>
      <c r="AQ242" s="12">
        <f>AP242</f>
        <v>661</v>
      </c>
      <c r="AR242" s="12">
        <f>AQ242</f>
        <v>661</v>
      </c>
      <c r="AS242" s="12">
        <f>AR242</f>
        <v>661</v>
      </c>
      <c r="AT242" s="12">
        <f>AS242</f>
        <v>661</v>
      </c>
      <c r="AU242" s="12">
        <f>AT242</f>
        <v>661</v>
      </c>
      <c r="AV242" s="12">
        <f>AU242</f>
        <v>661</v>
      </c>
      <c r="AW242" s="12">
        <f>AV242</f>
        <v>661</v>
      </c>
      <c r="AX242" s="12">
        <f>AW242</f>
        <v>661</v>
      </c>
      <c r="AY242" s="12">
        <f>AX242</f>
        <v>661</v>
      </c>
      <c r="AZ242" s="12">
        <f>AY242</f>
        <v>661</v>
      </c>
      <c r="BA242" s="12">
        <f>AZ242</f>
        <v>661</v>
      </c>
      <c r="BB242" s="12">
        <f>BA242</f>
        <v>661</v>
      </c>
      <c r="BC242" s="12">
        <f>BB242</f>
        <v>661</v>
      </c>
      <c r="BD242" s="12">
        <f>BC242</f>
        <v>661</v>
      </c>
      <c r="BE242" s="12">
        <f>BD242</f>
        <v>661</v>
      </c>
      <c r="BF242" s="12">
        <f>BE242</f>
        <v>661</v>
      </c>
      <c r="BG242" s="12" t="n"/>
      <c r="BH242" s="12" t="n"/>
      <c r="BI242" s="12" t="n"/>
      <c r="BJ242" s="12" t="n"/>
      <c r="BK242" s="12" t="n"/>
      <c r="BL242" s="12" t="n"/>
      <c r="BM242" s="12" t="n"/>
      <c r="BN242" s="12" t="n"/>
      <c r="BO242" s="12" t="n"/>
      <c r="BP242" s="12" t="n"/>
      <c r="BQ242" s="12" t="n"/>
      <c r="BR242" s="12" t="n"/>
      <c r="BS242" s="12" t="n"/>
      <c r="BT242" s="12" t="n"/>
      <c r="BU242" s="12" t="n"/>
      <c r="BV242" s="12" t="n"/>
      <c r="BW242" s="12" t="n"/>
      <c r="BX242" s="12" t="n"/>
      <c r="BY242" s="12" t="n"/>
      <c r="BZ242" s="12" t="n"/>
      <c r="CA242" s="12" t="n"/>
      <c r="CB242" s="12" t="n"/>
      <c r="CC242" s="12" t="n"/>
      <c r="CD242" s="12" t="n"/>
      <c r="CE242" s="12" t="n"/>
      <c r="CF242" s="12" t="n"/>
      <c r="CG242" s="12" t="n"/>
      <c r="CH242" s="12" t="n"/>
      <c r="CI242" s="12" t="n"/>
      <c r="CJ242" s="12" t="n"/>
      <c r="CK242" s="12" t="n"/>
      <c r="CL242" s="12" t="n"/>
      <c r="CM242" s="12" t="n"/>
      <c r="CN242" s="12" t="n"/>
      <c r="CO242" s="12" t="n"/>
      <c r="CP242" s="12" t="n"/>
      <c r="CQ242" s="12" t="n"/>
      <c r="CR242" s="12" t="n"/>
      <c r="CS242" s="12" t="n"/>
      <c r="CT242" s="12" t="n"/>
      <c r="CU242" s="12" t="n"/>
      <c r="CV242" s="12" t="n"/>
      <c r="CW242" s="12" t="n"/>
      <c r="CX242" s="12" t="n"/>
      <c r="CY242" s="12" t="n"/>
    </row>
    <row r="243" hidden="1" outlineLevel="1" customFormat="1" s="66">
      <c r="A243" s="37" t="n"/>
      <c r="B243" s="37" t="n"/>
      <c r="C243" s="59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  <c r="AA243" s="42" t="n"/>
      <c r="AB243" s="42" t="n"/>
      <c r="AC243" s="42" t="n"/>
      <c r="AD243" s="42" t="n"/>
      <c r="AE243" s="42" t="n"/>
      <c r="AF243" s="42" t="n"/>
      <c r="AG243" s="42" t="n"/>
      <c r="AH243" s="42" t="n"/>
      <c r="AI243" s="42" t="n"/>
      <c r="AJ243" s="42" t="n"/>
      <c r="AK243" s="42" t="n"/>
      <c r="AL243" s="42" t="n"/>
      <c r="AM243" s="42" t="n"/>
      <c r="AN243" s="42" t="n"/>
      <c r="AO243" s="42" t="n"/>
      <c r="AP243" s="42" t="n"/>
      <c r="AQ243" s="42" t="n"/>
      <c r="AR243" s="42" t="n"/>
      <c r="AS243" s="42" t="n"/>
      <c r="AT243" s="42" t="n"/>
      <c r="AU243" s="42" t="n"/>
      <c r="AV243" s="42" t="n"/>
      <c r="AW243" s="42" t="n"/>
      <c r="AX243" s="42" t="n"/>
      <c r="AY243" s="42" t="n"/>
      <c r="AZ243" s="42" t="n"/>
      <c r="BA243" s="42" t="n"/>
      <c r="BB243" s="42" t="n"/>
      <c r="BC243" s="42" t="n"/>
      <c r="BD243" s="42" t="n"/>
      <c r="BE243" s="42" t="n"/>
      <c r="BF243" s="42" t="n"/>
      <c r="BG243" s="42" t="n"/>
      <c r="BH243" s="42" t="n"/>
      <c r="BI243" s="42" t="n"/>
      <c r="BJ243" s="42" t="n"/>
      <c r="BK243" s="42" t="n"/>
      <c r="BL243" s="42" t="n"/>
      <c r="BM243" s="42" t="n"/>
      <c r="BN243" s="42" t="n"/>
      <c r="BO243" s="42" t="n"/>
      <c r="BP243" s="42" t="n"/>
      <c r="BQ243" s="42" t="n"/>
      <c r="BR243" s="42" t="n"/>
      <c r="BS243" s="42" t="n"/>
      <c r="BT243" s="42" t="n"/>
      <c r="BU243" s="42" t="n"/>
      <c r="BV243" s="42" t="n"/>
      <c r="BW243" s="42" t="n"/>
      <c r="BX243" s="42" t="n"/>
      <c r="BY243" s="42" t="n"/>
      <c r="BZ243" s="42" t="n"/>
      <c r="CA243" s="42" t="n"/>
      <c r="CB243" s="42" t="n"/>
      <c r="CC243" s="42" t="n"/>
      <c r="CD243" s="42" t="n"/>
      <c r="CE243" s="42" t="n"/>
      <c r="CF243" s="42" t="n"/>
      <c r="CG243" s="42" t="n"/>
      <c r="CH243" s="42" t="n"/>
      <c r="CI243" s="42" t="n"/>
      <c r="CJ243" s="42" t="n"/>
      <c r="CK243" s="42" t="n"/>
      <c r="CL243" s="42" t="n"/>
      <c r="CM243" s="42" t="n"/>
      <c r="CN243" s="42" t="n"/>
      <c r="CO243" s="42" t="n"/>
      <c r="CP243" s="42" t="n"/>
      <c r="CQ243" s="42" t="n"/>
      <c r="CR243" s="42" t="n"/>
      <c r="CS243" s="42" t="n"/>
      <c r="CT243" s="42" t="n"/>
      <c r="CU243" s="42" t="n"/>
      <c r="CV243" s="42" t="n"/>
      <c r="CW243" s="42" t="n"/>
      <c r="CX243" s="42" t="n"/>
      <c r="CY243" s="42" t="n"/>
    </row>
    <row r="244" hidden="1" outlineLevel="1" customFormat="1" s="66">
      <c r="A244" s="37" t="n"/>
      <c r="B244" s="37" t="n"/>
      <c r="C244" s="57" t="inlineStr">
        <is>
          <t>Minority Interest Expense - % YoY</t>
        </is>
      </c>
      <c r="D244" s="42" t="n"/>
      <c r="E244" s="58" t="n"/>
      <c r="F244" s="42" t="n"/>
      <c r="G244" s="42" t="n"/>
      <c r="H244" s="58" t="n"/>
      <c r="I244" s="42" t="n"/>
      <c r="J244" s="58">
        <f>IF(I129=0,0,J129/I129-1)</f>
        <v>0</v>
      </c>
      <c r="K244" s="42" t="n"/>
      <c r="L244" s="42" t="n"/>
      <c r="M244" s="58" t="n"/>
      <c r="N244" s="58">
        <f>IF(I129=0,0,N129/I129-1)</f>
        <v>0</v>
      </c>
      <c r="O244" s="58">
        <f>IF(J129=0,0,O129/J129-1)</f>
        <v>0</v>
      </c>
      <c r="P244" s="58">
        <f>IF(K129=0,0,P129/K129-1)</f>
        <v>0</v>
      </c>
      <c r="Q244" s="58">
        <f>IF(L129=0,0,Q129/L129-1)</f>
        <v>0</v>
      </c>
      <c r="R244" s="58" t="n"/>
      <c r="S244" s="58">
        <f>IF(N129=0,0,S129/N129-1)</f>
        <v>0</v>
      </c>
      <c r="T244" s="58">
        <f>IF(O129=0,0,T129/O129-1)</f>
        <v>0</v>
      </c>
      <c r="U244" s="58">
        <f>IF(P129=0,0,U129/P129-1)</f>
        <v>0</v>
      </c>
      <c r="V244" s="58">
        <f>IF(Q129=0,0,V129/Q129-1)</f>
        <v>0</v>
      </c>
      <c r="W244" s="58">
        <f>IF(R130=0,0,W130/R130-1)</f>
        <v>-1.74193548387097</v>
      </c>
      <c r="X244" s="58">
        <f>IF(S129=0,0,X129/S129-1)</f>
        <v>0</v>
      </c>
      <c r="Y244" s="58">
        <f>IF(T129=0,0,Y129/T129-1)</f>
        <v>0</v>
      </c>
      <c r="Z244" s="58">
        <f>IF(U129=0,0,Z129/U129-1)</f>
        <v>0</v>
      </c>
      <c r="AA244" s="58">
        <f>IF(V129=0,0,AA129/V129-1)</f>
        <v>0</v>
      </c>
      <c r="AB244" s="58">
        <f>IF(W130=0,0,AB130/W130-1)</f>
        <v>-3.69565217391304</v>
      </c>
      <c r="AC244" s="58">
        <f>IF(X129=0,0,AC129/X129-1)</f>
        <v>0</v>
      </c>
      <c r="AD244" s="58">
        <f>IF(Y129=0,0,AD129/Y129-1)</f>
        <v>0</v>
      </c>
      <c r="AE244" s="58">
        <f>IF(Z129=0,0,AE129/Z129-1)</f>
        <v>0</v>
      </c>
      <c r="AF244" s="58">
        <f>IF(AA129=0,0,AF129/AA129-1)</f>
        <v>0</v>
      </c>
      <c r="AG244" s="58">
        <f>IF(AB130=0,0,AG130/AB130-1)</f>
        <v>-0.0161290322580645</v>
      </c>
      <c r="AH244" s="62">
        <f>IF(AC129=0,0,AH129/AC129-1)</f>
        <v>0</v>
      </c>
      <c r="AI244" s="62">
        <f>IF(AD129=0,0,AI129/AD129-1)</f>
        <v>0</v>
      </c>
      <c r="AJ244" s="62" t="n"/>
      <c r="AK244" s="62" t="n"/>
      <c r="AL244" s="58">
        <f>IF(AG130=0,0,AL130/AG130-1)</f>
        <v>-0.540983606557377</v>
      </c>
      <c r="AM244" s="62" t="n"/>
      <c r="AN244" s="62" t="n"/>
      <c r="AO244" s="62" t="n"/>
      <c r="AP244" s="62" t="n"/>
      <c r="AQ244" s="58">
        <f>IF(AL130=0,0,AQ130/AL130-1)</f>
        <v>-1</v>
      </c>
      <c r="AR244" s="62" t="n"/>
      <c r="AS244" s="62" t="n"/>
      <c r="AT244" s="62" t="n"/>
      <c r="AU244" s="62" t="n"/>
      <c r="AV244" s="58">
        <f>IF(AQ130=0,0,AV130/AQ130-1)</f>
        <v>0</v>
      </c>
      <c r="AW244" s="62" t="n"/>
      <c r="AX244" s="62" t="n"/>
      <c r="AY244" s="62" t="n"/>
      <c r="AZ244" s="62" t="n"/>
      <c r="BA244" s="58">
        <f>IF(AV130=0,0,BA130/AV130-1)</f>
        <v>0</v>
      </c>
      <c r="BB244" s="62" t="n"/>
      <c r="BC244" s="62" t="n"/>
      <c r="BD244" s="62" t="n"/>
      <c r="BE244" s="62" t="n"/>
      <c r="BF244" s="58">
        <f>IF(BA130=0,0,BF130/BA130-1)</f>
        <v>0</v>
      </c>
      <c r="BG244" s="62" t="n"/>
      <c r="BH244" s="62" t="n"/>
      <c r="BI244" s="62" t="n"/>
      <c r="BJ244" s="62" t="n"/>
      <c r="BK244" s="58" t="n"/>
      <c r="BL244" s="62" t="n"/>
      <c r="BM244" s="62" t="n"/>
      <c r="BN244" s="62" t="n"/>
      <c r="BO244" s="62" t="n"/>
      <c r="BP244" s="58" t="n"/>
      <c r="BQ244" s="62" t="n"/>
      <c r="BR244" s="62" t="n"/>
      <c r="BS244" s="62" t="n"/>
      <c r="BT244" s="62" t="n"/>
      <c r="BU244" s="58" t="n"/>
      <c r="BV244" s="62" t="n"/>
      <c r="BW244" s="62" t="n"/>
      <c r="BX244" s="62" t="n"/>
      <c r="BY244" s="62" t="n"/>
      <c r="BZ244" s="58" t="n"/>
      <c r="CA244" s="62" t="n"/>
      <c r="CB244" s="62" t="n"/>
      <c r="CC244" s="62" t="n"/>
      <c r="CD244" s="62" t="n"/>
      <c r="CE244" s="58" t="n"/>
      <c r="CF244" s="62" t="n"/>
      <c r="CG244" s="62" t="n"/>
      <c r="CH244" s="62" t="n"/>
      <c r="CI244" s="62" t="n"/>
      <c r="CJ244" s="58" t="n"/>
      <c r="CK244" s="62" t="n"/>
      <c r="CL244" s="62" t="n"/>
      <c r="CM244" s="62" t="n"/>
      <c r="CN244" s="62" t="n"/>
      <c r="CO244" s="58" t="n"/>
      <c r="CP244" s="62" t="n"/>
      <c r="CQ244" s="62" t="n"/>
      <c r="CR244" s="62" t="n"/>
      <c r="CS244" s="62" t="n"/>
      <c r="CT244" s="58" t="n"/>
      <c r="CU244" s="62" t="n"/>
      <c r="CV244" s="62" t="n"/>
      <c r="CW244" s="62" t="n"/>
      <c r="CX244" s="62" t="n"/>
      <c r="CY244" s="58" t="n"/>
    </row>
    <row r="245" hidden="1" outlineLevel="1" customFormat="1" s="66">
      <c r="A245" s="37" t="n"/>
      <c r="B245" s="37" t="n"/>
      <c r="C245" s="57" t="inlineStr">
        <is>
          <t>Dividends (enter as -)</t>
        </is>
      </c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  <c r="AA245" s="42" t="n"/>
      <c r="AB245" s="42" t="n"/>
      <c r="AC245" s="42" t="n"/>
      <c r="AD245" s="42" t="n"/>
      <c r="AE245" s="42" t="n"/>
      <c r="AF245" s="42" t="n"/>
      <c r="AG245" s="42" t="n"/>
      <c r="AH245" s="62" t="n"/>
      <c r="AI245" s="62" t="n"/>
      <c r="AJ245" s="62" t="n"/>
      <c r="AK245" s="62" t="n"/>
      <c r="AL245" s="42" t="n"/>
      <c r="AM245" s="62" t="n"/>
      <c r="AN245" s="62" t="n"/>
      <c r="AO245" s="62" t="n"/>
      <c r="AP245" s="62" t="n"/>
      <c r="AQ245" s="42" t="n"/>
      <c r="AR245" s="62" t="n"/>
      <c r="AS245" s="62" t="n"/>
      <c r="AT245" s="62" t="n"/>
      <c r="AU245" s="62" t="n"/>
      <c r="AV245" s="42" t="n"/>
      <c r="AW245" s="62" t="n"/>
      <c r="AX245" s="62" t="n"/>
      <c r="AY245" s="62" t="n"/>
      <c r="AZ245" s="62" t="n"/>
      <c r="BA245" s="42" t="n"/>
      <c r="BB245" s="62" t="n"/>
      <c r="BC245" s="62" t="n"/>
      <c r="BD245" s="62" t="n"/>
      <c r="BE245" s="62" t="n"/>
      <c r="BF245" s="42" t="n"/>
      <c r="BG245" s="62" t="n"/>
      <c r="BH245" s="62" t="n"/>
      <c r="BI245" s="62" t="n"/>
      <c r="BJ245" s="62" t="n"/>
      <c r="BK245" s="42" t="n"/>
      <c r="BL245" s="62" t="n"/>
      <c r="BM245" s="62" t="n"/>
      <c r="BN245" s="62" t="n"/>
      <c r="BO245" s="62" t="n"/>
      <c r="BP245" s="42" t="n"/>
      <c r="BQ245" s="62" t="n"/>
      <c r="BR245" s="62" t="n"/>
      <c r="BS245" s="62" t="n"/>
      <c r="BT245" s="62" t="n"/>
      <c r="BU245" s="42" t="n"/>
      <c r="BV245" s="62" t="n"/>
      <c r="BW245" s="62" t="n"/>
      <c r="BX245" s="62" t="n"/>
      <c r="BY245" s="62" t="n"/>
      <c r="BZ245" s="42" t="n"/>
      <c r="CA245" s="62" t="n"/>
      <c r="CB245" s="62" t="n"/>
      <c r="CC245" s="62" t="n"/>
      <c r="CD245" s="62" t="n"/>
      <c r="CE245" s="42" t="n"/>
      <c r="CF245" s="62" t="n"/>
      <c r="CG245" s="62" t="n"/>
      <c r="CH245" s="62" t="n"/>
      <c r="CI245" s="62" t="n"/>
      <c r="CJ245" s="42" t="n"/>
      <c r="CK245" s="62" t="n"/>
      <c r="CL245" s="62" t="n"/>
      <c r="CM245" s="62" t="n"/>
      <c r="CN245" s="62" t="n"/>
      <c r="CO245" s="42" t="n"/>
      <c r="CP245" s="62" t="n"/>
      <c r="CQ245" s="62" t="n"/>
      <c r="CR245" s="62" t="n"/>
      <c r="CS245" s="62" t="n"/>
      <c r="CT245" s="42" t="n"/>
      <c r="CU245" s="62" t="n"/>
      <c r="CV245" s="62" t="n"/>
      <c r="CW245" s="62" t="n"/>
      <c r="CX245" s="62" t="n"/>
      <c r="CY245" s="42" t="n"/>
    </row>
    <row r="246" hidden="1" outlineLevel="1" customFormat="1" s="66">
      <c r="A246" s="37" t="n"/>
      <c r="B246" s="37" t="n"/>
      <c r="C246" s="59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  <c r="AA246" s="42" t="n"/>
      <c r="AB246" s="42" t="n"/>
      <c r="AC246" s="42" t="n"/>
      <c r="AD246" s="42" t="n"/>
      <c r="AE246" s="42" t="n"/>
      <c r="AF246" s="42" t="n"/>
      <c r="AG246" s="42" t="n"/>
      <c r="AH246" s="42" t="n"/>
      <c r="AI246" s="42" t="n"/>
      <c r="AJ246" s="42" t="n"/>
      <c r="AK246" s="42" t="n"/>
      <c r="AL246" s="42" t="n"/>
      <c r="AM246" s="42" t="n"/>
      <c r="AN246" s="42" t="n"/>
      <c r="AO246" s="42" t="n"/>
      <c r="AP246" s="42" t="n"/>
      <c r="AQ246" s="42" t="n"/>
      <c r="AR246" s="42" t="n"/>
      <c r="AS246" s="42" t="n"/>
      <c r="AT246" s="42" t="n"/>
      <c r="AU246" s="42" t="n"/>
      <c r="AV246" s="42" t="n"/>
      <c r="AW246" s="42" t="n"/>
      <c r="AX246" s="42" t="n"/>
      <c r="AY246" s="42" t="n"/>
      <c r="AZ246" s="42" t="n"/>
      <c r="BA246" s="42" t="n"/>
      <c r="BB246" s="42" t="n"/>
      <c r="BC246" s="42" t="n"/>
      <c r="BD246" s="42" t="n"/>
      <c r="BE246" s="42" t="n"/>
      <c r="BF246" s="42" t="n"/>
      <c r="BG246" s="42" t="n"/>
      <c r="BH246" s="42" t="n"/>
      <c r="BI246" s="42" t="n"/>
      <c r="BJ246" s="42" t="n"/>
      <c r="BK246" s="42" t="n"/>
      <c r="BL246" s="42" t="n"/>
      <c r="BM246" s="42" t="n"/>
      <c r="BN246" s="42" t="n"/>
      <c r="BO246" s="42" t="n"/>
      <c r="BP246" s="42" t="n"/>
      <c r="BQ246" s="42" t="n"/>
      <c r="BR246" s="42" t="n"/>
      <c r="BS246" s="42" t="n"/>
      <c r="BT246" s="42" t="n"/>
      <c r="BU246" s="42" t="n"/>
      <c r="BV246" s="42" t="n"/>
      <c r="BW246" s="42" t="n"/>
      <c r="BX246" s="42" t="n"/>
      <c r="BY246" s="42" t="n"/>
      <c r="BZ246" s="42" t="n"/>
      <c r="CA246" s="42" t="n"/>
      <c r="CB246" s="42" t="n"/>
      <c r="CC246" s="42" t="n"/>
      <c r="CD246" s="42" t="n"/>
      <c r="CE246" s="42" t="n"/>
      <c r="CF246" s="42" t="n"/>
      <c r="CG246" s="42" t="n"/>
      <c r="CH246" s="42" t="n"/>
      <c r="CI246" s="42" t="n"/>
      <c r="CJ246" s="42" t="n"/>
      <c r="CK246" s="42" t="n"/>
      <c r="CL246" s="42" t="n"/>
      <c r="CM246" s="42" t="n"/>
      <c r="CN246" s="42" t="n"/>
      <c r="CO246" s="42" t="n"/>
      <c r="CP246" s="42" t="n"/>
      <c r="CQ246" s="42" t="n"/>
      <c r="CR246" s="42" t="n"/>
      <c r="CS246" s="42" t="n"/>
      <c r="CT246" s="42" t="n"/>
      <c r="CU246" s="42" t="n"/>
      <c r="CV246" s="42" t="n"/>
      <c r="CW246" s="42" t="n"/>
      <c r="CX246" s="42" t="n"/>
      <c r="CY246" s="42" t="n"/>
    </row>
    <row r="247" collapsed="1">
      <c r="C247" s="14" t="inlineStr">
        <is>
          <t>Convertible Preferred Stock</t>
        </is>
      </c>
      <c r="D247" s="46" t="n"/>
      <c r="E247" s="46" t="n"/>
      <c r="F247" s="46" t="n"/>
      <c r="G247" s="46" t="n"/>
      <c r="H247" s="12" t="n"/>
      <c r="I247" s="46">
        <f>'Inputs (2)'!D42</f>
        <v>0</v>
      </c>
      <c r="J247" s="46">
        <f>'Inputs (2)'!E42</f>
        <v>0</v>
      </c>
      <c r="K247" s="46">
        <f>'Inputs (2)'!F42</f>
        <v>0</v>
      </c>
      <c r="L247" s="46">
        <f>'Inputs (2)'!G42</f>
        <v>0</v>
      </c>
      <c r="M247" s="12">
        <f>'Inputs (2)'!H42</f>
        <v>0</v>
      </c>
      <c r="N247" s="46">
        <f>'Inputs (2)'!I42</f>
        <v>0</v>
      </c>
      <c r="O247" s="46">
        <f>'Inputs (2)'!J42</f>
        <v>0</v>
      </c>
      <c r="P247" s="46">
        <f>'Inputs (2)'!K42</f>
        <v>0</v>
      </c>
      <c r="Q247" s="46">
        <f>'Inputs (2)'!L42</f>
        <v>0</v>
      </c>
      <c r="R247" s="12">
        <f>'Inputs (2)'!M42</f>
        <v>0</v>
      </c>
      <c r="S247" s="46">
        <f>'Inputs (2)'!N42</f>
        <v>0</v>
      </c>
      <c r="T247" s="46">
        <f>'Inputs (2)'!O42</f>
        <v>0</v>
      </c>
      <c r="U247" s="46">
        <f>'Inputs (2)'!P42</f>
        <v>0</v>
      </c>
      <c r="V247" s="46">
        <f>'Inputs (2)'!Q42</f>
        <v>0</v>
      </c>
      <c r="W247" s="12">
        <f>'Inputs (2)'!R42</f>
        <v>0</v>
      </c>
      <c r="X247" s="46">
        <f>'Inputs (2)'!S42</f>
        <v>0</v>
      </c>
      <c r="Y247" s="46">
        <f>'Inputs (2)'!T42</f>
        <v>0</v>
      </c>
      <c r="Z247" s="46">
        <f>'Inputs (2)'!U42</f>
        <v>0</v>
      </c>
      <c r="AA247" s="46">
        <f>'Inputs (2)'!V42</f>
        <v>0</v>
      </c>
      <c r="AB247" s="12">
        <f>'Inputs (2)'!W42</f>
        <v>0</v>
      </c>
      <c r="AC247" s="46">
        <f>'Inputs (2)'!X42</f>
        <v>0</v>
      </c>
      <c r="AD247" s="46">
        <f>'Inputs (2)'!Y42</f>
        <v>0</v>
      </c>
      <c r="AE247" s="46">
        <f>'Inputs (2)'!Z42</f>
        <v>0</v>
      </c>
      <c r="AF247" s="46">
        <f>'Inputs (2)'!AA42</f>
        <v>0</v>
      </c>
      <c r="AG247" s="12">
        <f>'Inputs (2)'!AB42</f>
        <v>0</v>
      </c>
      <c r="AH247" s="12">
        <f>'Inputs (2)'!AC42</f>
        <v>0</v>
      </c>
      <c r="AI247" s="12">
        <f>'Inputs (2)'!AD42</f>
        <v>0</v>
      </c>
      <c r="AJ247" s="12">
        <f>AI247</f>
        <v>0</v>
      </c>
      <c r="AK247" s="12">
        <f>AJ247</f>
        <v>0</v>
      </c>
      <c r="AL247" s="12">
        <f>AK247</f>
        <v>0</v>
      </c>
      <c r="AM247" s="12">
        <f>AL247</f>
        <v>0</v>
      </c>
      <c r="AN247" s="12">
        <f>AM247</f>
        <v>0</v>
      </c>
      <c r="AO247" s="12">
        <f>AN247</f>
        <v>0</v>
      </c>
      <c r="AP247" s="12">
        <f>AO247</f>
        <v>0</v>
      </c>
      <c r="AQ247" s="12">
        <f>AP247</f>
        <v>0</v>
      </c>
      <c r="AR247" s="12">
        <f>AQ247</f>
        <v>0</v>
      </c>
      <c r="AS247" s="12">
        <f>AR247</f>
        <v>0</v>
      </c>
      <c r="AT247" s="12">
        <f>AS247</f>
        <v>0</v>
      </c>
      <c r="AU247" s="12">
        <f>AT247</f>
        <v>0</v>
      </c>
      <c r="AV247" s="12">
        <f>AU247</f>
        <v>0</v>
      </c>
      <c r="AW247" s="12">
        <f>AV247</f>
        <v>0</v>
      </c>
      <c r="AX247" s="12">
        <f>AW247</f>
        <v>0</v>
      </c>
      <c r="AY247" s="12">
        <f>AX247</f>
        <v>0</v>
      </c>
      <c r="AZ247" s="12">
        <f>AY247</f>
        <v>0</v>
      </c>
      <c r="BA247" s="12">
        <f>AZ247</f>
        <v>0</v>
      </c>
      <c r="BB247" s="12">
        <f>BA247</f>
        <v>0</v>
      </c>
      <c r="BC247" s="12">
        <f>BB247</f>
        <v>0</v>
      </c>
      <c r="BD247" s="12">
        <f>BC247</f>
        <v>0</v>
      </c>
      <c r="BE247" s="12">
        <f>BD247</f>
        <v>0</v>
      </c>
      <c r="BF247" s="12">
        <f>BE247</f>
        <v>0</v>
      </c>
      <c r="BG247" s="12" t="n"/>
      <c r="BH247" s="12" t="n"/>
      <c r="BI247" s="12" t="n"/>
      <c r="BJ247" s="12" t="n"/>
      <c r="BK247" s="12" t="n"/>
      <c r="BL247" s="12" t="n"/>
      <c r="BM247" s="12" t="n"/>
      <c r="BN247" s="12" t="n"/>
      <c r="BO247" s="12" t="n"/>
      <c r="BP247" s="12" t="n"/>
      <c r="BQ247" s="12" t="n"/>
      <c r="BR247" s="12" t="n"/>
      <c r="BS247" s="12" t="n"/>
      <c r="BT247" s="12" t="n"/>
      <c r="BU247" s="12" t="n"/>
      <c r="BV247" s="12" t="n"/>
      <c r="BW247" s="12" t="n"/>
      <c r="BX247" s="12" t="n"/>
      <c r="BY247" s="12" t="n"/>
      <c r="BZ247" s="12" t="n"/>
      <c r="CA247" s="12" t="n"/>
      <c r="CB247" s="12" t="n"/>
      <c r="CC247" s="12" t="n"/>
      <c r="CD247" s="12" t="n"/>
      <c r="CE247" s="12" t="n"/>
      <c r="CF247" s="12" t="n"/>
      <c r="CG247" s="12" t="n"/>
      <c r="CH247" s="12" t="n"/>
      <c r="CI247" s="12" t="n"/>
      <c r="CJ247" s="12" t="n"/>
      <c r="CK247" s="12" t="n"/>
      <c r="CL247" s="12" t="n"/>
      <c r="CM247" s="12" t="n"/>
      <c r="CN247" s="12" t="n"/>
      <c r="CO247" s="12" t="n"/>
      <c r="CP247" s="12" t="n"/>
      <c r="CQ247" s="12" t="n"/>
      <c r="CR247" s="12" t="n"/>
      <c r="CS247" s="12" t="n"/>
      <c r="CT247" s="12" t="n"/>
      <c r="CU247" s="12" t="n"/>
      <c r="CV247" s="12" t="n"/>
      <c r="CW247" s="12" t="n"/>
      <c r="CX247" s="12" t="n"/>
      <c r="CY247" s="12" t="n"/>
    </row>
    <row r="248">
      <c r="C248" s="13" t="inlineStr">
        <is>
          <t>Common Stock and APIC</t>
        </is>
      </c>
      <c r="D248" s="46" t="n"/>
      <c r="E248" s="46" t="n"/>
      <c r="F248" s="46" t="n"/>
      <c r="G248" s="46" t="n"/>
      <c r="H248" s="12" t="n"/>
      <c r="I248" s="46">
        <f>'Inputs (2)'!D43</f>
        <v>27624</v>
      </c>
      <c r="J248" s="46">
        <f>'Inputs (2)'!E43</f>
        <v>28206</v>
      </c>
      <c r="K248" s="46">
        <f>'Inputs (2)'!F43</f>
        <v>28923</v>
      </c>
      <c r="L248" s="46">
        <f>'Inputs (2)'!G43</f>
        <v>29804</v>
      </c>
      <c r="M248" s="12">
        <f>'Inputs (2)'!H43</f>
        <v>29804</v>
      </c>
      <c r="N248" s="46">
        <f>'Inputs (2)'!I43</f>
        <v>30486</v>
      </c>
      <c r="O248" s="46">
        <f>'Inputs (2)'!J43</f>
        <v>30945</v>
      </c>
      <c r="P248" s="46">
        <f>'Inputs (2)'!K43</f>
        <v>31595</v>
      </c>
      <c r="Q248" s="46">
        <f>'Inputs (2)'!L43</f>
        <v>32180</v>
      </c>
      <c r="R248" s="12">
        <f>'Inputs (2)'!M43</f>
        <v>32180</v>
      </c>
      <c r="S248" s="46">
        <f>'Inputs (2)'!N43</f>
        <v>32881</v>
      </c>
      <c r="T248" s="46">
        <f>'Inputs (2)'!O43</f>
        <v>33439</v>
      </c>
      <c r="U248" s="46">
        <f>'Inputs (2)'!P43</f>
        <v>34204</v>
      </c>
      <c r="V248" s="46">
        <f>'Inputs (2)'!Q43</f>
        <v>34895</v>
      </c>
      <c r="W248" s="12">
        <f>'Inputs (2)'!R43</f>
        <v>34895</v>
      </c>
      <c r="X248" s="46">
        <f>'Inputs (2)'!S43</f>
        <v>35766</v>
      </c>
      <c r="Y248" s="46">
        <f>'Inputs (2)'!T43</f>
        <v>36446</v>
      </c>
      <c r="Z248" s="46">
        <f>'Inputs (2)'!U43</f>
        <v>37289</v>
      </c>
      <c r="AA248" s="46">
        <f>'Inputs (2)'!V43</f>
        <v>38374</v>
      </c>
      <c r="AB248" s="12">
        <f>'Inputs (2)'!W43</f>
        <v>38374</v>
      </c>
      <c r="AC248" s="46">
        <f>'Inputs (2)'!X43</f>
        <v>39459</v>
      </c>
      <c r="AD248" s="46">
        <f>'Inputs (2)'!Y43</f>
        <v>40366</v>
      </c>
      <c r="AE248" s="46">
        <f>'Inputs (2)'!Z43</f>
        <v>41600</v>
      </c>
      <c r="AF248" s="46">
        <f>'Inputs (2)'!AA43</f>
        <v>42773</v>
      </c>
      <c r="AG248" s="12">
        <f>'Inputs (2)'!AB43</f>
        <v>42773</v>
      </c>
      <c r="AH248" s="12">
        <f>'Inputs (2)'!AC43</f>
        <v>44302</v>
      </c>
      <c r="AI248" s="12">
        <f>'Inputs (2)'!AD43</f>
        <v>45863</v>
      </c>
      <c r="AJ248" s="12">
        <f>AI248+AJ252</f>
        <v>45863</v>
      </c>
      <c r="AK248" s="12">
        <f>AJ248+AK252</f>
        <v>45863</v>
      </c>
      <c r="AL248" s="12">
        <f>AK248</f>
        <v>45863</v>
      </c>
      <c r="AM248" s="12">
        <f>AL248+AM252</f>
        <v>45863</v>
      </c>
      <c r="AN248" s="12">
        <f>AM248+AN252</f>
        <v>45863</v>
      </c>
      <c r="AO248" s="12">
        <f>AN248+AO252</f>
        <v>45863</v>
      </c>
      <c r="AP248" s="12">
        <f>AO248+AP252</f>
        <v>45863</v>
      </c>
      <c r="AQ248" s="12">
        <f>AP248</f>
        <v>45863</v>
      </c>
      <c r="AR248" s="12">
        <f>AQ248+AR252</f>
        <v>45863</v>
      </c>
      <c r="AS248" s="12">
        <f>AR248+AS252</f>
        <v>45863</v>
      </c>
      <c r="AT248" s="12">
        <f>AS248+AT252</f>
        <v>45863</v>
      </c>
      <c r="AU248" s="12">
        <f>AT248+AU252</f>
        <v>45863</v>
      </c>
      <c r="AV248" s="12">
        <f>AU248</f>
        <v>45863</v>
      </c>
      <c r="AW248" s="12">
        <f>AV248+AW252</f>
        <v>45863</v>
      </c>
      <c r="AX248" s="12">
        <f>AW248+AX252</f>
        <v>45863</v>
      </c>
      <c r="AY248" s="12">
        <f>AX248+AY252</f>
        <v>45863</v>
      </c>
      <c r="AZ248" s="12">
        <f>AY248+AZ252</f>
        <v>45863</v>
      </c>
      <c r="BA248" s="12">
        <f>AZ248</f>
        <v>45863</v>
      </c>
      <c r="BB248" s="12">
        <f>BA248+BB252</f>
        <v>45863</v>
      </c>
      <c r="BC248" s="12">
        <f>BB248+BC252</f>
        <v>45863</v>
      </c>
      <c r="BD248" s="12">
        <f>BC248+BD252</f>
        <v>45863</v>
      </c>
      <c r="BE248" s="12">
        <f>BD248+BE252</f>
        <v>45863</v>
      </c>
      <c r="BF248" s="12">
        <f>BE248</f>
        <v>45863</v>
      </c>
      <c r="BG248" s="12" t="n"/>
      <c r="BH248" s="12" t="n"/>
      <c r="BI248" s="12" t="n"/>
      <c r="BJ248" s="12" t="n"/>
      <c r="BK248" s="12" t="n"/>
      <c r="BL248" s="12" t="n"/>
      <c r="BM248" s="12" t="n"/>
      <c r="BN248" s="12" t="n"/>
      <c r="BO248" s="12" t="n"/>
      <c r="BP248" s="12" t="n"/>
      <c r="BQ248" s="12" t="n"/>
      <c r="BR248" s="12" t="n"/>
      <c r="BS248" s="12" t="n"/>
      <c r="BT248" s="12" t="n"/>
      <c r="BU248" s="12" t="n"/>
      <c r="BV248" s="12" t="n"/>
      <c r="BW248" s="12" t="n"/>
      <c r="BX248" s="12" t="n"/>
      <c r="BY248" s="12" t="n"/>
      <c r="BZ248" s="12" t="n"/>
      <c r="CA248" s="12" t="n"/>
      <c r="CB248" s="12" t="n"/>
      <c r="CC248" s="12" t="n"/>
      <c r="CD248" s="12" t="n"/>
      <c r="CE248" s="12" t="n"/>
      <c r="CF248" s="12" t="n"/>
      <c r="CG248" s="12" t="n"/>
      <c r="CH248" s="12" t="n"/>
      <c r="CI248" s="12" t="n"/>
      <c r="CJ248" s="12" t="n"/>
      <c r="CK248" s="12" t="n"/>
      <c r="CL248" s="12" t="n"/>
      <c r="CM248" s="12" t="n"/>
      <c r="CN248" s="12" t="n"/>
      <c r="CO248" s="12" t="n"/>
      <c r="CP248" s="12" t="n"/>
      <c r="CQ248" s="12" t="n"/>
      <c r="CR248" s="12" t="n"/>
      <c r="CS248" s="12" t="n"/>
      <c r="CT248" s="12" t="n"/>
      <c r="CU248" s="12" t="n"/>
      <c r="CV248" s="12" t="n"/>
      <c r="CW248" s="12" t="n"/>
      <c r="CX248" s="12" t="n"/>
      <c r="CY248" s="12" t="n"/>
    </row>
    <row r="249" hidden="1" outlineLevel="1" customFormat="1" s="66">
      <c r="A249" s="37" t="n"/>
      <c r="B249" s="37" t="n"/>
      <c r="C249" s="67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  <c r="AA249" s="42" t="n"/>
      <c r="AB249" s="42" t="n"/>
      <c r="AC249" s="42" t="n"/>
      <c r="AD249" s="42" t="n"/>
      <c r="AE249" s="42" t="n"/>
      <c r="AF249" s="42" t="n"/>
      <c r="AG249" s="42" t="n"/>
      <c r="AH249" s="42" t="n"/>
      <c r="AI249" s="42" t="n"/>
      <c r="AJ249" s="42" t="n"/>
      <c r="AK249" s="42" t="n"/>
      <c r="AL249" s="42" t="n"/>
      <c r="AM249" s="42" t="n"/>
      <c r="AN249" s="42" t="n"/>
      <c r="AO249" s="42" t="n"/>
      <c r="AP249" s="42" t="n"/>
      <c r="AQ249" s="42" t="n"/>
      <c r="AR249" s="42" t="n"/>
      <c r="AS249" s="42" t="n"/>
      <c r="AT249" s="42" t="n"/>
      <c r="AU249" s="42" t="n"/>
      <c r="AV249" s="42" t="n"/>
      <c r="AW249" s="42" t="n"/>
      <c r="AX249" s="42" t="n"/>
      <c r="AY249" s="42" t="n"/>
      <c r="AZ249" s="42" t="n"/>
      <c r="BA249" s="42" t="n"/>
      <c r="BB249" s="42" t="n"/>
      <c r="BC249" s="42" t="n"/>
      <c r="BD249" s="42" t="n"/>
      <c r="BE249" s="42" t="n"/>
      <c r="BF249" s="42" t="n"/>
      <c r="BG249" s="42" t="n"/>
      <c r="BH249" s="42" t="n"/>
      <c r="BI249" s="42" t="n"/>
      <c r="BJ249" s="42" t="n"/>
      <c r="BK249" s="42" t="n"/>
      <c r="BL249" s="42" t="n"/>
      <c r="BM249" s="42" t="n"/>
      <c r="BN249" s="42" t="n"/>
      <c r="BO249" s="42" t="n"/>
      <c r="BP249" s="42" t="n"/>
      <c r="BQ249" s="42" t="n"/>
      <c r="BR249" s="42" t="n"/>
      <c r="BS249" s="42" t="n"/>
      <c r="BT249" s="42" t="n"/>
      <c r="BU249" s="42" t="n"/>
      <c r="BV249" s="42" t="n"/>
      <c r="BW249" s="42" t="n"/>
      <c r="BX249" s="42" t="n"/>
      <c r="BY249" s="42" t="n"/>
      <c r="BZ249" s="42" t="n"/>
      <c r="CA249" s="42" t="n"/>
      <c r="CB249" s="42" t="n"/>
      <c r="CC249" s="42" t="n"/>
      <c r="CD249" s="42" t="n"/>
      <c r="CE249" s="42" t="n"/>
      <c r="CF249" s="42" t="n"/>
      <c r="CG249" s="42" t="n"/>
      <c r="CH249" s="42" t="n"/>
      <c r="CI249" s="42" t="n"/>
      <c r="CJ249" s="42" t="n"/>
      <c r="CK249" s="42" t="n"/>
      <c r="CL249" s="42" t="n"/>
      <c r="CM249" s="42" t="n"/>
      <c r="CN249" s="42" t="n"/>
      <c r="CO249" s="42" t="n"/>
      <c r="CP249" s="42" t="n"/>
      <c r="CQ249" s="42" t="n"/>
      <c r="CR249" s="42" t="n"/>
      <c r="CS249" s="42" t="n"/>
      <c r="CT249" s="42" t="n"/>
      <c r="CU249" s="42" t="n"/>
      <c r="CV249" s="42" t="n"/>
      <c r="CW249" s="42" t="n"/>
      <c r="CX249" s="42" t="n"/>
      <c r="CY249" s="42" t="n"/>
    </row>
    <row r="250" hidden="1" outlineLevel="1" customFormat="1" s="66">
      <c r="A250" s="37" t="n"/>
      <c r="B250" s="37" t="n"/>
      <c r="C250" s="67" t="inlineStr">
        <is>
          <t>Diluted Shares outstanding</t>
        </is>
      </c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  <c r="AA250" s="42" t="n"/>
      <c r="AB250" s="42" t="n"/>
      <c r="AC250" s="42" t="n"/>
      <c r="AD250" s="42" t="n"/>
      <c r="AE250" s="42" t="n"/>
      <c r="AF250" s="42" t="n"/>
      <c r="AG250" s="42" t="n"/>
      <c r="AH250" s="42" t="n"/>
      <c r="AI250" s="42" t="n"/>
      <c r="AJ250" s="42" t="n"/>
      <c r="AK250" s="42" t="n"/>
      <c r="AL250" s="42" t="n"/>
      <c r="AM250" s="42" t="n"/>
      <c r="AN250" s="42" t="n"/>
      <c r="AO250" s="42" t="n"/>
      <c r="AP250" s="42" t="n"/>
      <c r="AQ250" s="42" t="n"/>
      <c r="AR250" s="42" t="n"/>
      <c r="AS250" s="42" t="n"/>
      <c r="AT250" s="42" t="n"/>
      <c r="AU250" s="42" t="n"/>
      <c r="AV250" s="42" t="n"/>
      <c r="AW250" s="42" t="n"/>
      <c r="AX250" s="42" t="n"/>
      <c r="AY250" s="42" t="n"/>
      <c r="AZ250" s="42" t="n"/>
      <c r="BA250" s="42" t="n"/>
      <c r="BB250" s="42" t="n"/>
      <c r="BC250" s="42" t="n"/>
      <c r="BD250" s="42" t="n"/>
      <c r="BE250" s="42" t="n"/>
      <c r="BF250" s="42" t="n"/>
      <c r="BG250" s="42" t="n"/>
      <c r="BH250" s="42" t="n"/>
      <c r="BI250" s="42" t="n"/>
      <c r="BJ250" s="42" t="n"/>
      <c r="BK250" s="42" t="n"/>
      <c r="BL250" s="42" t="n"/>
      <c r="BM250" s="42" t="n"/>
      <c r="BN250" s="42" t="n"/>
      <c r="BO250" s="42" t="n"/>
      <c r="BP250" s="42" t="n"/>
      <c r="BQ250" s="42" t="n"/>
      <c r="BR250" s="42" t="n"/>
      <c r="BS250" s="42" t="n"/>
      <c r="BT250" s="42" t="n"/>
      <c r="BU250" s="42" t="n"/>
      <c r="BV250" s="42" t="n"/>
      <c r="BW250" s="42" t="n"/>
      <c r="BX250" s="42" t="n"/>
      <c r="BY250" s="42" t="n"/>
      <c r="BZ250" s="42" t="n"/>
      <c r="CA250" s="42" t="n"/>
      <c r="CB250" s="42" t="n"/>
      <c r="CC250" s="42" t="n"/>
      <c r="CD250" s="42" t="n"/>
      <c r="CE250" s="42" t="n"/>
      <c r="CF250" s="42" t="n"/>
      <c r="CG250" s="42" t="n"/>
      <c r="CH250" s="42" t="n"/>
      <c r="CI250" s="42" t="n"/>
      <c r="CJ250" s="42" t="n"/>
      <c r="CK250" s="42" t="n"/>
      <c r="CL250" s="42" t="n"/>
      <c r="CM250" s="42" t="n"/>
      <c r="CN250" s="42" t="n"/>
      <c r="CO250" s="42" t="n"/>
      <c r="CP250" s="42" t="n"/>
      <c r="CQ250" s="42" t="n"/>
      <c r="CR250" s="42" t="n"/>
      <c r="CS250" s="42" t="n"/>
      <c r="CT250" s="42" t="n"/>
      <c r="CU250" s="42" t="n"/>
      <c r="CV250" s="42" t="n"/>
      <c r="CW250" s="42" t="n"/>
      <c r="CX250" s="42" t="n"/>
      <c r="CY250" s="42" t="n"/>
    </row>
    <row r="251" hidden="1" outlineLevel="1" customFormat="1" s="66">
      <c r="A251" s="37" t="n"/>
      <c r="B251" s="37" t="n"/>
      <c r="C251" s="67" t="inlineStr">
        <is>
          <t>Treasury share $ repurchases</t>
        </is>
      </c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  <c r="AG251" s="42" t="n"/>
      <c r="AH251" s="11" t="n"/>
      <c r="AI251" s="11" t="n"/>
      <c r="AJ251" s="11" t="n"/>
      <c r="AK251" s="11" t="n"/>
      <c r="AL251" s="42" t="n"/>
      <c r="AM251" s="11" t="n"/>
      <c r="AN251" s="11" t="n"/>
      <c r="AO251" s="11" t="n"/>
      <c r="AP251" s="11" t="n"/>
      <c r="AQ251" s="42" t="n"/>
      <c r="AR251" s="11" t="n"/>
      <c r="AS251" s="11" t="n"/>
      <c r="AT251" s="11" t="n"/>
      <c r="AU251" s="11" t="n"/>
      <c r="AV251" s="42" t="n"/>
      <c r="AW251" s="11" t="n"/>
      <c r="AX251" s="11" t="n"/>
      <c r="AY251" s="11" t="n"/>
      <c r="AZ251" s="11" t="n"/>
      <c r="BA251" s="42" t="n"/>
      <c r="BB251" s="11" t="n"/>
      <c r="BC251" s="11" t="n"/>
      <c r="BD251" s="11" t="n"/>
      <c r="BE251" s="11" t="n"/>
      <c r="BF251" s="42" t="n"/>
      <c r="BG251" s="11" t="n"/>
      <c r="BH251" s="11" t="n"/>
      <c r="BI251" s="11" t="n"/>
      <c r="BJ251" s="11" t="n"/>
      <c r="BK251" s="42" t="n"/>
      <c r="BL251" s="11" t="n"/>
      <c r="BM251" s="11" t="n"/>
      <c r="BN251" s="11" t="n"/>
      <c r="BO251" s="11" t="n"/>
      <c r="BP251" s="42" t="n"/>
      <c r="BQ251" s="11" t="n"/>
      <c r="BR251" s="11" t="n"/>
      <c r="BS251" s="11" t="n"/>
      <c r="BT251" s="11" t="n"/>
      <c r="BU251" s="42" t="n"/>
      <c r="BV251" s="11" t="n"/>
      <c r="BW251" s="11" t="n"/>
      <c r="BX251" s="11" t="n"/>
      <c r="BY251" s="11" t="n"/>
      <c r="BZ251" s="42" t="n"/>
      <c r="CA251" s="11" t="n"/>
      <c r="CB251" s="11" t="n"/>
      <c r="CC251" s="11" t="n"/>
      <c r="CD251" s="11" t="n"/>
      <c r="CE251" s="42" t="n"/>
      <c r="CF251" s="11" t="n"/>
      <c r="CG251" s="11" t="n"/>
      <c r="CH251" s="11" t="n"/>
      <c r="CI251" s="11" t="n"/>
      <c r="CJ251" s="42" t="n"/>
      <c r="CK251" s="11" t="n"/>
      <c r="CL251" s="11" t="n"/>
      <c r="CM251" s="11" t="n"/>
      <c r="CN251" s="11" t="n"/>
      <c r="CO251" s="42" t="n"/>
      <c r="CP251" s="11" t="n"/>
      <c r="CQ251" s="11" t="n"/>
      <c r="CR251" s="11" t="n"/>
      <c r="CS251" s="11" t="n"/>
      <c r="CT251" s="42" t="n"/>
      <c r="CU251" s="11" t="n"/>
      <c r="CV251" s="11" t="n"/>
      <c r="CW251" s="11" t="n"/>
      <c r="CX251" s="11" t="n"/>
      <c r="CY251" s="42" t="n"/>
    </row>
    <row r="252" hidden="1" outlineLevel="1" customFormat="1" s="66">
      <c r="A252" s="37" t="n"/>
      <c r="B252" s="37" t="n"/>
      <c r="C252" s="67" t="inlineStr">
        <is>
          <t>Value of shares issued</t>
        </is>
      </c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  <c r="AA252" s="42" t="n"/>
      <c r="AB252" s="42" t="n"/>
      <c r="AC252" s="42" t="n"/>
      <c r="AD252" s="42" t="n"/>
      <c r="AE252" s="42" t="n"/>
      <c r="AF252" s="42" t="n"/>
      <c r="AG252" s="42" t="n"/>
      <c r="AH252" s="11" t="n"/>
      <c r="AI252" s="11" t="n"/>
      <c r="AJ252" s="11" t="n"/>
      <c r="AK252" s="11" t="n"/>
      <c r="AL252" s="42" t="n"/>
      <c r="AM252" s="11" t="n"/>
      <c r="AN252" s="11" t="n"/>
      <c r="AO252" s="11" t="n"/>
      <c r="AP252" s="11" t="n"/>
      <c r="AQ252" s="42" t="n"/>
      <c r="AR252" s="11" t="n"/>
      <c r="AS252" s="11" t="n"/>
      <c r="AT252" s="11" t="n"/>
      <c r="AU252" s="11" t="n"/>
      <c r="AV252" s="42" t="n"/>
      <c r="AW252" s="11" t="n"/>
      <c r="AX252" s="11" t="n"/>
      <c r="AY252" s="11" t="n"/>
      <c r="AZ252" s="11" t="n"/>
      <c r="BA252" s="42" t="n"/>
      <c r="BB252" s="11" t="n"/>
      <c r="BC252" s="11" t="n"/>
      <c r="BD252" s="11" t="n"/>
      <c r="BE252" s="11" t="n"/>
      <c r="BF252" s="42" t="n"/>
      <c r="BG252" s="11" t="n"/>
      <c r="BH252" s="11" t="n"/>
      <c r="BI252" s="11" t="n"/>
      <c r="BJ252" s="11" t="n"/>
      <c r="BK252" s="42" t="n"/>
      <c r="BL252" s="11" t="n"/>
      <c r="BM252" s="11" t="n"/>
      <c r="BN252" s="11" t="n"/>
      <c r="BO252" s="11" t="n"/>
      <c r="BP252" s="42" t="n"/>
      <c r="BQ252" s="11" t="n"/>
      <c r="BR252" s="11" t="n"/>
      <c r="BS252" s="11" t="n"/>
      <c r="BT252" s="11" t="n"/>
      <c r="BU252" s="42" t="n"/>
      <c r="BV252" s="11" t="n"/>
      <c r="BW252" s="11" t="n"/>
      <c r="BX252" s="11" t="n"/>
      <c r="BY252" s="11" t="n"/>
      <c r="BZ252" s="42" t="n"/>
      <c r="CA252" s="11" t="n"/>
      <c r="CB252" s="11" t="n"/>
      <c r="CC252" s="11" t="n"/>
      <c r="CD252" s="11" t="n"/>
      <c r="CE252" s="42" t="n"/>
      <c r="CF252" s="11" t="n"/>
      <c r="CG252" s="11" t="n"/>
      <c r="CH252" s="11" t="n"/>
      <c r="CI252" s="11" t="n"/>
      <c r="CJ252" s="42" t="n"/>
      <c r="CK252" s="11" t="n"/>
      <c r="CL252" s="11" t="n"/>
      <c r="CM252" s="11" t="n"/>
      <c r="CN252" s="11" t="n"/>
      <c r="CO252" s="42" t="n"/>
      <c r="CP252" s="11" t="n"/>
      <c r="CQ252" s="11" t="n"/>
      <c r="CR252" s="11" t="n"/>
      <c r="CS252" s="11" t="n"/>
      <c r="CT252" s="42" t="n"/>
      <c r="CU252" s="11" t="n"/>
      <c r="CV252" s="11" t="n"/>
      <c r="CW252" s="11" t="n"/>
      <c r="CX252" s="11" t="n"/>
      <c r="CY252" s="42" t="n"/>
    </row>
    <row r="253" hidden="1" outlineLevel="1" customFormat="1" s="66">
      <c r="A253" s="37" t="n"/>
      <c r="B253" s="37" t="n"/>
      <c r="C253" s="67" t="inlineStr">
        <is>
          <t>Expected average share price</t>
        </is>
      </c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  <c r="AA253" s="42" t="n"/>
      <c r="AB253" s="42" t="n"/>
      <c r="AC253" s="42" t="n"/>
      <c r="AD253" s="42" t="n"/>
      <c r="AE253" s="42" t="n"/>
      <c r="AF253" s="42" t="n"/>
      <c r="AG253" s="42" t="n"/>
      <c r="AH253" s="68">
        <f>AF253*(1+AH254)</f>
        <v>0</v>
      </c>
      <c r="AI253" s="68">
        <f>AH253*(1+AI254)</f>
        <v>0</v>
      </c>
      <c r="AJ253" s="68">
        <f>AH253*(1+AJ254)</f>
        <v>0</v>
      </c>
      <c r="AK253" s="68">
        <f>AJ253*(1+AK254)</f>
        <v>0</v>
      </c>
      <c r="AL253" s="42" t="n"/>
      <c r="AM253" s="68">
        <f>AK253*(1+AM254)</f>
        <v>0</v>
      </c>
      <c r="AN253" s="68">
        <f>AM253*(1+AN254)</f>
        <v>0</v>
      </c>
      <c r="AO253" s="68">
        <f>AM253*(1+AO254)</f>
        <v>0</v>
      </c>
      <c r="AP253" s="68">
        <f>AO253*(1+AP254)</f>
        <v>0</v>
      </c>
      <c r="AQ253" s="42" t="n"/>
      <c r="AR253" s="68">
        <f>AP253*(1+AR254)</f>
        <v>0</v>
      </c>
      <c r="AS253" s="68">
        <f>AR253*(1+AS254)</f>
        <v>0</v>
      </c>
      <c r="AT253" s="68">
        <f>AR253*(1+AT254)</f>
        <v>0</v>
      </c>
      <c r="AU253" s="68">
        <f>AT253*(1+AU254)</f>
        <v>0</v>
      </c>
      <c r="AV253" s="42" t="n"/>
      <c r="AW253" s="68">
        <f>AU253*(1+AW254)</f>
        <v>0</v>
      </c>
      <c r="AX253" s="68">
        <f>AW253*(1+AX254)</f>
        <v>0</v>
      </c>
      <c r="AY253" s="68">
        <f>AW253*(1+AY254)</f>
        <v>0</v>
      </c>
      <c r="AZ253" s="68">
        <f>AY253*(1+AZ254)</f>
        <v>0</v>
      </c>
      <c r="BA253" s="42" t="n"/>
      <c r="BB253" s="68">
        <f>AZ253*(1+BB254)</f>
        <v>0</v>
      </c>
      <c r="BC253" s="68">
        <f>BB253*(1+BC254)</f>
        <v>0</v>
      </c>
      <c r="BD253" s="68">
        <f>BB253*(1+BD254)</f>
        <v>0</v>
      </c>
      <c r="BE253" s="68">
        <f>BD253*(1+BE254)</f>
        <v>0</v>
      </c>
      <c r="BF253" s="42" t="n"/>
      <c r="BG253" s="68" t="n"/>
      <c r="BH253" s="68" t="n"/>
      <c r="BI253" s="68" t="n"/>
      <c r="BJ253" s="68" t="n"/>
      <c r="BK253" s="42" t="n"/>
      <c r="BL253" s="68" t="n"/>
      <c r="BM253" s="68" t="n"/>
      <c r="BN253" s="68" t="n"/>
      <c r="BO253" s="68" t="n"/>
      <c r="BP253" s="42" t="n"/>
      <c r="BQ253" s="68" t="n"/>
      <c r="BR253" s="68" t="n"/>
      <c r="BS253" s="68" t="n"/>
      <c r="BT253" s="68" t="n"/>
      <c r="BU253" s="42" t="n"/>
      <c r="BV253" s="68" t="n"/>
      <c r="BW253" s="68" t="n"/>
      <c r="BX253" s="68" t="n"/>
      <c r="BY253" s="68" t="n"/>
      <c r="BZ253" s="42" t="n"/>
      <c r="CA253" s="68" t="n"/>
      <c r="CB253" s="68" t="n"/>
      <c r="CC253" s="68" t="n"/>
      <c r="CD253" s="68" t="n"/>
      <c r="CE253" s="42" t="n"/>
      <c r="CF253" s="68" t="n"/>
      <c r="CG253" s="68" t="n"/>
      <c r="CH253" s="68" t="n"/>
      <c r="CI253" s="68" t="n"/>
      <c r="CJ253" s="42" t="n"/>
      <c r="CK253" s="68" t="n"/>
      <c r="CL253" s="68" t="n"/>
      <c r="CM253" s="68" t="n"/>
      <c r="CN253" s="68" t="n"/>
      <c r="CO253" s="42" t="n"/>
      <c r="CP253" s="68" t="n"/>
      <c r="CQ253" s="68" t="n"/>
      <c r="CR253" s="68" t="n"/>
      <c r="CS253" s="68" t="n"/>
      <c r="CT253" s="42" t="n"/>
      <c r="CU253" s="68" t="n"/>
      <c r="CV253" s="68" t="n"/>
      <c r="CW253" s="68" t="n"/>
      <c r="CX253" s="68" t="n"/>
      <c r="CY253" s="42" t="n"/>
    </row>
    <row r="254" hidden="1" outlineLevel="1" customFormat="1" s="66">
      <c r="A254" s="37" t="n"/>
      <c r="B254" s="37" t="n"/>
      <c r="C254" s="67" t="inlineStr">
        <is>
          <t>Consensus EPS growth</t>
        </is>
      </c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  <c r="AA254" s="42" t="n"/>
      <c r="AB254" s="42" t="n"/>
      <c r="AC254" s="42" t="n"/>
      <c r="AD254" s="42" t="n"/>
      <c r="AE254" s="42" t="n"/>
      <c r="AF254" s="42" t="n"/>
      <c r="AG254" s="42" t="n"/>
      <c r="AH254" s="58">
        <f>$AL$259</f>
        <v>0</v>
      </c>
      <c r="AI254" s="58">
        <f>$AL$259</f>
        <v>0</v>
      </c>
      <c r="AJ254" s="58">
        <f>$AL$259</f>
        <v>0</v>
      </c>
      <c r="AK254" s="58">
        <f>$AL$259</f>
        <v>0</v>
      </c>
      <c r="AL254" s="42" t="n"/>
      <c r="AM254" s="58">
        <f>$AL$259</f>
        <v>0</v>
      </c>
      <c r="AN254" s="58">
        <f>$AL$259</f>
        <v>0</v>
      </c>
      <c r="AO254" s="58">
        <f>$AL$259</f>
        <v>0</v>
      </c>
      <c r="AP254" s="58">
        <f>$AL$259</f>
        <v>0</v>
      </c>
      <c r="AQ254" s="42" t="n"/>
      <c r="AR254" s="58">
        <f>$AL$259</f>
        <v>0</v>
      </c>
      <c r="AS254" s="58">
        <f>$AL$259</f>
        <v>0</v>
      </c>
      <c r="AT254" s="58">
        <f>$AL$259</f>
        <v>0</v>
      </c>
      <c r="AU254" s="58">
        <f>$AL$259</f>
        <v>0</v>
      </c>
      <c r="AV254" s="42" t="n"/>
      <c r="AW254" s="58">
        <f>$AL$259</f>
        <v>0</v>
      </c>
      <c r="AX254" s="58">
        <f>$AL$259</f>
        <v>0</v>
      </c>
      <c r="AY254" s="58">
        <f>$AL$259</f>
        <v>0</v>
      </c>
      <c r="AZ254" s="58">
        <f>$AL$259</f>
        <v>0</v>
      </c>
      <c r="BA254" s="42" t="n"/>
      <c r="BB254" s="58">
        <f>$AL$259</f>
        <v>0</v>
      </c>
      <c r="BC254" s="58">
        <f>$AL$259</f>
        <v>0</v>
      </c>
      <c r="BD254" s="58">
        <f>$AL$259</f>
        <v>0</v>
      </c>
      <c r="BE254" s="58">
        <f>$AL$259</f>
        <v>0</v>
      </c>
      <c r="BF254" s="42" t="n"/>
      <c r="BG254" s="58" t="n"/>
      <c r="BH254" s="58" t="n"/>
      <c r="BI254" s="58" t="n"/>
      <c r="BJ254" s="58" t="n"/>
      <c r="BK254" s="42" t="n"/>
      <c r="BL254" s="58" t="n"/>
      <c r="BM254" s="58" t="n"/>
      <c r="BN254" s="58" t="n"/>
      <c r="BO254" s="58" t="n"/>
      <c r="BP254" s="42" t="n"/>
      <c r="BQ254" s="58" t="n"/>
      <c r="BR254" s="58" t="n"/>
      <c r="BS254" s="58" t="n"/>
      <c r="BT254" s="58" t="n"/>
      <c r="BU254" s="42" t="n"/>
      <c r="BV254" s="58" t="n"/>
      <c r="BW254" s="58" t="n"/>
      <c r="BX254" s="58" t="n"/>
      <c r="BY254" s="58" t="n"/>
      <c r="BZ254" s="42" t="n"/>
      <c r="CA254" s="58" t="n"/>
      <c r="CB254" s="58" t="n"/>
      <c r="CC254" s="58" t="n"/>
      <c r="CD254" s="58" t="n"/>
      <c r="CE254" s="42" t="n"/>
      <c r="CF254" s="58" t="n"/>
      <c r="CG254" s="58" t="n"/>
      <c r="CH254" s="58" t="n"/>
      <c r="CI254" s="58" t="n"/>
      <c r="CJ254" s="42" t="n"/>
      <c r="CK254" s="58" t="n"/>
      <c r="CL254" s="58" t="n"/>
      <c r="CM254" s="58" t="n"/>
      <c r="CN254" s="58" t="n"/>
      <c r="CO254" s="42" t="n"/>
      <c r="CP254" s="58" t="n"/>
      <c r="CQ254" s="58" t="n"/>
      <c r="CR254" s="58" t="n"/>
      <c r="CS254" s="58" t="n"/>
      <c r="CT254" s="42" t="n"/>
      <c r="CU254" s="58" t="n"/>
      <c r="CV254" s="58" t="n"/>
      <c r="CW254" s="58" t="n"/>
      <c r="CX254" s="58" t="n"/>
      <c r="CY254" s="42" t="n"/>
    </row>
    <row r="255" hidden="1" outlineLevel="1" customFormat="1" s="66">
      <c r="A255" s="37" t="n"/>
      <c r="B255" s="37" t="n"/>
      <c r="C255" s="67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  <c r="AA255" s="42" t="n"/>
      <c r="AB255" s="42" t="n"/>
      <c r="AC255" s="42" t="n"/>
      <c r="AD255" s="42" t="n"/>
      <c r="AE255" s="42" t="n"/>
      <c r="AF255" s="42" t="n"/>
      <c r="AG255" s="42" t="n"/>
      <c r="AH255" s="12" t="n"/>
      <c r="AI255" s="12" t="n"/>
      <c r="AJ255" s="12" t="n"/>
      <c r="AK255" s="12" t="n"/>
      <c r="AL255" s="42" t="n"/>
      <c r="AM255" s="12" t="n"/>
      <c r="AN255" s="12" t="n"/>
      <c r="AO255" s="12" t="n"/>
      <c r="AP255" s="12" t="n"/>
      <c r="AQ255" s="42" t="n"/>
      <c r="AR255" s="12" t="n"/>
      <c r="AS255" s="12" t="n"/>
      <c r="AT255" s="12" t="n"/>
      <c r="AU255" s="12" t="n"/>
      <c r="AV255" s="42" t="n"/>
      <c r="AW255" s="12" t="n"/>
      <c r="AX255" s="12" t="n"/>
      <c r="AY255" s="12" t="n"/>
      <c r="AZ255" s="12" t="n"/>
      <c r="BA255" s="42" t="n"/>
      <c r="BB255" s="12" t="n"/>
      <c r="BC255" s="12" t="n"/>
      <c r="BD255" s="12" t="n"/>
      <c r="BE255" s="12" t="n"/>
      <c r="BF255" s="42" t="n"/>
      <c r="BG255" s="12" t="n"/>
      <c r="BH255" s="12" t="n"/>
      <c r="BI255" s="12" t="n"/>
      <c r="BJ255" s="12" t="n"/>
      <c r="BK255" s="42" t="n"/>
      <c r="BL255" s="12" t="n"/>
      <c r="BM255" s="12" t="n"/>
      <c r="BN255" s="12" t="n"/>
      <c r="BO255" s="12" t="n"/>
      <c r="BP255" s="42" t="n"/>
      <c r="BQ255" s="12" t="n"/>
      <c r="BR255" s="12" t="n"/>
      <c r="BS255" s="12" t="n"/>
      <c r="BT255" s="12" t="n"/>
      <c r="BU255" s="42" t="n"/>
      <c r="BV255" s="12" t="n"/>
      <c r="BW255" s="12" t="n"/>
      <c r="BX255" s="12" t="n"/>
      <c r="BY255" s="12" t="n"/>
      <c r="BZ255" s="42" t="n"/>
      <c r="CA255" s="12" t="n"/>
      <c r="CB255" s="12" t="n"/>
      <c r="CC255" s="12" t="n"/>
      <c r="CD255" s="12" t="n"/>
      <c r="CE255" s="42" t="n"/>
      <c r="CF255" s="12" t="n"/>
      <c r="CG255" s="12" t="n"/>
      <c r="CH255" s="12" t="n"/>
      <c r="CI255" s="12" t="n"/>
      <c r="CJ255" s="42" t="n"/>
      <c r="CK255" s="12" t="n"/>
      <c r="CL255" s="12" t="n"/>
      <c r="CM255" s="12" t="n"/>
      <c r="CN255" s="12" t="n"/>
      <c r="CO255" s="42" t="n"/>
      <c r="CP255" s="12" t="n"/>
      <c r="CQ255" s="12" t="n"/>
      <c r="CR255" s="12" t="n"/>
      <c r="CS255" s="12" t="n"/>
      <c r="CT255" s="42" t="n"/>
      <c r="CU255" s="12" t="n"/>
      <c r="CV255" s="12" t="n"/>
      <c r="CW255" s="12" t="n"/>
      <c r="CX255" s="12" t="n"/>
      <c r="CY255" s="42" t="n"/>
    </row>
    <row r="256" hidden="1" outlineLevel="1" customFormat="1" s="66">
      <c r="A256" s="37" t="n"/>
      <c r="B256" s="37" t="n"/>
      <c r="C256" s="67" t="inlineStr">
        <is>
          <t>Shares repurchased</t>
        </is>
      </c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  <c r="AA256" s="42" t="n"/>
      <c r="AB256" s="42" t="n"/>
      <c r="AC256" s="42" t="n"/>
      <c r="AD256" s="42" t="n"/>
      <c r="AE256" s="42" t="n"/>
      <c r="AF256" s="42" t="n"/>
      <c r="AG256" s="42" t="n"/>
      <c r="AH256" s="69" t="str">
        <f>IFERROR(-AH251/AH253,"")</f>
        <v/>
      </c>
      <c r="AI256" s="69" t="str">
        <f>IFERROR(-AI251/AI253,"")</f>
        <v/>
      </c>
      <c r="AJ256" s="69" t="str">
        <f>IFERROR(-AJ251/AJ253,"")</f>
        <v/>
      </c>
      <c r="AK256" s="69" t="str">
        <f>IFERROR(-AK251/AK253,"")</f>
        <v/>
      </c>
      <c r="AL256" s="42" t="n"/>
      <c r="AM256" s="69" t="str">
        <f>IFERROR(-AM251/AM253,"")</f>
        <v/>
      </c>
      <c r="AN256" s="69" t="str">
        <f>IFERROR(-AN251/AN253,"")</f>
        <v/>
      </c>
      <c r="AO256" s="69" t="str">
        <f>IFERROR(-AO251/AO253,"")</f>
        <v/>
      </c>
      <c r="AP256" s="69" t="str">
        <f>IFERROR(-AP251/AP253,"")</f>
        <v/>
      </c>
      <c r="AQ256" s="42" t="n"/>
      <c r="AR256" s="69" t="str">
        <f>IFERROR(-AR251/AR253,"")</f>
        <v/>
      </c>
      <c r="AS256" s="69" t="str">
        <f>IFERROR(-AS251/AS253,"")</f>
        <v/>
      </c>
      <c r="AT256" s="69" t="str">
        <f>IFERROR(-AT251/AT253,"")</f>
        <v/>
      </c>
      <c r="AU256" s="69" t="str">
        <f>IFERROR(-AU251/AU253,"")</f>
        <v/>
      </c>
      <c r="AV256" s="42" t="n"/>
      <c r="AW256" s="69" t="str">
        <f>IFERROR(-AW251/AW253,"")</f>
        <v/>
      </c>
      <c r="AX256" s="69" t="str">
        <f>IFERROR(-AX251/AX253,"")</f>
        <v/>
      </c>
      <c r="AY256" s="69" t="str">
        <f>IFERROR(-AY251/AY253,"")</f>
        <v/>
      </c>
      <c r="AZ256" s="69" t="str">
        <f>IFERROR(-AZ251/AZ253,"")</f>
        <v/>
      </c>
      <c r="BA256" s="42" t="n"/>
      <c r="BB256" s="69" t="str">
        <f>IFERROR(-BB251/BB253,"")</f>
        <v/>
      </c>
      <c r="BC256" s="69" t="str">
        <f>IFERROR(-BC251/BC253,"")</f>
        <v/>
      </c>
      <c r="BD256" s="69" t="str">
        <f>IFERROR(-BD251/BD253,"")</f>
        <v/>
      </c>
      <c r="BE256" s="69" t="str">
        <f>IFERROR(-BE251/BE253,"")</f>
        <v/>
      </c>
      <c r="BF256" s="42" t="n"/>
      <c r="BG256" s="69" t="n"/>
      <c r="BH256" s="69" t="n"/>
      <c r="BI256" s="69" t="n"/>
      <c r="BJ256" s="69" t="n"/>
      <c r="BK256" s="42" t="n"/>
      <c r="BL256" s="69" t="n"/>
      <c r="BM256" s="69" t="n"/>
      <c r="BN256" s="69" t="n"/>
      <c r="BO256" s="69" t="n"/>
      <c r="BP256" s="42" t="n"/>
      <c r="BQ256" s="69" t="n"/>
      <c r="BR256" s="69" t="n"/>
      <c r="BS256" s="69" t="n"/>
      <c r="BT256" s="69" t="n"/>
      <c r="BU256" s="42" t="n"/>
      <c r="BV256" s="69" t="n"/>
      <c r="BW256" s="69" t="n"/>
      <c r="BX256" s="69" t="n"/>
      <c r="BY256" s="69" t="n"/>
      <c r="BZ256" s="42" t="n"/>
      <c r="CA256" s="69" t="n"/>
      <c r="CB256" s="69" t="n"/>
      <c r="CC256" s="69" t="n"/>
      <c r="CD256" s="69" t="n"/>
      <c r="CE256" s="42" t="n"/>
      <c r="CF256" s="69" t="n"/>
      <c r="CG256" s="69" t="n"/>
      <c r="CH256" s="69" t="n"/>
      <c r="CI256" s="69" t="n"/>
      <c r="CJ256" s="42" t="n"/>
      <c r="CK256" s="69" t="n"/>
      <c r="CL256" s="69" t="n"/>
      <c r="CM256" s="69" t="n"/>
      <c r="CN256" s="69" t="n"/>
      <c r="CO256" s="42" t="n"/>
      <c r="CP256" s="69" t="n"/>
      <c r="CQ256" s="69" t="n"/>
      <c r="CR256" s="69" t="n"/>
      <c r="CS256" s="69" t="n"/>
      <c r="CT256" s="42" t="n"/>
      <c r="CU256" s="69" t="n"/>
      <c r="CV256" s="69" t="n"/>
      <c r="CW256" s="69" t="n"/>
      <c r="CX256" s="69" t="n"/>
      <c r="CY256" s="42" t="n"/>
    </row>
    <row r="257" hidden="1" outlineLevel="1" customFormat="1" s="66">
      <c r="A257" s="37" t="n"/>
      <c r="B257" s="37" t="n"/>
      <c r="C257" s="67" t="inlineStr">
        <is>
          <t>Shares issued</t>
        </is>
      </c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  <c r="AA257" s="42" t="n"/>
      <c r="AB257" s="42" t="n"/>
      <c r="AC257" s="42" t="n"/>
      <c r="AD257" s="42" t="n"/>
      <c r="AE257" s="42" t="n"/>
      <c r="AF257" s="9" t="n"/>
      <c r="AG257" s="42" t="n"/>
      <c r="AH257" s="69" t="str">
        <f>IFERROR(AH252/AH253,"")</f>
        <v/>
      </c>
      <c r="AI257" s="69" t="str">
        <f>IFERROR(AI252/AI253,"")</f>
        <v/>
      </c>
      <c r="AJ257" s="69" t="str">
        <f>IFERROR(AJ252/AJ253,"")</f>
        <v/>
      </c>
      <c r="AK257" s="69" t="str">
        <f>IFERROR(AK252/AK253,"")</f>
        <v/>
      </c>
      <c r="AL257" s="42" t="n"/>
      <c r="AM257" s="69" t="str">
        <f>IFERROR(AM252/AM253,"")</f>
        <v/>
      </c>
      <c r="AN257" s="69" t="str">
        <f>IFERROR(AN252/AN253,"")</f>
        <v/>
      </c>
      <c r="AO257" s="69" t="str">
        <f>IFERROR(AO252/AO253,"")</f>
        <v/>
      </c>
      <c r="AP257" s="69" t="str">
        <f>IFERROR(AP252/AP253,"")</f>
        <v/>
      </c>
      <c r="AQ257" s="42" t="n"/>
      <c r="AR257" s="69" t="str">
        <f>IFERROR(AR252/AR253,"")</f>
        <v/>
      </c>
      <c r="AS257" s="69" t="str">
        <f>IFERROR(AS252/AS253,"")</f>
        <v/>
      </c>
      <c r="AT257" s="69" t="str">
        <f>IFERROR(AT252/AT253,"")</f>
        <v/>
      </c>
      <c r="AU257" s="69" t="str">
        <f>IFERROR(AU252/AU253,"")</f>
        <v/>
      </c>
      <c r="AV257" s="42" t="n"/>
      <c r="AW257" s="69" t="str">
        <f>IFERROR(AW252/AW253,"")</f>
        <v/>
      </c>
      <c r="AX257" s="69" t="str">
        <f>IFERROR(AX252/AX253,"")</f>
        <v/>
      </c>
      <c r="AY257" s="69" t="str">
        <f>IFERROR(AY252/AY253,"")</f>
        <v/>
      </c>
      <c r="AZ257" s="69" t="str">
        <f>IFERROR(AZ252/AZ253,"")</f>
        <v/>
      </c>
      <c r="BA257" s="42" t="n"/>
      <c r="BB257" s="69" t="str">
        <f>IFERROR(BB252/BB253,"")</f>
        <v/>
      </c>
      <c r="BC257" s="69" t="str">
        <f>IFERROR(BC252/BC253,"")</f>
        <v/>
      </c>
      <c r="BD257" s="69" t="str">
        <f>IFERROR(BD252/BD253,"")</f>
        <v/>
      </c>
      <c r="BE257" s="69" t="str">
        <f>IFERROR(BE252/BE253,"")</f>
        <v/>
      </c>
      <c r="BF257" s="42" t="n"/>
      <c r="BG257" s="69" t="n"/>
      <c r="BH257" s="69" t="n"/>
      <c r="BI257" s="69" t="n"/>
      <c r="BJ257" s="69" t="n"/>
      <c r="BK257" s="42" t="n"/>
      <c r="BL257" s="69" t="n"/>
      <c r="BM257" s="69" t="n"/>
      <c r="BN257" s="69" t="n"/>
      <c r="BO257" s="69" t="n"/>
      <c r="BP257" s="42" t="n"/>
      <c r="BQ257" s="69" t="n"/>
      <c r="BR257" s="69" t="n"/>
      <c r="BS257" s="69" t="n"/>
      <c r="BT257" s="69" t="n"/>
      <c r="BU257" s="42" t="n"/>
      <c r="BV257" s="69" t="n"/>
      <c r="BW257" s="69" t="n"/>
      <c r="BX257" s="69" t="n"/>
      <c r="BY257" s="69" t="n"/>
      <c r="BZ257" s="42" t="n"/>
      <c r="CA257" s="69" t="n"/>
      <c r="CB257" s="69" t="n"/>
      <c r="CC257" s="69" t="n"/>
      <c r="CD257" s="69" t="n"/>
      <c r="CE257" s="42" t="n"/>
      <c r="CF257" s="69" t="n"/>
      <c r="CG257" s="69" t="n"/>
      <c r="CH257" s="69" t="n"/>
      <c r="CI257" s="69" t="n"/>
      <c r="CJ257" s="42" t="n"/>
      <c r="CK257" s="69" t="n"/>
      <c r="CL257" s="69" t="n"/>
      <c r="CM257" s="69" t="n"/>
      <c r="CN257" s="69" t="n"/>
      <c r="CO257" s="42" t="n"/>
      <c r="CP257" s="69" t="n"/>
      <c r="CQ257" s="69" t="n"/>
      <c r="CR257" s="69" t="n"/>
      <c r="CS257" s="69" t="n"/>
      <c r="CT257" s="42" t="n"/>
      <c r="CU257" s="69" t="n"/>
      <c r="CV257" s="69" t="n"/>
      <c r="CW257" s="69" t="n"/>
      <c r="CX257" s="69" t="n"/>
      <c r="CY257" s="42" t="n"/>
    </row>
    <row r="258" hidden="1" outlineLevel="1" customFormat="1" s="66">
      <c r="A258" s="37" t="n"/>
      <c r="B258" s="37" t="n"/>
      <c r="C258" s="67" t="inlineStr">
        <is>
          <t>End of period basic shares outstanding</t>
        </is>
      </c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  <c r="AA258" s="42" t="n"/>
      <c r="AB258" s="42" t="n"/>
      <c r="AC258" s="42" t="n"/>
      <c r="AD258" s="42" t="n"/>
      <c r="AE258" s="42" t="n"/>
      <c r="AF258" s="42" t="n"/>
      <c r="AG258" s="42" t="n"/>
      <c r="AH258" s="3" t="str">
        <f>IFERROR(AG258+AH257-AH256,"")</f>
        <v/>
      </c>
      <c r="AI258" s="3" t="str">
        <f>IFERROR(AH258+AI257-AI256,"")</f>
        <v/>
      </c>
      <c r="AJ258" s="69" t="str">
        <f>IFERROR(AH258+AJ257-AJ256,"")</f>
        <v/>
      </c>
      <c r="AK258" s="69" t="str">
        <f>IFERROR(AJ258+AK257-AK256,"")</f>
        <v/>
      </c>
      <c r="AL258" s="42" t="n"/>
      <c r="AM258" s="3" t="str">
        <f>IFERROR(AK258+AM257-AM256,"")</f>
        <v/>
      </c>
      <c r="AN258" s="3" t="str">
        <f>IFERROR(AM258+AN257-AN256,"")</f>
        <v/>
      </c>
      <c r="AO258" s="69" t="str">
        <f>IFERROR(AM258+AO257-AO256,"")</f>
        <v/>
      </c>
      <c r="AP258" s="69" t="str">
        <f>IFERROR(AO258+AP257-AP256,"")</f>
        <v/>
      </c>
      <c r="AQ258" s="42" t="n"/>
      <c r="AR258" s="3" t="str">
        <f>IFERROR(AP258+AR257-AR256,"")</f>
        <v/>
      </c>
      <c r="AS258" s="3" t="str">
        <f>IFERROR(AR258+AS257-AS256,"")</f>
        <v/>
      </c>
      <c r="AT258" s="69" t="str">
        <f>IFERROR(AR258+AT257-AT256,"")</f>
        <v/>
      </c>
      <c r="AU258" s="69" t="str">
        <f>IFERROR(AT258+AU257-AU256,"")</f>
        <v/>
      </c>
      <c r="AV258" s="42" t="n"/>
      <c r="AW258" s="3" t="str">
        <f>IFERROR(AU258+AW257-AW256,"")</f>
        <v/>
      </c>
      <c r="AX258" s="3" t="str">
        <f>IFERROR(AW258+AX257-AX256,"")</f>
        <v/>
      </c>
      <c r="AY258" s="69" t="str">
        <f>IFERROR(AW258+AY257-AY256,"")</f>
        <v/>
      </c>
      <c r="AZ258" s="69" t="str">
        <f>IFERROR(AY258+AZ257-AZ256,"")</f>
        <v/>
      </c>
      <c r="BA258" s="42" t="n"/>
      <c r="BB258" s="3" t="str">
        <f>IFERROR(AZ258+BB257-BB256,"")</f>
        <v/>
      </c>
      <c r="BC258" s="3" t="str">
        <f>IFERROR(BB258+BC257-BC256,"")</f>
        <v/>
      </c>
      <c r="BD258" s="69" t="str">
        <f>IFERROR(BB258+BD257-BD256,"")</f>
        <v/>
      </c>
      <c r="BE258" s="69" t="str">
        <f>IFERROR(BD258+BE257-BE256,"")</f>
        <v/>
      </c>
      <c r="BF258" s="42" t="n"/>
      <c r="BG258" s="3" t="n"/>
      <c r="BH258" s="3" t="n"/>
      <c r="BI258" s="69" t="n"/>
      <c r="BJ258" s="69" t="n"/>
      <c r="BK258" s="42" t="n"/>
      <c r="BL258" s="3" t="n"/>
      <c r="BM258" s="3" t="n"/>
      <c r="BN258" s="69" t="n"/>
      <c r="BO258" s="69" t="n"/>
      <c r="BP258" s="42" t="n"/>
      <c r="BQ258" s="3" t="n"/>
      <c r="BR258" s="3" t="n"/>
      <c r="BS258" s="69" t="n"/>
      <c r="BT258" s="69" t="n"/>
      <c r="BU258" s="42" t="n"/>
      <c r="BV258" s="3" t="n"/>
      <c r="BW258" s="3" t="n"/>
      <c r="BX258" s="69" t="n"/>
      <c r="BY258" s="69" t="n"/>
      <c r="BZ258" s="42" t="n"/>
      <c r="CA258" s="3" t="n"/>
      <c r="CB258" s="3" t="n"/>
      <c r="CC258" s="69" t="n"/>
      <c r="CD258" s="69" t="n"/>
      <c r="CE258" s="42" t="n"/>
      <c r="CF258" s="3" t="n"/>
      <c r="CG258" s="3" t="n"/>
      <c r="CH258" s="69" t="n"/>
      <c r="CI258" s="69" t="n"/>
      <c r="CJ258" s="42" t="n"/>
      <c r="CK258" s="3" t="n"/>
      <c r="CL258" s="3" t="n"/>
      <c r="CM258" s="69" t="n"/>
      <c r="CN258" s="69" t="n"/>
      <c r="CO258" s="42" t="n"/>
      <c r="CP258" s="3" t="n"/>
      <c r="CQ258" s="3" t="n"/>
      <c r="CR258" s="69" t="n"/>
      <c r="CS258" s="69" t="n"/>
      <c r="CT258" s="42" t="n"/>
      <c r="CU258" s="3" t="n"/>
      <c r="CV258" s="3" t="n"/>
      <c r="CW258" s="69" t="n"/>
      <c r="CX258" s="69" t="n"/>
      <c r="CY258" s="42" t="n"/>
    </row>
    <row r="259" hidden="1" outlineLevel="1" customFormat="1" s="66">
      <c r="A259" s="37" t="n"/>
      <c r="B259" s="37" t="n"/>
      <c r="C259" s="67" t="inlineStr">
        <is>
          <t>Weighted average basic shares outstanding</t>
        </is>
      </c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  <c r="AA259" s="42" t="n"/>
      <c r="AB259" s="42" t="n"/>
      <c r="AC259" s="42" t="n"/>
      <c r="AD259" s="42" t="n"/>
      <c r="AE259" s="42" t="n"/>
      <c r="AF259" s="42" t="n"/>
      <c r="AG259" s="42" t="n"/>
      <c r="AH259" s="69" t="str">
        <f>IFERROR(AVERAGE(AG258,AH258),"")</f>
        <v/>
      </c>
      <c r="AI259" s="69" t="str">
        <f>IFERROR(AVERAGE(AH258,AI258),"")</f>
        <v/>
      </c>
      <c r="AJ259" s="69" t="str">
        <f>IFERROR(AVERAGE(AH258,AJ258),"")</f>
        <v/>
      </c>
      <c r="AK259" s="69" t="str">
        <f>IFERROR(AVERAGE(AJ258,AK258),"")</f>
        <v/>
      </c>
      <c r="AL259" s="42" t="n"/>
      <c r="AM259" s="69" t="str">
        <f>IFERROR(AVERAGE(AL258,AM258),"")</f>
        <v/>
      </c>
      <c r="AN259" s="69" t="str">
        <f>IFERROR(AVERAGE(AM258,AN258),"")</f>
        <v/>
      </c>
      <c r="AO259" s="69" t="str">
        <f>IFERROR(AVERAGE(AM258,AO258),"")</f>
        <v/>
      </c>
      <c r="AP259" s="69" t="str">
        <f>IFERROR(AVERAGE(AO258,AP258),"")</f>
        <v/>
      </c>
      <c r="AQ259" s="42" t="n"/>
      <c r="AR259" s="69" t="str">
        <f>IFERROR(AVERAGE(AQ258,AR258),"")</f>
        <v/>
      </c>
      <c r="AS259" s="69" t="str">
        <f>IFERROR(AVERAGE(AR258,AS258),"")</f>
        <v/>
      </c>
      <c r="AT259" s="69" t="str">
        <f>IFERROR(AVERAGE(AR258,AT258),"")</f>
        <v/>
      </c>
      <c r="AU259" s="69" t="str">
        <f>IFERROR(AVERAGE(AT258,AU258),"")</f>
        <v/>
      </c>
      <c r="AV259" s="42" t="n"/>
      <c r="AW259" s="69" t="str">
        <f>IFERROR(AVERAGE(AV258,AW258),"")</f>
        <v/>
      </c>
      <c r="AX259" s="69" t="str">
        <f>IFERROR(AVERAGE(AW258,AX258),"")</f>
        <v/>
      </c>
      <c r="AY259" s="69" t="str">
        <f>IFERROR(AVERAGE(AW258,AY258),"")</f>
        <v/>
      </c>
      <c r="AZ259" s="69" t="str">
        <f>IFERROR(AVERAGE(AY258,AZ258),"")</f>
        <v/>
      </c>
      <c r="BA259" s="42" t="n"/>
      <c r="BB259" s="69" t="str">
        <f>IFERROR(AVERAGE(BA258,BB258),"")</f>
        <v/>
      </c>
      <c r="BC259" s="69" t="str">
        <f>IFERROR(AVERAGE(BB258,BC258),"")</f>
        <v/>
      </c>
      <c r="BD259" s="69" t="str">
        <f>IFERROR(AVERAGE(BB258,BD258),"")</f>
        <v/>
      </c>
      <c r="BE259" s="69" t="str">
        <f>IFERROR(AVERAGE(BD258,BE258),"")</f>
        <v/>
      </c>
      <c r="BF259" s="42" t="n"/>
      <c r="BG259" s="69" t="n"/>
      <c r="BH259" s="69" t="n"/>
      <c r="BI259" s="69" t="n"/>
      <c r="BJ259" s="69" t="n"/>
      <c r="BK259" s="42" t="n"/>
      <c r="BL259" s="69" t="n"/>
      <c r="BM259" s="69" t="n"/>
      <c r="BN259" s="69" t="n"/>
      <c r="BO259" s="69" t="n"/>
      <c r="BP259" s="42" t="n"/>
      <c r="BQ259" s="69" t="n"/>
      <c r="BR259" s="69" t="n"/>
      <c r="BS259" s="69" t="n"/>
      <c r="BT259" s="69" t="n"/>
      <c r="BU259" s="42" t="n"/>
      <c r="BV259" s="69" t="n"/>
      <c r="BW259" s="69" t="n"/>
      <c r="BX259" s="69" t="n"/>
      <c r="BY259" s="69" t="n"/>
      <c r="BZ259" s="42" t="n"/>
      <c r="CA259" s="69" t="n"/>
      <c r="CB259" s="69" t="n"/>
      <c r="CC259" s="69" t="n"/>
      <c r="CD259" s="69" t="n"/>
      <c r="CE259" s="42" t="n"/>
      <c r="CF259" s="69" t="n"/>
      <c r="CG259" s="69" t="n"/>
      <c r="CH259" s="69" t="n"/>
      <c r="CI259" s="69" t="n"/>
      <c r="CJ259" s="42" t="n"/>
      <c r="CK259" s="69" t="n"/>
      <c r="CL259" s="69" t="n"/>
      <c r="CM259" s="69" t="n"/>
      <c r="CN259" s="69" t="n"/>
      <c r="CO259" s="42" t="n"/>
      <c r="CP259" s="69" t="n"/>
      <c r="CQ259" s="69" t="n"/>
      <c r="CR259" s="69" t="n"/>
      <c r="CS259" s="69" t="n"/>
      <c r="CT259" s="42" t="n"/>
      <c r="CU259" s="69" t="n"/>
      <c r="CV259" s="69" t="n"/>
      <c r="CW259" s="69" t="n"/>
      <c r="CX259" s="69" t="n"/>
      <c r="CY259" s="42" t="n"/>
    </row>
    <row r="260" hidden="1" outlineLevel="1" customFormat="1" s="66">
      <c r="A260" s="37" t="n"/>
      <c r="B260" s="37" t="n"/>
      <c r="C260" s="67" t="n"/>
      <c r="D260" s="42" t="n"/>
      <c r="E260" s="42" t="n"/>
      <c r="F260" s="42" t="n"/>
      <c r="G260" s="42" t="n"/>
      <c r="H260" s="12" t="n"/>
      <c r="I260" s="42" t="n"/>
      <c r="J260" s="42" t="n"/>
      <c r="K260" s="42" t="n"/>
      <c r="L260" s="42" t="n"/>
      <c r="M260" s="12" t="n"/>
      <c r="N260" s="42" t="n"/>
      <c r="O260" s="42" t="n"/>
      <c r="P260" s="42" t="n"/>
      <c r="Q260" s="42" t="n"/>
      <c r="R260" s="12" t="n"/>
      <c r="S260" s="42" t="n"/>
      <c r="T260" s="42" t="n"/>
      <c r="U260" s="42" t="n"/>
      <c r="V260" s="42" t="n"/>
      <c r="W260" s="12" t="n"/>
      <c r="X260" s="42" t="n"/>
      <c r="Y260" s="42" t="n"/>
      <c r="Z260" s="42" t="n"/>
      <c r="AA260" s="42" t="n"/>
      <c r="AB260" s="12" t="n"/>
      <c r="AC260" s="42" t="n"/>
      <c r="AD260" s="42" t="n"/>
      <c r="AE260" s="42" t="n"/>
      <c r="AF260" s="42" t="n"/>
      <c r="AG260" s="12" t="n"/>
      <c r="AH260" s="42" t="n"/>
      <c r="AI260" s="42" t="n"/>
      <c r="AJ260" s="42" t="n"/>
      <c r="AK260" s="42" t="n"/>
      <c r="AL260" s="12" t="n"/>
      <c r="AM260" s="42" t="n"/>
      <c r="AN260" s="42" t="n"/>
      <c r="AO260" s="42" t="n"/>
      <c r="AP260" s="42" t="n"/>
      <c r="AQ260" s="12" t="n"/>
      <c r="AR260" s="42" t="n"/>
      <c r="AS260" s="42" t="n"/>
      <c r="AT260" s="42" t="n"/>
      <c r="AU260" s="42" t="n"/>
      <c r="AV260" s="12" t="n"/>
      <c r="AW260" s="42" t="n"/>
      <c r="AX260" s="42" t="n"/>
      <c r="AY260" s="42" t="n"/>
      <c r="AZ260" s="42" t="n"/>
      <c r="BA260" s="12" t="n"/>
      <c r="BB260" s="42" t="n"/>
      <c r="BC260" s="42" t="n"/>
      <c r="BD260" s="42" t="n"/>
      <c r="BE260" s="42" t="n"/>
      <c r="BF260" s="12" t="n"/>
      <c r="BG260" s="42" t="n"/>
      <c r="BH260" s="42" t="n"/>
      <c r="BI260" s="42" t="n"/>
      <c r="BJ260" s="42" t="n"/>
      <c r="BK260" s="12" t="n"/>
      <c r="BL260" s="42" t="n"/>
      <c r="BM260" s="42" t="n"/>
      <c r="BN260" s="42" t="n"/>
      <c r="BO260" s="42" t="n"/>
      <c r="BP260" s="12" t="n"/>
      <c r="BQ260" s="42" t="n"/>
      <c r="BR260" s="42" t="n"/>
      <c r="BS260" s="42" t="n"/>
      <c r="BT260" s="42" t="n"/>
      <c r="BU260" s="12" t="n"/>
      <c r="BV260" s="42" t="n"/>
      <c r="BW260" s="42" t="n"/>
      <c r="BX260" s="42" t="n"/>
      <c r="BY260" s="42" t="n"/>
      <c r="BZ260" s="12" t="n"/>
      <c r="CA260" s="42" t="n"/>
      <c r="CB260" s="42" t="n"/>
      <c r="CC260" s="42" t="n"/>
      <c r="CD260" s="42" t="n"/>
      <c r="CE260" s="12" t="n"/>
      <c r="CF260" s="42" t="n"/>
      <c r="CG260" s="42" t="n"/>
      <c r="CH260" s="42" t="n"/>
      <c r="CI260" s="42" t="n"/>
      <c r="CJ260" s="12" t="n"/>
      <c r="CK260" s="42" t="n"/>
      <c r="CL260" s="42" t="n"/>
      <c r="CM260" s="42" t="n"/>
      <c r="CN260" s="42" t="n"/>
      <c r="CO260" s="12" t="n"/>
      <c r="CP260" s="42" t="n"/>
      <c r="CQ260" s="42" t="n"/>
      <c r="CR260" s="42" t="n"/>
      <c r="CS260" s="42" t="n"/>
      <c r="CT260" s="12" t="n"/>
      <c r="CU260" s="42" t="n"/>
      <c r="CV260" s="42" t="n"/>
      <c r="CW260" s="42" t="n"/>
      <c r="CX260" s="42" t="n"/>
      <c r="CY260" s="12" t="n"/>
    </row>
    <row r="261" collapsed="1">
      <c r="C261" s="14" t="inlineStr">
        <is>
          <t>Treasury stock (contra account)</t>
        </is>
      </c>
      <c r="D261" s="46" t="n"/>
      <c r="E261" s="46" t="n"/>
      <c r="F261" s="46" t="n"/>
      <c r="G261" s="46" t="n"/>
      <c r="H261" s="12" t="n"/>
      <c r="I261" s="46">
        <f>'Inputs (2)'!D44</f>
        <v>0</v>
      </c>
      <c r="J261" s="46">
        <f>'Inputs (2)'!E44</f>
        <v>0</v>
      </c>
      <c r="K261" s="46">
        <f>'Inputs (2)'!F44</f>
        <v>0</v>
      </c>
      <c r="L261" s="46">
        <f>'Inputs (2)'!G44</f>
        <v>0</v>
      </c>
      <c r="M261" s="12">
        <f>'Inputs (2)'!H44</f>
        <v>0</v>
      </c>
      <c r="N261" s="46">
        <f>'Inputs (2)'!I44</f>
        <v>0</v>
      </c>
      <c r="O261" s="46">
        <f>'Inputs (2)'!J44</f>
        <v>0</v>
      </c>
      <c r="P261" s="46">
        <f>'Inputs (2)'!K44</f>
        <v>0</v>
      </c>
      <c r="Q261" s="46">
        <f>'Inputs (2)'!L44</f>
        <v>0</v>
      </c>
      <c r="R261" s="12">
        <f>'Inputs (2)'!M44</f>
        <v>0</v>
      </c>
      <c r="S261" s="46">
        <f>'Inputs (2)'!N44</f>
        <v>0</v>
      </c>
      <c r="T261" s="46">
        <f>'Inputs (2)'!O44</f>
        <v>0</v>
      </c>
      <c r="U261" s="46">
        <f>'Inputs (2)'!P44</f>
        <v>0</v>
      </c>
      <c r="V261" s="46">
        <f>'Inputs (2)'!Q44</f>
        <v>0</v>
      </c>
      <c r="W261" s="12">
        <f>'Inputs (2)'!R44</f>
        <v>0</v>
      </c>
      <c r="X261" s="46">
        <f>'Inputs (2)'!S44</f>
        <v>0</v>
      </c>
      <c r="Y261" s="46">
        <f>'Inputs (2)'!T44</f>
        <v>0</v>
      </c>
      <c r="Z261" s="46">
        <f>'Inputs (2)'!U44</f>
        <v>0</v>
      </c>
      <c r="AA261" s="46">
        <f>'Inputs (2)'!V44</f>
        <v>0</v>
      </c>
      <c r="AB261" s="12">
        <f>'Inputs (2)'!W44</f>
        <v>0</v>
      </c>
      <c r="AC261" s="46">
        <f>'Inputs (2)'!X44</f>
        <v>0</v>
      </c>
      <c r="AD261" s="46">
        <f>'Inputs (2)'!Y44</f>
        <v>0</v>
      </c>
      <c r="AE261" s="46">
        <f>'Inputs (2)'!Z44</f>
        <v>0</v>
      </c>
      <c r="AF261" s="46">
        <f>'Inputs (2)'!AA44</f>
        <v>0</v>
      </c>
      <c r="AG261" s="12">
        <f>'Inputs (2)'!AB44</f>
        <v>0</v>
      </c>
      <c r="AH261" s="12">
        <f>'Inputs (2)'!AC44</f>
        <v>0</v>
      </c>
      <c r="AI261" s="12">
        <f>'Inputs (2)'!AD44</f>
        <v>0</v>
      </c>
      <c r="AJ261" s="12">
        <f>AI261</f>
        <v>0</v>
      </c>
      <c r="AK261" s="12">
        <f>AJ261</f>
        <v>0</v>
      </c>
      <c r="AL261" s="12">
        <f>AK261</f>
        <v>0</v>
      </c>
      <c r="AM261" s="12">
        <f>AL261</f>
        <v>0</v>
      </c>
      <c r="AN261" s="12">
        <f>AM261</f>
        <v>0</v>
      </c>
      <c r="AO261" s="12">
        <f>AN261</f>
        <v>0</v>
      </c>
      <c r="AP261" s="12">
        <f>AO261</f>
        <v>0</v>
      </c>
      <c r="AQ261" s="12">
        <f>AP261</f>
        <v>0</v>
      </c>
      <c r="AR261" s="12">
        <f>AQ261</f>
        <v>0</v>
      </c>
      <c r="AS261" s="12">
        <f>AR261</f>
        <v>0</v>
      </c>
      <c r="AT261" s="12">
        <f>AS261</f>
        <v>0</v>
      </c>
      <c r="AU261" s="12">
        <f>AT261</f>
        <v>0</v>
      </c>
      <c r="AV261" s="12">
        <f>AU261</f>
        <v>0</v>
      </c>
      <c r="AW261" s="12">
        <f>AV261</f>
        <v>0</v>
      </c>
      <c r="AX261" s="12">
        <f>AW261</f>
        <v>0</v>
      </c>
      <c r="AY261" s="12">
        <f>AX261</f>
        <v>0</v>
      </c>
      <c r="AZ261" s="12">
        <f>AY261</f>
        <v>0</v>
      </c>
      <c r="BA261" s="12">
        <f>AZ261</f>
        <v>0</v>
      </c>
      <c r="BB261" s="12">
        <f>BA261</f>
        <v>0</v>
      </c>
      <c r="BC261" s="12">
        <f>BB261</f>
        <v>0</v>
      </c>
      <c r="BD261" s="12">
        <f>BC261</f>
        <v>0</v>
      </c>
      <c r="BE261" s="12">
        <f>BD261</f>
        <v>0</v>
      </c>
      <c r="BF261" s="12">
        <f>BE261</f>
        <v>0</v>
      </c>
      <c r="BG261" s="12" t="n"/>
      <c r="BH261" s="12" t="n"/>
      <c r="BI261" s="12" t="n"/>
      <c r="BJ261" s="12" t="n"/>
      <c r="BK261" s="12" t="n"/>
      <c r="BL261" s="12" t="n"/>
      <c r="BM261" s="12" t="n"/>
      <c r="BN261" s="12" t="n"/>
      <c r="BO261" s="12" t="n"/>
      <c r="BP261" s="12" t="n"/>
      <c r="BQ261" s="12" t="n"/>
      <c r="BR261" s="12" t="n"/>
      <c r="BS261" s="12" t="n"/>
      <c r="BT261" s="12" t="n"/>
      <c r="BU261" s="12" t="n"/>
      <c r="BV261" s="12" t="n"/>
      <c r="BW261" s="12" t="n"/>
      <c r="BX261" s="12" t="n"/>
      <c r="BY261" s="12" t="n"/>
      <c r="BZ261" s="12" t="n"/>
      <c r="CA261" s="12" t="n"/>
      <c r="CB261" s="12" t="n"/>
      <c r="CC261" s="12" t="n"/>
      <c r="CD261" s="12" t="n"/>
      <c r="CE261" s="12" t="n"/>
      <c r="CF261" s="12" t="n"/>
      <c r="CG261" s="12" t="n"/>
      <c r="CH261" s="12" t="n"/>
      <c r="CI261" s="12" t="n"/>
      <c r="CJ261" s="12" t="n"/>
      <c r="CK261" s="12" t="n"/>
      <c r="CL261" s="12" t="n"/>
      <c r="CM261" s="12" t="n"/>
      <c r="CN261" s="12" t="n"/>
      <c r="CO261" s="12" t="n"/>
      <c r="CP261" s="12" t="n"/>
      <c r="CQ261" s="12" t="n"/>
      <c r="CR261" s="12" t="n"/>
      <c r="CS261" s="12" t="n"/>
      <c r="CT261" s="12" t="n"/>
      <c r="CU261" s="12" t="n"/>
      <c r="CV261" s="12" t="n"/>
      <c r="CW261" s="12" t="n"/>
      <c r="CX261" s="12" t="n"/>
      <c r="CY261" s="12" t="n"/>
    </row>
    <row r="262">
      <c r="C262" s="14" t="inlineStr">
        <is>
          <t>Comprehensive (accumulated) loss</t>
        </is>
      </c>
      <c r="D262" s="46" t="n"/>
      <c r="E262" s="46" t="n"/>
      <c r="F262" s="46" t="n"/>
      <c r="G262" s="46" t="n"/>
      <c r="H262" s="12" t="n"/>
      <c r="I262" s="46">
        <f>'Inputs (2)'!D45</f>
        <v>143</v>
      </c>
      <c r="J262" s="46">
        <f>'Inputs (2)'!E45</f>
        <v>206</v>
      </c>
      <c r="K262" s="46">
        <f>'Inputs (2)'!F45</f>
        <v>120</v>
      </c>
      <c r="L262" s="46">
        <f>'Inputs (2)'!G45</f>
        <v>54</v>
      </c>
      <c r="M262" s="12">
        <f>'Inputs (2)'!H45</f>
        <v>54</v>
      </c>
      <c r="N262" s="46">
        <f>'Inputs (2)'!I45</f>
        <v>-50</v>
      </c>
      <c r="O262" s="46">
        <f>'Inputs (2)'!J45</f>
        <v>-477</v>
      </c>
      <c r="P262" s="46">
        <f>'Inputs (2)'!K45</f>
        <v>-942</v>
      </c>
      <c r="Q262" s="46">
        <f>'Inputs (2)'!L45</f>
        <v>-361</v>
      </c>
      <c r="R262" s="12">
        <f>'Inputs (2)'!M45</f>
        <v>-361</v>
      </c>
      <c r="S262" s="46">
        <f>'Inputs (2)'!N45</f>
        <v>-225</v>
      </c>
      <c r="T262" s="46">
        <f>'Inputs (2)'!O45</f>
        <v>-410</v>
      </c>
      <c r="U262" s="46">
        <f>'Inputs (2)'!P45</f>
        <v>-692</v>
      </c>
      <c r="V262" s="46">
        <f>'Inputs (2)'!Q45</f>
        <v>-143</v>
      </c>
      <c r="W262" s="12">
        <f>'Inputs (2)'!R45</f>
        <v>-143</v>
      </c>
      <c r="X262" s="46">
        <f>'Inputs (2)'!S45</f>
        <v>-399</v>
      </c>
      <c r="Y262" s="46">
        <f>'Inputs (2)'!T45</f>
        <v>-467</v>
      </c>
      <c r="Z262" s="46">
        <f>'Inputs (2)'!U45</f>
        <v>-14</v>
      </c>
      <c r="AA262" s="46">
        <f>'Inputs (2)'!V45</f>
        <v>-670</v>
      </c>
      <c r="AB262" s="12">
        <f>'Inputs (2)'!W45</f>
        <v>-670</v>
      </c>
      <c r="AC262" s="46">
        <f>'Inputs (2)'!X45</f>
        <v>-424</v>
      </c>
      <c r="AD262" s="46">
        <f>'Inputs (2)'!Y45</f>
        <v>158</v>
      </c>
      <c r="AE262" s="46">
        <f>'Inputs (2)'!Z45</f>
        <v>207</v>
      </c>
      <c r="AF262" s="46">
        <f>'Inputs (2)'!AA45</f>
        <v>361</v>
      </c>
      <c r="AG262" s="12">
        <f>'Inputs (2)'!AB45</f>
        <v>361</v>
      </c>
      <c r="AH262" s="12">
        <f>'Inputs (2)'!AC45</f>
        <v>334</v>
      </c>
      <c r="AI262" s="12">
        <f>'Inputs (2)'!AD45</f>
        <v>401</v>
      </c>
      <c r="AJ262" s="12">
        <f>AI262</f>
        <v>401</v>
      </c>
      <c r="AK262" s="12">
        <f>AJ262</f>
        <v>401</v>
      </c>
      <c r="AL262" s="12">
        <f>AK262</f>
        <v>401</v>
      </c>
      <c r="AM262" s="12">
        <f>AL262</f>
        <v>401</v>
      </c>
      <c r="AN262" s="12">
        <f>AM262</f>
        <v>401</v>
      </c>
      <c r="AO262" s="12">
        <f>AN262</f>
        <v>401</v>
      </c>
      <c r="AP262" s="12">
        <f>AO262</f>
        <v>401</v>
      </c>
      <c r="AQ262" s="12">
        <f>AP262</f>
        <v>401</v>
      </c>
      <c r="AR262" s="12">
        <f>AQ262</f>
        <v>401</v>
      </c>
      <c r="AS262" s="12">
        <f>AR262</f>
        <v>401</v>
      </c>
      <c r="AT262" s="12">
        <f>AS262</f>
        <v>401</v>
      </c>
      <c r="AU262" s="12">
        <f>AT262</f>
        <v>401</v>
      </c>
      <c r="AV262" s="12">
        <f>AU262</f>
        <v>401</v>
      </c>
      <c r="AW262" s="12">
        <f>AV262</f>
        <v>401</v>
      </c>
      <c r="AX262" s="12">
        <f>AW262</f>
        <v>401</v>
      </c>
      <c r="AY262" s="12">
        <f>AX262</f>
        <v>401</v>
      </c>
      <c r="AZ262" s="12">
        <f>AY262</f>
        <v>401</v>
      </c>
      <c r="BA262" s="12">
        <f>AZ262</f>
        <v>401</v>
      </c>
      <c r="BB262" s="12">
        <f>BA262</f>
        <v>401</v>
      </c>
      <c r="BC262" s="12">
        <f>BB262</f>
        <v>401</v>
      </c>
      <c r="BD262" s="12">
        <f>BC262</f>
        <v>401</v>
      </c>
      <c r="BE262" s="12">
        <f>BD262</f>
        <v>401</v>
      </c>
      <c r="BF262" s="12">
        <f>BE262</f>
        <v>401</v>
      </c>
      <c r="BG262" s="12" t="n"/>
      <c r="BH262" s="12" t="n"/>
      <c r="BI262" s="12" t="n"/>
      <c r="BJ262" s="12" t="n"/>
      <c r="BK262" s="12" t="n"/>
      <c r="BL262" s="12" t="n"/>
      <c r="BM262" s="12" t="n"/>
      <c r="BN262" s="12" t="n"/>
      <c r="BO262" s="12" t="n"/>
      <c r="BP262" s="12" t="n"/>
      <c r="BQ262" s="12" t="n"/>
      <c r="BR262" s="12" t="n"/>
      <c r="BS262" s="12" t="n"/>
      <c r="BT262" s="12" t="n"/>
      <c r="BU262" s="12" t="n"/>
      <c r="BV262" s="12" t="n"/>
      <c r="BW262" s="12" t="n"/>
      <c r="BX262" s="12" t="n"/>
      <c r="BY262" s="12" t="n"/>
      <c r="BZ262" s="12" t="n"/>
      <c r="CA262" s="12" t="n"/>
      <c r="CB262" s="12" t="n"/>
      <c r="CC262" s="12" t="n"/>
      <c r="CD262" s="12" t="n"/>
      <c r="CE262" s="12" t="n"/>
      <c r="CF262" s="12" t="n"/>
      <c r="CG262" s="12" t="n"/>
      <c r="CH262" s="12" t="n"/>
      <c r="CI262" s="12" t="n"/>
      <c r="CJ262" s="12" t="n"/>
      <c r="CK262" s="12" t="n"/>
      <c r="CL262" s="12" t="n"/>
      <c r="CM262" s="12" t="n"/>
      <c r="CN262" s="12" t="n"/>
      <c r="CO262" s="12" t="n"/>
      <c r="CP262" s="12" t="n"/>
      <c r="CQ262" s="12" t="n"/>
      <c r="CR262" s="12" t="n"/>
      <c r="CS262" s="12" t="n"/>
      <c r="CT262" s="12" t="n"/>
      <c r="CU262" s="12" t="n"/>
      <c r="CV262" s="12" t="n"/>
      <c r="CW262" s="12" t="n"/>
      <c r="CX262" s="12" t="n"/>
      <c r="CY262" s="12" t="n"/>
    </row>
    <row r="263">
      <c r="C263" s="14" t="inlineStr">
        <is>
          <t>Other equity account</t>
        </is>
      </c>
      <c r="D263" s="46" t="n"/>
      <c r="E263" s="46" t="n"/>
      <c r="F263" s="46" t="n"/>
      <c r="G263" s="46" t="n"/>
      <c r="H263" s="12" t="n"/>
      <c r="I263" s="46">
        <f>'Inputs (2)'!D46</f>
        <v>0</v>
      </c>
      <c r="J263" s="46">
        <f>'Inputs (2)'!E46</f>
        <v>0</v>
      </c>
      <c r="K263" s="46">
        <f>'Inputs (2)'!F46</f>
        <v>0</v>
      </c>
      <c r="L263" s="46">
        <f>'Inputs (2)'!G46</f>
        <v>0</v>
      </c>
      <c r="M263" s="12">
        <f>'Inputs (2)'!H46</f>
        <v>0</v>
      </c>
      <c r="N263" s="46">
        <f>'Inputs (2)'!I46</f>
        <v>0</v>
      </c>
      <c r="O263" s="46">
        <f>'Inputs (2)'!J46</f>
        <v>0</v>
      </c>
      <c r="P263" s="46">
        <f>'Inputs (2)'!K46</f>
        <v>0</v>
      </c>
      <c r="Q263" s="46">
        <f>'Inputs (2)'!L46</f>
        <v>0</v>
      </c>
      <c r="R263" s="12">
        <f>'Inputs (2)'!M46</f>
        <v>0</v>
      </c>
      <c r="S263" s="46">
        <f>'Inputs (2)'!N46</f>
        <v>0</v>
      </c>
      <c r="T263" s="46">
        <f>'Inputs (2)'!O46</f>
        <v>0</v>
      </c>
      <c r="U263" s="46">
        <f>'Inputs (2)'!P46</f>
        <v>0</v>
      </c>
      <c r="V263" s="46">
        <f>'Inputs (2)'!Q46</f>
        <v>0</v>
      </c>
      <c r="W263" s="12">
        <f>'Inputs (2)'!R46</f>
        <v>0</v>
      </c>
      <c r="X263" s="46">
        <f>'Inputs (2)'!S46</f>
        <v>0</v>
      </c>
      <c r="Y263" s="46">
        <f>'Inputs (2)'!T46</f>
        <v>0</v>
      </c>
      <c r="Z263" s="46">
        <f>'Inputs (2)'!U46</f>
        <v>0</v>
      </c>
      <c r="AA263" s="46">
        <f>'Inputs (2)'!V46</f>
        <v>0</v>
      </c>
      <c r="AB263" s="12">
        <f>'Inputs (2)'!W46</f>
        <v>0</v>
      </c>
      <c r="AC263" s="46">
        <f>'Inputs (2)'!X46</f>
        <v>0</v>
      </c>
      <c r="AD263" s="46">
        <f>'Inputs (2)'!Y46</f>
        <v>0</v>
      </c>
      <c r="AE263" s="46">
        <f>'Inputs (2)'!Z46</f>
        <v>0</v>
      </c>
      <c r="AF263" s="46">
        <f>'Inputs (2)'!AA46</f>
        <v>0</v>
      </c>
      <c r="AG263" s="12">
        <f>'Inputs (2)'!AB46</f>
        <v>0</v>
      </c>
      <c r="AH263" s="12">
        <f>'Inputs (2)'!AC46</f>
        <v>0</v>
      </c>
      <c r="AI263" s="12">
        <f>'Inputs (2)'!AD46</f>
        <v>0</v>
      </c>
      <c r="AJ263" s="12">
        <f>AI263</f>
        <v>0</v>
      </c>
      <c r="AK263" s="12">
        <f>AJ263</f>
        <v>0</v>
      </c>
      <c r="AL263" s="12">
        <f>AK263</f>
        <v>0</v>
      </c>
      <c r="AM263" s="12">
        <f>AL263</f>
        <v>0</v>
      </c>
      <c r="AN263" s="12">
        <f>AM263</f>
        <v>0</v>
      </c>
      <c r="AO263" s="12">
        <f>AN263</f>
        <v>0</v>
      </c>
      <c r="AP263" s="12">
        <f>AO263</f>
        <v>0</v>
      </c>
      <c r="AQ263" s="12">
        <f>AP263</f>
        <v>0</v>
      </c>
      <c r="AR263" s="12">
        <f>AQ263</f>
        <v>0</v>
      </c>
      <c r="AS263" s="12">
        <f>AR263</f>
        <v>0</v>
      </c>
      <c r="AT263" s="12">
        <f>AS263</f>
        <v>0</v>
      </c>
      <c r="AU263" s="12">
        <f>AT263</f>
        <v>0</v>
      </c>
      <c r="AV263" s="12">
        <f>AU263</f>
        <v>0</v>
      </c>
      <c r="AW263" s="12">
        <f>AV263</f>
        <v>0</v>
      </c>
      <c r="AX263" s="12">
        <f>AW263</f>
        <v>0</v>
      </c>
      <c r="AY263" s="12">
        <f>AX263</f>
        <v>0</v>
      </c>
      <c r="AZ263" s="12">
        <f>AY263</f>
        <v>0</v>
      </c>
      <c r="BA263" s="12">
        <f>AZ263</f>
        <v>0</v>
      </c>
      <c r="BB263" s="12">
        <f>BA263</f>
        <v>0</v>
      </c>
      <c r="BC263" s="12">
        <f>BB263</f>
        <v>0</v>
      </c>
      <c r="BD263" s="12">
        <f>BC263</f>
        <v>0</v>
      </c>
      <c r="BE263" s="12">
        <f>BD263</f>
        <v>0</v>
      </c>
      <c r="BF263" s="12">
        <f>BE263</f>
        <v>0</v>
      </c>
      <c r="BG263" s="12" t="n"/>
      <c r="BH263" s="12" t="n"/>
      <c r="BI263" s="12" t="n"/>
      <c r="BJ263" s="12" t="n"/>
      <c r="BK263" s="12" t="n"/>
      <c r="BL263" s="12" t="n"/>
      <c r="BM263" s="12" t="n"/>
      <c r="BN263" s="12" t="n"/>
      <c r="BO263" s="12" t="n"/>
      <c r="BP263" s="12" t="n"/>
      <c r="BQ263" s="12" t="n"/>
      <c r="BR263" s="12" t="n"/>
      <c r="BS263" s="12" t="n"/>
      <c r="BT263" s="12" t="n"/>
      <c r="BU263" s="12" t="n"/>
      <c r="BV263" s="12" t="n"/>
      <c r="BW263" s="12" t="n"/>
      <c r="BX263" s="12" t="n"/>
      <c r="BY263" s="12" t="n"/>
      <c r="BZ263" s="12" t="n"/>
      <c r="CA263" s="12" t="n"/>
      <c r="CB263" s="12" t="n"/>
      <c r="CC263" s="12" t="n"/>
      <c r="CD263" s="12" t="n"/>
      <c r="CE263" s="12" t="n"/>
      <c r="CF263" s="12" t="n"/>
      <c r="CG263" s="12" t="n"/>
      <c r="CH263" s="12" t="n"/>
      <c r="CI263" s="12" t="n"/>
      <c r="CJ263" s="12" t="n"/>
      <c r="CK263" s="12" t="n"/>
      <c r="CL263" s="12" t="n"/>
      <c r="CM263" s="12" t="n"/>
      <c r="CN263" s="12" t="n"/>
      <c r="CO263" s="12" t="n"/>
      <c r="CP263" s="12" t="n"/>
      <c r="CQ263" s="12" t="n"/>
      <c r="CR263" s="12" t="n"/>
      <c r="CS263" s="12" t="n"/>
      <c r="CT263" s="12" t="n"/>
      <c r="CU263" s="12" t="n"/>
      <c r="CV263" s="12" t="n"/>
      <c r="CW263" s="12" t="n"/>
      <c r="CX263" s="12" t="n"/>
      <c r="CY263" s="12" t="n"/>
    </row>
    <row r="264">
      <c r="C264" s="15" t="inlineStr">
        <is>
          <t>Retained earnings</t>
        </is>
      </c>
      <c r="D264" s="46" t="n"/>
      <c r="E264" s="46" t="n"/>
      <c r="F264" s="46" t="n"/>
      <c r="G264" s="46" t="n"/>
      <c r="H264" s="12" t="n"/>
      <c r="I264" s="46">
        <f>'Inputs (2)'!D47</f>
        <v>-4750</v>
      </c>
      <c r="J264" s="46">
        <f>'Inputs (2)'!E47</f>
        <v>-3608</v>
      </c>
      <c r="K264" s="46">
        <f>'Inputs (2)'!F47</f>
        <v>-1990</v>
      </c>
      <c r="L264" s="46">
        <f>'Inputs (2)'!G47</f>
        <v>331</v>
      </c>
      <c r="M264" s="12">
        <f>'Inputs (2)'!H47</f>
        <v>331</v>
      </c>
      <c r="N264" s="46">
        <f>'Inputs (2)'!I47</f>
        <v>3649</v>
      </c>
      <c r="O264" s="46">
        <f>'Inputs (2)'!J47</f>
        <v>5908</v>
      </c>
      <c r="P264" s="46">
        <f>'Inputs (2)'!K47</f>
        <v>9198</v>
      </c>
      <c r="Q264" s="46">
        <f>'Inputs (2)'!L47</f>
        <v>12885</v>
      </c>
      <c r="R264" s="12">
        <f>'Inputs (2)'!M47</f>
        <v>12885</v>
      </c>
      <c r="S264" s="46">
        <f>'Inputs (2)'!N47</f>
        <v>15398</v>
      </c>
      <c r="T264" s="46">
        <f>'Inputs (2)'!O47</f>
        <v>18101</v>
      </c>
      <c r="U264" s="46">
        <f>'Inputs (2)'!P47</f>
        <v>19954</v>
      </c>
      <c r="V264" s="46">
        <f>'Inputs (2)'!Q47</f>
        <v>27882</v>
      </c>
      <c r="W264" s="12">
        <f>'Inputs (2)'!R47</f>
        <v>27882</v>
      </c>
      <c r="X264" s="46">
        <f>'Inputs (2)'!S47</f>
        <v>29011</v>
      </c>
      <c r="Y264" s="46">
        <f>'Inputs (2)'!T47</f>
        <v>30489</v>
      </c>
      <c r="Z264" s="46">
        <f>'Inputs (2)'!U47</f>
        <v>32656</v>
      </c>
      <c r="AA264" s="46">
        <f>'Inputs (2)'!V47</f>
        <v>35209</v>
      </c>
      <c r="AB264" s="12">
        <f>'Inputs (2)'!W47</f>
        <v>35209</v>
      </c>
      <c r="AC264" s="46">
        <f>'Inputs (2)'!X47</f>
        <v>35618</v>
      </c>
      <c r="AD264" s="46">
        <f>'Inputs (2)'!Y47</f>
        <v>36790</v>
      </c>
      <c r="AE264" s="46">
        <f>'Inputs (2)'!Z47</f>
        <v>38163</v>
      </c>
      <c r="AF264" s="46">
        <f>'Inputs (2)'!AA47</f>
        <v>39003</v>
      </c>
      <c r="AG264" s="12">
        <f>'Inputs (2)'!AB47</f>
        <v>39003</v>
      </c>
      <c r="AH264" s="12">
        <f>'Inputs (2)'!AC47</f>
        <v>39480</v>
      </c>
      <c r="AI264" s="12">
        <f>'Inputs (2)'!AD47</f>
        <v>40594</v>
      </c>
      <c r="AJ264" s="12">
        <f>AI264+AJ131+AJ132</f>
        <v>41757.1848068737</v>
      </c>
      <c r="AK264" s="12">
        <f>AJ264+AK131+AK132</f>
        <v>42788.1321240463</v>
      </c>
      <c r="AL264" s="12">
        <f>AK264</f>
        <v>42788.1321240463</v>
      </c>
      <c r="AM264" s="12">
        <f>AL264+AM131+AM132</f>
        <v>43714.9952054302</v>
      </c>
      <c r="AN264" s="12">
        <f>AM264+AN131+AN132</f>
        <v>44884.0176723064</v>
      </c>
      <c r="AO264" s="12">
        <f>AN264+AO131+AO132</f>
        <v>46102.8859607197</v>
      </c>
      <c r="AP264" s="12">
        <f>AO264+AP131+AP132</f>
        <v>47183.1863433421</v>
      </c>
      <c r="AQ264" s="12">
        <f>AP264</f>
        <v>47183.1863433421</v>
      </c>
      <c r="AR264" s="12">
        <f>AQ264+AR131+AR132</f>
        <v>48149.7854991118</v>
      </c>
      <c r="AS264" s="12">
        <f>AR264+AS131+AS132</f>
        <v>49368.9257931357</v>
      </c>
      <c r="AT264" s="12">
        <f>AS264+AT131+AT132</f>
        <v>50640.0488772654</v>
      </c>
      <c r="AU264" s="12">
        <f>AT264+AU131+AU132</f>
        <v>51766.6634320941</v>
      </c>
      <c r="AV264" s="12">
        <f>AU264</f>
        <v>51766.6634320941</v>
      </c>
      <c r="AW264" s="12">
        <f>AV264+AW131+AW132</f>
        <v>52769.8692143186</v>
      </c>
      <c r="AX264" s="12">
        <f>AW264+AX131+AX132</f>
        <v>54035.1802638961</v>
      </c>
      <c r="AY264" s="12">
        <f>AX264+AY131+AY132</f>
        <v>55354.4427733925</v>
      </c>
      <c r="AZ264" s="12">
        <f>AY264+AZ131+AZ132</f>
        <v>56523.7239888747</v>
      </c>
      <c r="BA264" s="12">
        <f>AZ264</f>
        <v>56523.7239888747</v>
      </c>
      <c r="BB264" s="12">
        <f>BA264+BB131+BB132</f>
        <v>57559.9067190161</v>
      </c>
      <c r="BC264" s="12">
        <f>BB264+BC131+BC132</f>
        <v>58866.810527846</v>
      </c>
      <c r="BD264" s="12">
        <f>BC264+BD131+BD132</f>
        <v>60229.4392657228</v>
      </c>
      <c r="BE264" s="12">
        <f>BD264+BE131+BE132</f>
        <v>61437.1565891565</v>
      </c>
      <c r="BF264" s="12">
        <f>BE264</f>
        <v>61437.1565891565</v>
      </c>
      <c r="BG264" s="12" t="n"/>
      <c r="BH264" s="12" t="n"/>
      <c r="BI264" s="12" t="n"/>
      <c r="BJ264" s="12" t="n"/>
      <c r="BK264" s="12" t="n"/>
      <c r="BL264" s="12" t="n"/>
      <c r="BM264" s="12" t="n"/>
      <c r="BN264" s="12" t="n"/>
      <c r="BO264" s="12" t="n"/>
      <c r="BP264" s="12" t="n"/>
      <c r="BQ264" s="12" t="n"/>
      <c r="BR264" s="12" t="n"/>
      <c r="BS264" s="12" t="n"/>
      <c r="BT264" s="12" t="n"/>
      <c r="BU264" s="12" t="n"/>
      <c r="BV264" s="12" t="n"/>
      <c r="BW264" s="12" t="n"/>
      <c r="BX264" s="12" t="n"/>
      <c r="BY264" s="12" t="n"/>
      <c r="BZ264" s="12" t="n"/>
      <c r="CA264" s="12" t="n"/>
      <c r="CB264" s="12" t="n"/>
      <c r="CC264" s="12" t="n"/>
      <c r="CD264" s="12" t="n"/>
      <c r="CE264" s="12" t="n"/>
      <c r="CF264" s="12" t="n"/>
      <c r="CG264" s="12" t="n"/>
      <c r="CH264" s="12" t="n"/>
      <c r="CI264" s="12" t="n"/>
      <c r="CJ264" s="12" t="n"/>
      <c r="CK264" s="12" t="n"/>
      <c r="CL264" s="12" t="n"/>
      <c r="CM264" s="12" t="n"/>
      <c r="CN264" s="12" t="n"/>
      <c r="CO264" s="12" t="n"/>
      <c r="CP264" s="12" t="n"/>
      <c r="CQ264" s="12" t="n"/>
      <c r="CR264" s="12" t="n"/>
      <c r="CS264" s="12" t="n"/>
      <c r="CT264" s="12" t="n"/>
      <c r="CU264" s="12" t="n"/>
      <c r="CV264" s="12" t="n"/>
      <c r="CW264" s="12" t="n"/>
      <c r="CX264" s="12" t="n"/>
      <c r="CY264" s="12" t="n"/>
    </row>
    <row r="265" customFormat="1" s="32">
      <c r="A265" s="30" t="inlineStr">
        <is>
          <t xml:space="preserve"> </t>
        </is>
      </c>
      <c r="B265" s="30" t="n"/>
      <c r="C265" s="65" t="inlineStr">
        <is>
          <t>Total Shareholders' Equity</t>
        </is>
      </c>
      <c r="D265" s="35" t="n"/>
      <c r="E265" s="35" t="n"/>
      <c r="F265" s="35" t="n"/>
      <c r="G265" s="35" t="n"/>
      <c r="H265" s="35" t="n"/>
      <c r="I265" s="35">
        <f>SUM(I242+I247+I248+I261+I262+I263+I264)</f>
        <v>24465</v>
      </c>
      <c r="J265" s="35">
        <f>SUM(J242+J247+J248+J261+J262+J263+J264)</f>
        <v>26250</v>
      </c>
      <c r="K265" s="35">
        <f>SUM(K242+K247+K248+K261+K262+K263+K264)</f>
        <v>28494</v>
      </c>
      <c r="L265" s="35">
        <f>SUM(L242+L247+L248+L261+L262+L263+L264)</f>
        <v>31583</v>
      </c>
      <c r="M265" s="35">
        <f>SUM(M242,M247,M248,M261,M262,M263,M264)</f>
        <v>31583</v>
      </c>
      <c r="N265" s="35">
        <f>SUM(N242+N247+N248+N261+N262+N263+N264)</f>
        <v>35406</v>
      </c>
      <c r="O265" s="35">
        <f>SUM(O242+O247+O248+O261+O262+O263+O264)</f>
        <v>37658</v>
      </c>
      <c r="P265" s="35">
        <f>SUM(P242+P247+P248+P261+P262+P263+P264)</f>
        <v>41124</v>
      </c>
      <c r="Q265" s="35">
        <f>SUM(Q242+Q247+Q248+Q261+Q262+Q263+Q264)</f>
        <v>45898</v>
      </c>
      <c r="R265" s="35">
        <f>SUM(R242,R247,R248,R261,R262,R263,R264)</f>
        <v>45898</v>
      </c>
      <c r="S265" s="35">
        <f>SUM(S242+S247+S248+S261+S262+S263+S264)</f>
        <v>49235</v>
      </c>
      <c r="T265" s="35">
        <f>SUM(T242+T247+T248+T261+T262+T263+T264)</f>
        <v>52182</v>
      </c>
      <c r="U265" s="35">
        <f>SUM(U242+U247+U248+U261+U262+U263+U264)</f>
        <v>54495</v>
      </c>
      <c r="V265" s="35">
        <f>SUM(V242+V247+V248+V261+V262+V263+V264)</f>
        <v>63609</v>
      </c>
      <c r="W265" s="35">
        <f>SUM(W242,W247,W248,W261,W262,W263,W264)</f>
        <v>63609</v>
      </c>
      <c r="X265" s="35">
        <f>SUM(X242+X247+X248+X261+X262+X263+X264)</f>
        <v>65180</v>
      </c>
      <c r="Y265" s="35">
        <f>SUM(Y242+Y247+Y248+Y261+Y262+Y263+Y264)</f>
        <v>67263</v>
      </c>
      <c r="Z265" s="35">
        <f>SUM(Z242+Z247+Z248+Z261+Z262+Z263+Z264)</f>
        <v>70710</v>
      </c>
      <c r="AA265" s="35">
        <f>SUM(AA242+AA247+AA248+AA261+AA262+AA263+AA264)</f>
        <v>73680</v>
      </c>
      <c r="AB265" s="35">
        <f>SUM(AB242,AB247,AB248,AB261,AB262,AB263,AB264)</f>
        <v>73680</v>
      </c>
      <c r="AC265" s="35">
        <f>SUM(AC242+AC247+AC248+AC261+AC262+AC263+AC264)</f>
        <v>75418</v>
      </c>
      <c r="AD265" s="35">
        <f>SUM(AD242+AD247+AD248+AD261+AD262+AD263+AD264)</f>
        <v>78072</v>
      </c>
      <c r="AE265" s="35">
        <f>SUM(AE242+AE247+AE248+AE261+AE262+AE263+AE264)</f>
        <v>80716</v>
      </c>
      <c r="AF265" s="35">
        <f>SUM(AF242+AF247+AF248+AF261+AF262+AF263+AF264)</f>
        <v>82865</v>
      </c>
      <c r="AG265" s="35">
        <f>SUM(AG242,AG247,AG248,AG261,AG262,AG263,AG264)</f>
        <v>82865</v>
      </c>
      <c r="AH265" s="35">
        <f>SUM(AH242+AH247+AH248+AH261+AH262+AH263+AH264)</f>
        <v>84802</v>
      </c>
      <c r="AI265" s="35">
        <f>SUM(AI242+AI247+AI248+AI261+AI262+AI263+AI264)</f>
        <v>87519</v>
      </c>
      <c r="AJ265" s="35">
        <f>SUM(AJ242+AJ247+AJ248+AJ261+AJ262+AJ263+AJ264)</f>
        <v>88682.1848068737</v>
      </c>
      <c r="AK265" s="35">
        <f>SUM(AK242+AK247+AK248+AK261+AK262+AK263+AK264)</f>
        <v>89713.1321240463</v>
      </c>
      <c r="AL265" s="35">
        <f>SUM(AL242,AL247,AL248,AL261,AL262,AL263,AL264)</f>
        <v>89713.1321240463</v>
      </c>
      <c r="AM265" s="35">
        <f>SUM(AM242+AM247+AM248+AM261+AM262+AM263+AM264)</f>
        <v>90639.9952054302</v>
      </c>
      <c r="AN265" s="35">
        <f>SUM(AN242+AN247+AN248+AN261+AN262+AN263+AN264)</f>
        <v>91809.0176723064</v>
      </c>
      <c r="AO265" s="35">
        <f>SUM(AO242+AO247+AO248+AO261+AO262+AO263+AO264)</f>
        <v>93027.8859607197</v>
      </c>
      <c r="AP265" s="35">
        <f>SUM(AP242+AP247+AP248+AP261+AP262+AP263+AP264)</f>
        <v>94108.1863433421</v>
      </c>
      <c r="AQ265" s="35">
        <f>SUM(AQ242,AQ247,AQ248,AQ261,AQ262,AQ263,AQ264)</f>
        <v>94108.1863433421</v>
      </c>
      <c r="AR265" s="35">
        <f>SUM(AR242+AR247+AR248+AR261+AR262+AR263+AR264)</f>
        <v>95074.7854991118</v>
      </c>
      <c r="AS265" s="35">
        <f>SUM(AS242+AS247+AS248+AS261+AS262+AS263+AS264)</f>
        <v>96293.9257931357</v>
      </c>
      <c r="AT265" s="35">
        <f>SUM(AT242+AT247+AT248+AT261+AT262+AT263+AT264)</f>
        <v>97565.0488772654</v>
      </c>
      <c r="AU265" s="35">
        <f>SUM(AU242+AU247+AU248+AU261+AU262+AU263+AU264)</f>
        <v>98691.6634320941</v>
      </c>
      <c r="AV265" s="35">
        <f>SUM(AV242,AV247,AV248,AV261,AV262,AV263,AV264)</f>
        <v>98691.6634320941</v>
      </c>
      <c r="AW265" s="35">
        <f>SUM(AW242+AW247+AW248+AW261+AW262+AW263+AW264)</f>
        <v>99694.8692143186</v>
      </c>
      <c r="AX265" s="35">
        <f>SUM(AX242+AX247+AX248+AX261+AX262+AX263+AX264)</f>
        <v>100960.180263896</v>
      </c>
      <c r="AY265" s="35">
        <f>SUM(AY242+AY247+AY248+AY261+AY262+AY263+AY264)</f>
        <v>102279.442773393</v>
      </c>
      <c r="AZ265" s="35">
        <f>SUM(AZ242+AZ247+AZ248+AZ261+AZ262+AZ263+AZ264)</f>
        <v>103448.723988875</v>
      </c>
      <c r="BA265" s="35">
        <f>SUM(BA242,BA247,BA248,BA261,BA262,BA263,BA264)</f>
        <v>103448.723988875</v>
      </c>
      <c r="BB265" s="35">
        <f>SUM(BB242+BB247+BB248+BB261+BB262+BB263+BB264)</f>
        <v>104484.906719016</v>
      </c>
      <c r="BC265" s="35">
        <f>SUM(BC242+BC247+BC248+BC261+BC262+BC263+BC264)</f>
        <v>105791.810527846</v>
      </c>
      <c r="BD265" s="35">
        <f>SUM(BD242+BD247+BD248+BD261+BD262+BD263+BD264)</f>
        <v>107154.439265723</v>
      </c>
      <c r="BE265" s="35">
        <f>SUM(BE242+BE247+BE248+BE261+BE262+BE263+BE264)</f>
        <v>108362.156589157</v>
      </c>
      <c r="BF265" s="35">
        <f>SUM(BF242,BF247,BF248,BF261,BF262,BF263,BF264)</f>
        <v>108362.156589157</v>
      </c>
      <c r="BG265" s="35" t="n"/>
      <c r="BH265" s="35" t="n"/>
      <c r="BI265" s="35" t="n"/>
      <c r="BJ265" s="35" t="n"/>
      <c r="BK265" s="35" t="n"/>
      <c r="BL265" s="35" t="n"/>
      <c r="BM265" s="35" t="n"/>
      <c r="BN265" s="35" t="n"/>
      <c r="BO265" s="35" t="n"/>
      <c r="BP265" s="35" t="n"/>
      <c r="BQ265" s="35" t="n"/>
      <c r="BR265" s="35" t="n"/>
      <c r="BS265" s="35" t="n"/>
      <c r="BT265" s="35" t="n"/>
      <c r="BU265" s="35" t="n"/>
      <c r="BV265" s="35" t="n"/>
      <c r="BW265" s="35" t="n"/>
      <c r="BX265" s="35" t="n"/>
      <c r="BY265" s="35" t="n"/>
      <c r="BZ265" s="35" t="n"/>
      <c r="CA265" s="35" t="n"/>
      <c r="CB265" s="35" t="n"/>
      <c r="CC265" s="35" t="n"/>
      <c r="CD265" s="35" t="n"/>
      <c r="CE265" s="35" t="n"/>
      <c r="CF265" s="35" t="n"/>
      <c r="CG265" s="35" t="n"/>
      <c r="CH265" s="35" t="n"/>
      <c r="CI265" s="35" t="n"/>
      <c r="CJ265" s="35" t="n"/>
      <c r="CK265" s="35" t="n"/>
      <c r="CL265" s="35" t="n"/>
      <c r="CM265" s="35" t="n"/>
      <c r="CN265" s="35" t="n"/>
      <c r="CO265" s="35" t="n"/>
      <c r="CP265" s="35" t="n"/>
      <c r="CQ265" s="35" t="n"/>
      <c r="CR265" s="35" t="n"/>
      <c r="CS265" s="35" t="n"/>
      <c r="CT265" s="35" t="n"/>
      <c r="CU265" s="35" t="n"/>
      <c r="CV265" s="35" t="n"/>
      <c r="CW265" s="35" t="n"/>
      <c r="CX265" s="35" t="n"/>
      <c r="CY265" s="35" t="n"/>
    </row>
    <row r="266">
      <c r="C266" s="10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  <c r="AJ266" s="12" t="n"/>
      <c r="AK266" s="12" t="n"/>
      <c r="AL266" s="12" t="n"/>
      <c r="AM266" s="12" t="n"/>
      <c r="AN266" s="12" t="n"/>
      <c r="AO266" s="12" t="n"/>
      <c r="AP266" s="12" t="n"/>
      <c r="AQ266" s="12" t="n"/>
      <c r="AR266" s="12" t="n"/>
      <c r="AS266" s="12" t="n"/>
      <c r="AT266" s="12" t="n"/>
      <c r="AU266" s="12" t="n"/>
      <c r="AV266" s="12" t="n"/>
      <c r="AW266" s="12" t="n"/>
      <c r="AX266" s="12" t="n"/>
      <c r="AY266" s="12" t="n"/>
      <c r="AZ266" s="12" t="n"/>
      <c r="BA266" s="12" t="n"/>
      <c r="BB266" s="12" t="n"/>
      <c r="BC266" s="12" t="n"/>
      <c r="BD266" s="12" t="n"/>
      <c r="BE266" s="12" t="n"/>
      <c r="BF266" s="12" t="n"/>
      <c r="BG266" s="12" t="n"/>
      <c r="BH266" s="12" t="n"/>
      <c r="BI266" s="12" t="n"/>
      <c r="BJ266" s="12" t="n"/>
      <c r="BK266" s="12" t="n"/>
      <c r="BL266" s="12" t="n"/>
      <c r="BM266" s="12" t="n"/>
      <c r="BN266" s="12" t="n"/>
      <c r="BO266" s="12" t="n"/>
      <c r="BP266" s="12" t="n"/>
      <c r="BQ266" s="12" t="n"/>
      <c r="BR266" s="12" t="n"/>
      <c r="BS266" s="12" t="n"/>
      <c r="BT266" s="12" t="n"/>
      <c r="BU266" s="12" t="n"/>
      <c r="BV266" s="12" t="n"/>
      <c r="BW266" s="12" t="n"/>
      <c r="BX266" s="12" t="n"/>
      <c r="BY266" s="12" t="n"/>
      <c r="BZ266" s="12" t="n"/>
      <c r="CA266" s="12" t="n"/>
      <c r="CB266" s="12" t="n"/>
      <c r="CC266" s="12" t="n"/>
      <c r="CD266" s="12" t="n"/>
      <c r="CE266" s="12" t="n"/>
      <c r="CF266" s="12" t="n"/>
      <c r="CG266" s="12" t="n"/>
      <c r="CH266" s="12" t="n"/>
      <c r="CI266" s="12" t="n"/>
      <c r="CJ266" s="12" t="n"/>
      <c r="CK266" s="12" t="n"/>
      <c r="CL266" s="12" t="n"/>
      <c r="CM266" s="12" t="n"/>
      <c r="CN266" s="12" t="n"/>
      <c r="CO266" s="12" t="n"/>
      <c r="CP266" s="12" t="n"/>
      <c r="CQ266" s="12" t="n"/>
      <c r="CR266" s="12" t="n"/>
      <c r="CS266" s="12" t="n"/>
      <c r="CT266" s="12" t="n"/>
      <c r="CU266" s="12" t="n"/>
      <c r="CV266" s="12" t="n"/>
      <c r="CW266" s="12" t="n"/>
      <c r="CX266" s="12" t="n"/>
      <c r="CY266" s="12" t="n"/>
    </row>
    <row r="267" customFormat="1" s="32">
      <c r="A267" s="30" t="n"/>
      <c r="B267" s="3" t="n"/>
      <c r="C267" s="33" t="inlineStr">
        <is>
          <t>Total Liabilities + Shareholders' Equity</t>
        </is>
      </c>
      <c r="D267" s="35" t="n"/>
      <c r="E267" s="35" t="n"/>
      <c r="F267" s="35" t="n"/>
      <c r="G267" s="35" t="n"/>
      <c r="H267" s="35" t="n"/>
      <c r="I267" s="35">
        <f>I265+I241</f>
        <v>52972</v>
      </c>
      <c r="J267" s="35">
        <f>J265+J241</f>
        <v>55146</v>
      </c>
      <c r="K267" s="35">
        <f>K265+K241</f>
        <v>57834</v>
      </c>
      <c r="L267" s="35">
        <f>L265+L241</f>
        <v>62131</v>
      </c>
      <c r="M267" s="35">
        <f>M265+M241</f>
        <v>62131</v>
      </c>
      <c r="N267" s="35">
        <f>N265+N241</f>
        <v>66038</v>
      </c>
      <c r="O267" s="35">
        <f>O265+O241</f>
        <v>68513</v>
      </c>
      <c r="P267" s="35">
        <f>P265+P241</f>
        <v>74426</v>
      </c>
      <c r="Q267" s="35">
        <f>Q265+Q241</f>
        <v>82338</v>
      </c>
      <c r="R267" s="35">
        <f>R265+R241</f>
        <v>82338</v>
      </c>
      <c r="S267" s="35">
        <f>S265+S241</f>
        <v>86833</v>
      </c>
      <c r="T267" s="35">
        <f>T265+T241</f>
        <v>90591</v>
      </c>
      <c r="U267" s="35">
        <f>U265+U241</f>
        <v>93941</v>
      </c>
      <c r="V267" s="35">
        <f>V265+V241</f>
        <v>106618</v>
      </c>
      <c r="W267" s="35">
        <f>W265+W241</f>
        <v>106618</v>
      </c>
      <c r="X267" s="35">
        <f>X265+X241</f>
        <v>109226</v>
      </c>
      <c r="Y267" s="35">
        <f>Y265+Y241</f>
        <v>112832</v>
      </c>
      <c r="Z267" s="35">
        <f>Z265+Z241</f>
        <v>119852</v>
      </c>
      <c r="AA267" s="35">
        <f>AA265+AA241</f>
        <v>122070</v>
      </c>
      <c r="AB267" s="35">
        <f>AB265+AB241</f>
        <v>122070</v>
      </c>
      <c r="AC267" s="35">
        <f>AC265+AC241</f>
        <v>125111</v>
      </c>
      <c r="AD267" s="35">
        <f>AD265+AD241</f>
        <v>128567</v>
      </c>
      <c r="AE267" s="35">
        <f>AE265+AE241</f>
        <v>133735</v>
      </c>
      <c r="AF267" s="35">
        <f>AF265+AF241</f>
        <v>137806</v>
      </c>
      <c r="AG267" s="35">
        <f>AG265+AG241</f>
        <v>137806</v>
      </c>
      <c r="AH267" s="35">
        <f>AH265+AH241</f>
        <v>143724</v>
      </c>
      <c r="AI267" s="35">
        <f>AI265+AI241</f>
        <v>148524</v>
      </c>
      <c r="AJ267" s="35">
        <f>AJ265+AJ241</f>
        <v>151224.12748822</v>
      </c>
      <c r="AK267" s="35">
        <f>AK265+AK241</f>
        <v>150338.226578868</v>
      </c>
      <c r="AL267" s="35">
        <f>AL265+AL241</f>
        <v>150338.226578868</v>
      </c>
      <c r="AM267" s="35">
        <f>AM265+AM241</f>
        <v>150054.900008686</v>
      </c>
      <c r="AN267" s="35">
        <f>AN265+AN241</f>
        <v>154621.795112915</v>
      </c>
      <c r="AO267" s="35">
        <f>AO265+AO241</f>
        <v>156376.988420106</v>
      </c>
      <c r="AP267" s="35">
        <f>AP265+AP241</f>
        <v>155448.678044398</v>
      </c>
      <c r="AQ267" s="35">
        <f>AQ265+AQ241</f>
        <v>155448.678044398</v>
      </c>
      <c r="AR267" s="35">
        <f>AR265+AR241</f>
        <v>154921.092052353</v>
      </c>
      <c r="AS267" s="35">
        <f>AS265+AS241</f>
        <v>159841.1694094</v>
      </c>
      <c r="AT267" s="35">
        <f>AT265+AT241</f>
        <v>161671.610607262</v>
      </c>
      <c r="AU267" s="35">
        <f>AU265+AU241</f>
        <v>160703.502109391</v>
      </c>
      <c r="AV267" s="35">
        <f>AV265+AV241</f>
        <v>160703.502109391</v>
      </c>
      <c r="AW267" s="35">
        <f>AW265+AW241</f>
        <v>160240.991137801</v>
      </c>
      <c r="AX267" s="35">
        <f>AX265+AX241</f>
        <v>165184.046554934</v>
      </c>
      <c r="AY267" s="35">
        <f>AY265+AY241</f>
        <v>167083.809432603</v>
      </c>
      <c r="AZ267" s="35">
        <f>AZ265+AZ241</f>
        <v>166079.037147124</v>
      </c>
      <c r="BA267" s="35">
        <f>BA265+BA241</f>
        <v>166079.037147124</v>
      </c>
      <c r="BB267" s="35">
        <f>BB265+BB241</f>
        <v>165519.668520911</v>
      </c>
      <c r="BC267" s="35">
        <f>BC265+BC241</f>
        <v>170625.209924399</v>
      </c>
      <c r="BD267" s="35">
        <f>BD265+BD241</f>
        <v>172587.420988255</v>
      </c>
      <c r="BE267" s="35">
        <f>BE265+BE241</f>
        <v>171549.620261439</v>
      </c>
      <c r="BF267" s="35">
        <f>BF265+BF241</f>
        <v>171549.620261439</v>
      </c>
      <c r="BG267" s="35" t="n"/>
      <c r="BH267" s="35" t="n"/>
      <c r="BI267" s="35" t="n"/>
      <c r="BJ267" s="35" t="n"/>
      <c r="BK267" s="35" t="n"/>
      <c r="BL267" s="35" t="n"/>
      <c r="BM267" s="35" t="n"/>
      <c r="BN267" s="35" t="n"/>
      <c r="BO267" s="35" t="n"/>
      <c r="BP267" s="35" t="n"/>
      <c r="BQ267" s="35" t="n"/>
      <c r="BR267" s="35" t="n"/>
      <c r="BS267" s="35" t="n"/>
      <c r="BT267" s="35" t="n"/>
      <c r="BU267" s="35" t="n"/>
      <c r="BV267" s="35" t="n"/>
      <c r="BW267" s="35" t="n"/>
      <c r="BX267" s="35" t="n"/>
      <c r="BY267" s="35" t="n"/>
      <c r="BZ267" s="35" t="n"/>
      <c r="CA267" s="35" t="n"/>
      <c r="CB267" s="35" t="n"/>
      <c r="CC267" s="35" t="n"/>
      <c r="CD267" s="35" t="n"/>
      <c r="CE267" s="35" t="n"/>
      <c r="CF267" s="35" t="n"/>
      <c r="CG267" s="35" t="n"/>
      <c r="CH267" s="35" t="n"/>
      <c r="CI267" s="35" t="n"/>
      <c r="CJ267" s="35" t="n"/>
      <c r="CK267" s="35" t="n"/>
      <c r="CL267" s="35" t="n"/>
      <c r="CM267" s="35" t="n"/>
      <c r="CN267" s="35" t="n"/>
      <c r="CO267" s="35" t="n"/>
      <c r="CP267" s="35" t="n"/>
      <c r="CQ267" s="35" t="n"/>
      <c r="CR267" s="35" t="n"/>
      <c r="CS267" s="35" t="n"/>
      <c r="CT267" s="35" t="n"/>
      <c r="CU267" s="35" t="n"/>
      <c r="CV267" s="35" t="n"/>
      <c r="CW267" s="35" t="n"/>
      <c r="CX267" s="35" t="n"/>
      <c r="CY267" s="35" t="n"/>
    </row>
    <row r="268">
      <c r="C268" s="18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  <c r="AB268" s="3" t="n"/>
      <c r="AC268" s="3" t="n"/>
      <c r="AD268" s="3" t="n"/>
      <c r="AE268" s="3" t="n"/>
      <c r="AF268" s="3" t="n"/>
      <c r="AG268" s="3" t="n"/>
      <c r="AH268" s="3" t="n"/>
      <c r="AI268" s="3" t="n"/>
      <c r="AJ268" s="3" t="n"/>
      <c r="AK268" s="3" t="n"/>
      <c r="AL268" s="3" t="n"/>
      <c r="AM268" s="3" t="n"/>
      <c r="AN268" s="3" t="n"/>
      <c r="AO268" s="3" t="n"/>
      <c r="AP268" s="3" t="n"/>
      <c r="AQ268" s="3" t="n"/>
      <c r="AR268" s="3" t="n"/>
      <c r="AS268" s="3" t="n"/>
      <c r="AT268" s="3" t="n"/>
      <c r="AU268" s="3" t="n"/>
      <c r="AV268" s="3" t="n"/>
      <c r="AW268" s="3" t="n"/>
      <c r="AX268" s="3" t="n"/>
      <c r="AY268" s="3" t="n"/>
      <c r="AZ268" s="3" t="n"/>
      <c r="BA268" s="3" t="n"/>
      <c r="BB268" s="3" t="n"/>
      <c r="BC268" s="3" t="n"/>
      <c r="BD268" s="3" t="n"/>
      <c r="BE268" s="3" t="n"/>
      <c r="BF268" s="3" t="n"/>
      <c r="BG268" s="3" t="n"/>
      <c r="BH268" s="3" t="n"/>
      <c r="BI268" s="3" t="n"/>
      <c r="BJ268" s="3" t="n"/>
      <c r="BK268" s="3" t="n"/>
      <c r="BL268" s="3" t="n"/>
      <c r="BM268" s="3" t="n"/>
      <c r="BN268" s="3" t="n"/>
      <c r="BO268" s="3" t="n"/>
      <c r="BP268" s="3" t="n"/>
      <c r="BQ268" s="3" t="n"/>
      <c r="BR268" s="3" t="n"/>
      <c r="BS268" s="3" t="n"/>
      <c r="BT268" s="3" t="n"/>
      <c r="BU268" s="3" t="n"/>
      <c r="BV268" s="3" t="n"/>
      <c r="BW268" s="3" t="n"/>
      <c r="BX268" s="3" t="n"/>
      <c r="BY268" s="3" t="n"/>
      <c r="BZ268" s="3" t="n"/>
      <c r="CA268" s="3" t="n"/>
      <c r="CB268" s="3" t="n"/>
      <c r="CC268" s="3" t="n"/>
      <c r="CD268" s="3" t="n"/>
      <c r="CE268" s="3" t="n"/>
      <c r="CF268" s="3" t="n"/>
      <c r="CG268" s="3" t="n"/>
      <c r="CH268" s="3" t="n"/>
      <c r="CI268" s="3" t="n"/>
      <c r="CJ268" s="3" t="n"/>
      <c r="CK268" s="3" t="n"/>
      <c r="CL268" s="3" t="n"/>
      <c r="CM268" s="3" t="n"/>
      <c r="CN268" s="3" t="n"/>
      <c r="CO268" s="3" t="n"/>
      <c r="CP268" s="3" t="n"/>
      <c r="CQ268" s="3" t="n"/>
      <c r="CR268" s="3" t="n"/>
      <c r="CS268" s="3" t="n"/>
      <c r="CT268" s="3" t="n"/>
      <c r="CU268" s="3" t="n"/>
      <c r="CV268" s="3" t="n"/>
      <c r="CW268" s="3" t="n"/>
      <c r="CX268" s="3" t="n"/>
      <c r="CY268" s="3" t="n"/>
    </row>
    <row r="269" customFormat="1" s="32">
      <c r="A269" s="30" t="n"/>
      <c r="B269" s="30" t="n"/>
      <c r="C269" s="31" t="inlineStr">
        <is>
          <t>Cash Flow Statement</t>
        </is>
      </c>
      <c r="D269" s="70" t="n"/>
      <c r="E269" s="70" t="n"/>
      <c r="F269" s="70" t="n"/>
      <c r="G269" s="70" t="n"/>
      <c r="H269" s="70" t="n"/>
      <c r="I269" s="70" t="str">
        <f>I136</f>
        <v>1Q21</v>
      </c>
      <c r="J269" s="70" t="str">
        <f>J136</f>
        <v>2Q21</v>
      </c>
      <c r="K269" s="70" t="str">
        <f>K136</f>
        <v>3Q21</v>
      </c>
      <c r="L269" s="70" t="str">
        <f>L136</f>
        <v>4Q21</v>
      </c>
      <c r="M269" s="70">
        <f>M136</f>
        <v>2021</v>
      </c>
      <c r="N269" s="70" t="str">
        <f>N136</f>
        <v>1Q22</v>
      </c>
      <c r="O269" s="70" t="str">
        <f>O136</f>
        <v>2Q22</v>
      </c>
      <c r="P269" s="70" t="str">
        <f>P136</f>
        <v>3Q22</v>
      </c>
      <c r="Q269" s="70" t="str">
        <f>Q136</f>
        <v>4Q22</v>
      </c>
      <c r="R269" s="70">
        <f>R136</f>
        <v>2022</v>
      </c>
      <c r="S269" s="70" t="str">
        <f>S136</f>
        <v>1Q23</v>
      </c>
      <c r="T269" s="70" t="str">
        <f>T136</f>
        <v>2Q23</v>
      </c>
      <c r="U269" s="70" t="str">
        <f>U136</f>
        <v>3Q23</v>
      </c>
      <c r="V269" s="70" t="str">
        <f>V136</f>
        <v>4Q23</v>
      </c>
      <c r="W269" s="70">
        <f>W136</f>
        <v>2023</v>
      </c>
      <c r="X269" s="70" t="str">
        <f>X136</f>
        <v>1Q24</v>
      </c>
      <c r="Y269" s="70" t="str">
        <f>Y136</f>
        <v>2Q24</v>
      </c>
      <c r="Z269" s="70" t="str">
        <f>Z136</f>
        <v>3Q24</v>
      </c>
      <c r="AA269" s="70" t="str">
        <f>AA136</f>
        <v>4Q24</v>
      </c>
      <c r="AB269" s="70">
        <f>AB136</f>
        <v>2024</v>
      </c>
      <c r="AC269" s="70" t="str">
        <f>AC136</f>
        <v>1Q25</v>
      </c>
      <c r="AD269" s="70" t="str">
        <f>AD136</f>
        <v>2Q25</v>
      </c>
      <c r="AE269" s="70" t="str">
        <f>AE136</f>
        <v>3Q25</v>
      </c>
      <c r="AF269" s="70" t="str">
        <f>AF136</f>
        <v>4Q25</v>
      </c>
      <c r="AG269" s="70">
        <f>AG136</f>
        <v>2025</v>
      </c>
      <c r="AH269" s="70" t="str">
        <f>AH136</f>
        <v>1Q26</v>
      </c>
      <c r="AI269" s="70" t="str">
        <f>AI136</f>
        <v>2Q26</v>
      </c>
      <c r="AJ269" s="70" t="str">
        <f>AJ136</f>
        <v>3Q26</v>
      </c>
      <c r="AK269" s="70" t="str">
        <f>AK136</f>
        <v>4Q26</v>
      </c>
      <c r="AL269" s="70">
        <f>AL136</f>
        <v>2026</v>
      </c>
      <c r="AM269" s="70" t="str">
        <f>AM136</f>
        <v>1Q27</v>
      </c>
      <c r="AN269" s="70" t="str">
        <f>AN136</f>
        <v>2Q27</v>
      </c>
      <c r="AO269" s="70" t="str">
        <f>AO136</f>
        <v>3Q27</v>
      </c>
      <c r="AP269" s="70" t="str">
        <f>AP136</f>
        <v>4Q27</v>
      </c>
      <c r="AQ269" s="70">
        <f>AQ136</f>
        <v>2027</v>
      </c>
      <c r="AR269" s="70" t="str">
        <f>AR136</f>
        <v>1Q28</v>
      </c>
      <c r="AS269" s="70" t="str">
        <f>AS136</f>
        <v>2Q28</v>
      </c>
      <c r="AT269" s="70" t="str">
        <f>AT136</f>
        <v>3Q28</v>
      </c>
      <c r="AU269" s="70" t="str">
        <f>AU136</f>
        <v>4Q28</v>
      </c>
      <c r="AV269" s="70">
        <f>AV136</f>
        <v>2028</v>
      </c>
      <c r="AW269" s="70" t="str">
        <f>AW136</f>
        <v>1Q29</v>
      </c>
      <c r="AX269" s="70" t="str">
        <f>AX136</f>
        <v>2Q29</v>
      </c>
      <c r="AY269" s="70" t="str">
        <f>AY136</f>
        <v>3Q29</v>
      </c>
      <c r="AZ269" s="70" t="str">
        <f>AZ136</f>
        <v>4Q29</v>
      </c>
      <c r="BA269" s="70">
        <f>BA136</f>
        <v>2029</v>
      </c>
      <c r="BB269" s="70" t="str">
        <f>BB136</f>
        <v>1Q30</v>
      </c>
      <c r="BC269" s="70" t="str">
        <f>BC136</f>
        <v>2Q30</v>
      </c>
      <c r="BD269" s="70" t="str">
        <f>BD136</f>
        <v>3Q30</v>
      </c>
      <c r="BE269" s="70" t="str">
        <f>BE136</f>
        <v>4Q30</v>
      </c>
      <c r="BF269" s="70">
        <f>BF136</f>
        <v>2030</v>
      </c>
      <c r="BG269" s="70" t="n"/>
      <c r="BH269" s="70" t="n"/>
      <c r="BI269" s="70" t="n"/>
      <c r="BJ269" s="70" t="n"/>
      <c r="BK269" s="70" t="n"/>
      <c r="BL269" s="70" t="n"/>
      <c r="BM269" s="70" t="n"/>
      <c r="BN269" s="70" t="n"/>
      <c r="BO269" s="70" t="n"/>
      <c r="BP269" s="70" t="n"/>
      <c r="BQ269" s="70" t="n"/>
      <c r="BR269" s="70" t="n"/>
      <c r="BS269" s="70" t="n"/>
      <c r="BT269" s="70" t="n"/>
      <c r="BU269" s="70" t="n"/>
      <c r="BV269" s="70" t="n"/>
      <c r="BW269" s="70" t="n"/>
      <c r="BX269" s="70" t="n"/>
      <c r="BY269" s="70" t="n"/>
      <c r="BZ269" s="70" t="n"/>
      <c r="CA269" s="70" t="n"/>
      <c r="CB269" s="70" t="n"/>
      <c r="CC269" s="70" t="n"/>
      <c r="CD269" s="70" t="n"/>
      <c r="CE269" s="70" t="n"/>
      <c r="CF269" s="70" t="n"/>
      <c r="CG269" s="70" t="n"/>
      <c r="CH269" s="70" t="n"/>
      <c r="CI269" s="70" t="n"/>
      <c r="CJ269" s="70" t="n"/>
      <c r="CK269" s="70" t="n"/>
      <c r="CL269" s="70" t="n"/>
      <c r="CM269" s="70" t="n"/>
      <c r="CN269" s="70" t="n"/>
      <c r="CO269" s="70" t="n"/>
      <c r="CP269" s="70" t="n"/>
      <c r="CQ269" s="70" t="n"/>
      <c r="CR269" s="70" t="n"/>
      <c r="CS269" s="70" t="n"/>
      <c r="CT269" s="70" t="n"/>
      <c r="CU269" s="70" t="n"/>
      <c r="CV269" s="70" t="n"/>
      <c r="CW269" s="70" t="n"/>
      <c r="CX269" s="70" t="n"/>
      <c r="CY269" s="70" t="n"/>
    </row>
    <row r="270">
      <c r="C270" s="18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  <c r="AA270" s="3" t="n"/>
      <c r="AB270" s="3" t="n"/>
      <c r="AC270" s="3" t="n"/>
      <c r="AD270" s="3" t="n"/>
      <c r="AE270" s="3" t="n"/>
      <c r="AF270" s="3" t="n"/>
      <c r="AG270" s="3" t="n"/>
      <c r="AH270" s="3" t="n"/>
      <c r="AI270" s="3" t="n"/>
      <c r="AJ270" s="3" t="n"/>
      <c r="AK270" s="3" t="n"/>
      <c r="AL270" s="3" t="n"/>
      <c r="AM270" s="3" t="n"/>
      <c r="AN270" s="3" t="n"/>
      <c r="AO270" s="3" t="n"/>
      <c r="AP270" s="3" t="n"/>
      <c r="AQ270" s="3" t="n"/>
      <c r="AR270" s="3" t="n"/>
      <c r="AS270" s="3" t="n"/>
      <c r="AT270" s="3" t="n"/>
      <c r="AU270" s="3" t="n"/>
      <c r="AV270" s="3" t="n"/>
      <c r="AW270" s="3" t="n"/>
      <c r="AX270" s="3" t="n"/>
      <c r="AY270" s="3" t="n"/>
      <c r="AZ270" s="3" t="n"/>
      <c r="BA270" s="3" t="n"/>
      <c r="BB270" s="3" t="n"/>
      <c r="BC270" s="3" t="n"/>
      <c r="BD270" s="3" t="n"/>
      <c r="BE270" s="3" t="n"/>
      <c r="BF270" s="3" t="n"/>
      <c r="BG270" s="3" t="n"/>
      <c r="BH270" s="3" t="n"/>
      <c r="BI270" s="3" t="n"/>
      <c r="BJ270" s="3" t="n"/>
      <c r="BK270" s="3" t="n"/>
      <c r="BL270" s="3" t="n"/>
      <c r="BM270" s="3" t="n"/>
      <c r="BN270" s="3" t="n"/>
      <c r="BO270" s="3" t="n"/>
      <c r="BP270" s="3" t="n"/>
      <c r="BQ270" s="3" t="n"/>
      <c r="BR270" s="3" t="n"/>
      <c r="BS270" s="3" t="n"/>
      <c r="BT270" s="3" t="n"/>
      <c r="BU270" s="3" t="n"/>
      <c r="BV270" s="3" t="n"/>
      <c r="BW270" s="3" t="n"/>
      <c r="BX270" s="3" t="n"/>
      <c r="BY270" s="3" t="n"/>
      <c r="BZ270" s="3" t="n"/>
      <c r="CA270" s="3" t="n"/>
      <c r="CB270" s="3" t="n"/>
      <c r="CC270" s="3" t="n"/>
      <c r="CD270" s="3" t="n"/>
      <c r="CE270" s="3" t="n"/>
      <c r="CF270" s="3" t="n"/>
      <c r="CG270" s="3" t="n"/>
      <c r="CH270" s="3" t="n"/>
      <c r="CI270" s="3" t="n"/>
      <c r="CJ270" s="3" t="n"/>
      <c r="CK270" s="3" t="n"/>
      <c r="CL270" s="3" t="n"/>
      <c r="CM270" s="3" t="n"/>
      <c r="CN270" s="3" t="n"/>
      <c r="CO270" s="3" t="n"/>
      <c r="CP270" s="3" t="n"/>
      <c r="CQ270" s="3" t="n"/>
      <c r="CR270" s="3" t="n"/>
      <c r="CS270" s="3" t="n"/>
      <c r="CT270" s="3" t="n"/>
      <c r="CU270" s="3" t="n"/>
      <c r="CV270" s="3" t="n"/>
      <c r="CW270" s="3" t="n"/>
      <c r="CX270" s="3" t="n"/>
      <c r="CY270" s="3" t="n"/>
    </row>
    <row r="271">
      <c r="C271" s="10" t="inlineStr">
        <is>
          <t>Net Income</t>
        </is>
      </c>
      <c r="D271" s="12" t="n"/>
      <c r="E271" s="12" t="n"/>
      <c r="F271" s="12" t="n"/>
      <c r="G271" s="12" t="n"/>
      <c r="H271" s="12" t="n"/>
      <c r="I271" s="12" t="n"/>
      <c r="J271" s="12">
        <f>J131</f>
        <v>1142</v>
      </c>
      <c r="K271" s="12">
        <f>K131</f>
        <v>1618</v>
      </c>
      <c r="L271" s="12">
        <f>L131</f>
        <v>2321</v>
      </c>
      <c r="M271" s="12" t="n"/>
      <c r="N271" s="12">
        <f>N131</f>
        <v>3318</v>
      </c>
      <c r="O271" s="12">
        <f>O131</f>
        <v>2259</v>
      </c>
      <c r="P271" s="12">
        <f>P131</f>
        <v>3292</v>
      </c>
      <c r="Q271" s="12">
        <f>Q131</f>
        <v>3687</v>
      </c>
      <c r="R271" s="12">
        <f>SUM(N271:Q271)</f>
        <v>12556</v>
      </c>
      <c r="S271" s="12">
        <f>S131</f>
        <v>2513</v>
      </c>
      <c r="T271" s="12">
        <f>T131</f>
        <v>2703</v>
      </c>
      <c r="U271" s="12">
        <f>U131</f>
        <v>1853</v>
      </c>
      <c r="V271" s="12">
        <f>V131</f>
        <v>7928</v>
      </c>
      <c r="W271" s="12">
        <f>SUM(S271:V271)</f>
        <v>14997</v>
      </c>
      <c r="X271" s="12">
        <f>X131</f>
        <v>1390</v>
      </c>
      <c r="Y271" s="12">
        <f>Y131</f>
        <v>1400</v>
      </c>
      <c r="Z271" s="12">
        <f>Z131</f>
        <v>2173</v>
      </c>
      <c r="AA271" s="12">
        <f>AA131</f>
        <v>2128</v>
      </c>
      <c r="AB271" s="12">
        <f>SUM(X271:AA271)</f>
        <v>7091</v>
      </c>
      <c r="AC271" s="12">
        <f>AC131</f>
        <v>409</v>
      </c>
      <c r="AD271" s="12">
        <f>AD131</f>
        <v>1172</v>
      </c>
      <c r="AE271" s="12">
        <f>AE131</f>
        <v>1373</v>
      </c>
      <c r="AF271" s="12">
        <f>AF131</f>
        <v>840</v>
      </c>
      <c r="AG271" s="12">
        <f>SUM(AC271:AF271)</f>
        <v>3794</v>
      </c>
      <c r="AH271" s="12">
        <f>AH131</f>
        <v>477</v>
      </c>
      <c r="AI271" s="12">
        <f>AI131</f>
        <v>1114</v>
      </c>
      <c r="AJ271" s="12">
        <f>AJ131</f>
        <v>1163.18480687373</v>
      </c>
      <c r="AK271" s="12">
        <f>AK131</f>
        <v>1030.94731717255</v>
      </c>
      <c r="AL271" s="12">
        <f>SUM(AH271:AK271)</f>
        <v>3785.13212404628</v>
      </c>
      <c r="AM271" s="12">
        <f>AM131</f>
        <v>926.863081383952</v>
      </c>
      <c r="AN271" s="12">
        <f>AN131</f>
        <v>1169.02246687619</v>
      </c>
      <c r="AO271" s="12">
        <f>AO131</f>
        <v>1218.86828841323</v>
      </c>
      <c r="AP271" s="12">
        <f>AP131</f>
        <v>1080.30038262246</v>
      </c>
      <c r="AQ271" s="12">
        <f>SUM(AM271:AP271)</f>
        <v>4395.05421929584</v>
      </c>
      <c r="AR271" s="12">
        <f>AR131</f>
        <v>966.599155769699</v>
      </c>
      <c r="AS271" s="12">
        <f>AS131</f>
        <v>1219.14029402391</v>
      </c>
      <c r="AT271" s="12">
        <f>AT131</f>
        <v>1271.12308412966</v>
      </c>
      <c r="AU271" s="12">
        <f>AU131</f>
        <v>1126.61455482871</v>
      </c>
      <c r="AV271" s="12">
        <f>SUM(AR271:AU271)</f>
        <v>4583.47708875197</v>
      </c>
      <c r="AW271" s="12">
        <f>AW131</f>
        <v>1003.20578222449</v>
      </c>
      <c r="AX271" s="12">
        <f>AX131</f>
        <v>1265.31104957747</v>
      </c>
      <c r="AY271" s="12">
        <f>AY131</f>
        <v>1319.26250949647</v>
      </c>
      <c r="AZ271" s="12">
        <f>AZ131</f>
        <v>1169.28121548217</v>
      </c>
      <c r="BA271" s="12">
        <f>SUM(AW271:AZ271)</f>
        <v>4757.06055678061</v>
      </c>
      <c r="BB271" s="12">
        <f>BB131</f>
        <v>1036.18273014143</v>
      </c>
      <c r="BC271" s="12">
        <f>BC131</f>
        <v>1306.90380882984</v>
      </c>
      <c r="BD271" s="12">
        <f>BD131</f>
        <v>1362.62873787683</v>
      </c>
      <c r="BE271" s="12">
        <f>BE131</f>
        <v>1207.71732343374</v>
      </c>
      <c r="BF271" s="12">
        <f>SUM(BB271:BE271)</f>
        <v>4913.43260028183</v>
      </c>
      <c r="BG271" s="12" t="n"/>
      <c r="BH271" s="12" t="n"/>
      <c r="BI271" s="12" t="n"/>
      <c r="BJ271" s="12" t="n"/>
      <c r="BK271" s="12" t="n"/>
      <c r="BL271" s="12" t="n"/>
      <c r="BM271" s="12" t="n"/>
      <c r="BN271" s="12" t="n"/>
      <c r="BO271" s="12" t="n"/>
      <c r="BP271" s="12" t="n"/>
      <c r="BQ271" s="12" t="n"/>
      <c r="BR271" s="12" t="n"/>
      <c r="BS271" s="12" t="n"/>
      <c r="BT271" s="12" t="n"/>
      <c r="BU271" s="12" t="n"/>
      <c r="BV271" s="12" t="n"/>
      <c r="BW271" s="12" t="n"/>
      <c r="BX271" s="12" t="n"/>
      <c r="BY271" s="12" t="n"/>
      <c r="BZ271" s="12" t="n"/>
      <c r="CA271" s="12" t="n"/>
      <c r="CB271" s="12" t="n"/>
      <c r="CC271" s="12" t="n"/>
      <c r="CD271" s="12" t="n"/>
      <c r="CE271" s="12" t="n"/>
      <c r="CF271" s="12" t="n"/>
      <c r="CG271" s="12" t="n"/>
      <c r="CH271" s="12" t="n"/>
      <c r="CI271" s="12" t="n"/>
      <c r="CJ271" s="12" t="n"/>
      <c r="CK271" s="12" t="n"/>
      <c r="CL271" s="12" t="n"/>
      <c r="CM271" s="12" t="n"/>
      <c r="CN271" s="12" t="n"/>
      <c r="CO271" s="12" t="n"/>
      <c r="CP271" s="12" t="n"/>
      <c r="CQ271" s="12" t="n"/>
      <c r="CR271" s="12" t="n"/>
      <c r="CS271" s="12" t="n"/>
      <c r="CT271" s="12" t="n"/>
      <c r="CU271" s="12" t="n"/>
      <c r="CV271" s="12" t="n"/>
      <c r="CW271" s="12" t="n"/>
      <c r="CX271" s="12" t="n"/>
      <c r="CY271" s="12" t="n"/>
    </row>
    <row r="272">
      <c r="C272" s="10" t="inlineStr">
        <is>
          <t>Depreciation &amp; amortization</t>
        </is>
      </c>
      <c r="D272" s="12" t="n"/>
      <c r="E272" s="12" t="n"/>
      <c r="F272" s="12" t="n"/>
      <c r="G272" s="12" t="n"/>
      <c r="H272" s="12" t="n"/>
      <c r="I272" s="12" t="n"/>
      <c r="J272" s="12">
        <f>-J64</f>
        <v>681</v>
      </c>
      <c r="K272" s="12">
        <f>-K64</f>
        <v>761</v>
      </c>
      <c r="L272" s="12">
        <f>-L64</f>
        <v>848</v>
      </c>
      <c r="M272" s="12" t="n"/>
      <c r="N272" s="12">
        <f>-N64</f>
        <v>880</v>
      </c>
      <c r="O272" s="12">
        <f>-O64</f>
        <v>922</v>
      </c>
      <c r="P272" s="12">
        <f>-P64</f>
        <v>956</v>
      </c>
      <c r="Q272" s="12">
        <f>-Q64</f>
        <v>989</v>
      </c>
      <c r="R272" s="12">
        <f>SUM(N272:Q272)</f>
        <v>3747</v>
      </c>
      <c r="S272" s="12">
        <f>-S64</f>
        <v>1046</v>
      </c>
      <c r="T272" s="12">
        <f>-T64</f>
        <v>1154</v>
      </c>
      <c r="U272" s="12">
        <f>-U64</f>
        <v>1235</v>
      </c>
      <c r="V272" s="12">
        <f>-V64</f>
        <v>1232</v>
      </c>
      <c r="W272" s="12">
        <f>SUM(S272:V272)</f>
        <v>4667</v>
      </c>
      <c r="X272" s="12">
        <f>-X64</f>
        <v>1246</v>
      </c>
      <c r="Y272" s="12">
        <f>-Y64</f>
        <v>1278</v>
      </c>
      <c r="Z272" s="12">
        <f>-Z64</f>
        <v>1348</v>
      </c>
      <c r="AA272" s="12">
        <f>-AA64</f>
        <v>1496</v>
      </c>
      <c r="AB272" s="12">
        <f>SUM(X272:AA272)</f>
        <v>5368</v>
      </c>
      <c r="AC272" s="12">
        <f>-AC64</f>
        <v>1447</v>
      </c>
      <c r="AD272" s="12">
        <f>-AD64</f>
        <v>1433</v>
      </c>
      <c r="AE272" s="12">
        <f>-AE64</f>
        <v>1625</v>
      </c>
      <c r="AF272" s="12">
        <f>-AF64</f>
        <v>1643</v>
      </c>
      <c r="AG272" s="12">
        <f>SUM(AC272:AF272)</f>
        <v>6148</v>
      </c>
      <c r="AH272" s="12">
        <f>-AH64</f>
        <v>1590</v>
      </c>
      <c r="AI272" s="12">
        <f>-AI64</f>
        <v>1619</v>
      </c>
      <c r="AJ272" s="12">
        <f>-AJ64</f>
        <v>1917.13387678868</v>
      </c>
      <c r="AK272" s="12">
        <f>-AK64</f>
        <v>1699.18315237284</v>
      </c>
      <c r="AL272" s="12">
        <f>SUM(AH272:AK272)</f>
        <v>6825.31702916153</v>
      </c>
      <c r="AM272" s="12">
        <f>-AM64</f>
        <v>1527.63395976751</v>
      </c>
      <c r="AN272" s="12">
        <f>-AN64</f>
        <v>1926.75537088469</v>
      </c>
      <c r="AO272" s="12">
        <f>-AO64</f>
        <v>2008.91008311985</v>
      </c>
      <c r="AP272" s="12">
        <f>-AP64</f>
        <v>1780.52571559948</v>
      </c>
      <c r="AQ272" s="12">
        <f>SUM(AM272:AP272)</f>
        <v>7243.82512937153</v>
      </c>
      <c r="AR272" s="12">
        <f>-AR64</f>
        <v>1593.12602421448</v>
      </c>
      <c r="AS272" s="12">
        <f>-AS64</f>
        <v>2009.35839637826</v>
      </c>
      <c r="AT272" s="12">
        <f>-AT64</f>
        <v>2095.03521001338</v>
      </c>
      <c r="AU272" s="12">
        <f>-AU64</f>
        <v>1856.8596463621</v>
      </c>
      <c r="AV272" s="12">
        <f>SUM(AR272:AU272)</f>
        <v>7554.37927696822</v>
      </c>
      <c r="AW272" s="12">
        <f>-AW64</f>
        <v>1653.46020608886</v>
      </c>
      <c r="AX272" s="12">
        <f>-AX64</f>
        <v>2085.45595118261</v>
      </c>
      <c r="AY272" s="12">
        <f>-AY64</f>
        <v>2174.3774801621</v>
      </c>
      <c r="AZ272" s="12">
        <f>-AZ64</f>
        <v>1927.18183425935</v>
      </c>
      <c r="BA272" s="12">
        <f>SUM(AW272:AZ272)</f>
        <v>7840.47547169293</v>
      </c>
      <c r="BB272" s="12">
        <f>-BB64</f>
        <v>1707.81203705421</v>
      </c>
      <c r="BC272" s="12">
        <f>-BC64</f>
        <v>2154.00816001531</v>
      </c>
      <c r="BD272" s="12">
        <f>-BD64</f>
        <v>2245.85267915475</v>
      </c>
      <c r="BE272" s="12">
        <f>-BE64</f>
        <v>1990.53132456425</v>
      </c>
      <c r="BF272" s="12">
        <f>SUM(BB272:BE272)</f>
        <v>8098.20420078852</v>
      </c>
      <c r="BG272" s="12" t="n"/>
      <c r="BH272" s="12" t="n"/>
      <c r="BI272" s="12" t="n"/>
      <c r="BJ272" s="12" t="n"/>
      <c r="BK272" s="12" t="n"/>
      <c r="BL272" s="12" t="n"/>
      <c r="BM272" s="12" t="n"/>
      <c r="BN272" s="12" t="n"/>
      <c r="BO272" s="12" t="n"/>
      <c r="BP272" s="12" t="n"/>
      <c r="BQ272" s="12" t="n"/>
      <c r="BR272" s="12" t="n"/>
      <c r="BS272" s="12" t="n"/>
      <c r="BT272" s="12" t="n"/>
      <c r="BU272" s="12" t="n"/>
      <c r="BV272" s="12" t="n"/>
      <c r="BW272" s="12" t="n"/>
      <c r="BX272" s="12" t="n"/>
      <c r="BY272" s="12" t="n"/>
      <c r="BZ272" s="12" t="n"/>
      <c r="CA272" s="12" t="n"/>
      <c r="CB272" s="12" t="n"/>
      <c r="CC272" s="12" t="n"/>
      <c r="CD272" s="12" t="n"/>
      <c r="CE272" s="12" t="n"/>
      <c r="CF272" s="12" t="n"/>
      <c r="CG272" s="12" t="n"/>
      <c r="CH272" s="12" t="n"/>
      <c r="CI272" s="12" t="n"/>
      <c r="CJ272" s="12" t="n"/>
      <c r="CK272" s="12" t="n"/>
      <c r="CL272" s="12" t="n"/>
      <c r="CM272" s="12" t="n"/>
      <c r="CN272" s="12" t="n"/>
      <c r="CO272" s="12" t="n"/>
      <c r="CP272" s="12" t="n"/>
      <c r="CQ272" s="12" t="n"/>
      <c r="CR272" s="12" t="n"/>
      <c r="CS272" s="12" t="n"/>
      <c r="CT272" s="12" t="n"/>
      <c r="CU272" s="12" t="n"/>
      <c r="CV272" s="12" t="n"/>
      <c r="CW272" s="12" t="n"/>
      <c r="CX272" s="12" t="n"/>
      <c r="CY272" s="12" t="n"/>
    </row>
    <row r="273">
      <c r="C273" s="10" t="inlineStr">
        <is>
          <t xml:space="preserve">Changes in working capital </t>
        </is>
      </c>
      <c r="D273" s="12" t="n"/>
      <c r="E273" s="12" t="n"/>
      <c r="F273" s="12" t="n"/>
      <c r="G273" s="12" t="n"/>
      <c r="H273" s="12" t="n"/>
      <c r="I273" s="12" t="n"/>
      <c r="J273" s="12">
        <f>SUM(J274:J283)</f>
        <v>594</v>
      </c>
      <c r="K273" s="12">
        <f>SUM(K274:K283)</f>
        <v>1237</v>
      </c>
      <c r="L273" s="12">
        <f>SUM(L274:L283)</f>
        <v>1168</v>
      </c>
      <c r="M273" s="12" t="n"/>
      <c r="N273" s="12">
        <f>SUM(N274:N283)</f>
        <v>106</v>
      </c>
      <c r="O273" s="12">
        <f>SUM(O274:O283)</f>
        <v>-904</v>
      </c>
      <c r="P273" s="12">
        <f>SUM(P274:P283)</f>
        <v>214</v>
      </c>
      <c r="Q273" s="12">
        <f>SUM(Q274:Q283)</f>
        <v>-1751</v>
      </c>
      <c r="R273" s="12">
        <f>SUM(N273:Q273)</f>
        <v>-2335</v>
      </c>
      <c r="S273" s="12">
        <f>SUM(S274:S283)</f>
        <v>-1136</v>
      </c>
      <c r="T273" s="12">
        <f>SUM(T274:T283)</f>
        <v>-49</v>
      </c>
      <c r="U273" s="12">
        <f>SUM(U274:U283)</f>
        <v>899</v>
      </c>
      <c r="V273" s="12">
        <f>SUM(V274:V283)</f>
        <v>-6198</v>
      </c>
      <c r="W273" s="12">
        <f>SUM(S273:V273)</f>
        <v>-6484</v>
      </c>
      <c r="X273" s="12">
        <f>SUM(X274:X283)</f>
        <v>-2481</v>
      </c>
      <c r="Y273" s="12">
        <f>SUM(Y274:Y283)</f>
        <v>-232</v>
      </c>
      <c r="Z273" s="12">
        <f>SUM(Z274:Z283)</f>
        <v>2580</v>
      </c>
      <c r="AA273" s="12">
        <f>SUM(AA274:AA283)</f>
        <v>-860</v>
      </c>
      <c r="AB273" s="12">
        <f>SUM(X273:AA273)</f>
        <v>-993</v>
      </c>
      <c r="AC273" s="12">
        <f>SUM(AC274:AC283)</f>
        <v>173</v>
      </c>
      <c r="AD273" s="12">
        <f>SUM(AD274:AD283)</f>
        <v>-1737</v>
      </c>
      <c r="AE273" s="12">
        <f>SUM(AE274:AE283)</f>
        <v>2711</v>
      </c>
      <c r="AF273" s="12">
        <f>SUM(AF274:AF283)</f>
        <v>-1441</v>
      </c>
      <c r="AG273" s="12">
        <f>SUM(AC273:AF273)</f>
        <v>-294</v>
      </c>
      <c r="AH273" s="12">
        <f>SUM(AH274:AH283)</f>
        <v>1867</v>
      </c>
      <c r="AI273" s="12">
        <f>SUM(AI274:AI283)</f>
        <v>883</v>
      </c>
      <c r="AJ273" s="12">
        <f>SUM(AJ274:AJ283)</f>
        <v>-2256.99744200994</v>
      </c>
      <c r="AK273" s="12">
        <f>SUM(AK274:AK283)</f>
        <v>542.507913499901</v>
      </c>
      <c r="AL273" s="12">
        <f>SUM(AH273:AK273)</f>
        <v>1035.51047148996</v>
      </c>
      <c r="AM273" s="12">
        <f>SUM(AM274:AM283)</f>
        <v>342.508840149735</v>
      </c>
      <c r="AN273" s="12">
        <f>SUM(AN274:AN283)</f>
        <v>-961.668623170444</v>
      </c>
      <c r="AO273" s="12">
        <f>SUM(AO274:AO283)</f>
        <v>-151.791134461424</v>
      </c>
      <c r="AP273" s="12">
        <f>SUM(AP274:AP283)</f>
        <v>568.478618419612</v>
      </c>
      <c r="AQ273" s="12">
        <f>SUM(AM273:AP273)</f>
        <v>-202.472299062521</v>
      </c>
      <c r="AR273" s="12">
        <f>SUM(AR274:AR283)</f>
        <v>422.885471946538</v>
      </c>
      <c r="AS273" s="12">
        <f>SUM(AS274:AS283)</f>
        <v>-1047.4421585767</v>
      </c>
      <c r="AT273" s="12">
        <f>SUM(AT274:AT283)</f>
        <v>-158.298658529649</v>
      </c>
      <c r="AU273" s="12">
        <f>SUM(AU274:AU283)</f>
        <v>592.850188635244</v>
      </c>
      <c r="AV273" s="12">
        <f>SUM(AR273:AU273)</f>
        <v>-190.00515652457</v>
      </c>
      <c r="AW273" s="12">
        <f>SUM(AW274:AW283)</f>
        <v>414.828324376737</v>
      </c>
      <c r="AX273" s="12">
        <f>SUM(AX274:AX283)</f>
        <v>-1040.87814341243</v>
      </c>
      <c r="AY273" s="12">
        <f>SUM(AY274:AY283)</f>
        <v>-164.293677071207</v>
      </c>
      <c r="AZ273" s="12">
        <f>SUM(AZ274:AZ283)</f>
        <v>615.302355357597</v>
      </c>
      <c r="BA273" s="12">
        <f>SUM(AW273:AZ273)</f>
        <v>-175.041140749306</v>
      </c>
      <c r="BB273" s="12">
        <f>SUM(BB274:BB283)</f>
        <v>451.574217112909</v>
      </c>
      <c r="BC273" s="12">
        <f>SUM(BC274:BC283)</f>
        <v>-1075.093440943</v>
      </c>
      <c r="BD273" s="12">
        <f>SUM(BD274:BD283)</f>
        <v>-169.694267984714</v>
      </c>
      <c r="BE273" s="12">
        <f>SUM(BE274:BE283)</f>
        <v>635.528309080476</v>
      </c>
      <c r="BF273" s="12">
        <f>SUM(BB273:BE273)</f>
        <v>-157.685182734325</v>
      </c>
      <c r="BG273" s="12" t="n"/>
      <c r="BH273" s="12" t="n"/>
      <c r="BI273" s="12" t="n"/>
      <c r="BJ273" s="12" t="n"/>
      <c r="BK273" s="12" t="n"/>
      <c r="BL273" s="12" t="n"/>
      <c r="BM273" s="12" t="n"/>
      <c r="BN273" s="12" t="n"/>
      <c r="BO273" s="12" t="n"/>
      <c r="BP273" s="12" t="n"/>
      <c r="BQ273" s="12" t="n"/>
      <c r="BR273" s="12" t="n"/>
      <c r="BS273" s="12" t="n"/>
      <c r="BT273" s="12" t="n"/>
      <c r="BU273" s="12" t="n"/>
      <c r="BV273" s="12" t="n"/>
      <c r="BW273" s="12" t="n"/>
      <c r="BX273" s="12" t="n"/>
      <c r="BY273" s="12" t="n"/>
      <c r="BZ273" s="12" t="n"/>
      <c r="CA273" s="12" t="n"/>
      <c r="CB273" s="12" t="n"/>
      <c r="CC273" s="12" t="n"/>
      <c r="CD273" s="12" t="n"/>
      <c r="CE273" s="12" t="n"/>
      <c r="CF273" s="12" t="n"/>
      <c r="CG273" s="12" t="n"/>
      <c r="CH273" s="12" t="n"/>
      <c r="CI273" s="12" t="n"/>
      <c r="CJ273" s="12" t="n"/>
      <c r="CK273" s="12" t="n"/>
      <c r="CL273" s="12" t="n"/>
      <c r="CM273" s="12" t="n"/>
      <c r="CN273" s="12" t="n"/>
      <c r="CO273" s="12" t="n"/>
      <c r="CP273" s="12" t="n"/>
      <c r="CQ273" s="12" t="n"/>
      <c r="CR273" s="12" t="n"/>
      <c r="CS273" s="12" t="n"/>
      <c r="CT273" s="12" t="n"/>
      <c r="CU273" s="12" t="n"/>
      <c r="CV273" s="12" t="n"/>
      <c r="CW273" s="12" t="n"/>
      <c r="CX273" s="12" t="n"/>
      <c r="CY273" s="12" t="n"/>
    </row>
    <row r="274" hidden="1" outlineLevel="1">
      <c r="C274" s="10" t="inlineStr">
        <is>
          <t>Accounts receivable</t>
        </is>
      </c>
      <c r="D274" s="12" t="n"/>
      <c r="E274" s="12" t="n"/>
      <c r="F274" s="12" t="n"/>
      <c r="G274" s="12" t="n"/>
      <c r="H274" s="12" t="n"/>
      <c r="I274" s="12" t="n"/>
      <c r="J274" s="12">
        <f>(J139-I139)*-1</f>
        <v>-239</v>
      </c>
      <c r="K274" s="12">
        <f>(K139-J139)*-1</f>
        <v>167</v>
      </c>
      <c r="L274" s="12">
        <f>(L139-K139)*-1</f>
        <v>49</v>
      </c>
      <c r="M274" s="12" t="n"/>
      <c r="N274" s="12">
        <f>(N139-M139)*-1</f>
        <v>-398</v>
      </c>
      <c r="O274" s="12">
        <f>(O139-N139)*-1</f>
        <v>230</v>
      </c>
      <c r="P274" s="12">
        <f>(P139-O139)*-1</f>
        <v>-111</v>
      </c>
      <c r="Q274" s="12">
        <f>(Q139-P139)*-1</f>
        <v>-760</v>
      </c>
      <c r="R274" s="12">
        <f>SUM(N274:Q274)</f>
        <v>-1039</v>
      </c>
      <c r="S274" s="12">
        <f>(S139-R139)*-1</f>
        <v>-41</v>
      </c>
      <c r="T274" s="12">
        <f>(T139-S139)*-1</f>
        <v>-454</v>
      </c>
      <c r="U274" s="12">
        <f>(U139-T139)*-1</f>
        <v>927</v>
      </c>
      <c r="V274" s="12">
        <f>(V139-U139)*-1</f>
        <v>-988</v>
      </c>
      <c r="W274" s="12">
        <f>SUM(S274:V274)</f>
        <v>-556</v>
      </c>
      <c r="X274" s="12">
        <f>(X139-W139)*-1</f>
        <v>-379</v>
      </c>
      <c r="Y274" s="12">
        <f>(Y139-X139)*-1</f>
        <v>150</v>
      </c>
      <c r="Z274" s="12">
        <f>(Z139-Y139)*-1</f>
        <v>424</v>
      </c>
      <c r="AA274" s="12">
        <f>(AA139-Z139)*-1</f>
        <v>-1105</v>
      </c>
      <c r="AB274" s="12">
        <f>SUM(X274:AA274)</f>
        <v>-910</v>
      </c>
      <c r="AC274" s="12">
        <f>(AC139-AB139)*-1</f>
        <v>636</v>
      </c>
      <c r="AD274" s="12">
        <f>(AD139-AC139)*-1</f>
        <v>-56</v>
      </c>
      <c r="AE274" s="12">
        <f>(AE139-AD139)*-1</f>
        <v>-865</v>
      </c>
      <c r="AF274" s="12">
        <f>(AF139-AE139)*-1</f>
        <v>127</v>
      </c>
      <c r="AG274" s="12">
        <f>SUM(AC274:AF274)</f>
        <v>-158</v>
      </c>
      <c r="AH274" s="12">
        <f>(AH139-AG139)*-1</f>
        <v>617</v>
      </c>
      <c r="AI274" s="12">
        <f>(AI139-AH139)*-1</f>
        <v>-128</v>
      </c>
      <c r="AJ274" s="12">
        <f>(AJ139-AI139)*-1</f>
        <v>-954.295186395464</v>
      </c>
      <c r="AK274" s="12">
        <f>(AK139-AJ139)*-1</f>
        <v>573.12321855658</v>
      </c>
      <c r="AL274" s="12">
        <f>SUM(AH274:AK274)</f>
        <v>107.828032161116</v>
      </c>
      <c r="AM274" s="12">
        <f>(AM139-AL139)*-1</f>
        <v>361.837613730465</v>
      </c>
      <c r="AN274" s="12">
        <f>(AN139-AM139)*-1</f>
        <v>-1015.93839054003</v>
      </c>
      <c r="AO274" s="12">
        <f>(AO139-AN139)*-1</f>
        <v>-160.357151234259</v>
      </c>
      <c r="AP274" s="12">
        <f>(AP139-AO139)*-1</f>
        <v>600.559526159436</v>
      </c>
      <c r="AQ274" s="12">
        <f>SUM(AM274:AP274)</f>
        <v>-213.898401884388</v>
      </c>
      <c r="AR274" s="12">
        <f>(AR139-AQ139)*-1</f>
        <v>446.75013346669</v>
      </c>
      <c r="AS274" s="12">
        <f>(AS139-AR139)*-1</f>
        <v>-1106.55237690913</v>
      </c>
      <c r="AT274" s="12">
        <f>(AT139-AS139)*-1</f>
        <v>-167.231913880125</v>
      </c>
      <c r="AU274" s="12">
        <f>(AU139-AT139)*-1</f>
        <v>626.306455219235</v>
      </c>
      <c r="AV274" s="12">
        <f>SUM(AR274:AU274)</f>
        <v>-200.727702103331</v>
      </c>
      <c r="AW274" s="12">
        <f>(AW139-AV139)*-1</f>
        <v>438.238297541943</v>
      </c>
      <c r="AX274" s="12">
        <f>(AX139-AW139)*-1</f>
        <v>-1099.61793520979</v>
      </c>
      <c r="AY274" s="12">
        <f>(AY139-AX139)*-1</f>
        <v>-173.565248816524</v>
      </c>
      <c r="AZ274" s="12">
        <f>(AZ139-AY139)*-1</f>
        <v>650.02566324418</v>
      </c>
      <c r="BA274" s="12">
        <f>SUM(AW274:AZ274)</f>
        <v>-184.919223240188</v>
      </c>
      <c r="BB274" s="12">
        <f>(BB139-BA139)*-1</f>
        <v>477.057868260875</v>
      </c>
      <c r="BC274" s="12">
        <f>(BC139-BB139)*-1</f>
        <v>-1135.76410184924</v>
      </c>
      <c r="BD274" s="12">
        <f>(BD139-BC139)*-1</f>
        <v>-179.270610838781</v>
      </c>
      <c r="BE274" s="12">
        <f>(BE139-BD139)*-1</f>
        <v>671.393026572117</v>
      </c>
      <c r="BF274" s="12">
        <f>SUM(BB274:BE274)</f>
        <v>-166.583817855028</v>
      </c>
      <c r="BG274" s="12" t="n"/>
      <c r="BH274" s="12" t="n"/>
      <c r="BI274" s="12" t="n"/>
      <c r="BJ274" s="12" t="n"/>
      <c r="BK274" s="12" t="n"/>
      <c r="BL274" s="12" t="n"/>
      <c r="BM274" s="12" t="n"/>
      <c r="BN274" s="12" t="n"/>
      <c r="BO274" s="12" t="n"/>
      <c r="BP274" s="12" t="n"/>
      <c r="BQ274" s="12" t="n"/>
      <c r="BR274" s="12" t="n"/>
      <c r="BS274" s="12" t="n"/>
      <c r="BT274" s="12" t="n"/>
      <c r="BU274" s="12" t="n"/>
      <c r="BV274" s="12" t="n"/>
      <c r="BW274" s="12" t="n"/>
      <c r="BX274" s="12" t="n"/>
      <c r="BY274" s="12" t="n"/>
      <c r="BZ274" s="12" t="n"/>
      <c r="CA274" s="12" t="n"/>
      <c r="CB274" s="12" t="n"/>
      <c r="CC274" s="12" t="n"/>
      <c r="CD274" s="12" t="n"/>
      <c r="CE274" s="12" t="n"/>
      <c r="CF274" s="12" t="n"/>
      <c r="CG274" s="12" t="n"/>
      <c r="CH274" s="12" t="n"/>
      <c r="CI274" s="12" t="n"/>
      <c r="CJ274" s="12" t="n"/>
      <c r="CK274" s="12" t="n"/>
      <c r="CL274" s="12" t="n"/>
      <c r="CM274" s="12" t="n"/>
      <c r="CN274" s="12" t="n"/>
      <c r="CO274" s="12" t="n"/>
      <c r="CP274" s="12" t="n"/>
      <c r="CQ274" s="12" t="n"/>
      <c r="CR274" s="12" t="n"/>
      <c r="CS274" s="12" t="n"/>
      <c r="CT274" s="12" t="n"/>
      <c r="CU274" s="12" t="n"/>
      <c r="CV274" s="12" t="n"/>
      <c r="CW274" s="12" t="n"/>
      <c r="CX274" s="12" t="n"/>
      <c r="CY274" s="12" t="n"/>
    </row>
    <row r="275" hidden="1" outlineLevel="1">
      <c r="C275" s="10" t="inlineStr">
        <is>
          <t>Inventories</t>
        </is>
      </c>
      <c r="D275" s="12" t="n"/>
      <c r="E275" s="12" t="n"/>
      <c r="F275" s="12" t="n"/>
      <c r="G275" s="12" t="n"/>
      <c r="H275" s="12" t="n"/>
      <c r="I275" s="12" t="n"/>
      <c r="J275" s="12">
        <f>(J143-I143)*-1</f>
        <v>-601</v>
      </c>
      <c r="K275" s="12">
        <f>(K143-J143)*-1</f>
        <v>-466</v>
      </c>
      <c r="L275" s="12">
        <f>(L143-K143)*-1</f>
        <v>-558</v>
      </c>
      <c r="M275" s="12" t="n"/>
      <c r="N275" s="12">
        <f>(N143-M143)*-1</f>
        <v>-934</v>
      </c>
      <c r="O275" s="12">
        <f>(O143-N143)*-1</f>
        <v>-1417</v>
      </c>
      <c r="P275" s="12">
        <f>(P143-O143)*-1</f>
        <v>-2219</v>
      </c>
      <c r="Q275" s="12">
        <f>(Q143-P143)*-1</f>
        <v>-2512</v>
      </c>
      <c r="R275" s="12">
        <f>SUM(N275:Q275)</f>
        <v>-7082</v>
      </c>
      <c r="S275" s="12">
        <f>(S143-R143)*-1</f>
        <v>-1536</v>
      </c>
      <c r="T275" s="12">
        <f>(T143-S143)*-1</f>
        <v>19</v>
      </c>
      <c r="U275" s="12">
        <f>(U143-T143)*-1</f>
        <v>635</v>
      </c>
      <c r="V275" s="12">
        <f>(V143-U143)*-1</f>
        <v>95</v>
      </c>
      <c r="W275" s="12">
        <f>SUM(S275:V275)</f>
        <v>-787</v>
      </c>
      <c r="X275" s="12">
        <f>(X143-W143)*-1</f>
        <v>-2407</v>
      </c>
      <c r="Y275" s="12">
        <f>(Y143-X143)*-1</f>
        <v>1838</v>
      </c>
      <c r="Z275" s="12">
        <f>(Z143-Y143)*-1</f>
        <v>-335</v>
      </c>
      <c r="AA275" s="12">
        <f>(AA143-Z143)*-1</f>
        <v>2513</v>
      </c>
      <c r="AB275" s="12">
        <f>SUM(X275:AA275)</f>
        <v>1609</v>
      </c>
      <c r="AC275" s="12">
        <f>(AC143-AB143)*-1</f>
        <v>-1689</v>
      </c>
      <c r="AD275" s="12">
        <f>(AD143-AC143)*-1</f>
        <v>-864</v>
      </c>
      <c r="AE275" s="12">
        <f>(AE143-AD143)*-1</f>
        <v>2294</v>
      </c>
      <c r="AF275" s="12">
        <f>(AF143-AE143)*-1</f>
        <v>-116</v>
      </c>
      <c r="AG275" s="12">
        <f>SUM(AC275:AF275)</f>
        <v>-375</v>
      </c>
      <c r="AH275" s="12">
        <f>(AH143-AG143)*-1</f>
        <v>-2042</v>
      </c>
      <c r="AI275" s="12">
        <f>(AI143-AH143)*-1</f>
        <v>682</v>
      </c>
      <c r="AJ275" s="12">
        <f>(AJ143-AI143)*-1</f>
        <v>-2839.64493696089</v>
      </c>
      <c r="AK275" s="12">
        <f>(AK143-AJ143)*-1</f>
        <v>1886.23292146834</v>
      </c>
      <c r="AL275" s="12">
        <f>SUM(AH275:AK275)</f>
        <v>-2313.41201549255</v>
      </c>
      <c r="AM275" s="12">
        <f>(AM143-AL143)*-1</f>
        <v>1190.86087798512</v>
      </c>
      <c r="AN275" s="12">
        <f>(AN143-AM143)*-1</f>
        <v>-3343.60286998386</v>
      </c>
      <c r="AO275" s="12">
        <f>(AO143-AN143)*-1</f>
        <v>-527.759002004346</v>
      </c>
      <c r="AP275" s="12">
        <f>(AP143-AO143)*-1</f>
        <v>1976.52985059011</v>
      </c>
      <c r="AQ275" s="12">
        <f>SUM(AM275:AP275)</f>
        <v>-703.971143412973</v>
      </c>
      <c r="AR275" s="12">
        <f>(AR143-AQ143)*-1</f>
        <v>1470.32048629532</v>
      </c>
      <c r="AS275" s="12">
        <f>(AS143-AR143)*-1</f>
        <v>-3641.82684469099</v>
      </c>
      <c r="AT275" s="12">
        <f>(AT143-AS143)*-1</f>
        <v>-550.384858382262</v>
      </c>
      <c r="AU275" s="12">
        <f>(AU143-AT143)*-1</f>
        <v>2061.26678611614</v>
      </c>
      <c r="AV275" s="12">
        <f>SUM(AR275:AU275)</f>
        <v>-660.624430661792</v>
      </c>
      <c r="AW275" s="12">
        <f>(AW143-AV143)*-1</f>
        <v>1442.30678064956</v>
      </c>
      <c r="AX275" s="12">
        <f>(AX143-AW143)*-1</f>
        <v>-3619.00457575857</v>
      </c>
      <c r="AY275" s="12">
        <f>(AY143-AX143)*-1</f>
        <v>-571.228796427226</v>
      </c>
      <c r="AZ275" s="12">
        <f>(AZ143-AY143)*-1</f>
        <v>2139.33019307509</v>
      </c>
      <c r="BA275" s="12">
        <f>SUM(AW275:AZ275)</f>
        <v>-608.596398461146</v>
      </c>
      <c r="BB275" s="12">
        <f>(BB143-BA143)*-1</f>
        <v>1570.06770520559</v>
      </c>
      <c r="BC275" s="12">
        <f>(BC143-BB143)*-1</f>
        <v>-3737.9669337519</v>
      </c>
      <c r="BD275" s="12">
        <f>(BD143-BC143)*-1</f>
        <v>-590.00598312432</v>
      </c>
      <c r="BE275" s="12">
        <f>(BE143-BD143)*-1</f>
        <v>2209.6533327581</v>
      </c>
      <c r="BF275" s="12">
        <f>SUM(BB275:BE275)</f>
        <v>-548.251878912528</v>
      </c>
      <c r="BG275" s="12" t="n"/>
      <c r="BH275" s="12" t="n"/>
      <c r="BI275" s="12" t="n"/>
      <c r="BJ275" s="12" t="n"/>
      <c r="BK275" s="12" t="n"/>
      <c r="BL275" s="12" t="n"/>
      <c r="BM275" s="12" t="n"/>
      <c r="BN275" s="12" t="n"/>
      <c r="BO275" s="12" t="n"/>
      <c r="BP275" s="12" t="n"/>
      <c r="BQ275" s="12" t="n"/>
      <c r="BR275" s="12" t="n"/>
      <c r="BS275" s="12" t="n"/>
      <c r="BT275" s="12" t="n"/>
      <c r="BU275" s="12" t="n"/>
      <c r="BV275" s="12" t="n"/>
      <c r="BW275" s="12" t="n"/>
      <c r="BX275" s="12" t="n"/>
      <c r="BY275" s="12" t="n"/>
      <c r="BZ275" s="12" t="n"/>
      <c r="CA275" s="12" t="n"/>
      <c r="CB275" s="12" t="n"/>
      <c r="CC275" s="12" t="n"/>
      <c r="CD275" s="12" t="n"/>
      <c r="CE275" s="12" t="n"/>
      <c r="CF275" s="12" t="n"/>
      <c r="CG275" s="12" t="n"/>
      <c r="CH275" s="12" t="n"/>
      <c r="CI275" s="12" t="n"/>
      <c r="CJ275" s="12" t="n"/>
      <c r="CK275" s="12" t="n"/>
      <c r="CL275" s="12" t="n"/>
      <c r="CM275" s="12" t="n"/>
      <c r="CN275" s="12" t="n"/>
      <c r="CO275" s="12" t="n"/>
      <c r="CP275" s="12" t="n"/>
      <c r="CQ275" s="12" t="n"/>
      <c r="CR275" s="12" t="n"/>
      <c r="CS275" s="12" t="n"/>
      <c r="CT275" s="12" t="n"/>
      <c r="CU275" s="12" t="n"/>
      <c r="CV275" s="12" t="n"/>
      <c r="CW275" s="12" t="n"/>
      <c r="CX275" s="12" t="n"/>
      <c r="CY275" s="12" t="n"/>
    </row>
    <row r="276" hidden="1" outlineLevel="1">
      <c r="C276" s="10" t="inlineStr">
        <is>
          <t>Deferred income taxes</t>
        </is>
      </c>
      <c r="D276" s="12" t="n"/>
      <c r="E276" s="12" t="n"/>
      <c r="F276" s="12" t="n"/>
      <c r="G276" s="12" t="n"/>
      <c r="H276" s="12" t="n"/>
      <c r="I276" s="12" t="n"/>
      <c r="J276" s="12">
        <f>(J147-I147)*-1</f>
        <v>0</v>
      </c>
      <c r="K276" s="12">
        <f>(K147-J147)*-1</f>
        <v>0</v>
      </c>
      <c r="L276" s="12">
        <f>(L147-K147)*-1</f>
        <v>0</v>
      </c>
      <c r="M276" s="12" t="n"/>
      <c r="N276" s="12">
        <f>(N147-M147)*-1</f>
        <v>0</v>
      </c>
      <c r="O276" s="12">
        <f>(O147-N147)*-1</f>
        <v>0</v>
      </c>
      <c r="P276" s="12">
        <f>(P147-O147)*-1</f>
        <v>0</v>
      </c>
      <c r="Q276" s="12">
        <f>(Q147-P147)*-1</f>
        <v>0</v>
      </c>
      <c r="R276" s="12">
        <f>SUM(N276:Q276)</f>
        <v>0</v>
      </c>
      <c r="S276" s="12">
        <f>(S147-R147)*-1</f>
        <v>0</v>
      </c>
      <c r="T276" s="12">
        <f>(T147-S147)*-1</f>
        <v>0</v>
      </c>
      <c r="U276" s="12">
        <f>(U147-T147)*-1</f>
        <v>0</v>
      </c>
      <c r="V276" s="12">
        <f>(V147-U147)*-1</f>
        <v>-6733</v>
      </c>
      <c r="W276" s="12">
        <f>SUM(S276:V276)</f>
        <v>-6733</v>
      </c>
      <c r="X276" s="12">
        <f>(X147-W147)*-1</f>
        <v>-36</v>
      </c>
      <c r="Y276" s="12">
        <f>(Y147-X147)*-1</f>
        <v>77</v>
      </c>
      <c r="Z276" s="12">
        <f>(Z147-Y147)*-1</f>
        <v>206</v>
      </c>
      <c r="AA276" s="12">
        <f>(AA147-Z147)*-1</f>
        <v>-38</v>
      </c>
      <c r="AB276" s="12">
        <f>SUM(X276:AA276)</f>
        <v>209</v>
      </c>
      <c r="AC276" s="12">
        <f>(AC147-AB147)*-1</f>
        <v>-163</v>
      </c>
      <c r="AD276" s="12">
        <f>(AD147-AC147)*-1</f>
        <v>-34</v>
      </c>
      <c r="AE276" s="12">
        <f>(AE147-AD147)*-1</f>
        <v>84</v>
      </c>
      <c r="AF276" s="12">
        <f>(AF147-AE147)*-1</f>
        <v>-288</v>
      </c>
      <c r="AG276" s="12">
        <f>SUM(AC276:AF276)</f>
        <v>-401</v>
      </c>
      <c r="AH276" s="12">
        <f>(AH147-AG147)*-1</f>
        <v>-135</v>
      </c>
      <c r="AI276" s="12">
        <f>(AI147-AH147)*-1</f>
        <v>-175</v>
      </c>
      <c r="AJ276" s="12">
        <f>(AJ147-AI147)*-1</f>
        <v>0</v>
      </c>
      <c r="AK276" s="12">
        <f>(AK147-AJ147)*-1</f>
        <v>0</v>
      </c>
      <c r="AL276" s="12">
        <f>SUM(AH276:AK276)</f>
        <v>-310</v>
      </c>
      <c r="AM276" s="12">
        <f>(AM147-AL147)*-1</f>
        <v>0</v>
      </c>
      <c r="AN276" s="12">
        <f>(AN147-AM147)*-1</f>
        <v>0</v>
      </c>
      <c r="AO276" s="12">
        <f>(AO147-AN147)*-1</f>
        <v>0</v>
      </c>
      <c r="AP276" s="12">
        <f>(AP147-AO147)*-1</f>
        <v>0</v>
      </c>
      <c r="AQ276" s="12">
        <f>SUM(AM276:AP276)</f>
        <v>0</v>
      </c>
      <c r="AR276" s="12">
        <f>(AR147-AQ147)*-1</f>
        <v>0</v>
      </c>
      <c r="AS276" s="12">
        <f>(AS147-AR147)*-1</f>
        <v>0</v>
      </c>
      <c r="AT276" s="12">
        <f>(AT147-AS147)*-1</f>
        <v>0</v>
      </c>
      <c r="AU276" s="12">
        <f>(AU147-AT147)*-1</f>
        <v>0</v>
      </c>
      <c r="AV276" s="12">
        <f>SUM(AR276:AU276)</f>
        <v>0</v>
      </c>
      <c r="AW276" s="12">
        <f>(AW147-AV147)*-1</f>
        <v>0</v>
      </c>
      <c r="AX276" s="12">
        <f>(AX147-AW147)*-1</f>
        <v>0</v>
      </c>
      <c r="AY276" s="12">
        <f>(AY147-AX147)*-1</f>
        <v>0</v>
      </c>
      <c r="AZ276" s="12">
        <f>(AZ147-AY147)*-1</f>
        <v>0</v>
      </c>
      <c r="BA276" s="12">
        <f>SUM(AW276:AZ276)</f>
        <v>0</v>
      </c>
      <c r="BB276" s="12">
        <f>(BB147-BA147)*-1</f>
        <v>0</v>
      </c>
      <c r="BC276" s="12">
        <f>(BC147-BB147)*-1</f>
        <v>0</v>
      </c>
      <c r="BD276" s="12">
        <f>(BD147-BC147)*-1</f>
        <v>0</v>
      </c>
      <c r="BE276" s="12">
        <f>(BE147-BD147)*-1</f>
        <v>0</v>
      </c>
      <c r="BF276" s="12">
        <f>SUM(BB276:BE276)</f>
        <v>0</v>
      </c>
      <c r="BG276" s="12" t="n"/>
      <c r="BH276" s="12" t="n"/>
      <c r="BI276" s="12" t="n"/>
      <c r="BJ276" s="12" t="n"/>
      <c r="BK276" s="12" t="n"/>
      <c r="BL276" s="12" t="n"/>
      <c r="BM276" s="12" t="n"/>
      <c r="BN276" s="12" t="n"/>
      <c r="BO276" s="12" t="n"/>
      <c r="BP276" s="12" t="n"/>
      <c r="BQ276" s="12" t="n"/>
      <c r="BR276" s="12" t="n"/>
      <c r="BS276" s="12" t="n"/>
      <c r="BT276" s="12" t="n"/>
      <c r="BU276" s="12" t="n"/>
      <c r="BV276" s="12" t="n"/>
      <c r="BW276" s="12" t="n"/>
      <c r="BX276" s="12" t="n"/>
      <c r="BY276" s="12" t="n"/>
      <c r="BZ276" s="12" t="n"/>
      <c r="CA276" s="12" t="n"/>
      <c r="CB276" s="12" t="n"/>
      <c r="CC276" s="12" t="n"/>
      <c r="CD276" s="12" t="n"/>
      <c r="CE276" s="12" t="n"/>
      <c r="CF276" s="12" t="n"/>
      <c r="CG276" s="12" t="n"/>
      <c r="CH276" s="12" t="n"/>
      <c r="CI276" s="12" t="n"/>
      <c r="CJ276" s="12" t="n"/>
      <c r="CK276" s="12" t="n"/>
      <c r="CL276" s="12" t="n"/>
      <c r="CM276" s="12" t="n"/>
      <c r="CN276" s="12" t="n"/>
      <c r="CO276" s="12" t="n"/>
      <c r="CP276" s="12" t="n"/>
      <c r="CQ276" s="12" t="n"/>
      <c r="CR276" s="12" t="n"/>
      <c r="CS276" s="12" t="n"/>
      <c r="CT276" s="12" t="n"/>
      <c r="CU276" s="12" t="n"/>
      <c r="CV276" s="12" t="n"/>
      <c r="CW276" s="12" t="n"/>
      <c r="CX276" s="12" t="n"/>
      <c r="CY276" s="12" t="n"/>
    </row>
    <row r="277" hidden="1" outlineLevel="1">
      <c r="C277" s="10" t="inlineStr">
        <is>
          <t>Prepaid expenses</t>
        </is>
      </c>
      <c r="D277" s="12" t="n"/>
      <c r="E277" s="12" t="n"/>
      <c r="F277" s="12" t="n"/>
      <c r="G277" s="12" t="n"/>
      <c r="H277" s="12" t="n"/>
      <c r="I277" s="12" t="n"/>
      <c r="J277" s="12">
        <f>(J148-I148)*-1</f>
        <v>0</v>
      </c>
      <c r="K277" s="12">
        <f>(K148-J148)*-1</f>
        <v>0</v>
      </c>
      <c r="L277" s="12">
        <f>(L148-K148)*-1</f>
        <v>0</v>
      </c>
      <c r="M277" s="12" t="n"/>
      <c r="N277" s="12">
        <f>(N148-M148)*-1</f>
        <v>0</v>
      </c>
      <c r="O277" s="12">
        <f>(O148-N148)*-1</f>
        <v>0</v>
      </c>
      <c r="P277" s="12">
        <f>(P148-O148)*-1</f>
        <v>0</v>
      </c>
      <c r="Q277" s="12">
        <f>(Q148-P148)*-1</f>
        <v>0</v>
      </c>
      <c r="R277" s="12">
        <f>SUM(N277:Q277)</f>
        <v>0</v>
      </c>
      <c r="S277" s="12">
        <f>(S148-R148)*-1</f>
        <v>0</v>
      </c>
      <c r="T277" s="12">
        <f>(T148-S148)*-1</f>
        <v>0</v>
      </c>
      <c r="U277" s="12">
        <f>(U148-T148)*-1</f>
        <v>0</v>
      </c>
      <c r="V277" s="12">
        <f>(V148-U148)*-1</f>
        <v>0</v>
      </c>
      <c r="W277" s="12">
        <f>SUM(S277:V277)</f>
        <v>0</v>
      </c>
      <c r="X277" s="12">
        <f>(X148-W148)*-1</f>
        <v>0</v>
      </c>
      <c r="Y277" s="12">
        <f>(Y148-X148)*-1</f>
        <v>0</v>
      </c>
      <c r="Z277" s="12">
        <f>(Z148-Y148)*-1</f>
        <v>0</v>
      </c>
      <c r="AA277" s="12">
        <f>(AA148-Z148)*-1</f>
        <v>0</v>
      </c>
      <c r="AB277" s="12">
        <f>SUM(X277:AA277)</f>
        <v>0</v>
      </c>
      <c r="AC277" s="12">
        <f>(AC148-AB148)*-1</f>
        <v>0</v>
      </c>
      <c r="AD277" s="12">
        <f>(AD148-AC148)*-1</f>
        <v>0</v>
      </c>
      <c r="AE277" s="12">
        <f>(AE148-AD148)*-1</f>
        <v>0</v>
      </c>
      <c r="AF277" s="12">
        <f>(AF148-AE148)*-1</f>
        <v>0</v>
      </c>
      <c r="AG277" s="12">
        <f>SUM(AC277:AF277)</f>
        <v>0</v>
      </c>
      <c r="AH277" s="12">
        <f>(AH148-AG148)*-1</f>
        <v>0</v>
      </c>
      <c r="AI277" s="12">
        <f>(AI148-AH148)*-1</f>
        <v>0</v>
      </c>
      <c r="AJ277" s="12">
        <f>(AJ148-AI148)*-1</f>
        <v>0</v>
      </c>
      <c r="AK277" s="12">
        <f>(AK148-AJ148)*-1</f>
        <v>0</v>
      </c>
      <c r="AL277" s="12">
        <f>SUM(AH277:AK277)</f>
        <v>0</v>
      </c>
      <c r="AM277" s="12">
        <f>(AM148-AL148)*-1</f>
        <v>0</v>
      </c>
      <c r="AN277" s="12">
        <f>(AN148-AM148)*-1</f>
        <v>0</v>
      </c>
      <c r="AO277" s="12">
        <f>(AO148-AN148)*-1</f>
        <v>0</v>
      </c>
      <c r="AP277" s="12">
        <f>(AP148-AO148)*-1</f>
        <v>0</v>
      </c>
      <c r="AQ277" s="12">
        <f>SUM(AM277:AP277)</f>
        <v>0</v>
      </c>
      <c r="AR277" s="12">
        <f>(AR148-AQ148)*-1</f>
        <v>0</v>
      </c>
      <c r="AS277" s="12">
        <f>(AS148-AR148)*-1</f>
        <v>0</v>
      </c>
      <c r="AT277" s="12">
        <f>(AT148-AS148)*-1</f>
        <v>0</v>
      </c>
      <c r="AU277" s="12">
        <f>(AU148-AT148)*-1</f>
        <v>0</v>
      </c>
      <c r="AV277" s="12">
        <f>SUM(AR277:AU277)</f>
        <v>0</v>
      </c>
      <c r="AW277" s="12">
        <f>(AW148-AV148)*-1</f>
        <v>0</v>
      </c>
      <c r="AX277" s="12">
        <f>(AX148-AW148)*-1</f>
        <v>0</v>
      </c>
      <c r="AY277" s="12">
        <f>(AY148-AX148)*-1</f>
        <v>0</v>
      </c>
      <c r="AZ277" s="12">
        <f>(AZ148-AY148)*-1</f>
        <v>0</v>
      </c>
      <c r="BA277" s="12">
        <f>SUM(AW277:AZ277)</f>
        <v>0</v>
      </c>
      <c r="BB277" s="12">
        <f>(BB148-BA148)*-1</f>
        <v>0</v>
      </c>
      <c r="BC277" s="12">
        <f>(BC148-BB148)*-1</f>
        <v>0</v>
      </c>
      <c r="BD277" s="12">
        <f>(BD148-BC148)*-1</f>
        <v>0</v>
      </c>
      <c r="BE277" s="12">
        <f>(BE148-BD148)*-1</f>
        <v>0</v>
      </c>
      <c r="BF277" s="12">
        <f>SUM(BB277:BE277)</f>
        <v>0</v>
      </c>
      <c r="BG277" s="12" t="n"/>
      <c r="BH277" s="12" t="n"/>
      <c r="BI277" s="12" t="n"/>
      <c r="BJ277" s="12" t="n"/>
      <c r="BK277" s="12" t="n"/>
      <c r="BL277" s="12" t="n"/>
      <c r="BM277" s="12" t="n"/>
      <c r="BN277" s="12" t="n"/>
      <c r="BO277" s="12" t="n"/>
      <c r="BP277" s="12" t="n"/>
      <c r="BQ277" s="12" t="n"/>
      <c r="BR277" s="12" t="n"/>
      <c r="BS277" s="12" t="n"/>
      <c r="BT277" s="12" t="n"/>
      <c r="BU277" s="12" t="n"/>
      <c r="BV277" s="12" t="n"/>
      <c r="BW277" s="12" t="n"/>
      <c r="BX277" s="12" t="n"/>
      <c r="BY277" s="12" t="n"/>
      <c r="BZ277" s="12" t="n"/>
      <c r="CA277" s="12" t="n"/>
      <c r="CB277" s="12" t="n"/>
      <c r="CC277" s="12" t="n"/>
      <c r="CD277" s="12" t="n"/>
      <c r="CE277" s="12" t="n"/>
      <c r="CF277" s="12" t="n"/>
      <c r="CG277" s="12" t="n"/>
      <c r="CH277" s="12" t="n"/>
      <c r="CI277" s="12" t="n"/>
      <c r="CJ277" s="12" t="n"/>
      <c r="CK277" s="12" t="n"/>
      <c r="CL277" s="12" t="n"/>
      <c r="CM277" s="12" t="n"/>
      <c r="CN277" s="12" t="n"/>
      <c r="CO277" s="12" t="n"/>
      <c r="CP277" s="12" t="n"/>
      <c r="CQ277" s="12" t="n"/>
      <c r="CR277" s="12" t="n"/>
      <c r="CS277" s="12" t="n"/>
      <c r="CT277" s="12" t="n"/>
      <c r="CU277" s="12" t="n"/>
      <c r="CV277" s="12" t="n"/>
      <c r="CW277" s="12" t="n"/>
      <c r="CX277" s="12" t="n"/>
      <c r="CY277" s="12" t="n"/>
    </row>
    <row r="278" hidden="1" outlineLevel="1">
      <c r="C278" s="10" t="inlineStr">
        <is>
          <t>Other current assets</t>
        </is>
      </c>
      <c r="D278" s="12" t="n"/>
      <c r="E278" s="12" t="n"/>
      <c r="F278" s="12" t="n"/>
      <c r="G278" s="12" t="n"/>
      <c r="H278" s="12" t="n"/>
      <c r="I278" s="12" t="n"/>
      <c r="J278" s="12">
        <f>(J149-I149)*-1</f>
        <v>-60</v>
      </c>
      <c r="K278" s="12">
        <f>(K149-J149)*-1</f>
        <v>-144</v>
      </c>
      <c r="L278" s="12">
        <f>(L149-K149)*-1</f>
        <v>23</v>
      </c>
      <c r="M278" s="12" t="n"/>
      <c r="N278" s="12">
        <f>(N149-M149)*-1</f>
        <v>-312</v>
      </c>
      <c r="O278" s="12">
        <f>(O149-N149)*-1</f>
        <v>-83</v>
      </c>
      <c r="P278" s="12">
        <f>(P149-O149)*-1</f>
        <v>-246</v>
      </c>
      <c r="Q278" s="12">
        <f>(Q149-P149)*-1</f>
        <v>-577</v>
      </c>
      <c r="R278" s="12">
        <f>SUM(N278:Q278)</f>
        <v>-1218</v>
      </c>
      <c r="S278" s="12">
        <f>(S149-R149)*-1</f>
        <v>-286</v>
      </c>
      <c r="T278" s="12">
        <f>(T149-S149)*-1</f>
        <v>230</v>
      </c>
      <c r="U278" s="12">
        <f>(U149-T149)*-1</f>
        <v>289</v>
      </c>
      <c r="V278" s="12">
        <f>(V149-U149)*-1</f>
        <v>-680</v>
      </c>
      <c r="W278" s="12">
        <f>SUM(S278:V278)</f>
        <v>-447</v>
      </c>
      <c r="X278" s="12">
        <f>(X149-W149)*-1</f>
        <v>-364</v>
      </c>
      <c r="Y278" s="12">
        <f>(Y149-X149)*-1</f>
        <v>-573</v>
      </c>
      <c r="Z278" s="12">
        <f>(Z149-Y149)*-1</f>
        <v>-563</v>
      </c>
      <c r="AA278" s="12">
        <f>(AA149-Z149)*-1</f>
        <v>-474</v>
      </c>
      <c r="AB278" s="12">
        <f>SUM(X278:AA278)</f>
        <v>-1974</v>
      </c>
      <c r="AC278" s="12">
        <f>(AC149-AB149)*-1</f>
        <v>457</v>
      </c>
      <c r="AD278" s="12">
        <f>(AD149-AC149)*-1</f>
        <v>-1038</v>
      </c>
      <c r="AE278" s="12">
        <f>(AE149-AD149)*-1</f>
        <v>-84</v>
      </c>
      <c r="AF278" s="12">
        <f>(AF149-AE149)*-1</f>
        <v>-1588</v>
      </c>
      <c r="AG278" s="12">
        <f>SUM(AC278:AF278)</f>
        <v>-2253</v>
      </c>
      <c r="AH278" s="12">
        <f>(AH149-AG149)*-1</f>
        <v>1003</v>
      </c>
      <c r="AI278" s="12">
        <f>(AI149-AH149)*-1</f>
        <v>-783</v>
      </c>
      <c r="AJ278" s="12">
        <f>(AJ149-AI149)*-1</f>
        <v>0</v>
      </c>
      <c r="AK278" s="12">
        <f>(AK149-AJ149)*-1</f>
        <v>0</v>
      </c>
      <c r="AL278" s="12">
        <f>SUM(AH278:AK278)</f>
        <v>220</v>
      </c>
      <c r="AM278" s="12">
        <f>(AM149-AL149)*-1</f>
        <v>0</v>
      </c>
      <c r="AN278" s="12">
        <f>(AN149-AM149)*-1</f>
        <v>0</v>
      </c>
      <c r="AO278" s="12">
        <f>(AO149-AN149)*-1</f>
        <v>0</v>
      </c>
      <c r="AP278" s="12">
        <f>(AP149-AO149)*-1</f>
        <v>0</v>
      </c>
      <c r="AQ278" s="12">
        <f>SUM(AM278:AP278)</f>
        <v>0</v>
      </c>
      <c r="AR278" s="12">
        <f>(AR149-AQ149)*-1</f>
        <v>0</v>
      </c>
      <c r="AS278" s="12">
        <f>(AS149-AR149)*-1</f>
        <v>0</v>
      </c>
      <c r="AT278" s="12">
        <f>(AT149-AS149)*-1</f>
        <v>0</v>
      </c>
      <c r="AU278" s="12">
        <f>(AU149-AT149)*-1</f>
        <v>0</v>
      </c>
      <c r="AV278" s="12">
        <f>SUM(AR278:AU278)</f>
        <v>0</v>
      </c>
      <c r="AW278" s="12">
        <f>(AW149-AV149)*-1</f>
        <v>0</v>
      </c>
      <c r="AX278" s="12">
        <f>(AX149-AW149)*-1</f>
        <v>0</v>
      </c>
      <c r="AY278" s="12">
        <f>(AY149-AX149)*-1</f>
        <v>0</v>
      </c>
      <c r="AZ278" s="12">
        <f>(AZ149-AY149)*-1</f>
        <v>0</v>
      </c>
      <c r="BA278" s="12">
        <f>SUM(AW278:AZ278)</f>
        <v>0</v>
      </c>
      <c r="BB278" s="12">
        <f>(BB149-BA149)*-1</f>
        <v>0</v>
      </c>
      <c r="BC278" s="12">
        <f>(BC149-BB149)*-1</f>
        <v>0</v>
      </c>
      <c r="BD278" s="12">
        <f>(BD149-BC149)*-1</f>
        <v>0</v>
      </c>
      <c r="BE278" s="12">
        <f>(BE149-BD149)*-1</f>
        <v>0</v>
      </c>
      <c r="BF278" s="12">
        <f>SUM(BB278:BE278)</f>
        <v>0</v>
      </c>
      <c r="BG278" s="12" t="n"/>
      <c r="BH278" s="12" t="n"/>
      <c r="BI278" s="12" t="n"/>
      <c r="BJ278" s="12" t="n"/>
      <c r="BK278" s="12" t="n"/>
      <c r="BL278" s="12" t="n"/>
      <c r="BM278" s="12" t="n"/>
      <c r="BN278" s="12" t="n"/>
      <c r="BO278" s="12" t="n"/>
      <c r="BP278" s="12" t="n"/>
      <c r="BQ278" s="12" t="n"/>
      <c r="BR278" s="12" t="n"/>
      <c r="BS278" s="12" t="n"/>
      <c r="BT278" s="12" t="n"/>
      <c r="BU278" s="12" t="n"/>
      <c r="BV278" s="12" t="n"/>
      <c r="BW278" s="12" t="n"/>
      <c r="BX278" s="12" t="n"/>
      <c r="BY278" s="12" t="n"/>
      <c r="BZ278" s="12" t="n"/>
      <c r="CA278" s="12" t="n"/>
      <c r="CB278" s="12" t="n"/>
      <c r="CC278" s="12" t="n"/>
      <c r="CD278" s="12" t="n"/>
      <c r="CE278" s="12" t="n"/>
      <c r="CF278" s="12" t="n"/>
      <c r="CG278" s="12" t="n"/>
      <c r="CH278" s="12" t="n"/>
      <c r="CI278" s="12" t="n"/>
      <c r="CJ278" s="12" t="n"/>
      <c r="CK278" s="12" t="n"/>
      <c r="CL278" s="12" t="n"/>
      <c r="CM278" s="12" t="n"/>
      <c r="CN278" s="12" t="n"/>
      <c r="CO278" s="12" t="n"/>
      <c r="CP278" s="12" t="n"/>
      <c r="CQ278" s="12" t="n"/>
      <c r="CR278" s="12" t="n"/>
      <c r="CS278" s="12" t="n"/>
      <c r="CT278" s="12" t="n"/>
      <c r="CU278" s="12" t="n"/>
      <c r="CV278" s="12" t="n"/>
      <c r="CW278" s="12" t="n"/>
      <c r="CX278" s="12" t="n"/>
      <c r="CY278" s="12" t="n"/>
    </row>
    <row r="279" hidden="1" outlineLevel="1">
      <c r="C279" s="10" t="inlineStr">
        <is>
          <t>Accounts payable</t>
        </is>
      </c>
      <c r="D279" s="12" t="n"/>
      <c r="E279" s="12" t="n"/>
      <c r="F279" s="12" t="n"/>
      <c r="G279" s="12" t="n"/>
      <c r="H279" s="12" t="n"/>
      <c r="I279" s="12" t="n"/>
      <c r="J279" s="12">
        <f>J192-I192</f>
        <v>910</v>
      </c>
      <c r="K279" s="12">
        <f>K192-J192</f>
        <v>702</v>
      </c>
      <c r="L279" s="12">
        <f>L192-K192</f>
        <v>1765</v>
      </c>
      <c r="M279" s="12" t="n"/>
      <c r="N279" s="12">
        <f>N192-M192</f>
        <v>1146</v>
      </c>
      <c r="O279" s="12">
        <f>O192-N192</f>
        <v>41</v>
      </c>
      <c r="P279" s="12">
        <f>P192-O192</f>
        <v>2685</v>
      </c>
      <c r="Q279" s="12">
        <f>Q192-P192</f>
        <v>1358</v>
      </c>
      <c r="R279" s="12">
        <f>SUM(N279:Q279)</f>
        <v>5230</v>
      </c>
      <c r="S279" s="12">
        <f>S192-R192</f>
        <v>649</v>
      </c>
      <c r="T279" s="12">
        <f>T192-S192</f>
        <v>-631</v>
      </c>
      <c r="U279" s="12">
        <f>U192-T192</f>
        <v>-1336</v>
      </c>
      <c r="V279" s="12">
        <f>V192-U192</f>
        <v>494</v>
      </c>
      <c r="W279" s="12">
        <f>SUM(S279:V279)</f>
        <v>-824</v>
      </c>
      <c r="X279" s="12">
        <f>X192-W192</f>
        <v>294</v>
      </c>
      <c r="Y279" s="12">
        <f>Y192-X192</f>
        <v>-1669</v>
      </c>
      <c r="Z279" s="12">
        <f>Z192-Y192</f>
        <v>1598</v>
      </c>
      <c r="AA279" s="12">
        <f>AA192-Z192</f>
        <v>-2180</v>
      </c>
      <c r="AB279" s="12">
        <f>SUM(X279:AA279)</f>
        <v>-1957</v>
      </c>
      <c r="AC279" s="12">
        <f>AC192-AB192</f>
        <v>997</v>
      </c>
      <c r="AD279" s="12">
        <f>AD192-AC192</f>
        <v>-259</v>
      </c>
      <c r="AE279" s="12">
        <f>AE192-AD192</f>
        <v>-393</v>
      </c>
      <c r="AF279" s="12">
        <f>AF192-AE192</f>
        <v>552</v>
      </c>
      <c r="AG279" s="12">
        <f>SUM(AC279:AF279)</f>
        <v>897</v>
      </c>
      <c r="AH279" s="12">
        <f>AH192-AG192</f>
        <v>1325</v>
      </c>
      <c r="AI279" s="12">
        <f>AI192-AH192</f>
        <v>628</v>
      </c>
      <c r="AJ279" s="12">
        <f>AJ192-AI192</f>
        <v>1536.94268134642</v>
      </c>
      <c r="AK279" s="12">
        <f>AK192-AJ192</f>
        <v>-1916.84822652502</v>
      </c>
      <c r="AL279" s="12">
        <f>SUM(AH279:AK279)</f>
        <v>1573.0944548214</v>
      </c>
      <c r="AM279" s="12">
        <f>AM192-AL192</f>
        <v>-1210.18965156585</v>
      </c>
      <c r="AN279" s="12">
        <f>AN192-AM192</f>
        <v>3397.87263735344</v>
      </c>
      <c r="AO279" s="12">
        <f>AO192-AN192</f>
        <v>536.325018777181</v>
      </c>
      <c r="AP279" s="12">
        <f>AP192-AO192</f>
        <v>-2008.61075832993</v>
      </c>
      <c r="AQ279" s="12">
        <f>SUM(AM279:AP279)</f>
        <v>715.397246234839</v>
      </c>
      <c r="AR279" s="12">
        <f>AR192-AQ192</f>
        <v>-1494.18514781547</v>
      </c>
      <c r="AS279" s="12">
        <f>AS192-AR192</f>
        <v>3700.93706302342</v>
      </c>
      <c r="AT279" s="12">
        <f>AT192-AS192</f>
        <v>559.318113732737</v>
      </c>
      <c r="AU279" s="12">
        <f>AU192-AT192</f>
        <v>-2094.72305270013</v>
      </c>
      <c r="AV279" s="12">
        <f>SUM(AR279:AU279)</f>
        <v>671.346976240553</v>
      </c>
      <c r="AW279" s="12">
        <f>AW192-AV192</f>
        <v>-1465.71675381476</v>
      </c>
      <c r="AX279" s="12">
        <f>AX192-AW192</f>
        <v>3677.74436755593</v>
      </c>
      <c r="AY279" s="12">
        <f>AY192-AX192</f>
        <v>580.500368172543</v>
      </c>
      <c r="AZ279" s="12">
        <f>AZ192-AY192</f>
        <v>-2174.05350096168</v>
      </c>
      <c r="BA279" s="12">
        <f>SUM(AW279:AZ279)</f>
        <v>618.474480952029</v>
      </c>
      <c r="BB279" s="12">
        <f>BB192-BA192</f>
        <v>-1595.55135635355</v>
      </c>
      <c r="BC279" s="12">
        <f>BC192-BB192</f>
        <v>3798.63759465814</v>
      </c>
      <c r="BD279" s="12">
        <f>BD192-BC192</f>
        <v>599.582325978387</v>
      </c>
      <c r="BE279" s="12">
        <f>BE192-BD192</f>
        <v>-2245.51805024974</v>
      </c>
      <c r="BF279" s="12">
        <f>SUM(BB279:BE279)</f>
        <v>557.15051403323</v>
      </c>
      <c r="BG279" s="12" t="n"/>
      <c r="BH279" s="12" t="n"/>
      <c r="BI279" s="12" t="n"/>
      <c r="BJ279" s="12" t="n"/>
      <c r="BK279" s="12" t="n"/>
      <c r="BL279" s="12" t="n"/>
      <c r="BM279" s="12" t="n"/>
      <c r="BN279" s="12" t="n"/>
      <c r="BO279" s="12" t="n"/>
      <c r="BP279" s="12" t="n"/>
      <c r="BQ279" s="12" t="n"/>
      <c r="BR279" s="12" t="n"/>
      <c r="BS279" s="12" t="n"/>
      <c r="BT279" s="12" t="n"/>
      <c r="BU279" s="12" t="n"/>
      <c r="BV279" s="12" t="n"/>
      <c r="BW279" s="12" t="n"/>
      <c r="BX279" s="12" t="n"/>
      <c r="BY279" s="12" t="n"/>
      <c r="BZ279" s="12" t="n"/>
      <c r="CA279" s="12" t="n"/>
      <c r="CB279" s="12" t="n"/>
      <c r="CC279" s="12" t="n"/>
      <c r="CD279" s="12" t="n"/>
      <c r="CE279" s="12" t="n"/>
      <c r="CF279" s="12" t="n"/>
      <c r="CG279" s="12" t="n"/>
      <c r="CH279" s="12" t="n"/>
      <c r="CI279" s="12" t="n"/>
      <c r="CJ279" s="12" t="n"/>
      <c r="CK279" s="12" t="n"/>
      <c r="CL279" s="12" t="n"/>
      <c r="CM279" s="12" t="n"/>
      <c r="CN279" s="12" t="n"/>
      <c r="CO279" s="12" t="n"/>
      <c r="CP279" s="12" t="n"/>
      <c r="CQ279" s="12" t="n"/>
      <c r="CR279" s="12" t="n"/>
      <c r="CS279" s="12" t="n"/>
      <c r="CT279" s="12" t="n"/>
      <c r="CU279" s="12" t="n"/>
      <c r="CV279" s="12" t="n"/>
      <c r="CW279" s="12" t="n"/>
      <c r="CX279" s="12" t="n"/>
      <c r="CY279" s="12" t="n"/>
    </row>
    <row r="280" hidden="1" outlineLevel="1">
      <c r="C280" s="10" t="inlineStr">
        <is>
          <t>Accrued expenses</t>
        </is>
      </c>
      <c r="D280" s="12" t="n"/>
      <c r="E280" s="12" t="n"/>
      <c r="F280" s="12" t="n"/>
      <c r="G280" s="12" t="n"/>
      <c r="H280" s="12" t="n"/>
      <c r="I280" s="12" t="n"/>
      <c r="J280" s="12">
        <f>J196-I196</f>
        <v>0</v>
      </c>
      <c r="K280" s="12">
        <f>K196-J196</f>
        <v>0</v>
      </c>
      <c r="L280" s="12">
        <f>L196-K196</f>
        <v>0</v>
      </c>
      <c r="M280" s="12" t="n"/>
      <c r="N280" s="12">
        <f>N196-M196</f>
        <v>0</v>
      </c>
      <c r="O280" s="12">
        <f>O196-N196</f>
        <v>0</v>
      </c>
      <c r="P280" s="12">
        <f>P196-O196</f>
        <v>0</v>
      </c>
      <c r="Q280" s="12">
        <f>Q196-P196</f>
        <v>0</v>
      </c>
      <c r="R280" s="12">
        <f>SUM(N280:Q280)</f>
        <v>0</v>
      </c>
      <c r="S280" s="12">
        <f>S196-R196</f>
        <v>0</v>
      </c>
      <c r="T280" s="12">
        <f>T196-S196</f>
        <v>0</v>
      </c>
      <c r="U280" s="12">
        <f>U196-T196</f>
        <v>0</v>
      </c>
      <c r="V280" s="12">
        <f>V196-U196</f>
        <v>0</v>
      </c>
      <c r="W280" s="12">
        <f>SUM(S280:V280)</f>
        <v>0</v>
      </c>
      <c r="X280" s="12">
        <f>X196-W196</f>
        <v>0</v>
      </c>
      <c r="Y280" s="12">
        <f>Y196-X196</f>
        <v>0</v>
      </c>
      <c r="Z280" s="12">
        <f>Z196-Y196</f>
        <v>0</v>
      </c>
      <c r="AA280" s="12">
        <f>AA196-Z196</f>
        <v>0</v>
      </c>
      <c r="AB280" s="12">
        <f>SUM(X280:AA280)</f>
        <v>0</v>
      </c>
      <c r="AC280" s="12">
        <f>AC196-AB196</f>
        <v>0</v>
      </c>
      <c r="AD280" s="12">
        <f>AD196-AC196</f>
        <v>0</v>
      </c>
      <c r="AE280" s="12">
        <f>AE196-AD196</f>
        <v>0</v>
      </c>
      <c r="AF280" s="12">
        <f>AF196-AE196</f>
        <v>0</v>
      </c>
      <c r="AG280" s="12">
        <f>SUM(AC280:AF280)</f>
        <v>0</v>
      </c>
      <c r="AH280" s="12">
        <f>AH196-AG196</f>
        <v>0</v>
      </c>
      <c r="AI280" s="12">
        <f>AI196-AH196</f>
        <v>0</v>
      </c>
      <c r="AJ280" s="12">
        <f>AJ196-AI196</f>
        <v>0</v>
      </c>
      <c r="AK280" s="12">
        <f>AK196-AJ196</f>
        <v>0</v>
      </c>
      <c r="AL280" s="12">
        <f>SUM(AH280:AK280)</f>
        <v>0</v>
      </c>
      <c r="AM280" s="12">
        <f>AM196-AL196</f>
        <v>0</v>
      </c>
      <c r="AN280" s="12">
        <f>AN196-AM196</f>
        <v>0</v>
      </c>
      <c r="AO280" s="12">
        <f>AO196-AN196</f>
        <v>0</v>
      </c>
      <c r="AP280" s="12">
        <f>AP196-AO196</f>
        <v>0</v>
      </c>
      <c r="AQ280" s="12">
        <f>SUM(AM280:AP280)</f>
        <v>0</v>
      </c>
      <c r="AR280" s="12">
        <f>AR196-AQ196</f>
        <v>0</v>
      </c>
      <c r="AS280" s="12">
        <f>AS196-AR196</f>
        <v>0</v>
      </c>
      <c r="AT280" s="12">
        <f>AT196-AS196</f>
        <v>0</v>
      </c>
      <c r="AU280" s="12">
        <f>AU196-AT196</f>
        <v>0</v>
      </c>
      <c r="AV280" s="12">
        <f>SUM(AR280:AU280)</f>
        <v>0</v>
      </c>
      <c r="AW280" s="12">
        <f>AW196-AV196</f>
        <v>0</v>
      </c>
      <c r="AX280" s="12">
        <f>AX196-AW196</f>
        <v>0</v>
      </c>
      <c r="AY280" s="12">
        <f>AY196-AX196</f>
        <v>0</v>
      </c>
      <c r="AZ280" s="12">
        <f>AZ196-AY196</f>
        <v>0</v>
      </c>
      <c r="BA280" s="12">
        <f>SUM(AW280:AZ280)</f>
        <v>0</v>
      </c>
      <c r="BB280" s="12">
        <f>BB196-BA196</f>
        <v>0</v>
      </c>
      <c r="BC280" s="12">
        <f>BC196-BB196</f>
        <v>0</v>
      </c>
      <c r="BD280" s="12">
        <f>BD196-BC196</f>
        <v>0</v>
      </c>
      <c r="BE280" s="12">
        <f>BE196-BD196</f>
        <v>0</v>
      </c>
      <c r="BF280" s="12">
        <f>SUM(BB280:BE280)</f>
        <v>0</v>
      </c>
      <c r="BG280" s="12" t="n"/>
      <c r="BH280" s="12" t="n"/>
      <c r="BI280" s="12" t="n"/>
      <c r="BJ280" s="12" t="n"/>
      <c r="BK280" s="12" t="n"/>
      <c r="BL280" s="12" t="n"/>
      <c r="BM280" s="12" t="n"/>
      <c r="BN280" s="12" t="n"/>
      <c r="BO280" s="12" t="n"/>
      <c r="BP280" s="12" t="n"/>
      <c r="BQ280" s="12" t="n"/>
      <c r="BR280" s="12" t="n"/>
      <c r="BS280" s="12" t="n"/>
      <c r="BT280" s="12" t="n"/>
      <c r="BU280" s="12" t="n"/>
      <c r="BV280" s="12" t="n"/>
      <c r="BW280" s="12" t="n"/>
      <c r="BX280" s="12" t="n"/>
      <c r="BY280" s="12" t="n"/>
      <c r="BZ280" s="12" t="n"/>
      <c r="CA280" s="12" t="n"/>
      <c r="CB280" s="12" t="n"/>
      <c r="CC280" s="12" t="n"/>
      <c r="CD280" s="12" t="n"/>
      <c r="CE280" s="12" t="n"/>
      <c r="CF280" s="12" t="n"/>
      <c r="CG280" s="12" t="n"/>
      <c r="CH280" s="12" t="n"/>
      <c r="CI280" s="12" t="n"/>
      <c r="CJ280" s="12" t="n"/>
      <c r="CK280" s="12" t="n"/>
      <c r="CL280" s="12" t="n"/>
      <c r="CM280" s="12" t="n"/>
      <c r="CN280" s="12" t="n"/>
      <c r="CO280" s="12" t="n"/>
      <c r="CP280" s="12" t="n"/>
      <c r="CQ280" s="12" t="n"/>
      <c r="CR280" s="12" t="n"/>
      <c r="CS280" s="12" t="n"/>
      <c r="CT280" s="12" t="n"/>
      <c r="CU280" s="12" t="n"/>
      <c r="CV280" s="12" t="n"/>
      <c r="CW280" s="12" t="n"/>
      <c r="CX280" s="12" t="n"/>
      <c r="CY280" s="12" t="n"/>
    </row>
    <row r="281" hidden="1" outlineLevel="1">
      <c r="C281" s="10" t="inlineStr">
        <is>
          <t>Taxes payable</t>
        </is>
      </c>
      <c r="D281" s="12" t="n"/>
      <c r="E281" s="12" t="n"/>
      <c r="F281" s="12" t="n"/>
      <c r="G281" s="12" t="n"/>
      <c r="H281" s="12" t="n"/>
      <c r="I281" s="12" t="n"/>
      <c r="J281" s="12">
        <f>J198-I198</f>
        <v>0</v>
      </c>
      <c r="K281" s="12">
        <f>K198-J198</f>
        <v>0</v>
      </c>
      <c r="L281" s="12">
        <f>L198-K198</f>
        <v>0</v>
      </c>
      <c r="M281" s="12" t="n"/>
      <c r="N281" s="12">
        <f>N198-M198</f>
        <v>0</v>
      </c>
      <c r="O281" s="12">
        <f>O198-N198</f>
        <v>0</v>
      </c>
      <c r="P281" s="12">
        <f>P198-O198</f>
        <v>0</v>
      </c>
      <c r="Q281" s="12">
        <f>Q198-P198</f>
        <v>0</v>
      </c>
      <c r="R281" s="12">
        <f>SUM(N281:Q281)</f>
        <v>0</v>
      </c>
      <c r="S281" s="12">
        <f>S198-R198</f>
        <v>0</v>
      </c>
      <c r="T281" s="12">
        <f>T198-S198</f>
        <v>0</v>
      </c>
      <c r="U281" s="12">
        <f>U198-T198</f>
        <v>0</v>
      </c>
      <c r="V281" s="12">
        <f>V198-U198</f>
        <v>0</v>
      </c>
      <c r="W281" s="12">
        <f>SUM(S281:V281)</f>
        <v>0</v>
      </c>
      <c r="X281" s="12">
        <f>X198-W198</f>
        <v>0</v>
      </c>
      <c r="Y281" s="12">
        <f>Y198-X198</f>
        <v>0</v>
      </c>
      <c r="Z281" s="12">
        <f>Z198-Y198</f>
        <v>0</v>
      </c>
      <c r="AA281" s="12">
        <f>AA198-Z198</f>
        <v>0</v>
      </c>
      <c r="AB281" s="12">
        <f>SUM(X281:AA281)</f>
        <v>0</v>
      </c>
      <c r="AC281" s="12">
        <f>AC198-AB198</f>
        <v>0</v>
      </c>
      <c r="AD281" s="12">
        <f>AD198-AC198</f>
        <v>0</v>
      </c>
      <c r="AE281" s="12">
        <f>AE198-AD198</f>
        <v>0</v>
      </c>
      <c r="AF281" s="12">
        <f>AF198-AE198</f>
        <v>0</v>
      </c>
      <c r="AG281" s="12">
        <f>SUM(AC281:AF281)</f>
        <v>0</v>
      </c>
      <c r="AH281" s="12">
        <f>AH198-AG198</f>
        <v>0</v>
      </c>
      <c r="AI281" s="12">
        <f>AI198-AH198</f>
        <v>0</v>
      </c>
      <c r="AJ281" s="12">
        <f>AJ198-AI198</f>
        <v>0</v>
      </c>
      <c r="AK281" s="12">
        <f>AK198-AJ198</f>
        <v>0</v>
      </c>
      <c r="AL281" s="12">
        <f>SUM(AH281:AK281)</f>
        <v>0</v>
      </c>
      <c r="AM281" s="12">
        <f>AM198-AL198</f>
        <v>0</v>
      </c>
      <c r="AN281" s="12">
        <f>AN198-AM198</f>
        <v>0</v>
      </c>
      <c r="AO281" s="12">
        <f>AO198-AN198</f>
        <v>0</v>
      </c>
      <c r="AP281" s="12">
        <f>AP198-AO198</f>
        <v>0</v>
      </c>
      <c r="AQ281" s="12">
        <f>SUM(AM281:AP281)</f>
        <v>0</v>
      </c>
      <c r="AR281" s="12">
        <f>AR198-AQ198</f>
        <v>0</v>
      </c>
      <c r="AS281" s="12">
        <f>AS198-AR198</f>
        <v>0</v>
      </c>
      <c r="AT281" s="12">
        <f>AT198-AS198</f>
        <v>0</v>
      </c>
      <c r="AU281" s="12">
        <f>AU198-AT198</f>
        <v>0</v>
      </c>
      <c r="AV281" s="12">
        <f>SUM(AR281:AU281)</f>
        <v>0</v>
      </c>
      <c r="AW281" s="12">
        <f>AW198-AV198</f>
        <v>0</v>
      </c>
      <c r="AX281" s="12">
        <f>AX198-AW198</f>
        <v>0</v>
      </c>
      <c r="AY281" s="12">
        <f>AY198-AX198</f>
        <v>0</v>
      </c>
      <c r="AZ281" s="12">
        <f>AZ198-AY198</f>
        <v>0</v>
      </c>
      <c r="BA281" s="12">
        <f>SUM(AW281:AZ281)</f>
        <v>0</v>
      </c>
      <c r="BB281" s="12">
        <f>BB198-BA198</f>
        <v>0</v>
      </c>
      <c r="BC281" s="12">
        <f>BC198-BB198</f>
        <v>0</v>
      </c>
      <c r="BD281" s="12">
        <f>BD198-BC198</f>
        <v>0</v>
      </c>
      <c r="BE281" s="12">
        <f>BE198-BD198</f>
        <v>0</v>
      </c>
      <c r="BF281" s="12">
        <f>SUM(BB281:BE281)</f>
        <v>0</v>
      </c>
      <c r="BG281" s="12" t="n"/>
      <c r="BH281" s="12" t="n"/>
      <c r="BI281" s="12" t="n"/>
      <c r="BJ281" s="12" t="n"/>
      <c r="BK281" s="12" t="n"/>
      <c r="BL281" s="12" t="n"/>
      <c r="BM281" s="12" t="n"/>
      <c r="BN281" s="12" t="n"/>
      <c r="BO281" s="12" t="n"/>
      <c r="BP281" s="12" t="n"/>
      <c r="BQ281" s="12" t="n"/>
      <c r="BR281" s="12" t="n"/>
      <c r="BS281" s="12" t="n"/>
      <c r="BT281" s="12" t="n"/>
      <c r="BU281" s="12" t="n"/>
      <c r="BV281" s="12" t="n"/>
      <c r="BW281" s="12" t="n"/>
      <c r="BX281" s="12" t="n"/>
      <c r="BY281" s="12" t="n"/>
      <c r="BZ281" s="12" t="n"/>
      <c r="CA281" s="12" t="n"/>
      <c r="CB281" s="12" t="n"/>
      <c r="CC281" s="12" t="n"/>
      <c r="CD281" s="12" t="n"/>
      <c r="CE281" s="12" t="n"/>
      <c r="CF281" s="12" t="n"/>
      <c r="CG281" s="12" t="n"/>
      <c r="CH281" s="12" t="n"/>
      <c r="CI281" s="12" t="n"/>
      <c r="CJ281" s="12" t="n"/>
      <c r="CK281" s="12" t="n"/>
      <c r="CL281" s="12" t="n"/>
      <c r="CM281" s="12" t="n"/>
      <c r="CN281" s="12" t="n"/>
      <c r="CO281" s="12" t="n"/>
      <c r="CP281" s="12" t="n"/>
      <c r="CQ281" s="12" t="n"/>
      <c r="CR281" s="12" t="n"/>
      <c r="CS281" s="12" t="n"/>
      <c r="CT281" s="12" t="n"/>
      <c r="CU281" s="12" t="n"/>
      <c r="CV281" s="12" t="n"/>
      <c r="CW281" s="12" t="n"/>
      <c r="CX281" s="12" t="n"/>
      <c r="CY281" s="12" t="n"/>
    </row>
    <row r="282" hidden="1" outlineLevel="1">
      <c r="C282" s="10" t="inlineStr">
        <is>
          <t>Other current liabilities (non-debt)</t>
        </is>
      </c>
      <c r="D282" s="12" t="n"/>
      <c r="E282" s="12" t="n"/>
      <c r="F282" s="12" t="n"/>
      <c r="G282" s="12" t="n"/>
      <c r="H282" s="12" t="n"/>
      <c r="I282" s="12" t="n"/>
      <c r="J282" s="12">
        <f>J199-I199</f>
        <v>584</v>
      </c>
      <c r="K282" s="12">
        <f>K199-J199</f>
        <v>978</v>
      </c>
      <c r="L282" s="12">
        <f>L199-K199</f>
        <v>-111</v>
      </c>
      <c r="M282" s="12" t="n"/>
      <c r="N282" s="12">
        <f>N199-M199</f>
        <v>604</v>
      </c>
      <c r="O282" s="12">
        <f>O199-N199</f>
        <v>325</v>
      </c>
      <c r="P282" s="12">
        <f>P199-O199</f>
        <v>105</v>
      </c>
      <c r="Q282" s="12">
        <f>Q199-P199</f>
        <v>740</v>
      </c>
      <c r="R282" s="12">
        <f>SUM(N282:Q282)</f>
        <v>1774</v>
      </c>
      <c r="S282" s="12">
        <f>S199-R199</f>
        <v>78</v>
      </c>
      <c r="T282" s="12">
        <f>T199-S199</f>
        <v>787</v>
      </c>
      <c r="U282" s="12">
        <f>U199-T199</f>
        <v>384</v>
      </c>
      <c r="V282" s="12">
        <f>V199-U199</f>
        <v>1614</v>
      </c>
      <c r="W282" s="12">
        <f>SUM(S282:V282)</f>
        <v>2863</v>
      </c>
      <c r="X282" s="12">
        <f>X199-W199</f>
        <v>411</v>
      </c>
      <c r="Y282" s="12">
        <f>Y199-X199</f>
        <v>-55</v>
      </c>
      <c r="Z282" s="12">
        <f>Z199-Y199</f>
        <v>1250</v>
      </c>
      <c r="AA282" s="12">
        <f>AA199-Z199</f>
        <v>424</v>
      </c>
      <c r="AB282" s="12">
        <f>SUM(X282:AA282)</f>
        <v>2030</v>
      </c>
      <c r="AC282" s="12">
        <f>AC199-AB199</f>
        <v>-65</v>
      </c>
      <c r="AD282" s="12">
        <f>AD199-AC199</f>
        <v>514</v>
      </c>
      <c r="AE282" s="12">
        <f>AE199-AD199</f>
        <v>1675</v>
      </c>
      <c r="AF282" s="12">
        <f>AF199-AE199</f>
        <v>-128</v>
      </c>
      <c r="AG282" s="12">
        <f>SUM(AC282:AF282)</f>
        <v>1996</v>
      </c>
      <c r="AH282" s="12">
        <f>AH199-AG199</f>
        <v>1099</v>
      </c>
      <c r="AI282" s="12">
        <f>AI199-AH199</f>
        <v>659</v>
      </c>
      <c r="AJ282" s="12">
        <f>AJ199-AI199</f>
        <v>0</v>
      </c>
      <c r="AK282" s="12">
        <f>AK199-AJ199</f>
        <v>0</v>
      </c>
      <c r="AL282" s="12">
        <f>SUM(AH282:AK282)</f>
        <v>1758</v>
      </c>
      <c r="AM282" s="12">
        <f>AM199-AL199</f>
        <v>0</v>
      </c>
      <c r="AN282" s="12">
        <f>AN199-AM199</f>
        <v>0</v>
      </c>
      <c r="AO282" s="12">
        <f>AO199-AN199</f>
        <v>0</v>
      </c>
      <c r="AP282" s="12">
        <f>AP199-AO199</f>
        <v>0</v>
      </c>
      <c r="AQ282" s="12">
        <f>SUM(AM282:AP282)</f>
        <v>0</v>
      </c>
      <c r="AR282" s="12">
        <f>AR199-AQ199</f>
        <v>0</v>
      </c>
      <c r="AS282" s="12">
        <f>AS199-AR199</f>
        <v>0</v>
      </c>
      <c r="AT282" s="12">
        <f>AT199-AS199</f>
        <v>0</v>
      </c>
      <c r="AU282" s="12">
        <f>AU199-AT199</f>
        <v>0</v>
      </c>
      <c r="AV282" s="12">
        <f>SUM(AR282:AU282)</f>
        <v>0</v>
      </c>
      <c r="AW282" s="12">
        <f>AW199-AV199</f>
        <v>0</v>
      </c>
      <c r="AX282" s="12">
        <f>AX199-AW199</f>
        <v>0</v>
      </c>
      <c r="AY282" s="12">
        <f>AY199-AX199</f>
        <v>0</v>
      </c>
      <c r="AZ282" s="12">
        <f>AZ199-AY199</f>
        <v>0</v>
      </c>
      <c r="BA282" s="12">
        <f>SUM(AW282:AZ282)</f>
        <v>0</v>
      </c>
      <c r="BB282" s="12">
        <f>BB199-BA199</f>
        <v>0</v>
      </c>
      <c r="BC282" s="12">
        <f>BC199-BB199</f>
        <v>0</v>
      </c>
      <c r="BD282" s="12">
        <f>BD199-BC199</f>
        <v>0</v>
      </c>
      <c r="BE282" s="12">
        <f>BE199-BD199</f>
        <v>0</v>
      </c>
      <c r="BF282" s="12">
        <f>SUM(BB282:BE282)</f>
        <v>0</v>
      </c>
      <c r="BG282" s="12" t="n"/>
      <c r="BH282" s="12" t="n"/>
      <c r="BI282" s="12" t="n"/>
      <c r="BJ282" s="12" t="n"/>
      <c r="BK282" s="12" t="n"/>
      <c r="BL282" s="12" t="n"/>
      <c r="BM282" s="12" t="n"/>
      <c r="BN282" s="12" t="n"/>
      <c r="BO282" s="12" t="n"/>
      <c r="BP282" s="12" t="n"/>
      <c r="BQ282" s="12" t="n"/>
      <c r="BR282" s="12" t="n"/>
      <c r="BS282" s="12" t="n"/>
      <c r="BT282" s="12" t="n"/>
      <c r="BU282" s="12" t="n"/>
      <c r="BV282" s="12" t="n"/>
      <c r="BW282" s="12" t="n"/>
      <c r="BX282" s="12" t="n"/>
      <c r="BY282" s="12" t="n"/>
      <c r="BZ282" s="12" t="n"/>
      <c r="CA282" s="12" t="n"/>
      <c r="CB282" s="12" t="n"/>
      <c r="CC282" s="12" t="n"/>
      <c r="CD282" s="12" t="n"/>
      <c r="CE282" s="12" t="n"/>
      <c r="CF282" s="12" t="n"/>
      <c r="CG282" s="12" t="n"/>
      <c r="CH282" s="12" t="n"/>
      <c r="CI282" s="12" t="n"/>
      <c r="CJ282" s="12" t="n"/>
      <c r="CK282" s="12" t="n"/>
      <c r="CL282" s="12" t="n"/>
      <c r="CM282" s="12" t="n"/>
      <c r="CN282" s="12" t="n"/>
      <c r="CO282" s="12" t="n"/>
      <c r="CP282" s="12" t="n"/>
      <c r="CQ282" s="12" t="n"/>
      <c r="CR282" s="12" t="n"/>
      <c r="CS282" s="12" t="n"/>
      <c r="CT282" s="12" t="n"/>
      <c r="CU282" s="12" t="n"/>
      <c r="CV282" s="12" t="n"/>
      <c r="CW282" s="12" t="n"/>
      <c r="CX282" s="12" t="n"/>
      <c r="CY282" s="12" t="n"/>
    </row>
    <row r="283" hidden="1" outlineLevel="1">
      <c r="C283" s="10" t="inlineStr">
        <is>
          <t>Deferred income taxes</t>
        </is>
      </c>
      <c r="D283" s="12" t="n"/>
      <c r="E283" s="12" t="n"/>
      <c r="F283" s="12" t="n"/>
      <c r="G283" s="12" t="n"/>
      <c r="H283" s="12" t="n"/>
      <c r="I283" s="12" t="n"/>
      <c r="J283" s="12">
        <f>J233-I233</f>
        <v>0</v>
      </c>
      <c r="K283" s="12">
        <f>K233-J233</f>
        <v>0</v>
      </c>
      <c r="L283" s="12">
        <f>L233-K233</f>
        <v>0</v>
      </c>
      <c r="M283" s="12" t="n"/>
      <c r="N283" s="12">
        <f>N233-M233</f>
        <v>0</v>
      </c>
      <c r="O283" s="12">
        <f>O233-N233</f>
        <v>0</v>
      </c>
      <c r="P283" s="12">
        <f>P233-O233</f>
        <v>0</v>
      </c>
      <c r="Q283" s="12">
        <f>Q233-P233</f>
        <v>0</v>
      </c>
      <c r="R283" s="12">
        <f>SUM(N283:Q283)</f>
        <v>0</v>
      </c>
      <c r="S283" s="12">
        <f>S233-R233</f>
        <v>0</v>
      </c>
      <c r="T283" s="12">
        <f>T233-S233</f>
        <v>0</v>
      </c>
      <c r="U283" s="12">
        <f>U233-T233</f>
        <v>0</v>
      </c>
      <c r="V283" s="12">
        <f>V233-U233</f>
        <v>0</v>
      </c>
      <c r="W283" s="12">
        <f>SUM(S283:V283)</f>
        <v>0</v>
      </c>
      <c r="X283" s="12">
        <f>X233-W233</f>
        <v>0</v>
      </c>
      <c r="Y283" s="12">
        <f>Y233-X233</f>
        <v>0</v>
      </c>
      <c r="Z283" s="12">
        <f>Z233-Y233</f>
        <v>0</v>
      </c>
      <c r="AA283" s="12">
        <f>AA233-Z233</f>
        <v>0</v>
      </c>
      <c r="AB283" s="12">
        <f>SUM(X283:AA283)</f>
        <v>0</v>
      </c>
      <c r="AC283" s="12">
        <f>AC233-AB233</f>
        <v>0</v>
      </c>
      <c r="AD283" s="12">
        <f>AD233-AC233</f>
        <v>0</v>
      </c>
      <c r="AE283" s="12">
        <f>AE233-AD233</f>
        <v>0</v>
      </c>
      <c r="AF283" s="12">
        <f>AF233-AE233</f>
        <v>0</v>
      </c>
      <c r="AG283" s="12">
        <f>SUM(AC283:AF283)</f>
        <v>0</v>
      </c>
      <c r="AH283" s="12">
        <f>AH233-AG233</f>
        <v>0</v>
      </c>
      <c r="AI283" s="12">
        <f>AI233-AH233</f>
        <v>0</v>
      </c>
      <c r="AJ283" s="12">
        <f>AJ233-AI233</f>
        <v>0</v>
      </c>
      <c r="AK283" s="12">
        <f>AK233-AJ233</f>
        <v>0</v>
      </c>
      <c r="AL283" s="12">
        <f>SUM(AH283:AK283)</f>
        <v>0</v>
      </c>
      <c r="AM283" s="12">
        <f>AM233-AL233</f>
        <v>0</v>
      </c>
      <c r="AN283" s="12">
        <f>AN233-AM233</f>
        <v>0</v>
      </c>
      <c r="AO283" s="12">
        <f>AO233-AN233</f>
        <v>0</v>
      </c>
      <c r="AP283" s="12">
        <f>AP233-AO233</f>
        <v>0</v>
      </c>
      <c r="AQ283" s="12">
        <f>SUM(AM283:AP283)</f>
        <v>0</v>
      </c>
      <c r="AR283" s="12">
        <f>AR233-AQ233</f>
        <v>0</v>
      </c>
      <c r="AS283" s="12">
        <f>AS233-AR233</f>
        <v>0</v>
      </c>
      <c r="AT283" s="12">
        <f>AT233-AS233</f>
        <v>0</v>
      </c>
      <c r="AU283" s="12">
        <f>AU233-AT233</f>
        <v>0</v>
      </c>
      <c r="AV283" s="12">
        <f>SUM(AR283:AU283)</f>
        <v>0</v>
      </c>
      <c r="AW283" s="12">
        <f>AW233-AV233</f>
        <v>0</v>
      </c>
      <c r="AX283" s="12">
        <f>AX233-AW233</f>
        <v>0</v>
      </c>
      <c r="AY283" s="12">
        <f>AY233-AX233</f>
        <v>0</v>
      </c>
      <c r="AZ283" s="12">
        <f>AZ233-AY233</f>
        <v>0</v>
      </c>
      <c r="BA283" s="12">
        <f>SUM(AW283:AZ283)</f>
        <v>0</v>
      </c>
      <c r="BB283" s="12">
        <f>BB233-BA233</f>
        <v>0</v>
      </c>
      <c r="BC283" s="12">
        <f>BC233-BB233</f>
        <v>0</v>
      </c>
      <c r="BD283" s="12">
        <f>BD233-BC233</f>
        <v>0</v>
      </c>
      <c r="BE283" s="12">
        <f>BE233-BD233</f>
        <v>0</v>
      </c>
      <c r="BF283" s="12">
        <f>SUM(BB283:BE283)</f>
        <v>0</v>
      </c>
      <c r="BG283" s="12" t="n"/>
      <c r="BH283" s="12" t="n"/>
      <c r="BI283" s="12" t="n"/>
      <c r="BJ283" s="12" t="n"/>
      <c r="BK283" s="12" t="n"/>
      <c r="BL283" s="12" t="n"/>
      <c r="BM283" s="12" t="n"/>
      <c r="BN283" s="12" t="n"/>
      <c r="BO283" s="12" t="n"/>
      <c r="BP283" s="12" t="n"/>
      <c r="BQ283" s="12" t="n"/>
      <c r="BR283" s="12" t="n"/>
      <c r="BS283" s="12" t="n"/>
      <c r="BT283" s="12" t="n"/>
      <c r="BU283" s="12" t="n"/>
      <c r="BV283" s="12" t="n"/>
      <c r="BW283" s="12" t="n"/>
      <c r="BX283" s="12" t="n"/>
      <c r="BY283" s="12" t="n"/>
      <c r="BZ283" s="12" t="n"/>
      <c r="CA283" s="12" t="n"/>
      <c r="CB283" s="12" t="n"/>
      <c r="CC283" s="12" t="n"/>
      <c r="CD283" s="12" t="n"/>
      <c r="CE283" s="12" t="n"/>
      <c r="CF283" s="12" t="n"/>
      <c r="CG283" s="12" t="n"/>
      <c r="CH283" s="12" t="n"/>
      <c r="CI283" s="12" t="n"/>
      <c r="CJ283" s="12" t="n"/>
      <c r="CK283" s="12" t="n"/>
      <c r="CL283" s="12" t="n"/>
      <c r="CM283" s="12" t="n"/>
      <c r="CN283" s="12" t="n"/>
      <c r="CO283" s="12" t="n"/>
      <c r="CP283" s="12" t="n"/>
      <c r="CQ283" s="12" t="n"/>
      <c r="CR283" s="12" t="n"/>
      <c r="CS283" s="12" t="n"/>
      <c r="CT283" s="12" t="n"/>
      <c r="CU283" s="12" t="n"/>
      <c r="CV283" s="12" t="n"/>
      <c r="CW283" s="12" t="n"/>
      <c r="CX283" s="12" t="n"/>
      <c r="CY283" s="12" t="n"/>
    </row>
    <row r="284" collapsed="1">
      <c r="C284" s="10" t="inlineStr">
        <is>
          <t>Equity income in affiliates</t>
        </is>
      </c>
      <c r="D284" s="12" t="n"/>
      <c r="E284" s="12" t="n"/>
      <c r="F284" s="12" t="n"/>
      <c r="G284" s="12" t="n"/>
      <c r="H284" s="12" t="n"/>
      <c r="I284" s="12" t="n"/>
      <c r="J284" s="12">
        <f>(J155-I155)*-1</f>
        <v>0</v>
      </c>
      <c r="K284" s="12">
        <f>(K155-J155)*-1</f>
        <v>0</v>
      </c>
      <c r="L284" s="12">
        <f>(L155-K155)*-1</f>
        <v>0</v>
      </c>
      <c r="M284" s="12" t="n"/>
      <c r="N284" s="12">
        <f>(N155-M155)*-1</f>
        <v>0</v>
      </c>
      <c r="O284" s="12">
        <f>(O155-N155)*-1</f>
        <v>0</v>
      </c>
      <c r="P284" s="12">
        <f>(P155-O155)*-1</f>
        <v>0</v>
      </c>
      <c r="Q284" s="12">
        <f>(Q155-P155)*-1</f>
        <v>0</v>
      </c>
      <c r="R284" s="12">
        <f>SUM(N284:Q284)</f>
        <v>0</v>
      </c>
      <c r="S284" s="12">
        <f>(S155-R155)*-1</f>
        <v>0</v>
      </c>
      <c r="T284" s="12">
        <f>(T155-S155)*-1</f>
        <v>0</v>
      </c>
      <c r="U284" s="12">
        <f>(U155-T155)*-1</f>
        <v>0</v>
      </c>
      <c r="V284" s="12">
        <f>(V155-U155)*-1</f>
        <v>0</v>
      </c>
      <c r="W284" s="12">
        <f>SUM(S284:V284)</f>
        <v>0</v>
      </c>
      <c r="X284" s="12">
        <f>(X155-W155)*-1</f>
        <v>0</v>
      </c>
      <c r="Y284" s="12">
        <f>(Y155-X155)*-1</f>
        <v>0</v>
      </c>
      <c r="Z284" s="12">
        <f>(Z155-Y155)*-1</f>
        <v>0</v>
      </c>
      <c r="AA284" s="12">
        <f>(AA155-Z155)*-1</f>
        <v>0</v>
      </c>
      <c r="AB284" s="12">
        <f>SUM(X284:AA284)</f>
        <v>0</v>
      </c>
      <c r="AC284" s="12">
        <f>(AC155-AB155)*-1</f>
        <v>0</v>
      </c>
      <c r="AD284" s="12">
        <f>(AD155-AC155)*-1</f>
        <v>0</v>
      </c>
      <c r="AE284" s="12">
        <f>(AE155-AD155)*-1</f>
        <v>0</v>
      </c>
      <c r="AF284" s="12">
        <f>(AF155-AE155)*-1</f>
        <v>0</v>
      </c>
      <c r="AG284" s="12">
        <f>SUM(AC284:AF284)</f>
        <v>0</v>
      </c>
      <c r="AH284" s="12">
        <f>(AH155-AG155)*-1</f>
        <v>0</v>
      </c>
      <c r="AI284" s="12">
        <f>(AI155-AH155)*-1</f>
        <v>0</v>
      </c>
      <c r="AJ284" s="12">
        <f>(AJ155-AI155)*-1</f>
        <v>0</v>
      </c>
      <c r="AK284" s="12">
        <f>(AK155-AJ155)*-1</f>
        <v>0</v>
      </c>
      <c r="AL284" s="12">
        <f>SUM(AH284:AK284)</f>
        <v>0</v>
      </c>
      <c r="AM284" s="12">
        <f>(AM155-AL155)*-1</f>
        <v>0</v>
      </c>
      <c r="AN284" s="12">
        <f>(AN155-AM155)*-1</f>
        <v>0</v>
      </c>
      <c r="AO284" s="12">
        <f>(AO155-AN155)*-1</f>
        <v>0</v>
      </c>
      <c r="AP284" s="12">
        <f>(AP155-AO155)*-1</f>
        <v>0</v>
      </c>
      <c r="AQ284" s="12">
        <f>SUM(AM284:AP284)</f>
        <v>0</v>
      </c>
      <c r="AR284" s="12">
        <f>(AR155-AQ155)*-1</f>
        <v>0</v>
      </c>
      <c r="AS284" s="12">
        <f>(AS155-AR155)*-1</f>
        <v>0</v>
      </c>
      <c r="AT284" s="12">
        <f>(AT155-AS155)*-1</f>
        <v>0</v>
      </c>
      <c r="AU284" s="12">
        <f>(AU155-AT155)*-1</f>
        <v>0</v>
      </c>
      <c r="AV284" s="12">
        <f>SUM(AR284:AU284)</f>
        <v>0</v>
      </c>
      <c r="AW284" s="12">
        <f>(AW155-AV155)*-1</f>
        <v>0</v>
      </c>
      <c r="AX284" s="12">
        <f>(AX155-AW155)*-1</f>
        <v>0</v>
      </c>
      <c r="AY284" s="12">
        <f>(AY155-AX155)*-1</f>
        <v>0</v>
      </c>
      <c r="AZ284" s="12">
        <f>(AZ155-AY155)*-1</f>
        <v>0</v>
      </c>
      <c r="BA284" s="12">
        <f>SUM(AW284:AZ284)</f>
        <v>0</v>
      </c>
      <c r="BB284" s="12">
        <f>(BB155-BA155)*-1</f>
        <v>0</v>
      </c>
      <c r="BC284" s="12">
        <f>(BC155-BB155)*-1</f>
        <v>0</v>
      </c>
      <c r="BD284" s="12">
        <f>(BD155-BC155)*-1</f>
        <v>0</v>
      </c>
      <c r="BE284" s="12">
        <f>(BE155-BD155)*-1</f>
        <v>0</v>
      </c>
      <c r="BF284" s="12">
        <f>SUM(BB284:BE284)</f>
        <v>0</v>
      </c>
      <c r="BG284" s="12" t="n"/>
      <c r="BH284" s="12" t="n"/>
      <c r="BI284" s="12" t="n"/>
      <c r="BJ284" s="12" t="n"/>
      <c r="BK284" s="12" t="n"/>
      <c r="BL284" s="12" t="n"/>
      <c r="BM284" s="12" t="n"/>
      <c r="BN284" s="12" t="n"/>
      <c r="BO284" s="12" t="n"/>
      <c r="BP284" s="12" t="n"/>
      <c r="BQ284" s="12" t="n"/>
      <c r="BR284" s="12" t="n"/>
      <c r="BS284" s="12" t="n"/>
      <c r="BT284" s="12" t="n"/>
      <c r="BU284" s="12" t="n"/>
      <c r="BV284" s="12" t="n"/>
      <c r="BW284" s="12" t="n"/>
      <c r="BX284" s="12" t="n"/>
      <c r="BY284" s="12" t="n"/>
      <c r="BZ284" s="12" t="n"/>
      <c r="CA284" s="12" t="n"/>
      <c r="CB284" s="12" t="n"/>
      <c r="CC284" s="12" t="n"/>
      <c r="CD284" s="12" t="n"/>
      <c r="CE284" s="12" t="n"/>
      <c r="CF284" s="12" t="n"/>
      <c r="CG284" s="12" t="n"/>
      <c r="CH284" s="12" t="n"/>
      <c r="CI284" s="12" t="n"/>
      <c r="CJ284" s="12" t="n"/>
      <c r="CK284" s="12" t="n"/>
      <c r="CL284" s="12" t="n"/>
      <c r="CM284" s="12" t="n"/>
      <c r="CN284" s="12" t="n"/>
      <c r="CO284" s="12" t="n"/>
      <c r="CP284" s="12" t="n"/>
      <c r="CQ284" s="12" t="n"/>
      <c r="CR284" s="12" t="n"/>
      <c r="CS284" s="12" t="n"/>
      <c r="CT284" s="12" t="n"/>
      <c r="CU284" s="12" t="n"/>
      <c r="CV284" s="12" t="n"/>
      <c r="CW284" s="12" t="n"/>
      <c r="CX284" s="12" t="n"/>
      <c r="CY284" s="12" t="n"/>
    </row>
    <row r="285">
      <c r="C285" s="10" t="inlineStr">
        <is>
          <t>Dividends received from affiliates</t>
        </is>
      </c>
      <c r="D285" s="12" t="n"/>
      <c r="E285" s="12" t="n"/>
      <c r="F285" s="12" t="n"/>
      <c r="G285" s="12" t="n"/>
      <c r="H285" s="12" t="n"/>
      <c r="I285" s="12" t="n"/>
      <c r="J285" s="12">
        <f>-J158</f>
        <v>0</v>
      </c>
      <c r="K285" s="12">
        <f>-K158</f>
        <v>0</v>
      </c>
      <c r="L285" s="12">
        <f>-L158</f>
        <v>0</v>
      </c>
      <c r="M285" s="12" t="n"/>
      <c r="N285" s="12">
        <f>-N158</f>
        <v>0</v>
      </c>
      <c r="O285" s="12">
        <f>-O158</f>
        <v>0</v>
      </c>
      <c r="P285" s="12">
        <f>-P158</f>
        <v>0</v>
      </c>
      <c r="Q285" s="12">
        <f>-Q158</f>
        <v>0</v>
      </c>
      <c r="R285" s="12">
        <f>SUM(N285:Q285)</f>
        <v>0</v>
      </c>
      <c r="S285" s="12">
        <f>-S158</f>
        <v>0</v>
      </c>
      <c r="T285" s="12">
        <f>-T158</f>
        <v>0</v>
      </c>
      <c r="U285" s="12">
        <f>-U158</f>
        <v>0</v>
      </c>
      <c r="V285" s="12">
        <f>-V158</f>
        <v>0</v>
      </c>
      <c r="W285" s="12">
        <f>SUM(S285:V285)</f>
        <v>0</v>
      </c>
      <c r="X285" s="12">
        <f>-X158</f>
        <v>0</v>
      </c>
      <c r="Y285" s="12">
        <f>-Y158</f>
        <v>0</v>
      </c>
      <c r="Z285" s="12">
        <f>-Z158</f>
        <v>0</v>
      </c>
      <c r="AA285" s="12">
        <f>-AA158</f>
        <v>0</v>
      </c>
      <c r="AB285" s="12">
        <f>SUM(X285:AA285)</f>
        <v>0</v>
      </c>
      <c r="AC285" s="12">
        <f>-AC158</f>
        <v>0</v>
      </c>
      <c r="AD285" s="12">
        <f>-AD158</f>
        <v>0</v>
      </c>
      <c r="AE285" s="12">
        <f>-AE158</f>
        <v>0</v>
      </c>
      <c r="AF285" s="12">
        <f>-AF158</f>
        <v>0</v>
      </c>
      <c r="AG285" s="12">
        <f>SUM(AC285:AF285)</f>
        <v>0</v>
      </c>
      <c r="AH285" s="12">
        <f>-AH158</f>
        <v>0</v>
      </c>
      <c r="AI285" s="12">
        <f>-AI158</f>
        <v>0</v>
      </c>
      <c r="AJ285" s="12">
        <f>-AJ158</f>
        <v>0</v>
      </c>
      <c r="AK285" s="12">
        <f>-AK158</f>
        <v>0</v>
      </c>
      <c r="AL285" s="12">
        <f>SUM(AH285:AK285)</f>
        <v>0</v>
      </c>
      <c r="AM285" s="12">
        <f>-AM158</f>
        <v>0</v>
      </c>
      <c r="AN285" s="12">
        <f>-AN158</f>
        <v>0</v>
      </c>
      <c r="AO285" s="12">
        <f>-AO158</f>
        <v>0</v>
      </c>
      <c r="AP285" s="12">
        <f>-AP158</f>
        <v>0</v>
      </c>
      <c r="AQ285" s="12">
        <f>SUM(AM285:AP285)</f>
        <v>0</v>
      </c>
      <c r="AR285" s="12">
        <f>-AR158</f>
        <v>0</v>
      </c>
      <c r="AS285" s="12">
        <f>-AS158</f>
        <v>0</v>
      </c>
      <c r="AT285" s="12">
        <f>-AT158</f>
        <v>0</v>
      </c>
      <c r="AU285" s="12">
        <f>-AU158</f>
        <v>0</v>
      </c>
      <c r="AV285" s="12">
        <f>SUM(AR285:AU285)</f>
        <v>0</v>
      </c>
      <c r="AW285" s="12">
        <f>-AW158</f>
        <v>0</v>
      </c>
      <c r="AX285" s="12">
        <f>-AX158</f>
        <v>0</v>
      </c>
      <c r="AY285" s="12">
        <f>-AY158</f>
        <v>0</v>
      </c>
      <c r="AZ285" s="12">
        <f>-AZ158</f>
        <v>0</v>
      </c>
      <c r="BA285" s="12">
        <f>SUM(AW285:AZ285)</f>
        <v>0</v>
      </c>
      <c r="BB285" s="12">
        <f>-BB158</f>
        <v>0</v>
      </c>
      <c r="BC285" s="12">
        <f>-BC158</f>
        <v>0</v>
      </c>
      <c r="BD285" s="12">
        <f>-BD158</f>
        <v>0</v>
      </c>
      <c r="BE285" s="12">
        <f>-BE158</f>
        <v>0</v>
      </c>
      <c r="BF285" s="12">
        <f>SUM(BB285:BE285)</f>
        <v>0</v>
      </c>
      <c r="BG285" s="12" t="n"/>
      <c r="BH285" s="12" t="n"/>
      <c r="BI285" s="12" t="n"/>
      <c r="BJ285" s="12" t="n"/>
      <c r="BK285" s="12" t="n"/>
      <c r="BL285" s="12" t="n"/>
      <c r="BM285" s="12" t="n"/>
      <c r="BN285" s="12" t="n"/>
      <c r="BO285" s="12" t="n"/>
      <c r="BP285" s="12" t="n"/>
      <c r="BQ285" s="12" t="n"/>
      <c r="BR285" s="12" t="n"/>
      <c r="BS285" s="12" t="n"/>
      <c r="BT285" s="12" t="n"/>
      <c r="BU285" s="12" t="n"/>
      <c r="BV285" s="12" t="n"/>
      <c r="BW285" s="12" t="n"/>
      <c r="BX285" s="12" t="n"/>
      <c r="BY285" s="12" t="n"/>
      <c r="BZ285" s="12" t="n"/>
      <c r="CA285" s="12" t="n"/>
      <c r="CB285" s="12" t="n"/>
      <c r="CC285" s="12" t="n"/>
      <c r="CD285" s="12" t="n"/>
      <c r="CE285" s="12" t="n"/>
      <c r="CF285" s="12" t="n"/>
      <c r="CG285" s="12" t="n"/>
      <c r="CH285" s="12" t="n"/>
      <c r="CI285" s="12" t="n"/>
      <c r="CJ285" s="12" t="n"/>
      <c r="CK285" s="12" t="n"/>
      <c r="CL285" s="12" t="n"/>
      <c r="CM285" s="12" t="n"/>
      <c r="CN285" s="12" t="n"/>
      <c r="CO285" s="12" t="n"/>
      <c r="CP285" s="12" t="n"/>
      <c r="CQ285" s="12" t="n"/>
      <c r="CR285" s="12" t="n"/>
      <c r="CS285" s="12" t="n"/>
      <c r="CT285" s="12" t="n"/>
      <c r="CU285" s="12" t="n"/>
      <c r="CV285" s="12" t="n"/>
      <c r="CW285" s="12" t="n"/>
      <c r="CX285" s="12" t="n"/>
      <c r="CY285" s="12" t="n"/>
    </row>
    <row r="286">
      <c r="C286" s="71" t="inlineStr">
        <is>
          <t>Minority interest expense</t>
        </is>
      </c>
      <c r="D286" s="12" t="n"/>
      <c r="E286" s="12" t="n"/>
      <c r="F286" s="12" t="n"/>
      <c r="G286" s="12" t="n"/>
      <c r="H286" s="12" t="n"/>
      <c r="I286" s="12" t="n"/>
      <c r="J286" s="12">
        <f>-J130</f>
        <v>36</v>
      </c>
      <c r="K286" s="12">
        <f>-K130</f>
        <v>41</v>
      </c>
      <c r="L286" s="12">
        <f>-L130</f>
        <v>22</v>
      </c>
      <c r="M286" s="12" t="n"/>
      <c r="N286" s="12">
        <f>-N130</f>
        <v>-38</v>
      </c>
      <c r="O286" s="12">
        <f>-O130</f>
        <v>10</v>
      </c>
      <c r="P286" s="12">
        <f>-P130</f>
        <v>39</v>
      </c>
      <c r="Q286" s="12">
        <f>-Q130</f>
        <v>20</v>
      </c>
      <c r="R286" s="12">
        <f>SUM(N286:Q286)</f>
        <v>31</v>
      </c>
      <c r="S286" s="12">
        <f>-S130</f>
        <v>26</v>
      </c>
      <c r="T286" s="12">
        <f>-T130</f>
        <v>-89</v>
      </c>
      <c r="U286" s="12">
        <f>-U130</f>
        <v>25</v>
      </c>
      <c r="V286" s="12">
        <f>-V130</f>
        <v>15</v>
      </c>
      <c r="W286" s="12">
        <f>SUM(S286:V286)</f>
        <v>-23</v>
      </c>
      <c r="X286" s="12">
        <f>-X130</f>
        <v>15</v>
      </c>
      <c r="Y286" s="12">
        <f>-Y130</f>
        <v>16</v>
      </c>
      <c r="Z286" s="12">
        <f>-Z130</f>
        <v>16</v>
      </c>
      <c r="AA286" s="12">
        <f>-AA130</f>
        <v>15</v>
      </c>
      <c r="AB286" s="12">
        <f>SUM(X286:AA286)</f>
        <v>62</v>
      </c>
      <c r="AC286" s="12">
        <f>-AC130</f>
        <v>11</v>
      </c>
      <c r="AD286" s="12">
        <f>-AD130</f>
        <v>18</v>
      </c>
      <c r="AE286" s="12">
        <f>-AE130</f>
        <v>16</v>
      </c>
      <c r="AF286" s="12">
        <f>-AF130</f>
        <v>16</v>
      </c>
      <c r="AG286" s="12">
        <f>SUM(AC286:AF286)</f>
        <v>61</v>
      </c>
      <c r="AH286" s="12">
        <f>-AH130</f>
        <v>14</v>
      </c>
      <c r="AI286" s="12">
        <f>-AI130</f>
        <v>14</v>
      </c>
      <c r="AJ286" s="12">
        <f>-AJ130</f>
        <v>0</v>
      </c>
      <c r="AK286" s="12">
        <f>-AK130</f>
        <v>0</v>
      </c>
      <c r="AL286" s="12">
        <f>SUM(AH286:AK286)</f>
        <v>28</v>
      </c>
      <c r="AM286" s="12">
        <f>-AM130</f>
        <v>0</v>
      </c>
      <c r="AN286" s="12">
        <f>-AN130</f>
        <v>0</v>
      </c>
      <c r="AO286" s="12">
        <f>-AO130</f>
        <v>0</v>
      </c>
      <c r="AP286" s="12">
        <f>-AP130</f>
        <v>0</v>
      </c>
      <c r="AQ286" s="12">
        <f>SUM(AM286:AP286)</f>
        <v>0</v>
      </c>
      <c r="AR286" s="12">
        <f>-AR130</f>
        <v>0</v>
      </c>
      <c r="AS286" s="12">
        <f>-AS130</f>
        <v>0</v>
      </c>
      <c r="AT286" s="12">
        <f>-AT130</f>
        <v>0</v>
      </c>
      <c r="AU286" s="12">
        <f>-AU130</f>
        <v>0</v>
      </c>
      <c r="AV286" s="12">
        <f>SUM(AR286:AU286)</f>
        <v>0</v>
      </c>
      <c r="AW286" s="12">
        <f>-AW130</f>
        <v>0</v>
      </c>
      <c r="AX286" s="12">
        <f>-AX130</f>
        <v>0</v>
      </c>
      <c r="AY286" s="12">
        <f>-AY130</f>
        <v>0</v>
      </c>
      <c r="AZ286" s="12">
        <f>-AZ130</f>
        <v>0</v>
      </c>
      <c r="BA286" s="12">
        <f>SUM(AW286:AZ286)</f>
        <v>0</v>
      </c>
      <c r="BB286" s="12">
        <f>-BB130</f>
        <v>0</v>
      </c>
      <c r="BC286" s="12">
        <f>-BC130</f>
        <v>0</v>
      </c>
      <c r="BD286" s="12">
        <f>-BD130</f>
        <v>0</v>
      </c>
      <c r="BE286" s="12">
        <f>-BE130</f>
        <v>0</v>
      </c>
      <c r="BF286" s="12">
        <f>SUM(BB286:BE286)</f>
        <v>0</v>
      </c>
      <c r="BG286" s="12" t="n"/>
      <c r="BH286" s="12" t="n"/>
      <c r="BI286" s="12" t="n"/>
      <c r="BJ286" s="12" t="n"/>
      <c r="BK286" s="12" t="n"/>
      <c r="BL286" s="12" t="n"/>
      <c r="BM286" s="12" t="n"/>
      <c r="BN286" s="12" t="n"/>
      <c r="BO286" s="12" t="n"/>
      <c r="BP286" s="12" t="n"/>
      <c r="BQ286" s="12" t="n"/>
      <c r="BR286" s="12" t="n"/>
      <c r="BS286" s="12" t="n"/>
      <c r="BT286" s="12" t="n"/>
      <c r="BU286" s="12" t="n"/>
      <c r="BV286" s="12" t="n"/>
      <c r="BW286" s="12" t="n"/>
      <c r="BX286" s="12" t="n"/>
      <c r="BY286" s="12" t="n"/>
      <c r="BZ286" s="12" t="n"/>
      <c r="CA286" s="12" t="n"/>
      <c r="CB286" s="12" t="n"/>
      <c r="CC286" s="12" t="n"/>
      <c r="CD286" s="12" t="n"/>
      <c r="CE286" s="12" t="n"/>
      <c r="CF286" s="12" t="n"/>
      <c r="CG286" s="12" t="n"/>
      <c r="CH286" s="12" t="n"/>
      <c r="CI286" s="12" t="n"/>
      <c r="CJ286" s="12" t="n"/>
      <c r="CK286" s="12" t="n"/>
      <c r="CL286" s="12" t="n"/>
      <c r="CM286" s="12" t="n"/>
      <c r="CN286" s="12" t="n"/>
      <c r="CO286" s="12" t="n"/>
      <c r="CP286" s="12" t="n"/>
      <c r="CQ286" s="12" t="n"/>
      <c r="CR286" s="12" t="n"/>
      <c r="CS286" s="12" t="n"/>
      <c r="CT286" s="12" t="n"/>
      <c r="CU286" s="12" t="n"/>
      <c r="CV286" s="12" t="n"/>
      <c r="CW286" s="12" t="n"/>
      <c r="CX286" s="12" t="n"/>
      <c r="CY286" s="12" t="n"/>
    </row>
    <row r="287">
      <c r="C287" s="14" t="inlineStr">
        <is>
          <t>Cash from operations</t>
        </is>
      </c>
      <c r="D287" s="12" t="n"/>
      <c r="E287" s="12" t="n"/>
      <c r="F287" s="12" t="n"/>
      <c r="G287" s="12" t="n"/>
      <c r="H287" s="12" t="n"/>
      <c r="I287" s="12" t="n"/>
      <c r="J287" s="12">
        <f>SUM(J271,J272,J273,J284,J285,J286)</f>
        <v>2453</v>
      </c>
      <c r="K287" s="12">
        <f>SUM(K271,K272,K273,K284,K285,K286)</f>
        <v>3657</v>
      </c>
      <c r="L287" s="12">
        <f>SUM(L271,L272,L273,L284,L285,L286)</f>
        <v>4359</v>
      </c>
      <c r="M287" s="12" t="n"/>
      <c r="N287" s="12">
        <f>SUM(N271,N272,N273,N284,N285,N286)</f>
        <v>4266</v>
      </c>
      <c r="O287" s="12">
        <f>SUM(O271,O272,O273,O284,O285,O286)</f>
        <v>2287</v>
      </c>
      <c r="P287" s="12">
        <f>SUM(P271,P272,P273,P284,P285,P286)</f>
        <v>4501</v>
      </c>
      <c r="Q287" s="12">
        <f>SUM(Q271,Q272,Q273,Q284,Q285,Q286)</f>
        <v>2945</v>
      </c>
      <c r="R287" s="12">
        <f>SUM(R271,R272,R273,R284,R285,R286)</f>
        <v>13999</v>
      </c>
      <c r="S287" s="12">
        <f>SUM(S271,S272,S273,S284,S285,S286)</f>
        <v>2449</v>
      </c>
      <c r="T287" s="12">
        <f>SUM(T271,T272,T273,T284,T285,T286)</f>
        <v>3719</v>
      </c>
      <c r="U287" s="12">
        <f>SUM(U271,U272,U273,U284,U285,U286)</f>
        <v>4012</v>
      </c>
      <c r="V287" s="12">
        <f>SUM(V271,V272,V273,V284,V285,V286)</f>
        <v>2977</v>
      </c>
      <c r="W287" s="12">
        <f>SUM(W271,W272,W273,W284,W285,W286)</f>
        <v>13157</v>
      </c>
      <c r="X287" s="12">
        <f>SUM(X271,X272,X273,X284,X285,X286)</f>
        <v>170</v>
      </c>
      <c r="Y287" s="12">
        <f>SUM(Y271,Y272,Y273,Y284,Y285,Y286)</f>
        <v>2462</v>
      </c>
      <c r="Z287" s="12">
        <f>SUM(Z271,Z272,Z273,Z284,Z285,Z286)</f>
        <v>6117</v>
      </c>
      <c r="AA287" s="12">
        <f>SUM(AA271,AA272,AA273,AA284,AA285,AA286)</f>
        <v>2779</v>
      </c>
      <c r="AB287" s="12">
        <f>SUM(AB271,AB272,AB273,AB284,AB285,AB286)</f>
        <v>11528</v>
      </c>
      <c r="AC287" s="12">
        <f>SUM(AC271,AC272,AC273,AC284,AC285,AC286)</f>
        <v>2040</v>
      </c>
      <c r="AD287" s="12">
        <f>SUM(AD271,AD272,AD273,AD284,AD285,AD286)</f>
        <v>886</v>
      </c>
      <c r="AE287" s="12">
        <f>SUM(AE271,AE272,AE273,AE284,AE285,AE286)</f>
        <v>5725</v>
      </c>
      <c r="AF287" s="12">
        <f>SUM(AF271,AF272,AF273,AF284,AF285,AF286)</f>
        <v>1058</v>
      </c>
      <c r="AG287" s="12">
        <f>SUM(AG271,AG272,AG273,AG284,AG285,AG286)</f>
        <v>9709</v>
      </c>
      <c r="AH287" s="12">
        <f>SUM(AH271,AH272,AH273,AH284,AH285,AH286)</f>
        <v>3948</v>
      </c>
      <c r="AI287" s="12">
        <f>SUM(AI271,AI272,AI273,AI284,AI285,AI286)</f>
        <v>3630</v>
      </c>
      <c r="AJ287" s="12">
        <f>SUM(AJ271,AJ272,AJ273,AJ284,AJ285,AJ286)</f>
        <v>823.321241652476</v>
      </c>
      <c r="AK287" s="12">
        <f>SUM(AK271,AK272,AK273,AK284,AK285,AK286)</f>
        <v>3272.63838304529</v>
      </c>
      <c r="AL287" s="12">
        <f>SUM(AL271,AL272,AL273,AL284,AL285,AL286)</f>
        <v>11673.9596246978</v>
      </c>
      <c r="AM287" s="12">
        <f>SUM(AM271,AM272,AM273,AM284,AM285,AM286)</f>
        <v>2797.0058813012</v>
      </c>
      <c r="AN287" s="12">
        <f>SUM(AN271,AN272,AN273,AN284,AN285,AN286)</f>
        <v>2134.10921459044</v>
      </c>
      <c r="AO287" s="12">
        <f>SUM(AO271,AO272,AO273,AO284,AO285,AO286)</f>
        <v>3075.98723707166</v>
      </c>
      <c r="AP287" s="12">
        <f>SUM(AP271,AP272,AP273,AP284,AP285,AP286)</f>
        <v>3429.30471664155</v>
      </c>
      <c r="AQ287" s="12">
        <f>SUM(AQ271,AQ272,AQ273,AQ284,AQ285,AQ286)</f>
        <v>11436.4070496048</v>
      </c>
      <c r="AR287" s="12">
        <f>SUM(AR271,AR272,AR273,AR284,AR285,AR286)</f>
        <v>2982.61065193072</v>
      </c>
      <c r="AS287" s="12">
        <f>SUM(AS271,AS272,AS273,AS284,AS285,AS286)</f>
        <v>2181.05653182546</v>
      </c>
      <c r="AT287" s="12">
        <f>SUM(AT271,AT272,AT273,AT284,AT285,AT286)</f>
        <v>3207.85963561339</v>
      </c>
      <c r="AU287" s="12">
        <f>SUM(AU271,AU272,AU273,AU284,AU285,AU286)</f>
        <v>3576.32438982605</v>
      </c>
      <c r="AV287" s="12">
        <f>SUM(AV271,AV272,AV273,AV284,AV285,AV286)</f>
        <v>11947.8512091956</v>
      </c>
      <c r="AW287" s="12">
        <f>SUM(AW271,AW272,AW273,AW284,AW285,AW286)</f>
        <v>3071.49431269009</v>
      </c>
      <c r="AX287" s="12">
        <f>SUM(AX271,AX272,AX273,AX284,AX285,AX286)</f>
        <v>2309.88885734765</v>
      </c>
      <c r="AY287" s="12">
        <f>SUM(AY271,AY272,AY273,AY284,AY285,AY286)</f>
        <v>3329.34631258737</v>
      </c>
      <c r="AZ287" s="12">
        <f>SUM(AZ271,AZ272,AZ273,AZ284,AZ285,AZ286)</f>
        <v>3711.76540509912</v>
      </c>
      <c r="BA287" s="12">
        <f>SUM(BA271,BA272,BA273,BA284,BA285,BA286)</f>
        <v>12422.4948877242</v>
      </c>
      <c r="BB287" s="12">
        <f>SUM(BB271,BB272,BB273,BB284,BB285,BB286)</f>
        <v>3195.56898430855</v>
      </c>
      <c r="BC287" s="12">
        <f>SUM(BC271,BC272,BC273,BC284,BC285,BC286)</f>
        <v>2385.81852790215</v>
      </c>
      <c r="BD287" s="12">
        <f>SUM(BD271,BD272,BD273,BD284,BD285,BD286)</f>
        <v>3438.78714904687</v>
      </c>
      <c r="BE287" s="12">
        <f>SUM(BE271,BE272,BE273,BE284,BE285,BE286)</f>
        <v>3833.77695707846</v>
      </c>
      <c r="BF287" s="12">
        <f>SUM(BF271,BF272,BF273,BF284,BF285,BF286)</f>
        <v>12853.951618336</v>
      </c>
      <c r="BG287" s="12" t="n"/>
      <c r="BH287" s="12" t="n"/>
      <c r="BI287" s="12" t="n"/>
      <c r="BJ287" s="12" t="n"/>
      <c r="BK287" s="12" t="n"/>
      <c r="BL287" s="12" t="n"/>
      <c r="BM287" s="12" t="n"/>
      <c r="BN287" s="12" t="n"/>
      <c r="BO287" s="12" t="n"/>
      <c r="BP287" s="12" t="n"/>
      <c r="BQ287" s="12" t="n"/>
      <c r="BR287" s="12" t="n"/>
      <c r="BS287" s="12" t="n"/>
      <c r="BT287" s="12" t="n"/>
      <c r="BU287" s="12" t="n"/>
      <c r="BV287" s="12" t="n"/>
      <c r="BW287" s="12" t="n"/>
      <c r="BX287" s="12" t="n"/>
      <c r="BY287" s="12" t="n"/>
      <c r="BZ287" s="12" t="n"/>
      <c r="CA287" s="12" t="n"/>
      <c r="CB287" s="12" t="n"/>
      <c r="CC287" s="12" t="n"/>
      <c r="CD287" s="12" t="n"/>
      <c r="CE287" s="12" t="n"/>
      <c r="CF287" s="12" t="n"/>
      <c r="CG287" s="12" t="n"/>
      <c r="CH287" s="12" t="n"/>
      <c r="CI287" s="12" t="n"/>
      <c r="CJ287" s="12" t="n"/>
      <c r="CK287" s="12" t="n"/>
      <c r="CL287" s="12" t="n"/>
      <c r="CM287" s="12" t="n"/>
      <c r="CN287" s="12" t="n"/>
      <c r="CO287" s="12" t="n"/>
      <c r="CP287" s="12" t="n"/>
      <c r="CQ287" s="12" t="n"/>
      <c r="CR287" s="12" t="n"/>
      <c r="CS287" s="12" t="n"/>
      <c r="CT287" s="12" t="n"/>
      <c r="CU287" s="12" t="n"/>
      <c r="CV287" s="12" t="n"/>
      <c r="CW287" s="12" t="n"/>
      <c r="CX287" s="12" t="n"/>
      <c r="CY287" s="12" t="n"/>
    </row>
    <row r="288">
      <c r="C288" s="14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  <c r="AJ288" s="12" t="n"/>
      <c r="AK288" s="12" t="n"/>
      <c r="AL288" s="12" t="n"/>
      <c r="AM288" s="12" t="n"/>
      <c r="AN288" s="12" t="n"/>
      <c r="AO288" s="12" t="n"/>
      <c r="AP288" s="12" t="n"/>
      <c r="AQ288" s="12" t="n"/>
      <c r="AR288" s="12" t="n"/>
      <c r="AS288" s="12" t="n"/>
      <c r="AT288" s="12" t="n"/>
      <c r="AU288" s="12" t="n"/>
      <c r="AV288" s="12" t="n"/>
      <c r="AW288" s="12" t="n"/>
      <c r="AX288" s="12" t="n"/>
      <c r="AY288" s="12" t="n"/>
      <c r="AZ288" s="12" t="n"/>
      <c r="BA288" s="12" t="n"/>
      <c r="BB288" s="12" t="n"/>
      <c r="BC288" s="12" t="n"/>
      <c r="BD288" s="12" t="n"/>
      <c r="BE288" s="12" t="n"/>
      <c r="BF288" s="12" t="n"/>
      <c r="BG288" s="12" t="n"/>
      <c r="BH288" s="12" t="n"/>
      <c r="BI288" s="12" t="n"/>
      <c r="BJ288" s="12" t="n"/>
      <c r="BK288" s="12" t="n"/>
      <c r="BL288" s="12" t="n"/>
      <c r="BM288" s="12" t="n"/>
      <c r="BN288" s="12" t="n"/>
      <c r="BO288" s="12" t="n"/>
      <c r="BP288" s="12" t="n"/>
      <c r="BQ288" s="12" t="n"/>
      <c r="BR288" s="12" t="n"/>
      <c r="BS288" s="12" t="n"/>
      <c r="BT288" s="12" t="n"/>
      <c r="BU288" s="12" t="n"/>
      <c r="BV288" s="12" t="n"/>
      <c r="BW288" s="12" t="n"/>
      <c r="BX288" s="12" t="n"/>
      <c r="BY288" s="12" t="n"/>
      <c r="BZ288" s="12" t="n"/>
      <c r="CA288" s="12" t="n"/>
      <c r="CB288" s="12" t="n"/>
      <c r="CC288" s="12" t="n"/>
      <c r="CD288" s="12" t="n"/>
      <c r="CE288" s="12" t="n"/>
      <c r="CF288" s="12" t="n"/>
      <c r="CG288" s="12" t="n"/>
      <c r="CH288" s="12" t="n"/>
      <c r="CI288" s="12" t="n"/>
      <c r="CJ288" s="12" t="n"/>
      <c r="CK288" s="12" t="n"/>
      <c r="CL288" s="12" t="n"/>
      <c r="CM288" s="12" t="n"/>
      <c r="CN288" s="12" t="n"/>
      <c r="CO288" s="12" t="n"/>
      <c r="CP288" s="12" t="n"/>
      <c r="CQ288" s="12" t="n"/>
      <c r="CR288" s="12" t="n"/>
      <c r="CS288" s="12" t="n"/>
      <c r="CT288" s="12" t="n"/>
      <c r="CU288" s="12" t="n"/>
      <c r="CV288" s="12" t="n"/>
      <c r="CW288" s="12" t="n"/>
      <c r="CX288" s="12" t="n"/>
      <c r="CY288" s="12" t="n"/>
    </row>
    <row r="289">
      <c r="C289" s="10" t="inlineStr">
        <is>
          <t>Purchase of fixed assets (capital expenditures)</t>
        </is>
      </c>
      <c r="D289" s="12" t="n"/>
      <c r="E289" s="12" t="n"/>
      <c r="F289" s="12" t="n"/>
      <c r="G289" s="12" t="n"/>
      <c r="H289" s="12" t="n"/>
      <c r="I289" s="12" t="n"/>
      <c r="J289" s="12">
        <f>-J162</f>
        <v>-2478</v>
      </c>
      <c r="K289" s="12">
        <f>-K162</f>
        <v>-2394</v>
      </c>
      <c r="L289" s="12">
        <f>-L162</f>
        <v>-2434</v>
      </c>
      <c r="M289" s="12" t="n"/>
      <c r="N289" s="12">
        <f>-N162</f>
        <v>-2023</v>
      </c>
      <c r="O289" s="12">
        <f>-O162</f>
        <v>-1988</v>
      </c>
      <c r="P289" s="12">
        <f>-P162</f>
        <v>-1789</v>
      </c>
      <c r="Q289" s="12">
        <f>-Q162</f>
        <v>-2611</v>
      </c>
      <c r="R289" s="12">
        <f>SUM(N289:Q289)</f>
        <v>-8411</v>
      </c>
      <c r="S289" s="12">
        <f>-S162</f>
        <v>-2467</v>
      </c>
      <c r="T289" s="12">
        <f>-T162</f>
        <v>-2574</v>
      </c>
      <c r="U289" s="12">
        <f>-U162</f>
        <v>-2590</v>
      </c>
      <c r="V289" s="12">
        <f>-V162</f>
        <v>-3213</v>
      </c>
      <c r="W289" s="12">
        <f>SUM(S289:V289)</f>
        <v>-10844</v>
      </c>
      <c r="X289" s="12">
        <f>-X162</f>
        <v>-2957</v>
      </c>
      <c r="Y289" s="12">
        <f>-Y162</f>
        <v>-2744</v>
      </c>
      <c r="Z289" s="12">
        <f>-Z162</f>
        <v>-4562</v>
      </c>
      <c r="AA289" s="12">
        <f>-AA162</f>
        <v>-1216</v>
      </c>
      <c r="AB289" s="12">
        <f>SUM(X289:AA289)</f>
        <v>-11479</v>
      </c>
      <c r="AC289" s="12">
        <f>-AC162</f>
        <v>-2699</v>
      </c>
      <c r="AD289" s="12">
        <f>-AD162</f>
        <v>-2919</v>
      </c>
      <c r="AE289" s="12">
        <f>-AE162</f>
        <v>-2458</v>
      </c>
      <c r="AF289" s="12">
        <f>-AF162</f>
        <v>-2879</v>
      </c>
      <c r="AG289" s="12">
        <f>SUM(AC289:AF289)</f>
        <v>-10955</v>
      </c>
      <c r="AH289" s="12">
        <f>-AH162</f>
        <v>-4160</v>
      </c>
      <c r="AI289" s="12">
        <f>-AI162</f>
        <v>-5661</v>
      </c>
      <c r="AJ289" s="12">
        <f>-AJ162</f>
        <v>-4205.18691689777</v>
      </c>
      <c r="AK289" s="12">
        <f>-AK162</f>
        <v>-3727.11725992779</v>
      </c>
      <c r="AL289" s="12">
        <f>SUM(AH289:AK289)</f>
        <v>-17753.3041768256</v>
      </c>
      <c r="AM289" s="12">
        <f>-AM162</f>
        <v>-3350.82824376545</v>
      </c>
      <c r="AN289" s="12">
        <f>-AN162</f>
        <v>-4226.29143212406</v>
      </c>
      <c r="AO289" s="12">
        <f>-AO162</f>
        <v>-4406.49581181584</v>
      </c>
      <c r="AP289" s="12">
        <f>-AP162</f>
        <v>-3905.54021035865</v>
      </c>
      <c r="AQ289" s="12">
        <f>SUM(AM289:AP289)</f>
        <v>-15889.155698064</v>
      </c>
      <c r="AR289" s="12">
        <f>-AR162</f>
        <v>-3494.48350744183</v>
      </c>
      <c r="AS289" s="12">
        <f>-AS162</f>
        <v>-4407.47917613471</v>
      </c>
      <c r="AT289" s="12">
        <f>-AT162</f>
        <v>-4595.40920029318</v>
      </c>
      <c r="AU289" s="12">
        <f>-AU162</f>
        <v>-4072.97684628939</v>
      </c>
      <c r="AV289" s="12">
        <f>SUM(AR289:AU289)</f>
        <v>-16570.3487301591</v>
      </c>
      <c r="AW289" s="12">
        <f>-AW162</f>
        <v>-3626.82508010492</v>
      </c>
      <c r="AX289" s="12">
        <f>-AX162</f>
        <v>-4574.39732710244</v>
      </c>
      <c r="AY289" s="12">
        <f>-AY162</f>
        <v>-4769.44455610529</v>
      </c>
      <c r="AZ289" s="12">
        <f>-AZ162</f>
        <v>-4227.22686924997</v>
      </c>
      <c r="BA289" s="12">
        <f>SUM(AW289:AZ289)</f>
        <v>-17197.8938325626</v>
      </c>
      <c r="BB289" s="12">
        <f>-BB162</f>
        <v>-3746.04451034511</v>
      </c>
      <c r="BC289" s="12">
        <f>-BC162</f>
        <v>-4724.76494367734</v>
      </c>
      <c r="BD289" s="12">
        <f>-BD162</f>
        <v>-4926.22368109265</v>
      </c>
      <c r="BE289" s="12">
        <f>-BE162</f>
        <v>-4366.18244822524</v>
      </c>
      <c r="BF289" s="12">
        <f>SUM(BB289:BE289)</f>
        <v>-17763.2155833403</v>
      </c>
      <c r="BG289" s="12" t="n"/>
      <c r="BH289" s="12" t="n"/>
      <c r="BI289" s="12" t="n"/>
      <c r="BJ289" s="12" t="n"/>
      <c r="BK289" s="12" t="n"/>
      <c r="BL289" s="12" t="n"/>
      <c r="BM289" s="12" t="n"/>
      <c r="BN289" s="12" t="n"/>
      <c r="BO289" s="12" t="n"/>
      <c r="BP289" s="12" t="n"/>
      <c r="BQ289" s="12" t="n"/>
      <c r="BR289" s="12" t="n"/>
      <c r="BS289" s="12" t="n"/>
      <c r="BT289" s="12" t="n"/>
      <c r="BU289" s="12" t="n"/>
      <c r="BV289" s="12" t="n"/>
      <c r="BW289" s="12" t="n"/>
      <c r="BX289" s="12" t="n"/>
      <c r="BY289" s="12" t="n"/>
      <c r="BZ289" s="12" t="n"/>
      <c r="CA289" s="12" t="n"/>
      <c r="CB289" s="12" t="n"/>
      <c r="CC289" s="12" t="n"/>
      <c r="CD289" s="12" t="n"/>
      <c r="CE289" s="12" t="n"/>
      <c r="CF289" s="12" t="n"/>
      <c r="CG289" s="12" t="n"/>
      <c r="CH289" s="12" t="n"/>
      <c r="CI289" s="12" t="n"/>
      <c r="CJ289" s="12" t="n"/>
      <c r="CK289" s="12" t="n"/>
      <c r="CL289" s="12" t="n"/>
      <c r="CM289" s="12" t="n"/>
      <c r="CN289" s="12" t="n"/>
      <c r="CO289" s="12" t="n"/>
      <c r="CP289" s="12" t="n"/>
      <c r="CQ289" s="12" t="n"/>
      <c r="CR289" s="12" t="n"/>
      <c r="CS289" s="12" t="n"/>
      <c r="CT289" s="12" t="n"/>
      <c r="CU289" s="12" t="n"/>
      <c r="CV289" s="12" t="n"/>
      <c r="CW289" s="12" t="n"/>
      <c r="CX289" s="12" t="n"/>
      <c r="CY289" s="12" t="n"/>
    </row>
    <row r="290">
      <c r="C290" s="10" t="inlineStr">
        <is>
          <t>Proceeds from sale of fixed assets</t>
        </is>
      </c>
      <c r="D290" s="12" t="n"/>
      <c r="E290" s="12" t="n"/>
      <c r="F290" s="12" t="n"/>
      <c r="G290" s="12" t="n"/>
      <c r="H290" s="12" t="n"/>
      <c r="I290" s="12" t="n"/>
      <c r="J290" s="12">
        <f>-J163</f>
        <v>0</v>
      </c>
      <c r="K290" s="12">
        <f>-K163</f>
        <v>0</v>
      </c>
      <c r="L290" s="12">
        <f>-L163</f>
        <v>0</v>
      </c>
      <c r="M290" s="12" t="n"/>
      <c r="N290" s="12">
        <f>-N163</f>
        <v>0</v>
      </c>
      <c r="O290" s="12">
        <f>-O163</f>
        <v>0</v>
      </c>
      <c r="P290" s="12">
        <f>-P163</f>
        <v>0</v>
      </c>
      <c r="Q290" s="12">
        <f>-Q163</f>
        <v>0</v>
      </c>
      <c r="R290" s="12">
        <f>SUM(N290:Q290)</f>
        <v>0</v>
      </c>
      <c r="S290" s="12">
        <f>-S163</f>
        <v>0</v>
      </c>
      <c r="T290" s="12">
        <f>-T163</f>
        <v>0</v>
      </c>
      <c r="U290" s="12">
        <f>-U163</f>
        <v>0</v>
      </c>
      <c r="V290" s="12">
        <f>-V163</f>
        <v>0</v>
      </c>
      <c r="W290" s="12">
        <f>SUM(S290:V290)</f>
        <v>0</v>
      </c>
      <c r="X290" s="12">
        <f>-X163</f>
        <v>0</v>
      </c>
      <c r="Y290" s="12">
        <f>-Y163</f>
        <v>0</v>
      </c>
      <c r="Z290" s="12">
        <f>-Z163</f>
        <v>0</v>
      </c>
      <c r="AA290" s="12">
        <f>-AA163</f>
        <v>0</v>
      </c>
      <c r="AB290" s="12">
        <f>SUM(X290:AA290)</f>
        <v>0</v>
      </c>
      <c r="AC290" s="12">
        <f>-AC163</f>
        <v>0</v>
      </c>
      <c r="AD290" s="12">
        <f>-AD163</f>
        <v>0</v>
      </c>
      <c r="AE290" s="12">
        <f>-AE163</f>
        <v>0</v>
      </c>
      <c r="AF290" s="12">
        <f>-AF163</f>
        <v>0</v>
      </c>
      <c r="AG290" s="12">
        <f>SUM(AC290:AF290)</f>
        <v>0</v>
      </c>
      <c r="AH290" s="12">
        <f>-AH163</f>
        <v>0</v>
      </c>
      <c r="AI290" s="12">
        <f>-AI163</f>
        <v>0</v>
      </c>
      <c r="AJ290" s="12">
        <f>-AJ163</f>
        <v>0</v>
      </c>
      <c r="AK290" s="12">
        <f>-AK163</f>
        <v>0</v>
      </c>
      <c r="AL290" s="12">
        <f>SUM(AH290:AK290)</f>
        <v>0</v>
      </c>
      <c r="AM290" s="12">
        <f>-AM163</f>
        <v>0</v>
      </c>
      <c r="AN290" s="12">
        <f>-AN163</f>
        <v>0</v>
      </c>
      <c r="AO290" s="12">
        <f>-AO163</f>
        <v>0</v>
      </c>
      <c r="AP290" s="12">
        <f>-AP163</f>
        <v>0</v>
      </c>
      <c r="AQ290" s="12">
        <f>SUM(AM290:AP290)</f>
        <v>0</v>
      </c>
      <c r="AR290" s="12">
        <f>-AR163</f>
        <v>0</v>
      </c>
      <c r="AS290" s="12">
        <f>-AS163</f>
        <v>0</v>
      </c>
      <c r="AT290" s="12">
        <f>-AT163</f>
        <v>0</v>
      </c>
      <c r="AU290" s="12">
        <f>-AU163</f>
        <v>0</v>
      </c>
      <c r="AV290" s="12">
        <f>SUM(AR290:AU290)</f>
        <v>0</v>
      </c>
      <c r="AW290" s="12">
        <f>-AW163</f>
        <v>0</v>
      </c>
      <c r="AX290" s="12">
        <f>-AX163</f>
        <v>0</v>
      </c>
      <c r="AY290" s="12">
        <f>-AY163</f>
        <v>0</v>
      </c>
      <c r="AZ290" s="12">
        <f>-AZ163</f>
        <v>0</v>
      </c>
      <c r="BA290" s="12">
        <f>SUM(AW290:AZ290)</f>
        <v>0</v>
      </c>
      <c r="BB290" s="12">
        <f>-BB163</f>
        <v>0</v>
      </c>
      <c r="BC290" s="12">
        <f>-BC163</f>
        <v>0</v>
      </c>
      <c r="BD290" s="12">
        <f>-BD163</f>
        <v>0</v>
      </c>
      <c r="BE290" s="12">
        <f>-BE163</f>
        <v>0</v>
      </c>
      <c r="BF290" s="12">
        <f>SUM(BB290:BE290)</f>
        <v>0</v>
      </c>
      <c r="BG290" s="12" t="n"/>
      <c r="BH290" s="12" t="n"/>
      <c r="BI290" s="12" t="n"/>
      <c r="BJ290" s="12" t="n"/>
      <c r="BK290" s="12" t="n"/>
      <c r="BL290" s="12" t="n"/>
      <c r="BM290" s="12" t="n"/>
      <c r="BN290" s="12" t="n"/>
      <c r="BO290" s="12" t="n"/>
      <c r="BP290" s="12" t="n"/>
      <c r="BQ290" s="12" t="n"/>
      <c r="BR290" s="12" t="n"/>
      <c r="BS290" s="12" t="n"/>
      <c r="BT290" s="12" t="n"/>
      <c r="BU290" s="12" t="n"/>
      <c r="BV290" s="12" t="n"/>
      <c r="BW290" s="12" t="n"/>
      <c r="BX290" s="12" t="n"/>
      <c r="BY290" s="12" t="n"/>
      <c r="BZ290" s="12" t="n"/>
      <c r="CA290" s="12" t="n"/>
      <c r="CB290" s="12" t="n"/>
      <c r="CC290" s="12" t="n"/>
      <c r="CD290" s="12" t="n"/>
      <c r="CE290" s="12" t="n"/>
      <c r="CF290" s="12" t="n"/>
      <c r="CG290" s="12" t="n"/>
      <c r="CH290" s="12" t="n"/>
      <c r="CI290" s="12" t="n"/>
      <c r="CJ290" s="12" t="n"/>
      <c r="CK290" s="12" t="n"/>
      <c r="CL290" s="12" t="n"/>
      <c r="CM290" s="12" t="n"/>
      <c r="CN290" s="12" t="n"/>
      <c r="CO290" s="12" t="n"/>
      <c r="CP290" s="12" t="n"/>
      <c r="CQ290" s="12" t="n"/>
      <c r="CR290" s="12" t="n"/>
      <c r="CS290" s="12" t="n"/>
      <c r="CT290" s="12" t="n"/>
      <c r="CU290" s="12" t="n"/>
      <c r="CV290" s="12" t="n"/>
      <c r="CW290" s="12" t="n"/>
      <c r="CX290" s="12" t="n"/>
      <c r="CY290" s="12" t="n"/>
    </row>
    <row r="291">
      <c r="C291" s="10" t="inlineStr">
        <is>
          <t>Var.Right-of-use-assets</t>
        </is>
      </c>
      <c r="D291" s="12" t="n"/>
      <c r="E291" s="12" t="n"/>
      <c r="F291" s="12" t="n"/>
      <c r="G291" s="12" t="n"/>
      <c r="H291" s="12" t="n"/>
      <c r="I291" s="12" t="n"/>
      <c r="J291" s="12">
        <f>(J170-I170)*-1</f>
        <v>-87</v>
      </c>
      <c r="K291" s="12">
        <f>(K170-J170)*-1</f>
        <v>-228</v>
      </c>
      <c r="L291" s="12">
        <f>(L170-K170)*-1</f>
        <v>-54</v>
      </c>
      <c r="M291" s="12" t="n"/>
      <c r="N291" s="12">
        <f>(N170-M170)*-1</f>
        <v>-165</v>
      </c>
      <c r="O291" s="12">
        <f>(O170-N170)*-1</f>
        <v>-4</v>
      </c>
      <c r="P291" s="12">
        <f>(P170-O170)*-1</f>
        <v>-66</v>
      </c>
      <c r="Q291" s="12">
        <f>(Q170-P170)*-1</f>
        <v>-312</v>
      </c>
      <c r="R291" s="12">
        <f>SUM(N291:Q291)</f>
        <v>-547</v>
      </c>
      <c r="S291" s="12">
        <f>(S170-R170)*-1</f>
        <v>-237</v>
      </c>
      <c r="T291" s="12">
        <f>(T170-S170)*-1</f>
        <v>-552</v>
      </c>
      <c r="U291" s="12">
        <f>(U170-T170)*-1</f>
        <v>-285</v>
      </c>
      <c r="V291" s="12">
        <f>(V170-U170)*-1</f>
        <v>-543</v>
      </c>
      <c r="W291" s="12">
        <f>SUM(S291:V291)</f>
        <v>-1617</v>
      </c>
      <c r="X291" s="12">
        <f>(X170-W170)*-1</f>
        <v>-187</v>
      </c>
      <c r="Y291" s="12">
        <f>(Y170-X170)*-1</f>
        <v>-196</v>
      </c>
      <c r="Z291" s="12">
        <f>(Z170-Y170)*-1</f>
        <v>-304</v>
      </c>
      <c r="AA291" s="12">
        <f>(AA170-Z170)*-1</f>
        <v>-293</v>
      </c>
      <c r="AB291" s="12">
        <f>SUM(X291:AA291)</f>
        <v>-980</v>
      </c>
      <c r="AC291" s="12">
        <f>(AC170-AB170)*-1</f>
        <v>-170</v>
      </c>
      <c r="AD291" s="12">
        <f>(AD170-AC170)*-1</f>
        <v>-303</v>
      </c>
      <c r="AE291" s="12">
        <f>(AE170-AD170)*-1</f>
        <v>-150</v>
      </c>
      <c r="AF291" s="12">
        <f>(AF170-AE170)*-1</f>
        <v>-244</v>
      </c>
      <c r="AG291" s="12">
        <f>SUM(AC291:AF291)</f>
        <v>-867</v>
      </c>
      <c r="AH291" s="12">
        <f>(AH170-AG170)*-1</f>
        <v>-305</v>
      </c>
      <c r="AI291" s="12">
        <f>(AI170-AH170)*-1</f>
        <v>-54</v>
      </c>
      <c r="AJ291" s="12">
        <f>(AJ170-AI170)*-1</f>
        <v>0</v>
      </c>
      <c r="AK291" s="12">
        <f>(AK170-AJ170)*-1</f>
        <v>0</v>
      </c>
      <c r="AL291" s="12">
        <f>SUM(AH291:AK291)</f>
        <v>-359</v>
      </c>
      <c r="AM291" s="12">
        <f>(AM170-AL170)*-1</f>
        <v>0</v>
      </c>
      <c r="AN291" s="12">
        <f>(AN170-AM170)*-1</f>
        <v>0</v>
      </c>
      <c r="AO291" s="12">
        <f>(AO170-AN170)*-1</f>
        <v>0</v>
      </c>
      <c r="AP291" s="12">
        <f>(AP170-AO170)*-1</f>
        <v>0</v>
      </c>
      <c r="AQ291" s="12">
        <f>SUM(AM291:AP291)</f>
        <v>0</v>
      </c>
      <c r="AR291" s="12">
        <f>(AR170-AQ170)*-1</f>
        <v>0</v>
      </c>
      <c r="AS291" s="12">
        <f>(AS170-AR170)*-1</f>
        <v>0</v>
      </c>
      <c r="AT291" s="12">
        <f>(AT170-AS170)*-1</f>
        <v>0</v>
      </c>
      <c r="AU291" s="12">
        <f>(AU170-AT170)*-1</f>
        <v>0</v>
      </c>
      <c r="AV291" s="12">
        <f>SUM(AR291:AU291)</f>
        <v>0</v>
      </c>
      <c r="AW291" s="12">
        <f>(AW170-AV170)*-1</f>
        <v>0</v>
      </c>
      <c r="AX291" s="12">
        <f>(AX170-AW170)*-1</f>
        <v>0</v>
      </c>
      <c r="AY291" s="12">
        <f>(AY170-AX170)*-1</f>
        <v>0</v>
      </c>
      <c r="AZ291" s="12">
        <f>(AZ170-AY170)*-1</f>
        <v>0</v>
      </c>
      <c r="BA291" s="12">
        <f>SUM(AW291:AZ291)</f>
        <v>0</v>
      </c>
      <c r="BB291" s="12">
        <f>(BB170-BA170)*-1</f>
        <v>0</v>
      </c>
      <c r="BC291" s="12">
        <f>(BC170-BB170)*-1</f>
        <v>0</v>
      </c>
      <c r="BD291" s="12">
        <f>(BD170-BC170)*-1</f>
        <v>0</v>
      </c>
      <c r="BE291" s="12">
        <f>(BE170-BD170)*-1</f>
        <v>0</v>
      </c>
      <c r="BF291" s="12">
        <f>SUM(BB291:BE291)</f>
        <v>0</v>
      </c>
      <c r="BG291" s="12" t="n"/>
      <c r="BH291" s="12" t="n"/>
      <c r="BI291" s="12" t="n"/>
      <c r="BJ291" s="12" t="n"/>
      <c r="BK291" s="12" t="n"/>
      <c r="BL291" s="12" t="n"/>
      <c r="BM291" s="12" t="n"/>
      <c r="BN291" s="12" t="n"/>
      <c r="BO291" s="12" t="n"/>
      <c r="BP291" s="12" t="n"/>
      <c r="BQ291" s="12" t="n"/>
      <c r="BR291" s="12" t="n"/>
      <c r="BS291" s="12" t="n"/>
      <c r="BT291" s="12" t="n"/>
      <c r="BU291" s="12" t="n"/>
      <c r="BV291" s="12" t="n"/>
      <c r="BW291" s="12" t="n"/>
      <c r="BX291" s="12" t="n"/>
      <c r="BY291" s="12" t="n"/>
      <c r="BZ291" s="12" t="n"/>
      <c r="CA291" s="12" t="n"/>
      <c r="CB291" s="12" t="n"/>
      <c r="CC291" s="12" t="n"/>
      <c r="CD291" s="12" t="n"/>
      <c r="CE291" s="12" t="n"/>
      <c r="CF291" s="12" t="n"/>
      <c r="CG291" s="12" t="n"/>
      <c r="CH291" s="12" t="n"/>
      <c r="CI291" s="12" t="n"/>
      <c r="CJ291" s="12" t="n"/>
      <c r="CK291" s="12" t="n"/>
      <c r="CL291" s="12" t="n"/>
      <c r="CM291" s="12" t="n"/>
      <c r="CN291" s="12" t="n"/>
      <c r="CO291" s="12" t="n"/>
      <c r="CP291" s="12" t="n"/>
      <c r="CQ291" s="12" t="n"/>
      <c r="CR291" s="12" t="n"/>
      <c r="CS291" s="12" t="n"/>
      <c r="CT291" s="12" t="n"/>
      <c r="CU291" s="12" t="n"/>
      <c r="CV291" s="12" t="n"/>
      <c r="CW291" s="12" t="n"/>
      <c r="CX291" s="12" t="n"/>
      <c r="CY291" s="12" t="n"/>
      <c r="CZ291" s="12" t="n"/>
      <c r="DA291" s="12" t="n"/>
      <c r="DB291" s="12" t="n"/>
      <c r="DC291" s="12" t="n"/>
    </row>
    <row r="292">
      <c r="C292" s="10" t="inlineStr">
        <is>
          <t>Purchases of intangible assets</t>
        </is>
      </c>
      <c r="D292" s="12" t="n"/>
      <c r="E292" s="12" t="n"/>
      <c r="F292" s="12" t="n"/>
      <c r="G292" s="12" t="n"/>
      <c r="H292" s="12" t="n"/>
      <c r="I292" s="12" t="n"/>
      <c r="J292" s="12">
        <f>((J174-I174)*-1)+((J173-I173)*-1)</f>
        <v>19</v>
      </c>
      <c r="K292" s="12">
        <f>((K174-J174)*-1)+((K173-J173)*-1)</f>
        <v>16</v>
      </c>
      <c r="L292" s="12">
        <f>((L174-K174)*-1)+((L173-K173)*-1)</f>
        <v>13</v>
      </c>
      <c r="M292" s="12" t="n"/>
      <c r="N292" s="12">
        <f>((N174-M174)*-1)+((N173-M173)*-1)</f>
        <v>3</v>
      </c>
      <c r="O292" s="12">
        <f>((O174-N174)*-1)+((O173-N173)*-1)</f>
        <v>17</v>
      </c>
      <c r="P292" s="12">
        <f>((P174-O174)*-1)+((P173-O173)*-1)</f>
        <v>18</v>
      </c>
      <c r="Q292" s="12">
        <f>((Q174-P174)*-1)+((Q173-P173)*-1)</f>
        <v>10</v>
      </c>
      <c r="R292" s="12">
        <f>SUM(N292:Q292)</f>
        <v>48</v>
      </c>
      <c r="S292" s="12">
        <f>((S174-R174)*-1)+((S173-R173)*-1)</f>
        <v>10</v>
      </c>
      <c r="T292" s="12">
        <f>((T174-S174)*-1)+((T173-S173)*-1)</f>
        <v>-66</v>
      </c>
      <c r="U292" s="12">
        <f>((U174-T174)*-1)+((U173-T173)*-1)</f>
        <v>24</v>
      </c>
      <c r="V292" s="12">
        <f>((V174-U174)*-1)+((V173-U173)*-1)</f>
        <v>10</v>
      </c>
      <c r="W292" s="12">
        <f>SUM(S292:V292)</f>
        <v>-22</v>
      </c>
      <c r="X292" s="12">
        <f>((X174-W174)*-1)+((X173-W173)*-1)</f>
        <v>10</v>
      </c>
      <c r="Y292" s="12">
        <f>((Y174-X174)*-1)+((Y173-X173)*-1)</f>
        <v>8</v>
      </c>
      <c r="Z292" s="12">
        <f>((Z174-Y174)*-1)+((Z173-Y173)*-1)</f>
        <v>2</v>
      </c>
      <c r="AA292" s="12">
        <f>((AA174-Z174)*-1)+((AA173-Z173)*-1)</f>
        <v>17</v>
      </c>
      <c r="AB292" s="12">
        <f>SUM(X292:AA292)</f>
        <v>37</v>
      </c>
      <c r="AC292" s="12">
        <f>((AC174-AB174)*-1)+((AC173-AB173)*-1)</f>
        <v>2</v>
      </c>
      <c r="AD292" s="12">
        <f>((AD174-AC174)*-1)+((AD173-AC173)*-1)</f>
        <v>-4</v>
      </c>
      <c r="AE292" s="12">
        <f>((AE174-AD174)*-1)+((AE173-AD173)*-1)</f>
        <v>8</v>
      </c>
      <c r="AF292" s="12">
        <f>((AF174-AE174)*-1)+((AF173-AE173)*-1)</f>
        <v>388</v>
      </c>
      <c r="AG292" s="12">
        <f>SUM(AC292:AF292)</f>
        <v>394</v>
      </c>
      <c r="AH292" s="12">
        <f>((AH174-AG174)*-1)+((AH173-AG173)*-1)</f>
        <v>0</v>
      </c>
      <c r="AI292" s="12">
        <f>((AI174-AH174)*-1)+((AI173-AH173)*-1)</f>
        <v>0</v>
      </c>
      <c r="AJ292" s="12">
        <f>((AJ174-AI174)*-1)+((AJ173-AI173)*-1)</f>
        <v>0</v>
      </c>
      <c r="AK292" s="12">
        <f>((AK174-AJ174)*-1)+((AK173-AJ173)*-1)</f>
        <v>0</v>
      </c>
      <c r="AL292" s="12">
        <f>SUM(AH292:AK292)</f>
        <v>0</v>
      </c>
      <c r="AM292" s="12">
        <f>((AM174-AL174)*-1)+((AM173-AL173)*-1)</f>
        <v>0</v>
      </c>
      <c r="AN292" s="12">
        <f>((AN174-AM174)*-1)+((AN173-AM173)*-1)</f>
        <v>0</v>
      </c>
      <c r="AO292" s="12">
        <f>((AO174-AN174)*-1)+((AO173-AN173)*-1)</f>
        <v>0</v>
      </c>
      <c r="AP292" s="12">
        <f>((AP174-AO174)*-1)+((AP173-AO173)*-1)</f>
        <v>0</v>
      </c>
      <c r="AQ292" s="12">
        <f>SUM(AM292:AP292)</f>
        <v>0</v>
      </c>
      <c r="AR292" s="12">
        <f>((AR174-AQ174)*-1)+((AR173-AQ173)*-1)</f>
        <v>0</v>
      </c>
      <c r="AS292" s="12">
        <f>((AS174-AR174)*-1)+((AS173-AR173)*-1)</f>
        <v>0</v>
      </c>
      <c r="AT292" s="12">
        <f>((AT174-AS174)*-1)+((AT173-AS173)*-1)</f>
        <v>0</v>
      </c>
      <c r="AU292" s="12">
        <f>((AU174-AT174)*-1)+((AU173-AT173)*-1)</f>
        <v>0</v>
      </c>
      <c r="AV292" s="12">
        <f>SUM(AR292:AU292)</f>
        <v>0</v>
      </c>
      <c r="AW292" s="12">
        <f>((AW174-AV174)*-1)+((AW173-AV173)*-1)</f>
        <v>0</v>
      </c>
      <c r="AX292" s="12">
        <f>((AX174-AW174)*-1)+((AX173-AW173)*-1)</f>
        <v>0</v>
      </c>
      <c r="AY292" s="12">
        <f>((AY174-AX174)*-1)+((AY173-AX173)*-1)</f>
        <v>0</v>
      </c>
      <c r="AZ292" s="12">
        <f>((AZ174-AY174)*-1)+((AZ173-AY173)*-1)</f>
        <v>0</v>
      </c>
      <c r="BA292" s="12">
        <f>SUM(AW292:AZ292)</f>
        <v>0</v>
      </c>
      <c r="BB292" s="12">
        <f>((BB174-BA174)*-1)+((BB173-BA173)*-1)</f>
        <v>0</v>
      </c>
      <c r="BC292" s="12">
        <f>((BC174-BB174)*-1)+((BC173-BB173)*-1)</f>
        <v>0</v>
      </c>
      <c r="BD292" s="12">
        <f>((BD174-BC174)*-1)+((BD173-BC173)*-1)</f>
        <v>0</v>
      </c>
      <c r="BE292" s="12">
        <f>((BE174-BD174)*-1)+((BE173-BD173)*-1)</f>
        <v>0</v>
      </c>
      <c r="BF292" s="12">
        <f>SUM(BB292:BE292)</f>
        <v>0</v>
      </c>
      <c r="BG292" s="12" t="n"/>
      <c r="BH292" s="12" t="n"/>
      <c r="BI292" s="12" t="n"/>
      <c r="BJ292" s="12" t="n"/>
      <c r="BK292" s="12" t="n"/>
      <c r="BL292" s="12" t="n"/>
      <c r="BM292" s="12" t="n"/>
      <c r="BN292" s="12" t="n"/>
      <c r="BO292" s="12" t="n"/>
      <c r="BP292" s="12" t="n"/>
      <c r="BQ292" s="12" t="n"/>
      <c r="BR292" s="12" t="n"/>
      <c r="BS292" s="12" t="n"/>
      <c r="BT292" s="12" t="n"/>
      <c r="BU292" s="12" t="n"/>
      <c r="BV292" s="12" t="n"/>
      <c r="BW292" s="12" t="n"/>
      <c r="BX292" s="12" t="n"/>
      <c r="BY292" s="12" t="n"/>
      <c r="BZ292" s="12" t="n"/>
      <c r="CA292" s="12" t="n"/>
      <c r="CB292" s="12" t="n"/>
      <c r="CC292" s="12" t="n"/>
      <c r="CD292" s="12" t="n"/>
      <c r="CE292" s="12" t="n"/>
      <c r="CF292" s="12" t="n"/>
      <c r="CG292" s="12" t="n"/>
      <c r="CH292" s="12" t="n"/>
      <c r="CI292" s="12" t="n"/>
      <c r="CJ292" s="12" t="n"/>
      <c r="CK292" s="12" t="n"/>
      <c r="CL292" s="12" t="n"/>
      <c r="CM292" s="12" t="n"/>
      <c r="CN292" s="12" t="n"/>
      <c r="CO292" s="12" t="n"/>
      <c r="CP292" s="12" t="n"/>
      <c r="CQ292" s="12" t="n"/>
      <c r="CR292" s="12" t="n"/>
      <c r="CS292" s="12" t="n"/>
      <c r="CT292" s="12" t="n"/>
      <c r="CU292" s="12" t="n"/>
      <c r="CV292" s="12" t="n"/>
      <c r="CW292" s="12" t="n"/>
      <c r="CX292" s="12" t="n"/>
      <c r="CY292" s="12" t="n"/>
      <c r="CZ292" s="12" t="n"/>
      <c r="DA292" s="12" t="n"/>
      <c r="DB292" s="12" t="n"/>
      <c r="DC292" s="12" t="n"/>
    </row>
    <row r="293">
      <c r="C293" s="71" t="inlineStr">
        <is>
          <t>Purchases/Proceeds from other long-term assets</t>
        </is>
      </c>
      <c r="D293" s="12" t="n"/>
      <c r="E293" s="12" t="n"/>
      <c r="F293" s="12" t="n"/>
      <c r="G293" s="12" t="n"/>
      <c r="H293" s="12" t="n"/>
      <c r="I293" s="12" t="n"/>
      <c r="J293" s="12">
        <f>((J183-I183)*-1)+(J234-I234)</f>
        <v>-1426</v>
      </c>
      <c r="K293" s="12">
        <f>((K183-J183)*-1)+(K234-J234)</f>
        <v>-1770</v>
      </c>
      <c r="L293" s="12">
        <f>((L183-K183)*-1)+(L234-K234)</f>
        <v>-1018</v>
      </c>
      <c r="M293" s="12" t="n"/>
      <c r="N293" s="12">
        <f>((N183-M183)*-1)+(N234-M234)</f>
        <v>-2318</v>
      </c>
      <c r="O293" s="12">
        <f>((O183-N183)*-1)+(O234-N234)</f>
        <v>607</v>
      </c>
      <c r="P293" s="12">
        <f>((P183-O183)*-1)+(P234-O234)</f>
        <v>-607</v>
      </c>
      <c r="Q293" s="12">
        <f>((Q183-P183)*-1)+(Q234-P234)</f>
        <v>-21</v>
      </c>
      <c r="R293" s="12">
        <f>SUM(N293:Q293)</f>
        <v>-2339</v>
      </c>
      <c r="S293" s="12">
        <f>((S183-R183)*-1)+(S234-R234)</f>
        <v>-336</v>
      </c>
      <c r="T293" s="12">
        <f>((T183-S183)*-1)+(T234-S234)</f>
        <v>-187</v>
      </c>
      <c r="U293" s="12">
        <f>((U183-T183)*-1)+(U234-T234)</f>
        <v>1406</v>
      </c>
      <c r="V293" s="12">
        <f>((V183-U183)*-1)+(V234-U234)</f>
        <v>2615</v>
      </c>
      <c r="W293" s="12">
        <f>SUM(S293:V293)</f>
        <v>3498</v>
      </c>
      <c r="X293" s="12">
        <f>((X183-W183)*-1)+(X234-W234)</f>
        <v>567</v>
      </c>
      <c r="Y293" s="12">
        <f>((Y183-X183)*-1)+(Y234-X234)</f>
        <v>3660</v>
      </c>
      <c r="Z293" s="12">
        <f>((Z183-Y183)*-1)+(Z234-Y234)</f>
        <v>417</v>
      </c>
      <c r="AA293" s="12">
        <f>((AA183-Z183)*-1)+(AA234-Z234)</f>
        <v>801</v>
      </c>
      <c r="AB293" s="12">
        <f>SUM(X293:AA293)</f>
        <v>5445</v>
      </c>
      <c r="AC293" s="12">
        <f>((AC183-AB183)*-1)+(AC234-AB234)</f>
        <v>-58</v>
      </c>
      <c r="AD293" s="12">
        <f>((AD183-AC183)*-1)+(AD234-AC234)</f>
        <v>662</v>
      </c>
      <c r="AE293" s="12">
        <f>((AE183-AD183)*-1)+(AE234-AD234)</f>
        <v>485</v>
      </c>
      <c r="AF293" s="12">
        <f>((AF183-AE183)*-1)+(AF234-AE234)</f>
        <v>2796</v>
      </c>
      <c r="AG293" s="12">
        <f>SUM(AC293:AF293)</f>
        <v>3885</v>
      </c>
      <c r="AH293" s="12">
        <f>((AH183-AG183)*-1)+(AH234-AG234)</f>
        <v>-245</v>
      </c>
      <c r="AI293" s="12">
        <f>((AI183-AH183)*-1)+(AI234-AH234)</f>
        <v>-723</v>
      </c>
      <c r="AJ293" s="12">
        <f>((AJ183-AI183)*-1)+(AJ234-AI234)</f>
        <v>0</v>
      </c>
      <c r="AK293" s="12">
        <f>((AK183-AJ183)*-1)+(AK234-AJ234)</f>
        <v>0</v>
      </c>
      <c r="AL293" s="12">
        <f>SUM(AH293:AK293)</f>
        <v>-968</v>
      </c>
      <c r="AM293" s="12">
        <f>((AM183-AL183)*-1)+(AM234-AL234)</f>
        <v>0</v>
      </c>
      <c r="AN293" s="12">
        <f>((AN183-AM183)*-1)+(AN234-AM234)</f>
        <v>0</v>
      </c>
      <c r="AO293" s="12">
        <f>((AO183-AN183)*-1)+(AO234-AN234)</f>
        <v>0</v>
      </c>
      <c r="AP293" s="12">
        <f>((AP183-AO183)*-1)+(AP234-AO234)</f>
        <v>0</v>
      </c>
      <c r="AQ293" s="12">
        <f>SUM(AM293:AP293)</f>
        <v>0</v>
      </c>
      <c r="AR293" s="12">
        <f>((AR183-AQ183)*-1)+(AR234-AQ234)</f>
        <v>0</v>
      </c>
      <c r="AS293" s="12">
        <f>((AS183-AR183)*-1)+(AS234-AR234)</f>
        <v>0</v>
      </c>
      <c r="AT293" s="12">
        <f>((AT183-AS183)*-1)+(AT234-AS234)</f>
        <v>0</v>
      </c>
      <c r="AU293" s="12">
        <f>((AU183-AT183)*-1)+(AU234-AT234)</f>
        <v>0</v>
      </c>
      <c r="AV293" s="12">
        <f>SUM(AR293:AU293)</f>
        <v>0</v>
      </c>
      <c r="AW293" s="12">
        <f>((AW183-AV183)*-1)+(AW234-AV234)</f>
        <v>0</v>
      </c>
      <c r="AX293" s="12">
        <f>((AX183-AW183)*-1)+(AX234-AW234)</f>
        <v>0</v>
      </c>
      <c r="AY293" s="12">
        <f>((AY183-AX183)*-1)+(AY234-AX234)</f>
        <v>0</v>
      </c>
      <c r="AZ293" s="12">
        <f>((AZ183-AY183)*-1)+(AZ234-AY234)</f>
        <v>0</v>
      </c>
      <c r="BA293" s="12">
        <f>SUM(AW293:AZ293)</f>
        <v>0</v>
      </c>
      <c r="BB293" s="12">
        <f>((BB183-BA183)*-1)+(BB234-BA234)</f>
        <v>0</v>
      </c>
      <c r="BC293" s="12">
        <f>((BC183-BB183)*-1)+(BC234-BB234)</f>
        <v>0</v>
      </c>
      <c r="BD293" s="12">
        <f>((BD183-BC183)*-1)+(BD234-BC234)</f>
        <v>0</v>
      </c>
      <c r="BE293" s="12">
        <f>((BE183-BD183)*-1)+(BE234-BD234)</f>
        <v>0</v>
      </c>
      <c r="BF293" s="12">
        <f>SUM(BB293:BE293)</f>
        <v>0</v>
      </c>
      <c r="BG293" s="12" t="n"/>
      <c r="BH293" s="12" t="n"/>
      <c r="BI293" s="12" t="n"/>
      <c r="BJ293" s="12" t="n"/>
      <c r="BK293" s="12" t="n"/>
      <c r="BL293" s="12" t="n"/>
      <c r="BM293" s="12" t="n"/>
      <c r="BN293" s="12" t="n"/>
      <c r="BO293" s="12" t="n"/>
      <c r="BP293" s="12" t="n"/>
      <c r="BQ293" s="12" t="n"/>
      <c r="BR293" s="12" t="n"/>
      <c r="BS293" s="12" t="n"/>
      <c r="BT293" s="12" t="n"/>
      <c r="BU293" s="12" t="n"/>
      <c r="BV293" s="12" t="n"/>
      <c r="BW293" s="12" t="n"/>
      <c r="BX293" s="12" t="n"/>
      <c r="BY293" s="12" t="n"/>
      <c r="BZ293" s="12" t="n"/>
      <c r="CA293" s="12" t="n"/>
      <c r="CB293" s="12" t="n"/>
      <c r="CC293" s="12" t="n"/>
      <c r="CD293" s="12" t="n"/>
      <c r="CE293" s="12" t="n"/>
      <c r="CF293" s="12" t="n"/>
      <c r="CG293" s="12" t="n"/>
      <c r="CH293" s="12" t="n"/>
      <c r="CI293" s="12" t="n"/>
      <c r="CJ293" s="12" t="n"/>
      <c r="CK293" s="12" t="n"/>
      <c r="CL293" s="12" t="n"/>
      <c r="CM293" s="12" t="n"/>
      <c r="CN293" s="12" t="n"/>
      <c r="CO293" s="12" t="n"/>
      <c r="CP293" s="12" t="n"/>
      <c r="CQ293" s="12" t="n"/>
      <c r="CR293" s="12" t="n"/>
      <c r="CS293" s="12" t="n"/>
      <c r="CT293" s="12" t="n"/>
      <c r="CU293" s="12" t="n"/>
      <c r="CV293" s="12" t="n"/>
      <c r="CW293" s="12" t="n"/>
      <c r="CX293" s="12" t="n"/>
      <c r="CY293" s="12" t="n"/>
    </row>
    <row r="294">
      <c r="C294" s="14" t="inlineStr">
        <is>
          <t>Cash from investing</t>
        </is>
      </c>
      <c r="D294" s="12" t="n"/>
      <c r="E294" s="12" t="n"/>
      <c r="F294" s="12" t="n"/>
      <c r="G294" s="12" t="n"/>
      <c r="H294" s="12" t="n"/>
      <c r="I294" s="12" t="n"/>
      <c r="J294" s="12">
        <f>SUM(J289,J290,J292,J293,J291)</f>
        <v>-3972</v>
      </c>
      <c r="K294" s="12">
        <f>SUM(K289,K290,K292,K293,K291)</f>
        <v>-4376</v>
      </c>
      <c r="L294" s="12">
        <f>SUM(L289,L290,L292,L293,L291)</f>
        <v>-3493</v>
      </c>
      <c r="M294" s="12" t="n"/>
      <c r="N294" s="12">
        <f>SUM(N289,N290,N292,N293,N291)</f>
        <v>-4503</v>
      </c>
      <c r="O294" s="12">
        <f>SUM(O289,O290,O292,O293,O291)</f>
        <v>-1368</v>
      </c>
      <c r="P294" s="12">
        <f>SUM(P289,P290,P292,P293,P291)</f>
        <v>-2444</v>
      </c>
      <c r="Q294" s="12">
        <f>SUM(Q289,Q290,Q292,Q293,Q291)</f>
        <v>-2934</v>
      </c>
      <c r="R294" s="12">
        <f>SUM(R289,R290,R292,R293)</f>
        <v>-10702</v>
      </c>
      <c r="S294" s="12">
        <f>SUM(S289,S290,S292,S293,S291)</f>
        <v>-3030</v>
      </c>
      <c r="T294" s="12">
        <f>SUM(T289,T290,T292,T293,T291)</f>
        <v>-3379</v>
      </c>
      <c r="U294" s="12">
        <f>SUM(U289,U290,U292,U293,U291)</f>
        <v>-1445</v>
      </c>
      <c r="V294" s="12">
        <f>SUM(V289,V290,V292,V293,V291)</f>
        <v>-1131</v>
      </c>
      <c r="W294" s="12">
        <f>SUM(W289,W290,W292,W293)</f>
        <v>-7368</v>
      </c>
      <c r="X294" s="12">
        <f>SUM(X289,X290,X292,X293,X291)</f>
        <v>-2567</v>
      </c>
      <c r="Y294" s="12">
        <f>SUM(Y289,Y290,Y292,Y293,Y291)</f>
        <v>728</v>
      </c>
      <c r="Z294" s="12">
        <f>SUM(Z289,Z290,Z292,Z293,Z291)</f>
        <v>-4447</v>
      </c>
      <c r="AA294" s="12">
        <f>SUM(AA289,AA290,AA292,AA293,AA291)</f>
        <v>-691</v>
      </c>
      <c r="AB294" s="12">
        <f>SUM(AB289,AB290,AB292,AB293)</f>
        <v>-5997</v>
      </c>
      <c r="AC294" s="12">
        <f>SUM(AC289,AC290,AC292,AC293,AC291)</f>
        <v>-2925</v>
      </c>
      <c r="AD294" s="12">
        <f>SUM(AD289,AD290,AD292,AD293,AD291)</f>
        <v>-2564</v>
      </c>
      <c r="AE294" s="12">
        <f>SUM(AE289,AE290,AE292,AE293,AE291)</f>
        <v>-2115</v>
      </c>
      <c r="AF294" s="12">
        <f>SUM(AF289,AF290,AF292,AF293,AF291)</f>
        <v>61</v>
      </c>
      <c r="AG294" s="12">
        <f>SUM(AG289,AG290,AG292,AG293)</f>
        <v>-6676</v>
      </c>
      <c r="AH294" s="12">
        <f>SUM(AH289,AH290,AH292,AH293,AH291)</f>
        <v>-4710</v>
      </c>
      <c r="AI294" s="12">
        <f>SUM(AI289,AI290,AI292,AI293,AI291)</f>
        <v>-6438</v>
      </c>
      <c r="AJ294" s="12">
        <f>SUM(AJ289,AJ290,AJ292,AJ293,AJ291)</f>
        <v>-4205.18691689777</v>
      </c>
      <c r="AK294" s="12">
        <f>SUM(AK289,AK290,AK292,AK293,AK291)</f>
        <v>-3727.11725992779</v>
      </c>
      <c r="AL294" s="12">
        <f>SUM(AL289,AL290,AL292,AL293)</f>
        <v>-18721.3041768256</v>
      </c>
      <c r="AM294" s="12">
        <f>SUM(AM289,AM290,AM292,AM293,AM291)</f>
        <v>-3350.82824376545</v>
      </c>
      <c r="AN294" s="12">
        <f>SUM(AN289,AN290,AN292,AN293,AN291)</f>
        <v>-4226.29143212406</v>
      </c>
      <c r="AO294" s="12">
        <f>SUM(AO289,AO290,AO292,AO293,AO291)</f>
        <v>-4406.49581181584</v>
      </c>
      <c r="AP294" s="12">
        <f>SUM(AP289,AP290,AP292,AP293,AP291)</f>
        <v>-3905.54021035865</v>
      </c>
      <c r="AQ294" s="12">
        <f>SUM(AQ289,AQ290,AQ292,AQ293)</f>
        <v>-15889.155698064</v>
      </c>
      <c r="AR294" s="12">
        <f>SUM(AR289,AR290,AR292,AR293,AR291)</f>
        <v>-3494.48350744183</v>
      </c>
      <c r="AS294" s="12">
        <f>SUM(AS289,AS290,AS292,AS293,AS291)</f>
        <v>-4407.47917613471</v>
      </c>
      <c r="AT294" s="12">
        <f>SUM(AT289,AT290,AT292,AT293,AT291)</f>
        <v>-4595.40920029318</v>
      </c>
      <c r="AU294" s="12">
        <f>SUM(AU289,AU290,AU292,AU293,AU291)</f>
        <v>-4072.97684628939</v>
      </c>
      <c r="AV294" s="12">
        <f>SUM(AV289,AV290,AV292,AV293)</f>
        <v>-16570.3487301591</v>
      </c>
      <c r="AW294" s="12">
        <f>SUM(AW289,AW290,AW292,AW293,AW291)</f>
        <v>-3626.82508010492</v>
      </c>
      <c r="AX294" s="12">
        <f>SUM(AX289,AX290,AX292,AX293,AX291)</f>
        <v>-4574.39732710244</v>
      </c>
      <c r="AY294" s="12">
        <f>SUM(AY289,AY290,AY292,AY293,AY291)</f>
        <v>-4769.44455610529</v>
      </c>
      <c r="AZ294" s="12">
        <f>SUM(AZ289,AZ290,AZ292,AZ293,AZ291)</f>
        <v>-4227.22686924997</v>
      </c>
      <c r="BA294" s="12">
        <f>SUM(BA289,BA290,BA292,BA293)</f>
        <v>-17197.8938325626</v>
      </c>
      <c r="BB294" s="12">
        <f>SUM(BB289,BB290,BB292,BB293,BB291)</f>
        <v>-3746.04451034511</v>
      </c>
      <c r="BC294" s="12">
        <f>SUM(BC289,BC290,BC292,BC293,BC291)</f>
        <v>-4724.76494367734</v>
      </c>
      <c r="BD294" s="12">
        <f>SUM(BD289,BD290,BD292,BD293,BD291)</f>
        <v>-4926.22368109265</v>
      </c>
      <c r="BE294" s="12">
        <f>SUM(BE289,BE290,BE292,BE293,BE291)</f>
        <v>-4366.18244822524</v>
      </c>
      <c r="BF294" s="12">
        <f>SUM(BF289,BF290,BF292,BF293)</f>
        <v>-17763.2155833403</v>
      </c>
      <c r="BG294" s="12" t="n"/>
      <c r="BH294" s="12" t="n"/>
      <c r="BI294" s="12" t="n"/>
      <c r="BJ294" s="12" t="n"/>
      <c r="BK294" s="12" t="n"/>
      <c r="BL294" s="12" t="n"/>
      <c r="BM294" s="12" t="n"/>
      <c r="BN294" s="12" t="n"/>
      <c r="BO294" s="12" t="n"/>
      <c r="BP294" s="12" t="n"/>
      <c r="BQ294" s="12" t="n"/>
      <c r="BR294" s="12" t="n"/>
      <c r="BS294" s="12" t="n"/>
      <c r="BT294" s="12" t="n"/>
      <c r="BU294" s="12" t="n"/>
      <c r="BV294" s="12" t="n"/>
      <c r="BW294" s="12" t="n"/>
      <c r="BX294" s="12" t="n"/>
      <c r="BY294" s="12" t="n"/>
      <c r="BZ294" s="12" t="n"/>
      <c r="CA294" s="12" t="n"/>
      <c r="CB294" s="12" t="n"/>
      <c r="CC294" s="12" t="n"/>
      <c r="CD294" s="12" t="n"/>
      <c r="CE294" s="12" t="n"/>
      <c r="CF294" s="12" t="n"/>
      <c r="CG294" s="12" t="n"/>
      <c r="CH294" s="12" t="n"/>
      <c r="CI294" s="12" t="n"/>
      <c r="CJ294" s="12" t="n"/>
      <c r="CK294" s="12" t="n"/>
      <c r="CL294" s="12" t="n"/>
      <c r="CM294" s="12" t="n"/>
      <c r="CN294" s="12" t="n"/>
      <c r="CO294" s="12" t="n"/>
      <c r="CP294" s="12" t="n"/>
      <c r="CQ294" s="12" t="n"/>
      <c r="CR294" s="12" t="n"/>
      <c r="CS294" s="12" t="n"/>
      <c r="CT294" s="12" t="n"/>
      <c r="CU294" s="12" t="n"/>
      <c r="CV294" s="12" t="n"/>
      <c r="CW294" s="12" t="n"/>
      <c r="CX294" s="12" t="n"/>
      <c r="CY294" s="12" t="n"/>
    </row>
    <row r="295">
      <c r="C295" s="14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  <c r="AH295" s="12" t="n"/>
      <c r="AI295" s="12" t="n"/>
      <c r="AJ295" s="12" t="n"/>
      <c r="AK295" s="12" t="n"/>
      <c r="AL295" s="12" t="n"/>
      <c r="AM295" s="12" t="n"/>
      <c r="AN295" s="12" t="n"/>
      <c r="AO295" s="12" t="n"/>
      <c r="AP295" s="12" t="n"/>
      <c r="AQ295" s="12" t="n"/>
      <c r="AR295" s="12" t="n"/>
      <c r="AS295" s="12" t="n"/>
      <c r="AT295" s="12" t="n"/>
      <c r="AU295" s="12" t="n"/>
      <c r="AV295" s="12" t="n"/>
      <c r="AW295" s="12" t="n"/>
      <c r="AX295" s="12" t="n"/>
      <c r="AY295" s="12" t="n"/>
      <c r="AZ295" s="12" t="n"/>
      <c r="BA295" s="12" t="n"/>
      <c r="BB295" s="12" t="n"/>
      <c r="BC295" s="12" t="n"/>
      <c r="BD295" s="12" t="n"/>
      <c r="BE295" s="12" t="n"/>
      <c r="BF295" s="12" t="n"/>
      <c r="BG295" s="12" t="n"/>
      <c r="BH295" s="12" t="n"/>
      <c r="BI295" s="12" t="n"/>
      <c r="BJ295" s="12" t="n"/>
      <c r="BK295" s="12" t="n"/>
      <c r="BL295" s="12" t="n"/>
      <c r="BM295" s="12" t="n"/>
      <c r="BN295" s="12" t="n"/>
      <c r="BO295" s="12" t="n"/>
      <c r="BP295" s="12" t="n"/>
      <c r="BQ295" s="12" t="n"/>
      <c r="BR295" s="12" t="n"/>
      <c r="BS295" s="12" t="n"/>
      <c r="BT295" s="12" t="n"/>
      <c r="BU295" s="12" t="n"/>
      <c r="BV295" s="12" t="n"/>
      <c r="BW295" s="12" t="n"/>
      <c r="BX295" s="12" t="n"/>
      <c r="BY295" s="12" t="n"/>
      <c r="BZ295" s="12" t="n"/>
      <c r="CA295" s="12" t="n"/>
      <c r="CB295" s="12" t="n"/>
      <c r="CC295" s="12" t="n"/>
      <c r="CD295" s="12" t="n"/>
      <c r="CE295" s="12" t="n"/>
      <c r="CF295" s="12" t="n"/>
      <c r="CG295" s="12" t="n"/>
      <c r="CH295" s="12" t="n"/>
      <c r="CI295" s="12" t="n"/>
      <c r="CJ295" s="12" t="n"/>
      <c r="CK295" s="12" t="n"/>
      <c r="CL295" s="12" t="n"/>
      <c r="CM295" s="12" t="n"/>
      <c r="CN295" s="12" t="n"/>
      <c r="CO295" s="12" t="n"/>
      <c r="CP295" s="12" t="n"/>
      <c r="CQ295" s="12" t="n"/>
      <c r="CR295" s="12" t="n"/>
      <c r="CS295" s="12" t="n"/>
      <c r="CT295" s="12" t="n"/>
      <c r="CU295" s="12" t="n"/>
      <c r="CV295" s="12" t="n"/>
      <c r="CW295" s="12" t="n"/>
      <c r="CX295" s="12" t="n"/>
      <c r="CY295" s="12" t="n"/>
    </row>
    <row r="296">
      <c r="C296" s="14" t="inlineStr">
        <is>
          <t>Convertible preferred stock</t>
        </is>
      </c>
      <c r="D296" s="12" t="n"/>
      <c r="E296" s="12" t="n"/>
      <c r="F296" s="12" t="n"/>
      <c r="G296" s="12" t="n"/>
      <c r="H296" s="12" t="n"/>
      <c r="I296" s="12" t="n"/>
      <c r="J296" s="12">
        <f>J247-I247</f>
        <v>0</v>
      </c>
      <c r="K296" s="12">
        <f>K247-J247</f>
        <v>0</v>
      </c>
      <c r="L296" s="12">
        <f>L247-K247</f>
        <v>0</v>
      </c>
      <c r="M296" s="12" t="n"/>
      <c r="N296" s="12">
        <f>N247-M247</f>
        <v>0</v>
      </c>
      <c r="O296" s="12">
        <f>O247-N247</f>
        <v>0</v>
      </c>
      <c r="P296" s="12">
        <f>P247-O247</f>
        <v>0</v>
      </c>
      <c r="Q296" s="12">
        <f>Q247-P247</f>
        <v>0</v>
      </c>
      <c r="R296" s="12">
        <f>SUM(N296:Q296)</f>
        <v>0</v>
      </c>
      <c r="S296" s="12">
        <f>S247-R247</f>
        <v>0</v>
      </c>
      <c r="T296" s="12">
        <f>T247-S247</f>
        <v>0</v>
      </c>
      <c r="U296" s="12">
        <f>U247-T247</f>
        <v>0</v>
      </c>
      <c r="V296" s="12">
        <f>V247-U247</f>
        <v>0</v>
      </c>
      <c r="W296" s="12">
        <f>SUM(S296:V296)</f>
        <v>0</v>
      </c>
      <c r="X296" s="12">
        <f>X247-W247</f>
        <v>0</v>
      </c>
      <c r="Y296" s="12">
        <f>Y247-X247</f>
        <v>0</v>
      </c>
      <c r="Z296" s="12">
        <f>Z247-Y247</f>
        <v>0</v>
      </c>
      <c r="AA296" s="12">
        <f>AA247-Z247</f>
        <v>0</v>
      </c>
      <c r="AB296" s="12">
        <f>SUM(X296:AA296)</f>
        <v>0</v>
      </c>
      <c r="AC296" s="12">
        <f>AC247-AB247</f>
        <v>0</v>
      </c>
      <c r="AD296" s="12">
        <f>AD247-AC247</f>
        <v>0</v>
      </c>
      <c r="AE296" s="12">
        <f>AE247-AD247</f>
        <v>0</v>
      </c>
      <c r="AF296" s="12">
        <f>AF247-AE247</f>
        <v>0</v>
      </c>
      <c r="AG296" s="12">
        <f>SUM(AC296:AF296)</f>
        <v>0</v>
      </c>
      <c r="AH296" s="12">
        <f>AH247-AG247</f>
        <v>0</v>
      </c>
      <c r="AI296" s="12">
        <f>AI247-AH247</f>
        <v>0</v>
      </c>
      <c r="AJ296" s="12">
        <f>AJ247-AI247</f>
        <v>0</v>
      </c>
      <c r="AK296" s="12">
        <f>AK247-AJ247</f>
        <v>0</v>
      </c>
      <c r="AL296" s="12">
        <f>SUM(AH296:AK296)</f>
        <v>0</v>
      </c>
      <c r="AM296" s="12">
        <f>AM247-AL247</f>
        <v>0</v>
      </c>
      <c r="AN296" s="12">
        <f>AN247-AM247</f>
        <v>0</v>
      </c>
      <c r="AO296" s="12">
        <f>AO247-AN247</f>
        <v>0</v>
      </c>
      <c r="AP296" s="12">
        <f>AP247-AO247</f>
        <v>0</v>
      </c>
      <c r="AQ296" s="12">
        <f>SUM(AM296:AP296)</f>
        <v>0</v>
      </c>
      <c r="AR296" s="12">
        <f>AR247-AQ247</f>
        <v>0</v>
      </c>
      <c r="AS296" s="12">
        <f>AS247-AR247</f>
        <v>0</v>
      </c>
      <c r="AT296" s="12">
        <f>AT247-AS247</f>
        <v>0</v>
      </c>
      <c r="AU296" s="12">
        <f>AU247-AT247</f>
        <v>0</v>
      </c>
      <c r="AV296" s="12">
        <f>SUM(AR296:AU296)</f>
        <v>0</v>
      </c>
      <c r="AW296" s="12">
        <f>AW247-AV247</f>
        <v>0</v>
      </c>
      <c r="AX296" s="12">
        <f>AX247-AW247</f>
        <v>0</v>
      </c>
      <c r="AY296" s="12">
        <f>AY247-AX247</f>
        <v>0</v>
      </c>
      <c r="AZ296" s="12">
        <f>AZ247-AY247</f>
        <v>0</v>
      </c>
      <c r="BA296" s="12">
        <f>SUM(AW296:AZ296)</f>
        <v>0</v>
      </c>
      <c r="BB296" s="12">
        <f>BB247-BA247</f>
        <v>0</v>
      </c>
      <c r="BC296" s="12">
        <f>BC247-BB247</f>
        <v>0</v>
      </c>
      <c r="BD296" s="12">
        <f>BD247-BC247</f>
        <v>0</v>
      </c>
      <c r="BE296" s="12">
        <f>BE247-BD247</f>
        <v>0</v>
      </c>
      <c r="BF296" s="12">
        <f>SUM(BB296:BE296)</f>
        <v>0</v>
      </c>
      <c r="BG296" s="12" t="n"/>
      <c r="BH296" s="12" t="n"/>
      <c r="BI296" s="12" t="n"/>
      <c r="BJ296" s="12" t="n"/>
      <c r="BK296" s="12" t="n"/>
      <c r="BL296" s="12" t="n"/>
      <c r="BM296" s="12" t="n"/>
      <c r="BN296" s="12" t="n"/>
      <c r="BO296" s="12" t="n"/>
      <c r="BP296" s="12" t="n"/>
      <c r="BQ296" s="12" t="n"/>
      <c r="BR296" s="12" t="n"/>
      <c r="BS296" s="12" t="n"/>
      <c r="BT296" s="12" t="n"/>
      <c r="BU296" s="12" t="n"/>
      <c r="BV296" s="12" t="n"/>
      <c r="BW296" s="12" t="n"/>
      <c r="BX296" s="12" t="n"/>
      <c r="BY296" s="12" t="n"/>
      <c r="BZ296" s="12" t="n"/>
      <c r="CA296" s="12" t="n"/>
      <c r="CB296" s="12" t="n"/>
      <c r="CC296" s="12" t="n"/>
      <c r="CD296" s="12" t="n"/>
      <c r="CE296" s="12" t="n"/>
      <c r="CF296" s="12" t="n"/>
      <c r="CG296" s="12" t="n"/>
      <c r="CH296" s="12" t="n"/>
      <c r="CI296" s="12" t="n"/>
      <c r="CJ296" s="12" t="n"/>
      <c r="CK296" s="12" t="n"/>
      <c r="CL296" s="12" t="n"/>
      <c r="CM296" s="12" t="n"/>
      <c r="CN296" s="12" t="n"/>
      <c r="CO296" s="12" t="n"/>
      <c r="CP296" s="12" t="n"/>
      <c r="CQ296" s="12" t="n"/>
      <c r="CR296" s="12" t="n"/>
      <c r="CS296" s="12" t="n"/>
      <c r="CT296" s="12" t="n"/>
      <c r="CU296" s="12" t="n"/>
      <c r="CV296" s="12" t="n"/>
      <c r="CW296" s="12" t="n"/>
      <c r="CX296" s="12" t="n"/>
      <c r="CY296" s="12" t="n"/>
    </row>
    <row r="297">
      <c r="C297" s="14" t="inlineStr">
        <is>
          <t>Common stock and APIC</t>
        </is>
      </c>
      <c r="D297" s="12" t="n"/>
      <c r="E297" s="12" t="n"/>
      <c r="F297" s="12" t="n"/>
      <c r="G297" s="12" t="n"/>
      <c r="H297" s="12" t="n"/>
      <c r="I297" s="12" t="n"/>
      <c r="J297" s="12">
        <f>J248-I248</f>
        <v>582</v>
      </c>
      <c r="K297" s="12">
        <f>K248-J248</f>
        <v>717</v>
      </c>
      <c r="L297" s="12">
        <f>L248-K248</f>
        <v>881</v>
      </c>
      <c r="M297" s="12" t="n"/>
      <c r="N297" s="12">
        <f>N248-M248</f>
        <v>682</v>
      </c>
      <c r="O297" s="12">
        <f>O248-N248</f>
        <v>459</v>
      </c>
      <c r="P297" s="12">
        <f>P248-O248</f>
        <v>650</v>
      </c>
      <c r="Q297" s="12">
        <f>Q248-P248</f>
        <v>585</v>
      </c>
      <c r="R297" s="12">
        <f>SUM(N297:Q297)</f>
        <v>2376</v>
      </c>
      <c r="S297" s="12">
        <f>S248-R248</f>
        <v>701</v>
      </c>
      <c r="T297" s="12">
        <f>T248-S248</f>
        <v>558</v>
      </c>
      <c r="U297" s="12">
        <f>U248-T248</f>
        <v>765</v>
      </c>
      <c r="V297" s="12">
        <f>V248-U248</f>
        <v>691</v>
      </c>
      <c r="W297" s="12">
        <f>SUM(S297:V297)</f>
        <v>2715</v>
      </c>
      <c r="X297" s="12">
        <f>X248-W248</f>
        <v>871</v>
      </c>
      <c r="Y297" s="12">
        <f>Y248-X248</f>
        <v>680</v>
      </c>
      <c r="Z297" s="12">
        <f>Z248-Y248</f>
        <v>843</v>
      </c>
      <c r="AA297" s="12">
        <f>AA248-Z248</f>
        <v>1085</v>
      </c>
      <c r="AB297" s="12">
        <f>SUM(X297:AA297)</f>
        <v>3479</v>
      </c>
      <c r="AC297" s="12">
        <f>AC248-AB248</f>
        <v>1085</v>
      </c>
      <c r="AD297" s="12">
        <f>AD248-AC248</f>
        <v>907</v>
      </c>
      <c r="AE297" s="12">
        <f>AE248-AD248</f>
        <v>1234</v>
      </c>
      <c r="AF297" s="12">
        <f>AF248-AE248</f>
        <v>1173</v>
      </c>
      <c r="AG297" s="12">
        <f>SUM(AC297:AF297)</f>
        <v>4399</v>
      </c>
      <c r="AH297" s="12">
        <f>AH248-AG248</f>
        <v>1529</v>
      </c>
      <c r="AI297" s="12">
        <f>AI248-AH248</f>
        <v>1561</v>
      </c>
      <c r="AJ297" s="12">
        <f>AJ248-AI248</f>
        <v>0</v>
      </c>
      <c r="AK297" s="12">
        <f>AK248-AJ248</f>
        <v>0</v>
      </c>
      <c r="AL297" s="12">
        <f>SUM(AH297:AK297)</f>
        <v>3090</v>
      </c>
      <c r="AM297" s="12">
        <f>AM248-AL248</f>
        <v>0</v>
      </c>
      <c r="AN297" s="12">
        <f>AN248-AM248</f>
        <v>0</v>
      </c>
      <c r="AO297" s="12">
        <f>AO248-AN248</f>
        <v>0</v>
      </c>
      <c r="AP297" s="12">
        <f>AP248-AO248</f>
        <v>0</v>
      </c>
      <c r="AQ297" s="12">
        <f>SUM(AM297:AP297)</f>
        <v>0</v>
      </c>
      <c r="AR297" s="12">
        <f>AR248-AQ248</f>
        <v>0</v>
      </c>
      <c r="AS297" s="12">
        <f>AS248-AR248</f>
        <v>0</v>
      </c>
      <c r="AT297" s="12">
        <f>AT248-AS248</f>
        <v>0</v>
      </c>
      <c r="AU297" s="12">
        <f>AU248-AT248</f>
        <v>0</v>
      </c>
      <c r="AV297" s="12">
        <f>SUM(AR297:AU297)</f>
        <v>0</v>
      </c>
      <c r="AW297" s="12">
        <f>AW248-AV248</f>
        <v>0</v>
      </c>
      <c r="AX297" s="12">
        <f>AX248-AW248</f>
        <v>0</v>
      </c>
      <c r="AY297" s="12">
        <f>AY248-AX248</f>
        <v>0</v>
      </c>
      <c r="AZ297" s="12">
        <f>AZ248-AY248</f>
        <v>0</v>
      </c>
      <c r="BA297" s="12">
        <f>SUM(AW297:AZ297)</f>
        <v>0</v>
      </c>
      <c r="BB297" s="12">
        <f>BB248-BA248</f>
        <v>0</v>
      </c>
      <c r="BC297" s="12">
        <f>BC248-BB248</f>
        <v>0</v>
      </c>
      <c r="BD297" s="12">
        <f>BD248-BC248</f>
        <v>0</v>
      </c>
      <c r="BE297" s="12">
        <f>BE248-BD248</f>
        <v>0</v>
      </c>
      <c r="BF297" s="12">
        <f>SUM(BB297:BE297)</f>
        <v>0</v>
      </c>
      <c r="BG297" s="12" t="n"/>
      <c r="BH297" s="12" t="n"/>
      <c r="BI297" s="12" t="n"/>
      <c r="BJ297" s="12" t="n"/>
      <c r="BK297" s="12" t="n"/>
      <c r="BL297" s="12" t="n"/>
      <c r="BM297" s="12" t="n"/>
      <c r="BN297" s="12" t="n"/>
      <c r="BO297" s="12" t="n"/>
      <c r="BP297" s="12" t="n"/>
      <c r="BQ297" s="12" t="n"/>
      <c r="BR297" s="12" t="n"/>
      <c r="BS297" s="12" t="n"/>
      <c r="BT297" s="12" t="n"/>
      <c r="BU297" s="12" t="n"/>
      <c r="BV297" s="12" t="n"/>
      <c r="BW297" s="12" t="n"/>
      <c r="BX297" s="12" t="n"/>
      <c r="BY297" s="12" t="n"/>
      <c r="BZ297" s="12" t="n"/>
      <c r="CA297" s="12" t="n"/>
      <c r="CB297" s="12" t="n"/>
      <c r="CC297" s="12" t="n"/>
      <c r="CD297" s="12" t="n"/>
      <c r="CE297" s="12" t="n"/>
      <c r="CF297" s="12" t="n"/>
      <c r="CG297" s="12" t="n"/>
      <c r="CH297" s="12" t="n"/>
      <c r="CI297" s="12" t="n"/>
      <c r="CJ297" s="12" t="n"/>
      <c r="CK297" s="12" t="n"/>
      <c r="CL297" s="12" t="n"/>
      <c r="CM297" s="12" t="n"/>
      <c r="CN297" s="12" t="n"/>
      <c r="CO297" s="12" t="n"/>
      <c r="CP297" s="12" t="n"/>
      <c r="CQ297" s="12" t="n"/>
      <c r="CR297" s="12" t="n"/>
      <c r="CS297" s="12" t="n"/>
      <c r="CT297" s="12" t="n"/>
      <c r="CU297" s="12" t="n"/>
      <c r="CV297" s="12" t="n"/>
      <c r="CW297" s="12" t="n"/>
      <c r="CX297" s="12" t="n"/>
      <c r="CY297" s="12" t="n"/>
    </row>
    <row r="298">
      <c r="C298" s="14" t="inlineStr">
        <is>
          <t>Treasury stock repurchases</t>
        </is>
      </c>
      <c r="D298" s="12" t="n"/>
      <c r="E298" s="12" t="n"/>
      <c r="F298" s="12" t="n"/>
      <c r="G298" s="12" t="n"/>
      <c r="H298" s="12" t="n"/>
      <c r="I298" s="12" t="n"/>
      <c r="J298" s="12">
        <f>J261-I261</f>
        <v>0</v>
      </c>
      <c r="K298" s="12">
        <f>K261-J261</f>
        <v>0</v>
      </c>
      <c r="L298" s="12">
        <f>L261-K261</f>
        <v>0</v>
      </c>
      <c r="M298" s="12" t="n"/>
      <c r="N298" s="12">
        <f>N261-M261</f>
        <v>0</v>
      </c>
      <c r="O298" s="12">
        <f>O261-N261</f>
        <v>0</v>
      </c>
      <c r="P298" s="12">
        <f>P261-O261</f>
        <v>0</v>
      </c>
      <c r="Q298" s="12">
        <f>Q261-P261</f>
        <v>0</v>
      </c>
      <c r="R298" s="12">
        <f>SUM(N298:Q298)</f>
        <v>0</v>
      </c>
      <c r="S298" s="12">
        <f>S261-R261</f>
        <v>0</v>
      </c>
      <c r="T298" s="12">
        <f>T261-S261</f>
        <v>0</v>
      </c>
      <c r="U298" s="12">
        <f>U261-T261</f>
        <v>0</v>
      </c>
      <c r="V298" s="12">
        <f>V261-U261</f>
        <v>0</v>
      </c>
      <c r="W298" s="12">
        <f>SUM(S298:V298)</f>
        <v>0</v>
      </c>
      <c r="X298" s="12">
        <f>X261-W261</f>
        <v>0</v>
      </c>
      <c r="Y298" s="12">
        <f>Y261-X261</f>
        <v>0</v>
      </c>
      <c r="Z298" s="12">
        <f>Z261-Y261</f>
        <v>0</v>
      </c>
      <c r="AA298" s="12">
        <f>AA261-Z261</f>
        <v>0</v>
      </c>
      <c r="AB298" s="12">
        <f>SUM(X298:AA298)</f>
        <v>0</v>
      </c>
      <c r="AC298" s="12">
        <f>AC261-AB261</f>
        <v>0</v>
      </c>
      <c r="AD298" s="12">
        <f>AD261-AC261</f>
        <v>0</v>
      </c>
      <c r="AE298" s="12">
        <f>AE261-AD261</f>
        <v>0</v>
      </c>
      <c r="AF298" s="12">
        <f>AF261-AE261</f>
        <v>0</v>
      </c>
      <c r="AG298" s="12">
        <f>SUM(AC298:AF298)</f>
        <v>0</v>
      </c>
      <c r="AH298" s="12">
        <f>AH261-AG261</f>
        <v>0</v>
      </c>
      <c r="AI298" s="12">
        <f>AI261-AH261</f>
        <v>0</v>
      </c>
      <c r="AJ298" s="12">
        <f>AJ261-AI261</f>
        <v>0</v>
      </c>
      <c r="AK298" s="12">
        <f>AK261-AJ261</f>
        <v>0</v>
      </c>
      <c r="AL298" s="12">
        <f>SUM(AH298:AK298)</f>
        <v>0</v>
      </c>
      <c r="AM298" s="12">
        <f>AM261-AL261</f>
        <v>0</v>
      </c>
      <c r="AN298" s="12">
        <f>AN261-AM261</f>
        <v>0</v>
      </c>
      <c r="AO298" s="12">
        <f>AO261-AN261</f>
        <v>0</v>
      </c>
      <c r="AP298" s="12">
        <f>AP261-AO261</f>
        <v>0</v>
      </c>
      <c r="AQ298" s="12">
        <f>SUM(AM298:AP298)</f>
        <v>0</v>
      </c>
      <c r="AR298" s="12">
        <f>AR261-AQ261</f>
        <v>0</v>
      </c>
      <c r="AS298" s="12">
        <f>AS261-AR261</f>
        <v>0</v>
      </c>
      <c r="AT298" s="12">
        <f>AT261-AS261</f>
        <v>0</v>
      </c>
      <c r="AU298" s="12">
        <f>AU261-AT261</f>
        <v>0</v>
      </c>
      <c r="AV298" s="12">
        <f>SUM(AR298:AU298)</f>
        <v>0</v>
      </c>
      <c r="AW298" s="12">
        <f>AW261-AV261</f>
        <v>0</v>
      </c>
      <c r="AX298" s="12">
        <f>AX261-AW261</f>
        <v>0</v>
      </c>
      <c r="AY298" s="12">
        <f>AY261-AX261</f>
        <v>0</v>
      </c>
      <c r="AZ298" s="12">
        <f>AZ261-AY261</f>
        <v>0</v>
      </c>
      <c r="BA298" s="12">
        <f>SUM(AW298:AZ298)</f>
        <v>0</v>
      </c>
      <c r="BB298" s="12">
        <f>BB261-BA261</f>
        <v>0</v>
      </c>
      <c r="BC298" s="12">
        <f>BC261-BB261</f>
        <v>0</v>
      </c>
      <c r="BD298" s="12">
        <f>BD261-BC261</f>
        <v>0</v>
      </c>
      <c r="BE298" s="12">
        <f>BE261-BD261</f>
        <v>0</v>
      </c>
      <c r="BF298" s="12">
        <f>SUM(BB298:BE298)</f>
        <v>0</v>
      </c>
      <c r="BG298" s="12" t="n"/>
      <c r="BH298" s="12" t="n"/>
      <c r="BI298" s="12" t="n"/>
      <c r="BJ298" s="12" t="n"/>
      <c r="BK298" s="12" t="n"/>
      <c r="BL298" s="12" t="n"/>
      <c r="BM298" s="12" t="n"/>
      <c r="BN298" s="12" t="n"/>
      <c r="BO298" s="12" t="n"/>
      <c r="BP298" s="12" t="n"/>
      <c r="BQ298" s="12" t="n"/>
      <c r="BR298" s="12" t="n"/>
      <c r="BS298" s="12" t="n"/>
      <c r="BT298" s="12" t="n"/>
      <c r="BU298" s="12" t="n"/>
      <c r="BV298" s="12" t="n"/>
      <c r="BW298" s="12" t="n"/>
      <c r="BX298" s="12" t="n"/>
      <c r="BY298" s="12" t="n"/>
      <c r="BZ298" s="12" t="n"/>
      <c r="CA298" s="12" t="n"/>
      <c r="CB298" s="12" t="n"/>
      <c r="CC298" s="12" t="n"/>
      <c r="CD298" s="12" t="n"/>
      <c r="CE298" s="12" t="n"/>
      <c r="CF298" s="12" t="n"/>
      <c r="CG298" s="12" t="n"/>
      <c r="CH298" s="12" t="n"/>
      <c r="CI298" s="12" t="n"/>
      <c r="CJ298" s="12" t="n"/>
      <c r="CK298" s="12" t="n"/>
      <c r="CL298" s="12" t="n"/>
      <c r="CM298" s="12" t="n"/>
      <c r="CN298" s="12" t="n"/>
      <c r="CO298" s="12" t="n"/>
      <c r="CP298" s="12" t="n"/>
      <c r="CQ298" s="12" t="n"/>
      <c r="CR298" s="12" t="n"/>
      <c r="CS298" s="12" t="n"/>
      <c r="CT298" s="12" t="n"/>
      <c r="CU298" s="12" t="n"/>
      <c r="CV298" s="12" t="n"/>
      <c r="CW298" s="12" t="n"/>
      <c r="CX298" s="12" t="n"/>
      <c r="CY298" s="12" t="n"/>
    </row>
    <row r="299">
      <c r="C299" s="14" t="inlineStr">
        <is>
          <t>Comprehensive accumulated loss</t>
        </is>
      </c>
      <c r="D299" s="12" t="n"/>
      <c r="E299" s="12" t="n"/>
      <c r="F299" s="12" t="n"/>
      <c r="G299" s="12" t="n"/>
      <c r="H299" s="12" t="n"/>
      <c r="I299" s="12" t="n"/>
      <c r="J299" s="12">
        <f>J262-I262</f>
        <v>63</v>
      </c>
      <c r="K299" s="12">
        <f>K262-J262</f>
        <v>-86</v>
      </c>
      <c r="L299" s="12">
        <f>L262-K262</f>
        <v>-66</v>
      </c>
      <c r="M299" s="12" t="n"/>
      <c r="N299" s="12">
        <f>N262-M262</f>
        <v>-104</v>
      </c>
      <c r="O299" s="12">
        <f>O262-N262</f>
        <v>-427</v>
      </c>
      <c r="P299" s="12">
        <f>P262-O262</f>
        <v>-465</v>
      </c>
      <c r="Q299" s="12">
        <f>Q262-P262</f>
        <v>581</v>
      </c>
      <c r="R299" s="12">
        <f>SUM(N299:Q299)</f>
        <v>-415</v>
      </c>
      <c r="S299" s="12">
        <f>S262-R262</f>
        <v>136</v>
      </c>
      <c r="T299" s="12">
        <f>T262-S262</f>
        <v>-185</v>
      </c>
      <c r="U299" s="12">
        <f>U262-T262</f>
        <v>-282</v>
      </c>
      <c r="V299" s="12">
        <f>V262-U262</f>
        <v>549</v>
      </c>
      <c r="W299" s="12">
        <f>SUM(S299:V299)</f>
        <v>218</v>
      </c>
      <c r="X299" s="12">
        <f>X262-W262</f>
        <v>-256</v>
      </c>
      <c r="Y299" s="12">
        <f>Y262-X262</f>
        <v>-68</v>
      </c>
      <c r="Z299" s="12">
        <f>Z262-Y262</f>
        <v>453</v>
      </c>
      <c r="AA299" s="12">
        <f>AA262-Z262</f>
        <v>-656</v>
      </c>
      <c r="AB299" s="12">
        <f>SUM(X299:AA299)</f>
        <v>-527</v>
      </c>
      <c r="AC299" s="12">
        <f>AC262-AB262</f>
        <v>246</v>
      </c>
      <c r="AD299" s="12">
        <f>AD262-AC262</f>
        <v>582</v>
      </c>
      <c r="AE299" s="12">
        <f>AE262-AD262</f>
        <v>49</v>
      </c>
      <c r="AF299" s="12">
        <f>AF262-AE262</f>
        <v>154</v>
      </c>
      <c r="AG299" s="12">
        <f>SUM(AC299:AF299)</f>
        <v>1031</v>
      </c>
      <c r="AH299" s="12">
        <f>AH262-AG262</f>
        <v>-27</v>
      </c>
      <c r="AI299" s="12">
        <f>AI262-AH262</f>
        <v>67</v>
      </c>
      <c r="AJ299" s="12">
        <f>AJ262-AI262</f>
        <v>0</v>
      </c>
      <c r="AK299" s="12">
        <f>AK262-AJ262</f>
        <v>0</v>
      </c>
      <c r="AL299" s="12">
        <f>SUM(AH299:AK299)</f>
        <v>40</v>
      </c>
      <c r="AM299" s="12">
        <f>AM262-AL262</f>
        <v>0</v>
      </c>
      <c r="AN299" s="12">
        <f>AN262-AM262</f>
        <v>0</v>
      </c>
      <c r="AO299" s="12">
        <f>AO262-AN262</f>
        <v>0</v>
      </c>
      <c r="AP299" s="12">
        <f>AP262-AO262</f>
        <v>0</v>
      </c>
      <c r="AQ299" s="12">
        <f>SUM(AM299:AP299)</f>
        <v>0</v>
      </c>
      <c r="AR299" s="12">
        <f>AR262-AQ262</f>
        <v>0</v>
      </c>
      <c r="AS299" s="12">
        <f>AS262-AR262</f>
        <v>0</v>
      </c>
      <c r="AT299" s="12">
        <f>AT262-AS262</f>
        <v>0</v>
      </c>
      <c r="AU299" s="12">
        <f>AU262-AT262</f>
        <v>0</v>
      </c>
      <c r="AV299" s="12">
        <f>SUM(AR299:AU299)</f>
        <v>0</v>
      </c>
      <c r="AW299" s="12">
        <f>AW262-AV262</f>
        <v>0</v>
      </c>
      <c r="AX299" s="12">
        <f>AX262-AW262</f>
        <v>0</v>
      </c>
      <c r="AY299" s="12">
        <f>AY262-AX262</f>
        <v>0</v>
      </c>
      <c r="AZ299" s="12">
        <f>AZ262-AY262</f>
        <v>0</v>
      </c>
      <c r="BA299" s="12">
        <f>SUM(AW299:AZ299)</f>
        <v>0</v>
      </c>
      <c r="BB299" s="12">
        <f>BB262-BA262</f>
        <v>0</v>
      </c>
      <c r="BC299" s="12">
        <f>BC262-BB262</f>
        <v>0</v>
      </c>
      <c r="BD299" s="12">
        <f>BD262-BC262</f>
        <v>0</v>
      </c>
      <c r="BE299" s="12">
        <f>BE262-BD262</f>
        <v>0</v>
      </c>
      <c r="BF299" s="12">
        <f>SUM(BB299:BE299)</f>
        <v>0</v>
      </c>
      <c r="BG299" s="12" t="n"/>
      <c r="BH299" s="12" t="n"/>
      <c r="BI299" s="12" t="n"/>
      <c r="BJ299" s="12" t="n"/>
      <c r="BK299" s="12" t="n"/>
      <c r="BL299" s="12" t="n"/>
      <c r="BM299" s="12" t="n"/>
      <c r="BN299" s="12" t="n"/>
      <c r="BO299" s="12" t="n"/>
      <c r="BP299" s="12" t="n"/>
      <c r="BQ299" s="12" t="n"/>
      <c r="BR299" s="12" t="n"/>
      <c r="BS299" s="12" t="n"/>
      <c r="BT299" s="12" t="n"/>
      <c r="BU299" s="12" t="n"/>
      <c r="BV299" s="12" t="n"/>
      <c r="BW299" s="12" t="n"/>
      <c r="BX299" s="12" t="n"/>
      <c r="BY299" s="12" t="n"/>
      <c r="BZ299" s="12" t="n"/>
      <c r="CA299" s="12" t="n"/>
      <c r="CB299" s="12" t="n"/>
      <c r="CC299" s="12" t="n"/>
      <c r="CD299" s="12" t="n"/>
      <c r="CE299" s="12" t="n"/>
      <c r="CF299" s="12" t="n"/>
      <c r="CG299" s="12" t="n"/>
      <c r="CH299" s="12" t="n"/>
      <c r="CI299" s="12" t="n"/>
      <c r="CJ299" s="12" t="n"/>
      <c r="CK299" s="12" t="n"/>
      <c r="CL299" s="12" t="n"/>
      <c r="CM299" s="12" t="n"/>
      <c r="CN299" s="12" t="n"/>
      <c r="CO299" s="12" t="n"/>
      <c r="CP299" s="12" t="n"/>
      <c r="CQ299" s="12" t="n"/>
      <c r="CR299" s="12" t="n"/>
      <c r="CS299" s="12" t="n"/>
      <c r="CT299" s="12" t="n"/>
      <c r="CU299" s="12" t="n"/>
      <c r="CV299" s="12" t="n"/>
      <c r="CW299" s="12" t="n"/>
      <c r="CX299" s="12" t="n"/>
      <c r="CY299" s="12" t="n"/>
    </row>
    <row r="300">
      <c r="C300" s="14" t="inlineStr">
        <is>
          <t>Other equity account</t>
        </is>
      </c>
      <c r="D300" s="12" t="n"/>
      <c r="E300" s="12" t="n"/>
      <c r="F300" s="12" t="n"/>
      <c r="G300" s="12" t="n"/>
      <c r="H300" s="12" t="n"/>
      <c r="I300" s="12" t="n"/>
      <c r="J300" s="12">
        <f>J263-I263</f>
        <v>0</v>
      </c>
      <c r="K300" s="12">
        <f>K263-J263</f>
        <v>0</v>
      </c>
      <c r="L300" s="12">
        <f>L263-K263</f>
        <v>0</v>
      </c>
      <c r="M300" s="12" t="n"/>
      <c r="N300" s="12">
        <f>N263-M263</f>
        <v>0</v>
      </c>
      <c r="O300" s="12">
        <f>O263-N263</f>
        <v>0</v>
      </c>
      <c r="P300" s="12">
        <f>P263-O263</f>
        <v>0</v>
      </c>
      <c r="Q300" s="12">
        <f>Q263-P263</f>
        <v>0</v>
      </c>
      <c r="R300" s="12">
        <f>SUM(N300:Q300)</f>
        <v>0</v>
      </c>
      <c r="S300" s="12">
        <f>S263-R263</f>
        <v>0</v>
      </c>
      <c r="T300" s="12">
        <f>T263-S263</f>
        <v>0</v>
      </c>
      <c r="U300" s="12">
        <f>U263-T263</f>
        <v>0</v>
      </c>
      <c r="V300" s="12">
        <f>V263-U263</f>
        <v>0</v>
      </c>
      <c r="W300" s="12">
        <f>SUM(S300:V300)</f>
        <v>0</v>
      </c>
      <c r="X300" s="12">
        <f>X263-W263</f>
        <v>0</v>
      </c>
      <c r="Y300" s="12">
        <f>Y263-X263</f>
        <v>0</v>
      </c>
      <c r="Z300" s="12">
        <f>Z263-Y263</f>
        <v>0</v>
      </c>
      <c r="AA300" s="12">
        <f>AA263-Z263</f>
        <v>0</v>
      </c>
      <c r="AB300" s="12">
        <f>SUM(X300:AA300)</f>
        <v>0</v>
      </c>
      <c r="AC300" s="12">
        <f>AC263-AB263</f>
        <v>0</v>
      </c>
      <c r="AD300" s="12">
        <f>AD263-AC263</f>
        <v>0</v>
      </c>
      <c r="AE300" s="12">
        <f>AE263-AD263</f>
        <v>0</v>
      </c>
      <c r="AF300" s="12">
        <f>AF263-AE263</f>
        <v>0</v>
      </c>
      <c r="AG300" s="12">
        <f>SUM(AC300:AF300)</f>
        <v>0</v>
      </c>
      <c r="AH300" s="12">
        <f>AH263-AG263</f>
        <v>0</v>
      </c>
      <c r="AI300" s="12">
        <f>AI263-AH263</f>
        <v>0</v>
      </c>
      <c r="AJ300" s="12">
        <f>AJ263-AI263</f>
        <v>0</v>
      </c>
      <c r="AK300" s="12">
        <f>AK263-AJ263</f>
        <v>0</v>
      </c>
      <c r="AL300" s="12">
        <f>SUM(AH300:AK300)</f>
        <v>0</v>
      </c>
      <c r="AM300" s="12">
        <f>AM263-AL263</f>
        <v>0</v>
      </c>
      <c r="AN300" s="12">
        <f>AN263-AM263</f>
        <v>0</v>
      </c>
      <c r="AO300" s="12">
        <f>AO263-AN263</f>
        <v>0</v>
      </c>
      <c r="AP300" s="12">
        <f>AP263-AO263</f>
        <v>0</v>
      </c>
      <c r="AQ300" s="12">
        <f>SUM(AM300:AP300)</f>
        <v>0</v>
      </c>
      <c r="AR300" s="12">
        <f>AR263-AQ263</f>
        <v>0</v>
      </c>
      <c r="AS300" s="12">
        <f>AS263-AR263</f>
        <v>0</v>
      </c>
      <c r="AT300" s="12">
        <f>AT263-AS263</f>
        <v>0</v>
      </c>
      <c r="AU300" s="12">
        <f>AU263-AT263</f>
        <v>0</v>
      </c>
      <c r="AV300" s="12">
        <f>SUM(AR300:AU300)</f>
        <v>0</v>
      </c>
      <c r="AW300" s="12">
        <f>AW263-AV263</f>
        <v>0</v>
      </c>
      <c r="AX300" s="12">
        <f>AX263-AW263</f>
        <v>0</v>
      </c>
      <c r="AY300" s="12">
        <f>AY263-AX263</f>
        <v>0</v>
      </c>
      <c r="AZ300" s="12">
        <f>AZ263-AY263</f>
        <v>0</v>
      </c>
      <c r="BA300" s="12">
        <f>SUM(AW300:AZ300)</f>
        <v>0</v>
      </c>
      <c r="BB300" s="12">
        <f>BB263-BA263</f>
        <v>0</v>
      </c>
      <c r="BC300" s="12">
        <f>BC263-BB263</f>
        <v>0</v>
      </c>
      <c r="BD300" s="12">
        <f>BD263-BC263</f>
        <v>0</v>
      </c>
      <c r="BE300" s="12">
        <f>BE263-BD263</f>
        <v>0</v>
      </c>
      <c r="BF300" s="12">
        <f>SUM(BB300:BE300)</f>
        <v>0</v>
      </c>
      <c r="BG300" s="12" t="n"/>
      <c r="BH300" s="12" t="n"/>
      <c r="BI300" s="12" t="n"/>
      <c r="BJ300" s="12" t="n"/>
      <c r="BK300" s="12" t="n"/>
      <c r="BL300" s="12" t="n"/>
      <c r="BM300" s="12" t="n"/>
      <c r="BN300" s="12" t="n"/>
      <c r="BO300" s="12" t="n"/>
      <c r="BP300" s="12" t="n"/>
      <c r="BQ300" s="12" t="n"/>
      <c r="BR300" s="12" t="n"/>
      <c r="BS300" s="12" t="n"/>
      <c r="BT300" s="12" t="n"/>
      <c r="BU300" s="12" t="n"/>
      <c r="BV300" s="12" t="n"/>
      <c r="BW300" s="12" t="n"/>
      <c r="BX300" s="12" t="n"/>
      <c r="BY300" s="12" t="n"/>
      <c r="BZ300" s="12" t="n"/>
      <c r="CA300" s="12" t="n"/>
      <c r="CB300" s="12" t="n"/>
      <c r="CC300" s="12" t="n"/>
      <c r="CD300" s="12" t="n"/>
      <c r="CE300" s="12" t="n"/>
      <c r="CF300" s="12" t="n"/>
      <c r="CG300" s="12" t="n"/>
      <c r="CH300" s="12" t="n"/>
      <c r="CI300" s="12" t="n"/>
      <c r="CJ300" s="12" t="n"/>
      <c r="CK300" s="12" t="n"/>
      <c r="CL300" s="12" t="n"/>
      <c r="CM300" s="12" t="n"/>
      <c r="CN300" s="12" t="n"/>
      <c r="CO300" s="12" t="n"/>
      <c r="CP300" s="12" t="n"/>
      <c r="CQ300" s="12" t="n"/>
      <c r="CR300" s="12" t="n"/>
      <c r="CS300" s="12" t="n"/>
      <c r="CT300" s="12" t="n"/>
      <c r="CU300" s="12" t="n"/>
      <c r="CV300" s="12" t="n"/>
      <c r="CW300" s="12" t="n"/>
      <c r="CX300" s="12" t="n"/>
      <c r="CY300" s="12" t="n"/>
    </row>
    <row r="301">
      <c r="C301" s="10" t="inlineStr">
        <is>
          <t>Common and preferred dividends</t>
        </is>
      </c>
      <c r="D301" s="12" t="n"/>
      <c r="E301" s="12" t="n"/>
      <c r="F301" s="12" t="n"/>
      <c r="G301" s="12" t="n"/>
      <c r="H301" s="12" t="n"/>
      <c r="I301" s="12" t="n"/>
      <c r="J301" s="12">
        <f>(J264-I264)-J271</f>
        <v>0</v>
      </c>
      <c r="K301" s="12">
        <f>(K264-J264)-K271</f>
        <v>0</v>
      </c>
      <c r="L301" s="12">
        <f>(L264-K264)-L271</f>
        <v>0</v>
      </c>
      <c r="M301" s="12" t="n"/>
      <c r="N301" s="12">
        <f>(N264-M264)-N271</f>
        <v>0</v>
      </c>
      <c r="O301" s="12">
        <f>(O264-N264)-O271</f>
        <v>0</v>
      </c>
      <c r="P301" s="12">
        <f>(P264-O264)-P271</f>
        <v>-2</v>
      </c>
      <c r="Q301" s="12">
        <f>(Q264-P264)-Q271</f>
        <v>0</v>
      </c>
      <c r="R301" s="12">
        <f>SUM(N301:Q301)</f>
        <v>-2</v>
      </c>
      <c r="S301" s="12">
        <f>(S264-R264)-S271</f>
        <v>0</v>
      </c>
      <c r="T301" s="12">
        <f>(T264-S264)-T271</f>
        <v>0</v>
      </c>
      <c r="U301" s="12">
        <f>(U264-T264)-U271</f>
        <v>0</v>
      </c>
      <c r="V301" s="12">
        <f>(V264-U264)-V271</f>
        <v>0</v>
      </c>
      <c r="W301" s="12">
        <f>SUM(S301:V301)</f>
        <v>0</v>
      </c>
      <c r="X301" s="12">
        <f>(X264-W264)-X271</f>
        <v>-261</v>
      </c>
      <c r="Y301" s="12">
        <f>(Y264-X264)-Y271</f>
        <v>78</v>
      </c>
      <c r="Z301" s="12">
        <f>(Z264-Y264)-Z271</f>
        <v>-6</v>
      </c>
      <c r="AA301" s="12">
        <f>(AA264-Z264)-AA271</f>
        <v>425</v>
      </c>
      <c r="AB301" s="12">
        <f>SUM(X301:AA301)</f>
        <v>236</v>
      </c>
      <c r="AC301" s="12">
        <f>(AC264-AB264)-AC271</f>
        <v>0</v>
      </c>
      <c r="AD301" s="12">
        <f>(AD264-AC264)-AD271</f>
        <v>0</v>
      </c>
      <c r="AE301" s="12">
        <f>(AE264-AD264)-AE271</f>
        <v>0</v>
      </c>
      <c r="AF301" s="12">
        <f>(AF264-AE264)-AF271</f>
        <v>0</v>
      </c>
      <c r="AG301" s="12">
        <f>SUM(AC301:AF301)</f>
        <v>0</v>
      </c>
      <c r="AH301" s="12">
        <f>(AH264-AG264)-AH271</f>
        <v>0</v>
      </c>
      <c r="AI301" s="12">
        <f>(AI264-AH264)-AI271</f>
        <v>0</v>
      </c>
      <c r="AJ301" s="12">
        <f>(AJ264-AI264)-AJ271</f>
        <v>0</v>
      </c>
      <c r="AK301" s="12">
        <f>(AK264-AJ264)-AK271</f>
        <v>0</v>
      </c>
      <c r="AL301" s="12">
        <f>SUM(AH301:AK301)</f>
        <v>0</v>
      </c>
      <c r="AM301" s="12">
        <f>(AM264-AL264)-AM271</f>
        <v>0</v>
      </c>
      <c r="AN301" s="12">
        <f>(AN264-AM264)-AN271</f>
        <v>0</v>
      </c>
      <c r="AO301" s="12">
        <f>(AO264-AN264)-AO271</f>
        <v>0</v>
      </c>
      <c r="AP301" s="12">
        <f>(AP264-AO264)-AP271</f>
        <v>0</v>
      </c>
      <c r="AQ301" s="12">
        <f>SUM(AM301:AP301)</f>
        <v>0</v>
      </c>
      <c r="AR301" s="12">
        <f>(AR264-AQ264)-AR271</f>
        <v>0</v>
      </c>
      <c r="AS301" s="12">
        <f>(AS264-AR264)-AS271</f>
        <v>0</v>
      </c>
      <c r="AT301" s="12">
        <f>(AT264-AS264)-AT271</f>
        <v>0</v>
      </c>
      <c r="AU301" s="12">
        <f>(AU264-AT264)-AU271</f>
        <v>0</v>
      </c>
      <c r="AV301" s="12">
        <f>SUM(AR301:AU301)</f>
        <v>0</v>
      </c>
      <c r="AW301" s="12">
        <f>(AW264-AV264)-AW271</f>
        <v>0</v>
      </c>
      <c r="AX301" s="12">
        <f>(AX264-AW264)-AX271</f>
        <v>0</v>
      </c>
      <c r="AY301" s="12">
        <f>(AY264-AX264)-AY271</f>
        <v>0</v>
      </c>
      <c r="AZ301" s="12">
        <f>(AZ264-AY264)-AZ271</f>
        <v>0</v>
      </c>
      <c r="BA301" s="12">
        <f>SUM(AW301:AZ301)</f>
        <v>0</v>
      </c>
      <c r="BB301" s="12">
        <f>(BB264-BA264)-BB271</f>
        <v>0</v>
      </c>
      <c r="BC301" s="12">
        <f>(BC264-BB264)-BC271</f>
        <v>0</v>
      </c>
      <c r="BD301" s="12">
        <f>(BD264-BC264)-BD271</f>
        <v>0</v>
      </c>
      <c r="BE301" s="12">
        <f>(BE264-BD264)-BE271</f>
        <v>0</v>
      </c>
      <c r="BF301" s="12">
        <f>SUM(BB301:BE301)</f>
        <v>0</v>
      </c>
      <c r="BG301" s="12" t="n"/>
      <c r="BH301" s="12" t="n"/>
      <c r="BI301" s="12" t="n"/>
      <c r="BJ301" s="12" t="n"/>
      <c r="BK301" s="12" t="n"/>
      <c r="BL301" s="12" t="n"/>
      <c r="BM301" s="12" t="n"/>
      <c r="BN301" s="12" t="n"/>
      <c r="BO301" s="12" t="n"/>
      <c r="BP301" s="12" t="n"/>
      <c r="BQ301" s="12" t="n"/>
      <c r="BR301" s="12" t="n"/>
      <c r="BS301" s="12" t="n"/>
      <c r="BT301" s="12" t="n"/>
      <c r="BU301" s="12" t="n"/>
      <c r="BV301" s="12" t="n"/>
      <c r="BW301" s="12" t="n"/>
      <c r="BX301" s="12" t="n"/>
      <c r="BY301" s="12" t="n"/>
      <c r="BZ301" s="12" t="n"/>
      <c r="CA301" s="12" t="n"/>
      <c r="CB301" s="12" t="n"/>
      <c r="CC301" s="12" t="n"/>
      <c r="CD301" s="12" t="n"/>
      <c r="CE301" s="12" t="n"/>
      <c r="CF301" s="12" t="n"/>
      <c r="CG301" s="12" t="n"/>
      <c r="CH301" s="12" t="n"/>
      <c r="CI301" s="12" t="n"/>
      <c r="CJ301" s="12" t="n"/>
      <c r="CK301" s="12" t="n"/>
      <c r="CL301" s="12" t="n"/>
      <c r="CM301" s="12" t="n"/>
      <c r="CN301" s="12" t="n"/>
      <c r="CO301" s="12" t="n"/>
      <c r="CP301" s="12" t="n"/>
      <c r="CQ301" s="12" t="n"/>
      <c r="CR301" s="12" t="n"/>
      <c r="CS301" s="12" t="n"/>
      <c r="CT301" s="12" t="n"/>
      <c r="CU301" s="12" t="n"/>
      <c r="CV301" s="12" t="n"/>
      <c r="CW301" s="12" t="n"/>
      <c r="CX301" s="12" t="n"/>
      <c r="CY301" s="12" t="n"/>
    </row>
    <row r="302">
      <c r="C302" s="14" t="inlineStr">
        <is>
          <t>Dividends to minority interests</t>
        </is>
      </c>
      <c r="D302" s="12" t="n"/>
      <c r="E302" s="12" t="n"/>
      <c r="F302" s="12" t="n"/>
      <c r="G302" s="12" t="n"/>
      <c r="H302" s="12" t="n"/>
      <c r="I302" s="12" t="n"/>
      <c r="J302" s="12">
        <f>(J242-I242)+J130</f>
        <v>-38</v>
      </c>
      <c r="K302" s="12">
        <f>(K242-J242)+K130</f>
        <v>-46</v>
      </c>
      <c r="L302" s="12">
        <f>(L242-K242)+L130</f>
        <v>-69</v>
      </c>
      <c r="M302" s="12" t="n"/>
      <c r="N302" s="12">
        <f>(N242-M242)+N130</f>
        <v>-35</v>
      </c>
      <c r="O302" s="12">
        <f>(O242-N242)+O130</f>
        <v>-49</v>
      </c>
      <c r="P302" s="12">
        <f>(P242-O242)+P130</f>
        <v>-48</v>
      </c>
      <c r="Q302" s="12">
        <f>(Q242-P242)+Q130</f>
        <v>-99</v>
      </c>
      <c r="R302" s="12">
        <f>SUM(N302:Q302)</f>
        <v>-231</v>
      </c>
      <c r="S302" s="12">
        <f>(S242-R242)+S130</f>
        <v>-39</v>
      </c>
      <c r="T302" s="12">
        <f>(T242-S242)+T130</f>
        <v>-40</v>
      </c>
      <c r="U302" s="12">
        <f>(U242-T242)+U130</f>
        <v>-48</v>
      </c>
      <c r="V302" s="12">
        <f>(V242-U242)+V130</f>
        <v>-69</v>
      </c>
      <c r="W302" s="12">
        <f>SUM(S302:V302)</f>
        <v>-196</v>
      </c>
      <c r="X302" s="12">
        <f>(X242-W242)+X130</f>
        <v>-188</v>
      </c>
      <c r="Y302" s="12">
        <f>(Y242-X242)+Y130</f>
        <v>-23</v>
      </c>
      <c r="Z302" s="12">
        <f>(Z242-Y242)+Z130</f>
        <v>-32</v>
      </c>
      <c r="AA302" s="12">
        <f>(AA242-Z242)+AA130</f>
        <v>-27</v>
      </c>
      <c r="AB302" s="12">
        <f>SUM(X302:AA302)</f>
        <v>-270</v>
      </c>
      <c r="AC302" s="12">
        <f>(AC242-AB242)+AC130</f>
        <v>-13</v>
      </c>
      <c r="AD302" s="12">
        <f>(AD242-AC242)+AD130</f>
        <v>-25</v>
      </c>
      <c r="AE302" s="12">
        <f>(AE242-AD242)+AE130</f>
        <v>-28</v>
      </c>
      <c r="AF302" s="12">
        <f>(AF242-AE242)+AF130</f>
        <v>-34</v>
      </c>
      <c r="AG302" s="12">
        <f>SUM(AC302:AF302)</f>
        <v>-100</v>
      </c>
      <c r="AH302" s="12">
        <f>(AH242-AG242)+AH130</f>
        <v>-56</v>
      </c>
      <c r="AI302" s="12">
        <f>(AI242-AH242)+AI130</f>
        <v>-39</v>
      </c>
      <c r="AJ302" s="12">
        <f>(AJ242-AI242)+AJ130</f>
        <v>0</v>
      </c>
      <c r="AK302" s="12">
        <f>(AK242-AJ242)+AK130</f>
        <v>0</v>
      </c>
      <c r="AL302" s="12">
        <f>SUM(AH302:AK302)</f>
        <v>-95</v>
      </c>
      <c r="AM302" s="12">
        <f>(AM242-AL242)+AM130</f>
        <v>0</v>
      </c>
      <c r="AN302" s="12">
        <f>(AN242-AM242)+AN130</f>
        <v>0</v>
      </c>
      <c r="AO302" s="12">
        <f>(AO242-AN242)+AO130</f>
        <v>0</v>
      </c>
      <c r="AP302" s="12">
        <f>(AP242-AO242)+AP130</f>
        <v>0</v>
      </c>
      <c r="AQ302" s="12">
        <f>SUM(AM302:AP302)</f>
        <v>0</v>
      </c>
      <c r="AR302" s="12">
        <f>(AR242-AQ242)+AR130</f>
        <v>0</v>
      </c>
      <c r="AS302" s="12">
        <f>(AS242-AR242)+AS130</f>
        <v>0</v>
      </c>
      <c r="AT302" s="12">
        <f>(AT242-AS242)+AT130</f>
        <v>0</v>
      </c>
      <c r="AU302" s="12">
        <f>(AU242-AT242)+AU130</f>
        <v>0</v>
      </c>
      <c r="AV302" s="12">
        <f>SUM(AR302:AU302)</f>
        <v>0</v>
      </c>
      <c r="AW302" s="12">
        <f>(AW242-AV242)+AW130</f>
        <v>0</v>
      </c>
      <c r="AX302" s="12">
        <f>(AX242-AW242)+AX130</f>
        <v>0</v>
      </c>
      <c r="AY302" s="12">
        <f>(AY242-AX242)+AY130</f>
        <v>0</v>
      </c>
      <c r="AZ302" s="12">
        <f>(AZ242-AY242)+AZ130</f>
        <v>0</v>
      </c>
      <c r="BA302" s="12">
        <f>SUM(AW302:AZ302)</f>
        <v>0</v>
      </c>
      <c r="BB302" s="12">
        <f>(BB242-BA242)+BB130</f>
        <v>0</v>
      </c>
      <c r="BC302" s="12">
        <f>(BC242-BB242)+BC130</f>
        <v>0</v>
      </c>
      <c r="BD302" s="12">
        <f>(BD242-BC242)+BD130</f>
        <v>0</v>
      </c>
      <c r="BE302" s="12">
        <f>(BE242-BD242)+BE130</f>
        <v>0</v>
      </c>
      <c r="BF302" s="12">
        <f>SUM(BB302:BE302)</f>
        <v>0</v>
      </c>
      <c r="BG302" s="12" t="n"/>
      <c r="BH302" s="12" t="n"/>
      <c r="BI302" s="12" t="n"/>
      <c r="BJ302" s="12" t="n"/>
      <c r="BK302" s="12" t="n"/>
      <c r="BL302" s="12" t="n"/>
      <c r="BM302" s="12" t="n"/>
      <c r="BN302" s="12" t="n"/>
      <c r="BO302" s="12" t="n"/>
      <c r="BP302" s="12" t="n"/>
      <c r="BQ302" s="12" t="n"/>
      <c r="BR302" s="12" t="n"/>
      <c r="BS302" s="12" t="n"/>
      <c r="BT302" s="12" t="n"/>
      <c r="BU302" s="12" t="n"/>
      <c r="BV302" s="12" t="n"/>
      <c r="BW302" s="12" t="n"/>
      <c r="BX302" s="12" t="n"/>
      <c r="BY302" s="12" t="n"/>
      <c r="BZ302" s="12" t="n"/>
      <c r="CA302" s="12" t="n"/>
      <c r="CB302" s="12" t="n"/>
      <c r="CC302" s="12" t="n"/>
      <c r="CD302" s="12" t="n"/>
      <c r="CE302" s="12" t="n"/>
      <c r="CF302" s="12" t="n"/>
      <c r="CG302" s="12" t="n"/>
      <c r="CH302" s="12" t="n"/>
      <c r="CI302" s="12" t="n"/>
      <c r="CJ302" s="12" t="n"/>
      <c r="CK302" s="12" t="n"/>
      <c r="CL302" s="12" t="n"/>
      <c r="CM302" s="12" t="n"/>
      <c r="CN302" s="12" t="n"/>
      <c r="CO302" s="12" t="n"/>
      <c r="CP302" s="12" t="n"/>
      <c r="CQ302" s="12" t="n"/>
      <c r="CR302" s="12" t="n"/>
      <c r="CS302" s="12" t="n"/>
      <c r="CT302" s="12" t="n"/>
      <c r="CU302" s="12" t="n"/>
      <c r="CV302" s="12" t="n"/>
      <c r="CW302" s="12" t="n"/>
      <c r="CX302" s="12" t="n"/>
      <c r="CY302" s="12" t="n"/>
    </row>
    <row r="303">
      <c r="C303" s="15" t="inlineStr">
        <is>
          <t>Increases / (decreases) in debt</t>
        </is>
      </c>
      <c r="D303" s="12" t="n"/>
      <c r="E303" s="12" t="n"/>
      <c r="F303" s="12" t="n"/>
      <c r="G303" s="12" t="n"/>
      <c r="H303" s="12" t="n"/>
      <c r="I303" s="12" t="n"/>
      <c r="J303" s="12">
        <f>SUM(J206:J208,J211,J232,J229)-SUM(I206:I208,I211,I232,I229)</f>
        <v>0</v>
      </c>
      <c r="K303" s="12">
        <f>SUM(K206:K208,K211,K232,K229)-SUM(J206:J208,J211,J232,J229)</f>
        <v>0</v>
      </c>
      <c r="L303" s="12">
        <f>SUM(L206:L208,L211,L232,L229)-SUM(K206:K208,K211,K232,K229)</f>
        <v>0</v>
      </c>
      <c r="M303" s="12" t="n"/>
      <c r="N303" s="12">
        <f>SUM(N206:N208,N211,N232,N229)-SUM(M206:M208,M211,M232,M229)</f>
        <v>0</v>
      </c>
      <c r="O303" s="12">
        <f>SUM(O206:O208,O211,O232,O229)-SUM(N206:N208,N211,N232,N229)</f>
        <v>0</v>
      </c>
      <c r="P303" s="12">
        <f>SUM(P206:P208,P211,P232,P229)-SUM(O206:O208,O211,O232,O229)</f>
        <v>0</v>
      </c>
      <c r="Q303" s="12">
        <f>SUM(Q206:Q208,Q211,Q232,Q229)-SUM(P206:P208,P211,P232,P229)</f>
        <v>0</v>
      </c>
      <c r="R303" s="12">
        <f>SUM(N303:Q303)</f>
        <v>0</v>
      </c>
      <c r="S303" s="12">
        <f>SUM(S206:S208,S211,S232,S229)-SUM(R206:R208,R211,R232,R229)</f>
        <v>0</v>
      </c>
      <c r="T303" s="12">
        <f>SUM(T206:T208,T211,T232,T229)-SUM(S206:S208,S211,S232,S229)</f>
        <v>0</v>
      </c>
      <c r="U303" s="12">
        <f>SUM(U206:U208,U211,U232,U229)-SUM(T206:T208,T211,T232,T229)</f>
        <v>0</v>
      </c>
      <c r="V303" s="12">
        <f>SUM(V206:V208,V211,V232,V229)-SUM(U206:U208,U211,U232,U229)</f>
        <v>0</v>
      </c>
      <c r="W303" s="12">
        <f>SUM(S303:V303)</f>
        <v>0</v>
      </c>
      <c r="X303" s="12">
        <f>SUM(X206:X208,X211,X232,X229)-SUM(W206:W208,W211,W232,W229)</f>
        <v>0</v>
      </c>
      <c r="Y303" s="12">
        <f>SUM(Y206:Y208,Y211,Y232,Y229)-SUM(X206:X208,X211,X232,X229)</f>
        <v>0</v>
      </c>
      <c r="Z303" s="12">
        <f>SUM(Z206:Z208,Z211,Z232,Z229)-SUM(Y206:Y208,Y211,Y232,Y229)</f>
        <v>0</v>
      </c>
      <c r="AA303" s="12">
        <f>SUM(AA206:AA208,AA211,AA232,AA229)-SUM(Z206:Z208,Z211,Z232,Z229)</f>
        <v>0</v>
      </c>
      <c r="AB303" s="12">
        <f>SUM(X303:AA303)</f>
        <v>0</v>
      </c>
      <c r="AC303" s="12">
        <f>SUM(AC206:AC208,AC211,AC232,AC229)-SUM(AB206:AB208,AB211,AB232,AB229)</f>
        <v>0</v>
      </c>
      <c r="AD303" s="12">
        <f>SUM(AD206:AD208,AD211,AD232,AD229)-SUM(AC206:AC208,AC211,AC232,AC229)</f>
        <v>0</v>
      </c>
      <c r="AE303" s="12">
        <f>SUM(AE206:AE208,AE211,AE232,AE229)-SUM(AD206:AD208,AD211,AD232,AD229)</f>
        <v>0</v>
      </c>
      <c r="AF303" s="12">
        <f>SUM(AF206:AF208,AF211,AF232,AF229)-SUM(AE206:AE208,AE211,AE232,AE229)</f>
        <v>0</v>
      </c>
      <c r="AG303" s="12">
        <f>SUM(AC303:AF303)</f>
        <v>0</v>
      </c>
      <c r="AH303" s="12">
        <f>SUM(AH206:AH208,AH211,AH232,AH229)-SUM(AG206:AG208,AG211,AG232,AG229)</f>
        <v>0</v>
      </c>
      <c r="AI303" s="12">
        <f>SUM(AI206:AI208,AI211,AI232,AI229)-SUM(AH206:AH208,AH211,AH232,AH229)</f>
        <v>0</v>
      </c>
      <c r="AJ303" s="12">
        <f>SUM(AJ206:AJ208,AJ211,AJ232,AJ229)-SUM(AI206:AI208,AI211,AI232,AI229)</f>
        <v>0</v>
      </c>
      <c r="AK303" s="12">
        <f>SUM(AK206:AK208,AK211,AK232,AK229)-SUM(AJ206:AJ208,AJ211,AJ232,AJ229)</f>
        <v>0</v>
      </c>
      <c r="AL303" s="12">
        <f>SUM(AH303:AK303)</f>
        <v>0</v>
      </c>
      <c r="AM303" s="12">
        <f>SUM(AM206:AM208,AM211,AM232,AM229)-SUM(AL206:AL208,AL211,AL232,AL229)</f>
        <v>0</v>
      </c>
      <c r="AN303" s="12">
        <f>SUM(AN206:AN208,AN211,AN232,AN229)-SUM(AM206:AM208,AM211,AM232,AM229)</f>
        <v>0</v>
      </c>
      <c r="AO303" s="12">
        <f>SUM(AO206:AO208,AO211,AO232,AO229)-SUM(AN206:AN208,AN211,AN232,AN229)</f>
        <v>0</v>
      </c>
      <c r="AP303" s="12">
        <f>SUM(AP206:AP208,AP211,AP232,AP229)-SUM(AO206:AO208,AO211,AO232,AO229)</f>
        <v>0</v>
      </c>
      <c r="AQ303" s="12">
        <f>SUM(AM303:AP303)</f>
        <v>0</v>
      </c>
      <c r="AR303" s="12">
        <f>SUM(AR206:AR208,AR211,AR232,AR229)-SUM(AQ206:AQ208,AQ211,AQ232,AQ229)</f>
        <v>0</v>
      </c>
      <c r="AS303" s="12">
        <f>SUM(AS206:AS208,AS211,AS232,AS229)-SUM(AR206:AR208,AR211,AR232,AR229)</f>
        <v>0</v>
      </c>
      <c r="AT303" s="12">
        <f>SUM(AT206:AT208,AT211,AT232,AT229)-SUM(AS206:AS208,AS211,AS232,AS229)</f>
        <v>0</v>
      </c>
      <c r="AU303" s="12">
        <f>SUM(AU206:AU208,AU211,AU232,AU229)-SUM(AT206:AT208,AT211,AT232,AT229)</f>
        <v>0</v>
      </c>
      <c r="AV303" s="12">
        <f>SUM(AR303:AU303)</f>
        <v>0</v>
      </c>
      <c r="AW303" s="12">
        <f>SUM(AW206:AW208,AW211,AW232,AW229)-SUM(AV206:AV208,AV211,AV232,AV229)</f>
        <v>0</v>
      </c>
      <c r="AX303" s="12">
        <f>SUM(AX206:AX208,AX211,AX232,AX229)-SUM(AW206:AW208,AW211,AW232,AW229)</f>
        <v>0</v>
      </c>
      <c r="AY303" s="12">
        <f>SUM(AY206:AY208,AY211,AY232,AY229)-SUM(AX206:AX208,AX211,AX232,AX229)</f>
        <v>0</v>
      </c>
      <c r="AZ303" s="12">
        <f>SUM(AZ206:AZ208,AZ211,AZ232,AZ229)-SUM(AY206:AY208,AY211,AY232,AY229)</f>
        <v>0</v>
      </c>
      <c r="BA303" s="12">
        <f>SUM(AW303:AZ303)</f>
        <v>0</v>
      </c>
      <c r="BB303" s="12">
        <f>SUM(BB206:BB208,BB211,BB232,BB229)-SUM(BA206:BA208,BA211,BA232,BA229)</f>
        <v>0</v>
      </c>
      <c r="BC303" s="12">
        <f>SUM(BC206:BC208,BC211,BC232,BC229)-SUM(BB206:BB208,BB211,BB232,BB229)</f>
        <v>0</v>
      </c>
      <c r="BD303" s="12">
        <f>SUM(BD206:BD208,BD211,BD232,BD229)-SUM(BC206:BC208,BC211,BC232,BC229)</f>
        <v>0</v>
      </c>
      <c r="BE303" s="12">
        <f>SUM(BE206:BE208,BE211,BE232,BE229)-SUM(BD206:BD208,BD211,BD232,BD229)</f>
        <v>0</v>
      </c>
      <c r="BF303" s="12">
        <f>SUM(BB303:BE303)</f>
        <v>0</v>
      </c>
      <c r="BG303" s="12" t="n"/>
      <c r="BH303" s="12" t="n"/>
      <c r="BI303" s="12" t="n"/>
      <c r="BJ303" s="12" t="n"/>
      <c r="BK303" s="12" t="n"/>
      <c r="BL303" s="12" t="n"/>
      <c r="BM303" s="12" t="n"/>
      <c r="BN303" s="12" t="n"/>
      <c r="BO303" s="12" t="n"/>
      <c r="BP303" s="12" t="n"/>
      <c r="BQ303" s="12" t="n"/>
      <c r="BR303" s="12" t="n"/>
      <c r="BS303" s="12" t="n"/>
      <c r="BT303" s="12" t="n"/>
      <c r="BU303" s="12" t="n"/>
      <c r="BV303" s="12" t="n"/>
      <c r="BW303" s="12" t="n"/>
      <c r="BX303" s="12" t="n"/>
      <c r="BY303" s="12" t="n"/>
      <c r="BZ303" s="12" t="n"/>
      <c r="CA303" s="12" t="n"/>
      <c r="CB303" s="12" t="n"/>
      <c r="CC303" s="12" t="n"/>
      <c r="CD303" s="12" t="n"/>
      <c r="CE303" s="12" t="n"/>
      <c r="CF303" s="12" t="n"/>
      <c r="CG303" s="12" t="n"/>
      <c r="CH303" s="12" t="n"/>
      <c r="CI303" s="12" t="n"/>
      <c r="CJ303" s="12" t="n"/>
      <c r="CK303" s="12" t="n"/>
      <c r="CL303" s="12" t="n"/>
      <c r="CM303" s="12" t="n"/>
      <c r="CN303" s="12" t="n"/>
      <c r="CO303" s="12" t="n"/>
      <c r="CP303" s="12" t="n"/>
      <c r="CQ303" s="12" t="n"/>
      <c r="CR303" s="12" t="n"/>
      <c r="CS303" s="12" t="n"/>
      <c r="CT303" s="12" t="n"/>
      <c r="CU303" s="12" t="n"/>
      <c r="CV303" s="12" t="n"/>
      <c r="CW303" s="12" t="n"/>
      <c r="CX303" s="12" t="n"/>
      <c r="CY303" s="12" t="n"/>
      <c r="CZ303" s="12" t="n"/>
      <c r="DA303" s="12" t="n"/>
      <c r="DB303" s="12" t="n"/>
      <c r="DC303" s="12" t="n"/>
    </row>
    <row r="304">
      <c r="C304" s="14" t="inlineStr">
        <is>
          <t>Cash from financing</t>
        </is>
      </c>
      <c r="D304" s="12" t="n"/>
      <c r="E304" s="12" t="n"/>
      <c r="F304" s="12" t="n"/>
      <c r="G304" s="12" t="n"/>
      <c r="H304" s="12" t="n"/>
      <c r="I304" s="12" t="n"/>
      <c r="J304" s="12">
        <f>SUM(J296,J297,J298,J299,J300,J301,J302,J303)</f>
        <v>607</v>
      </c>
      <c r="K304" s="12">
        <f>SUM(K296,K297,K298,K299,K300,K301,K302,K303)</f>
        <v>585</v>
      </c>
      <c r="L304" s="12">
        <f>SUM(L296,L297,L298,L299,L300,L301,L302,L303)</f>
        <v>746</v>
      </c>
      <c r="M304" s="12" t="n"/>
      <c r="N304" s="12">
        <f>SUM(N296,N297,N298,N299,N300,N301,N302,N303)</f>
        <v>543</v>
      </c>
      <c r="O304" s="12">
        <f>SUM(O296,O297,O298,O299,O300,O301,O302,O303)</f>
        <v>-17</v>
      </c>
      <c r="P304" s="12">
        <f>SUM(P296,P297,P298,P299,P300,P301,P302,P303)</f>
        <v>135</v>
      </c>
      <c r="Q304" s="12">
        <f>SUM(Q296,Q297,Q298,Q299,Q300,Q301,Q302,Q303)</f>
        <v>1067</v>
      </c>
      <c r="R304" s="12">
        <f>SUM(R296,R297,R298,R299,R300,R301,R302,R303)</f>
        <v>1728</v>
      </c>
      <c r="S304" s="12">
        <f>SUM(S296,S297,S298,S299,S300,S301,S302,S303)</f>
        <v>798</v>
      </c>
      <c r="T304" s="12">
        <f>SUM(T296,T297,T298,T299,T300,T301,T302,T303)</f>
        <v>333</v>
      </c>
      <c r="U304" s="12">
        <f>SUM(U296,U297,U298,U299,U300,U301,U302,U303)</f>
        <v>435</v>
      </c>
      <c r="V304" s="12">
        <f>SUM(V296,V297,V298,V299,V300,V301,V302,V303)</f>
        <v>1171</v>
      </c>
      <c r="W304" s="12">
        <f>SUM(W296,W297,W298,W299,W300,W301,W302,W303)</f>
        <v>2737</v>
      </c>
      <c r="X304" s="12">
        <f>SUM(X296,X297,X298,X299,X300,X301,X302,X303)</f>
        <v>166</v>
      </c>
      <c r="Y304" s="12">
        <f>SUM(Y296,Y297,Y298,Y299,Y300,Y301,Y302,Y303)</f>
        <v>667</v>
      </c>
      <c r="Z304" s="12">
        <f>SUM(Z296,Z297,Z298,Z299,Z300,Z301,Z302,Z303)</f>
        <v>1258</v>
      </c>
      <c r="AA304" s="12">
        <f>SUM(AA296,AA297,AA298,AA299,AA300,AA301,AA302,AA303)</f>
        <v>827</v>
      </c>
      <c r="AB304" s="12">
        <f>SUM(AB296,AB297,AB298,AB299,AB300,AB301,AB302,AB303)</f>
        <v>2918</v>
      </c>
      <c r="AC304" s="12">
        <f>SUM(AC296,AC297,AC298,AC299,AC300,AC301,AC302,AC303)</f>
        <v>1318</v>
      </c>
      <c r="AD304" s="12">
        <f>SUM(AD296,AD297,AD298,AD299,AD300,AD301,AD302,AD303)</f>
        <v>1464</v>
      </c>
      <c r="AE304" s="12">
        <f>SUM(AE296,AE297,AE298,AE299,AE300,AE301,AE302,AE303)</f>
        <v>1255</v>
      </c>
      <c r="AF304" s="12">
        <f>SUM(AF296,AF297,AF298,AF299,AF300,AF301,AF302,AF303)</f>
        <v>1293</v>
      </c>
      <c r="AG304" s="12">
        <f>SUM(AG296,AG297,AG298,AG299,AG300,AG301,AG302,AG303)</f>
        <v>5330</v>
      </c>
      <c r="AH304" s="12">
        <f>SUM(AH296,AH297,AH298,AH299,AH300,AH301,AH302,AH303)</f>
        <v>1446</v>
      </c>
      <c r="AI304" s="12">
        <f>SUM(AI296,AI297,AI298,AI299,AI300,AI301,AI302,AI303)</f>
        <v>1589</v>
      </c>
      <c r="AJ304" s="12">
        <f>SUM(AJ296,AJ297,AJ298,AJ299,AJ300,AJ301,AJ302,AJ303)</f>
        <v>0</v>
      </c>
      <c r="AK304" s="12">
        <f>SUM(AK296,AK297,AK298,AK299,AK300,AK301,AK302,AK303)</f>
        <v>0</v>
      </c>
      <c r="AL304" s="12">
        <f>SUM(AL296,AL297,AL298,AL299,AL300,AL301,AL302,AL303)</f>
        <v>3035</v>
      </c>
      <c r="AM304" s="12">
        <f>SUM(AM296,AM297,AM298,AM299,AM300,AM301,AM302,AM303)</f>
        <v>0</v>
      </c>
      <c r="AN304" s="12">
        <f>SUM(AN296,AN297,AN298,AN299,AN300,AN301,AN302,AN303)</f>
        <v>0</v>
      </c>
      <c r="AO304" s="12">
        <f>SUM(AO296,AO297,AO298,AO299,AO300,AO301,AO302,AO303)</f>
        <v>0</v>
      </c>
      <c r="AP304" s="12">
        <f>SUM(AP296,AP297,AP298,AP299,AP300,AP301,AP302,AP303)</f>
        <v>0</v>
      </c>
      <c r="AQ304" s="12">
        <f>SUM(AQ296,AQ297,AQ298,AQ299,AQ300,AQ301,AQ302,AQ303)</f>
        <v>0</v>
      </c>
      <c r="AR304" s="12">
        <f>SUM(AR296,AR297,AR298,AR299,AR300,AR301,AR302,AR303)</f>
        <v>0</v>
      </c>
      <c r="AS304" s="12">
        <f>SUM(AS296,AS297,AS298,AS299,AS300,AS301,AS302,AS303)</f>
        <v>0</v>
      </c>
      <c r="AT304" s="12">
        <f>SUM(AT296,AT297,AT298,AT299,AT300,AT301,AT302,AT303)</f>
        <v>0</v>
      </c>
      <c r="AU304" s="12">
        <f>SUM(AU296,AU297,AU298,AU299,AU300,AU301,AU302,AU303)</f>
        <v>0</v>
      </c>
      <c r="AV304" s="12">
        <f>SUM(AV296,AV297,AV298,AV299,AV300,AV301,AV302,AV303)</f>
        <v>0</v>
      </c>
      <c r="AW304" s="12">
        <f>SUM(AW296,AW297,AW298,AW299,AW300,AW301,AW302,AW303)</f>
        <v>0</v>
      </c>
      <c r="AX304" s="12">
        <f>SUM(AX296,AX297,AX298,AX299,AX300,AX301,AX302,AX303)</f>
        <v>0</v>
      </c>
      <c r="AY304" s="12">
        <f>SUM(AY296,AY297,AY298,AY299,AY300,AY301,AY302,AY303)</f>
        <v>0</v>
      </c>
      <c r="AZ304" s="12">
        <f>SUM(AZ296,AZ297,AZ298,AZ299,AZ300,AZ301,AZ302,AZ303)</f>
        <v>0</v>
      </c>
      <c r="BA304" s="12">
        <f>SUM(BA296,BA297,BA298,BA299,BA300,BA301,BA302,BA303)</f>
        <v>0</v>
      </c>
      <c r="BB304" s="12">
        <f>SUM(BB296,BB297,BB298,BB299,BB300,BB301,BB302,BB303)</f>
        <v>0</v>
      </c>
      <c r="BC304" s="12">
        <f>SUM(BC296,BC297,BC298,BC299,BC300,BC301,BC302,BC303)</f>
        <v>0</v>
      </c>
      <c r="BD304" s="12">
        <f>SUM(BD296,BD297,BD298,BD299,BD300,BD301,BD302,BD303)</f>
        <v>0</v>
      </c>
      <c r="BE304" s="12">
        <f>SUM(BE296,BE297,BE298,BE299,BE300,BE301,BE302,BE303)</f>
        <v>0</v>
      </c>
      <c r="BF304" s="12">
        <f>SUM(BF296,BF297,BF298,BF299,BF300,BF301,BF302,BF303)</f>
        <v>0</v>
      </c>
      <c r="BG304" s="12" t="n"/>
      <c r="BH304" s="12" t="n"/>
      <c r="BI304" s="12" t="n"/>
      <c r="BJ304" s="12" t="n"/>
      <c r="BK304" s="12" t="n"/>
      <c r="BL304" s="12" t="n"/>
      <c r="BM304" s="12" t="n"/>
      <c r="BN304" s="12" t="n"/>
      <c r="BO304" s="12" t="n"/>
      <c r="BP304" s="12" t="n"/>
      <c r="BQ304" s="12" t="n"/>
      <c r="BR304" s="12" t="n"/>
      <c r="BS304" s="12" t="n"/>
      <c r="BT304" s="12" t="n"/>
      <c r="BU304" s="12" t="n"/>
      <c r="BV304" s="12" t="n"/>
      <c r="BW304" s="12" t="n"/>
      <c r="BX304" s="12" t="n"/>
      <c r="BY304" s="12" t="n"/>
      <c r="BZ304" s="12" t="n"/>
      <c r="CA304" s="12" t="n"/>
      <c r="CB304" s="12" t="n"/>
      <c r="CC304" s="12" t="n"/>
      <c r="CD304" s="12" t="n"/>
      <c r="CE304" s="12" t="n"/>
      <c r="CF304" s="12" t="n"/>
      <c r="CG304" s="12" t="n"/>
      <c r="CH304" s="12" t="n"/>
      <c r="CI304" s="12" t="n"/>
      <c r="CJ304" s="12" t="n"/>
      <c r="CK304" s="12" t="n"/>
      <c r="CL304" s="12" t="n"/>
      <c r="CM304" s="12" t="n"/>
      <c r="CN304" s="12" t="n"/>
      <c r="CO304" s="12" t="n"/>
      <c r="CP304" s="12" t="n"/>
      <c r="CQ304" s="12" t="n"/>
      <c r="CR304" s="12" t="n"/>
      <c r="CS304" s="12" t="n"/>
      <c r="CT304" s="12" t="n"/>
      <c r="CU304" s="12" t="n"/>
      <c r="CV304" s="12" t="n"/>
      <c r="CW304" s="12" t="n"/>
      <c r="CX304" s="12" t="n"/>
      <c r="CY304" s="12" t="n"/>
    </row>
    <row r="305">
      <c r="C305" s="14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  <c r="AJ305" s="12" t="n"/>
      <c r="AK305" s="12" t="n"/>
      <c r="AL305" s="12" t="n"/>
      <c r="AM305" s="12" t="n"/>
      <c r="AN305" s="12" t="n"/>
      <c r="AO305" s="12" t="n"/>
      <c r="AP305" s="12" t="n"/>
      <c r="AQ305" s="12" t="n"/>
      <c r="AR305" s="12" t="n"/>
      <c r="AS305" s="12" t="n"/>
      <c r="AT305" s="12" t="n"/>
      <c r="AU305" s="12" t="n"/>
      <c r="AV305" s="12" t="n"/>
      <c r="AW305" s="12" t="n"/>
      <c r="AX305" s="12" t="n"/>
      <c r="AY305" s="12" t="n"/>
      <c r="AZ305" s="12" t="n"/>
      <c r="BA305" s="12" t="n"/>
      <c r="BB305" s="12" t="n"/>
      <c r="BC305" s="12" t="n"/>
      <c r="BD305" s="12" t="n"/>
      <c r="BE305" s="12" t="n"/>
      <c r="BF305" s="12" t="n"/>
      <c r="BG305" s="12" t="n"/>
      <c r="BH305" s="12" t="n"/>
      <c r="BI305" s="12" t="n"/>
      <c r="BJ305" s="12" t="n"/>
      <c r="BK305" s="12" t="n"/>
      <c r="BL305" s="12" t="n"/>
      <c r="BM305" s="12" t="n"/>
      <c r="BN305" s="12" t="n"/>
      <c r="BO305" s="12" t="n"/>
      <c r="BP305" s="12" t="n"/>
      <c r="BQ305" s="12" t="n"/>
      <c r="BR305" s="12" t="n"/>
      <c r="BS305" s="12" t="n"/>
      <c r="BT305" s="12" t="n"/>
      <c r="BU305" s="12" t="n"/>
      <c r="BV305" s="12" t="n"/>
      <c r="BW305" s="12" t="n"/>
      <c r="BX305" s="12" t="n"/>
      <c r="BY305" s="12" t="n"/>
      <c r="BZ305" s="12" t="n"/>
      <c r="CA305" s="12" t="n"/>
      <c r="CB305" s="12" t="n"/>
      <c r="CC305" s="12" t="n"/>
      <c r="CD305" s="12" t="n"/>
      <c r="CE305" s="12" t="n"/>
      <c r="CF305" s="12" t="n"/>
      <c r="CG305" s="12" t="n"/>
      <c r="CH305" s="12" t="n"/>
      <c r="CI305" s="12" t="n"/>
      <c r="CJ305" s="12" t="n"/>
      <c r="CK305" s="12" t="n"/>
      <c r="CL305" s="12" t="n"/>
      <c r="CM305" s="12" t="n"/>
      <c r="CN305" s="12" t="n"/>
      <c r="CO305" s="12" t="n"/>
      <c r="CP305" s="12" t="n"/>
      <c r="CQ305" s="12" t="n"/>
      <c r="CR305" s="12" t="n"/>
      <c r="CS305" s="12" t="n"/>
      <c r="CT305" s="12" t="n"/>
      <c r="CU305" s="12" t="n"/>
      <c r="CV305" s="12" t="n"/>
      <c r="CW305" s="12" t="n"/>
      <c r="CX305" s="12" t="n"/>
      <c r="CY305" s="12" t="n"/>
    </row>
    <row r="306">
      <c r="C306" s="14" t="inlineStr">
        <is>
          <t>Others / cash reconciliation plug</t>
        </is>
      </c>
      <c r="D306" s="12" t="n"/>
      <c r="E306" s="12" t="n"/>
      <c r="F306" s="12" t="n"/>
      <c r="G306" s="12" t="n"/>
      <c r="H306" s="12" t="n"/>
      <c r="I306" s="12" t="n"/>
      <c r="J306" s="12">
        <f>J138-I138-SUM(J287,J294,J304)</f>
        <v>0</v>
      </c>
      <c r="K306" s="12">
        <f>K138-J138-SUM(K287,K294,K304)</f>
        <v>0</v>
      </c>
      <c r="L306" s="12">
        <f>L138-K138-SUM(L287,L294,L304)</f>
        <v>0</v>
      </c>
      <c r="M306" s="12" t="n"/>
      <c r="N306" s="12">
        <f>N138-M138-SUM(N287,N294,N304)</f>
        <v>0</v>
      </c>
      <c r="O306" s="12">
        <f>O138-N138-SUM(O287,O294,O304)</f>
        <v>0</v>
      </c>
      <c r="P306" s="12">
        <f>P138-O138-SUM(P287,P294,P304)</f>
        <v>0</v>
      </c>
      <c r="Q306" s="12">
        <f>Q138-P138-SUM(Q287,Q294,Q304)</f>
        <v>0</v>
      </c>
      <c r="R306" s="12">
        <f>SUM(N306:Q306)</f>
        <v>0</v>
      </c>
      <c r="S306" s="12">
        <f>S138-R138-SUM(S287,S294,S304)</f>
        <v>0</v>
      </c>
      <c r="T306" s="12">
        <f>T138-S138-SUM(T287,T294,T304)</f>
        <v>0</v>
      </c>
      <c r="U306" s="12">
        <f>U138-T138-SUM(U287,U294,U304)</f>
        <v>0</v>
      </c>
      <c r="V306" s="12">
        <f>V138-U138-SUM(V287,V294,V304)</f>
        <v>0</v>
      </c>
      <c r="W306" s="12">
        <f>SUM(S306:V306)</f>
        <v>0</v>
      </c>
      <c r="X306" s="12">
        <f>X138-W138-SUM(X287,X294,X304)</f>
        <v>0</v>
      </c>
      <c r="Y306" s="12">
        <f>Y138-X138-SUM(Y287,Y294,Y304)</f>
        <v>0</v>
      </c>
      <c r="Z306" s="12">
        <f>Z138-Y138-SUM(Z287,Z294,Z304)</f>
        <v>0</v>
      </c>
      <c r="AA306" s="12">
        <f>AA138-Z138-SUM(AA287,AA294,AA304)</f>
        <v>0</v>
      </c>
      <c r="AB306" s="12">
        <f>SUM(X306:AA306)</f>
        <v>0</v>
      </c>
      <c r="AC306" s="12">
        <f>AC138-AB138-SUM(AC287,AC294,AC304)</f>
        <v>0</v>
      </c>
      <c r="AD306" s="12">
        <f>AD138-AC138-SUM(AD287,AD294,AD304)</f>
        <v>0</v>
      </c>
      <c r="AE306" s="12">
        <f>AE138-AD138-SUM(AE287,AE294,AE304)</f>
        <v>0</v>
      </c>
      <c r="AF306" s="12">
        <f>AF138-AE138-SUM(AF287,AF294,AF304)</f>
        <v>0</v>
      </c>
      <c r="AG306" s="12">
        <f>SUM(AC306:AF306)</f>
        <v>0</v>
      </c>
      <c r="AH306" s="12">
        <f>AH138-AG138-SUM(AH287,AH294,AH304)</f>
        <v>0</v>
      </c>
      <c r="AI306" s="12">
        <f>AI138-AH138-SUM(AI287,AI294,AI304)</f>
        <v>0</v>
      </c>
      <c r="AJ306" s="12">
        <f>AJ138-AI138-SUM(AJ287,AJ294,AJ304)</f>
        <v>2.5465851649642e-11</v>
      </c>
      <c r="AK306" s="12">
        <f>AK138-AJ138-SUM(AK287,AK294,AK304)</f>
        <v>-2.18278728425503e-11</v>
      </c>
      <c r="AL306" s="12">
        <f>SUM(AH306:AK306)</f>
        <v>3.63797880709171e-12</v>
      </c>
      <c r="AM306" s="12">
        <f>AM138-AL138-SUM(AM287,AM294,AM304)</f>
        <v>-5.91171556152403e-12</v>
      </c>
      <c r="AN306" s="12">
        <f>AN138-AM138-SUM(AN287,AN294,AN304)</f>
        <v>0</v>
      </c>
      <c r="AO306" s="12">
        <f>AO138-AN138-SUM(AO287,AO294,AO304)</f>
        <v>5.91171556152403e-12</v>
      </c>
      <c r="AP306" s="12">
        <f>AP138-AO138-SUM(AP287,AP294,AP304)</f>
        <v>2.72848410531878e-11</v>
      </c>
      <c r="AQ306" s="12">
        <f>SUM(AM306:AP306)</f>
        <v>2.72848410531878e-11</v>
      </c>
      <c r="AR306" s="12">
        <f>AR138-AQ138-SUM(AR287,AR294,AR304)</f>
        <v>-2.59205990005285e-11</v>
      </c>
      <c r="AS306" s="12">
        <f>AS138-AR138-SUM(AS287,AS294,AS304)</f>
        <v>1.18234311230481e-11</v>
      </c>
      <c r="AT306" s="12">
        <f>AT138-AS138-SUM(AT287,AT294,AT304)</f>
        <v>-2.22826201934367e-11</v>
      </c>
      <c r="AU306" s="12">
        <f>AU138-AT138-SUM(AU287,AU294,AU304)</f>
        <v>6.82121026329696e-12</v>
      </c>
      <c r="AV306" s="12">
        <f>SUM(AR306:AU306)</f>
        <v>-2.95585778076202e-11</v>
      </c>
      <c r="AW306" s="12">
        <f>AW138-AV138-SUM(AW287,AW294,AW304)</f>
        <v>1.50066625792533e-11</v>
      </c>
      <c r="AX306" s="12">
        <f>AX138-AW138-SUM(AX287,AX294,AX304)</f>
        <v>-3.36513039655983e-11</v>
      </c>
      <c r="AY306" s="12">
        <f>AY138-AX138-SUM(AY287,AY294,AY304)</f>
        <v>0</v>
      </c>
      <c r="AZ306" s="12">
        <f>AZ138-AY138-SUM(AZ287,AZ294,AZ304)</f>
        <v>2.72848410531878e-12</v>
      </c>
      <c r="BA306" s="12">
        <f>SUM(AW306:AZ306)</f>
        <v>-1.59161572810262e-11</v>
      </c>
      <c r="BB306" s="12">
        <f>BB138-BA138-SUM(BB287,BB294,BB304)</f>
        <v>8.64019966684282e-12</v>
      </c>
      <c r="BC306" s="12">
        <f>BC138-BB138-SUM(BC287,BC294,BC304)</f>
        <v>-3.27418092638254e-11</v>
      </c>
      <c r="BD306" s="12">
        <f>BD138-BC138-SUM(BD287,BD294,BD304)</f>
        <v>4.04725142288953e-11</v>
      </c>
      <c r="BE306" s="12">
        <f>BE138-BD138-SUM(BE287,BE294,BE304)</f>
        <v>-3.27418092638254e-11</v>
      </c>
      <c r="BF306" s="12">
        <f>SUM(BB306:BE306)</f>
        <v>-1.63709046319127e-11</v>
      </c>
      <c r="BG306" s="12" t="n"/>
      <c r="BH306" s="12" t="n"/>
      <c r="BI306" s="12" t="n"/>
      <c r="BJ306" s="12" t="n"/>
      <c r="BK306" s="12" t="n"/>
      <c r="BL306" s="12" t="n"/>
      <c r="BM306" s="12" t="n"/>
      <c r="BN306" s="12" t="n"/>
      <c r="BO306" s="12" t="n"/>
      <c r="BP306" s="12" t="n"/>
      <c r="BQ306" s="12" t="n"/>
      <c r="BR306" s="12" t="n"/>
      <c r="BS306" s="12" t="n"/>
      <c r="BT306" s="12" t="n"/>
      <c r="BU306" s="12" t="n"/>
      <c r="BV306" s="12" t="n"/>
      <c r="BW306" s="12" t="n"/>
      <c r="BX306" s="12" t="n"/>
      <c r="BY306" s="12" t="n"/>
      <c r="BZ306" s="12" t="n"/>
      <c r="CA306" s="12" t="n"/>
      <c r="CB306" s="12" t="n"/>
      <c r="CC306" s="12" t="n"/>
      <c r="CD306" s="12" t="n"/>
      <c r="CE306" s="12" t="n"/>
      <c r="CF306" s="12" t="n"/>
      <c r="CG306" s="12" t="n"/>
      <c r="CH306" s="12" t="n"/>
      <c r="CI306" s="12" t="n"/>
      <c r="CJ306" s="12" t="n"/>
      <c r="CK306" s="12" t="n"/>
      <c r="CL306" s="12" t="n"/>
      <c r="CM306" s="12" t="n"/>
      <c r="CN306" s="12" t="n"/>
      <c r="CO306" s="12" t="n"/>
      <c r="CP306" s="12" t="n"/>
      <c r="CQ306" s="12" t="n"/>
      <c r="CR306" s="12" t="n"/>
      <c r="CS306" s="12" t="n"/>
      <c r="CT306" s="12" t="n"/>
      <c r="CU306" s="12" t="n"/>
      <c r="CV306" s="12" t="n"/>
      <c r="CW306" s="12" t="n"/>
      <c r="CX306" s="12" t="n"/>
      <c r="CY306" s="12" t="n"/>
    </row>
    <row r="307">
      <c r="C307" s="14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  <c r="AJ307" s="12" t="n"/>
      <c r="AK307" s="12" t="n"/>
      <c r="AL307" s="12" t="n"/>
      <c r="AM307" s="12" t="n"/>
      <c r="AN307" s="12" t="n"/>
      <c r="AO307" s="12" t="n"/>
      <c r="AP307" s="12" t="n"/>
      <c r="AQ307" s="12" t="n"/>
      <c r="AR307" s="12" t="n"/>
      <c r="AS307" s="12" t="n"/>
      <c r="AT307" s="12" t="n"/>
      <c r="AU307" s="12" t="n"/>
      <c r="AV307" s="12" t="n"/>
      <c r="AW307" s="12" t="n"/>
      <c r="AX307" s="12" t="n"/>
      <c r="AY307" s="12" t="n"/>
      <c r="AZ307" s="12" t="n"/>
      <c r="BA307" s="12" t="n"/>
      <c r="BB307" s="12" t="n"/>
      <c r="BC307" s="12" t="n"/>
      <c r="BD307" s="12" t="n"/>
      <c r="BE307" s="12" t="n"/>
      <c r="BF307" s="12" t="n"/>
      <c r="BG307" s="12" t="n"/>
      <c r="BH307" s="12" t="n"/>
      <c r="BI307" s="12" t="n"/>
      <c r="BJ307" s="12" t="n"/>
      <c r="BK307" s="12" t="n"/>
      <c r="BL307" s="12" t="n"/>
      <c r="BM307" s="12" t="n"/>
      <c r="BN307" s="12" t="n"/>
      <c r="BO307" s="12" t="n"/>
      <c r="BP307" s="12" t="n"/>
      <c r="BQ307" s="12" t="n"/>
      <c r="BR307" s="12" t="n"/>
      <c r="BS307" s="12" t="n"/>
      <c r="BT307" s="12" t="n"/>
      <c r="BU307" s="12" t="n"/>
      <c r="BV307" s="12" t="n"/>
      <c r="BW307" s="12" t="n"/>
      <c r="BX307" s="12" t="n"/>
      <c r="BY307" s="12" t="n"/>
      <c r="BZ307" s="12" t="n"/>
      <c r="CA307" s="12" t="n"/>
      <c r="CB307" s="12" t="n"/>
      <c r="CC307" s="12" t="n"/>
      <c r="CD307" s="12" t="n"/>
      <c r="CE307" s="12" t="n"/>
      <c r="CF307" s="12" t="n"/>
      <c r="CG307" s="12" t="n"/>
      <c r="CH307" s="12" t="n"/>
      <c r="CI307" s="12" t="n"/>
      <c r="CJ307" s="12" t="n"/>
      <c r="CK307" s="12" t="n"/>
      <c r="CL307" s="12" t="n"/>
      <c r="CM307" s="12" t="n"/>
      <c r="CN307" s="12" t="n"/>
      <c r="CO307" s="12" t="n"/>
      <c r="CP307" s="12" t="n"/>
      <c r="CQ307" s="12" t="n"/>
      <c r="CR307" s="12" t="n"/>
      <c r="CS307" s="12" t="n"/>
      <c r="CT307" s="12" t="n"/>
      <c r="CU307" s="12" t="n"/>
      <c r="CV307" s="12" t="n"/>
      <c r="CW307" s="12" t="n"/>
      <c r="CX307" s="12" t="n"/>
      <c r="CY307" s="12" t="n"/>
    </row>
    <row r="308">
      <c r="C308" s="14" t="inlineStr">
        <is>
          <t>Total increase/decrease of cash</t>
        </is>
      </c>
      <c r="D308" s="12" t="n"/>
      <c r="E308" s="12" t="n"/>
      <c r="F308" s="12" t="n"/>
      <c r="G308" s="12" t="n"/>
      <c r="H308" s="12" t="n"/>
      <c r="I308" s="12" t="n"/>
      <c r="J308" s="12">
        <f>SUM(J287,J294,J304,J306)</f>
        <v>-912</v>
      </c>
      <c r="K308" s="12">
        <f>SUM(K287,K294,K304,K306)</f>
        <v>-134</v>
      </c>
      <c r="L308" s="12">
        <f>SUM(L287,L294,L304,L306)</f>
        <v>1612</v>
      </c>
      <c r="M308" s="12" t="n"/>
      <c r="N308" s="12">
        <f>SUM(N287,N294,N304,N306)</f>
        <v>306</v>
      </c>
      <c r="O308" s="12">
        <f>SUM(O287,O294,O304,O306)</f>
        <v>902</v>
      </c>
      <c r="P308" s="12">
        <f>SUM(P287,P294,P304,P306)</f>
        <v>2192</v>
      </c>
      <c r="Q308" s="12">
        <f>SUM(Q287,Q294,Q304,Q306)</f>
        <v>1078</v>
      </c>
      <c r="R308" s="12">
        <f>SUM(N308:Q308)</f>
        <v>4478</v>
      </c>
      <c r="S308" s="12">
        <f>SUM(S287,S294,S304,S306)</f>
        <v>217</v>
      </c>
      <c r="T308" s="12">
        <f>SUM(T287,T294,T304,T306)</f>
        <v>673</v>
      </c>
      <c r="U308" s="12">
        <f>SUM(U287,U294,U304,U306)</f>
        <v>3002</v>
      </c>
      <c r="V308" s="12">
        <f>SUM(V287,V294,V304,V306)</f>
        <v>3017</v>
      </c>
      <c r="W308" s="12">
        <f>SUM(S308:V308)</f>
        <v>6909</v>
      </c>
      <c r="X308" s="12">
        <f>SUM(X287,X294,X304,X306)</f>
        <v>-2231</v>
      </c>
      <c r="Y308" s="12">
        <f>SUM(Y287,Y294,Y304,Y306)</f>
        <v>3857</v>
      </c>
      <c r="Z308" s="12">
        <f>SUM(Z287,Z294,Z304,Z306)</f>
        <v>2928</v>
      </c>
      <c r="AA308" s="12">
        <f>SUM(AA287,AA294,AA304,AA306)</f>
        <v>2915</v>
      </c>
      <c r="AB308" s="12">
        <f>SUM(X308:AA308)</f>
        <v>7469</v>
      </c>
      <c r="AC308" s="12">
        <f>SUM(AC287,AC294,AC304,AC306)</f>
        <v>433</v>
      </c>
      <c r="AD308" s="12">
        <f>SUM(AD287,AD294,AD304,AD306)</f>
        <v>-214</v>
      </c>
      <c r="AE308" s="12">
        <f>SUM(AE287,AE294,AE304,AE306)</f>
        <v>4865</v>
      </c>
      <c r="AF308" s="12">
        <f>SUM(AF287,AF294,AF304,AF306)</f>
        <v>2412</v>
      </c>
      <c r="AG308" s="12">
        <f>SUM(AC308:AF308)</f>
        <v>7496</v>
      </c>
      <c r="AH308" s="12">
        <f>SUM(AH287,AH294,AH304,AH306)</f>
        <v>684</v>
      </c>
      <c r="AI308" s="12">
        <f>SUM(AI287,AI294,AI304,AI306)</f>
        <v>-1219</v>
      </c>
      <c r="AJ308" s="12">
        <f>SUM(AJ287,AJ294,AJ304,AJ306)</f>
        <v>-3381.86567524527</v>
      </c>
      <c r="AK308" s="12">
        <f>SUM(AK287,AK294,AK304,AK306)</f>
        <v>-454.478876882524</v>
      </c>
      <c r="AL308" s="12">
        <f>SUM(AH308:AK308)</f>
        <v>-4371.34455212779</v>
      </c>
      <c r="AM308" s="12">
        <f>SUM(AM287,AM294,AM304,AM306)</f>
        <v>-553.822362464256</v>
      </c>
      <c r="AN308" s="12">
        <f>SUM(AN287,AN294,AN304,AN306)</f>
        <v>-2092.18221753362</v>
      </c>
      <c r="AO308" s="12">
        <f>SUM(AO287,AO294,AO304,AO306)</f>
        <v>-1330.50857474418</v>
      </c>
      <c r="AP308" s="12">
        <f>SUM(AP287,AP294,AP304,AP306)</f>
        <v>-476.235493717075</v>
      </c>
      <c r="AQ308" s="12">
        <f>SUM(AM308:AP308)</f>
        <v>-4452.74864845913</v>
      </c>
      <c r="AR308" s="12">
        <f>SUM(AR287,AR294,AR304,AR306)</f>
        <v>-511.872855511145</v>
      </c>
      <c r="AS308" s="12">
        <f>SUM(AS287,AS294,AS304,AS306)</f>
        <v>-2226.42264430923</v>
      </c>
      <c r="AT308" s="12">
        <f>SUM(AT287,AT294,AT304,AT306)</f>
        <v>-1387.54956467981</v>
      </c>
      <c r="AU308" s="12">
        <f>SUM(AU287,AU294,AU304,AU306)</f>
        <v>-496.652456463329</v>
      </c>
      <c r="AV308" s="12">
        <f>SUM(AR308:AU308)</f>
        <v>-4622.49752096352</v>
      </c>
      <c r="AW308" s="12">
        <f>SUM(AW287,AW294,AW304,AW306)</f>
        <v>-555.330767414809</v>
      </c>
      <c r="AX308" s="12">
        <f>SUM(AX287,AX294,AX304,AX306)</f>
        <v>-2264.50846975483</v>
      </c>
      <c r="AY308" s="12">
        <f>SUM(AY287,AY294,AY304,AY306)</f>
        <v>-1440.09824351792</v>
      </c>
      <c r="AZ308" s="12">
        <f>SUM(AZ287,AZ294,AZ304,AZ306)</f>
        <v>-515.461464150838</v>
      </c>
      <c r="BA308" s="12">
        <f>SUM(AW308:AZ308)</f>
        <v>-4775.39894483839</v>
      </c>
      <c r="BB308" s="12">
        <f>SUM(BB287,BB294,BB304,BB306)</f>
        <v>-550.475526036549</v>
      </c>
      <c r="BC308" s="12">
        <f>SUM(BC287,BC294,BC304,BC306)</f>
        <v>-2338.94641577522</v>
      </c>
      <c r="BD308" s="12">
        <f>SUM(BD287,BD294,BD304,BD306)</f>
        <v>-1487.43653204574</v>
      </c>
      <c r="BE308" s="12">
        <f>SUM(BE287,BE294,BE304,BE306)</f>
        <v>-532.405491146812</v>
      </c>
      <c r="BF308" s="12">
        <f>SUM(BB308:BE308)</f>
        <v>-4909.26396500433</v>
      </c>
      <c r="BG308" s="12" t="n"/>
      <c r="BH308" s="12" t="n"/>
      <c r="BI308" s="12" t="n"/>
      <c r="BJ308" s="12" t="n"/>
      <c r="BK308" s="12" t="n"/>
      <c r="BL308" s="12" t="n"/>
      <c r="BM308" s="12" t="n"/>
      <c r="BN308" s="12" t="n"/>
      <c r="BO308" s="12" t="n"/>
      <c r="BP308" s="12" t="n"/>
      <c r="BQ308" s="12" t="n"/>
      <c r="BR308" s="12" t="n"/>
      <c r="BS308" s="12" t="n"/>
      <c r="BT308" s="12" t="n"/>
      <c r="BU308" s="12" t="n"/>
      <c r="BV308" s="12" t="n"/>
      <c r="BW308" s="12" t="n"/>
      <c r="BX308" s="12" t="n"/>
      <c r="BY308" s="12" t="n"/>
      <c r="BZ308" s="12" t="n"/>
      <c r="CA308" s="12" t="n"/>
      <c r="CB308" s="12" t="n"/>
      <c r="CC308" s="12" t="n"/>
      <c r="CD308" s="12" t="n"/>
      <c r="CE308" s="12" t="n"/>
      <c r="CF308" s="12" t="n"/>
      <c r="CG308" s="12" t="n"/>
      <c r="CH308" s="12" t="n"/>
      <c r="CI308" s="12" t="n"/>
      <c r="CJ308" s="12" t="n"/>
      <c r="CK308" s="12" t="n"/>
      <c r="CL308" s="12" t="n"/>
      <c r="CM308" s="12" t="n"/>
      <c r="CN308" s="12" t="n"/>
      <c r="CO308" s="12" t="n"/>
      <c r="CP308" s="12" t="n"/>
      <c r="CQ308" s="12" t="n"/>
      <c r="CR308" s="12" t="n"/>
      <c r="CS308" s="12" t="n"/>
      <c r="CT308" s="12" t="n"/>
      <c r="CU308" s="12" t="n"/>
      <c r="CV308" s="12" t="n"/>
      <c r="CW308" s="12" t="n"/>
      <c r="CX308" s="12" t="n"/>
      <c r="CY308" s="12" t="n"/>
    </row>
    <row r="309">
      <c r="C309" s="4" t="inlineStr">
        <is>
          <t>Check</t>
        </is>
      </c>
      <c r="E309" s="72" t="n"/>
      <c r="F309" s="72" t="n"/>
      <c r="G309" s="72" t="n"/>
      <c r="I309" s="72" t="str">
        <f>""</f>
        <v/>
      </c>
      <c r="J309" s="72">
        <f>J138-I138-J308</f>
        <v>0</v>
      </c>
      <c r="K309" s="72">
        <f>K138-J138-K308</f>
        <v>0</v>
      </c>
      <c r="L309" s="72">
        <f>L138-K138-L308</f>
        <v>0</v>
      </c>
      <c r="M309" s="4" t="str">
        <f>""</f>
        <v/>
      </c>
      <c r="N309" s="72">
        <f>N138-M138-N308</f>
        <v>0</v>
      </c>
      <c r="O309" s="72">
        <f>O138-N138-O308</f>
        <v>0</v>
      </c>
      <c r="P309" s="72">
        <f>P138-O138-P308</f>
        <v>0</v>
      </c>
      <c r="Q309" s="72">
        <f>Q138-P138-Q308</f>
        <v>0</v>
      </c>
      <c r="R309" s="4">
        <f>R138-M138-R308</f>
        <v>0</v>
      </c>
      <c r="S309" s="72">
        <f>S138-R138-S308</f>
        <v>0</v>
      </c>
      <c r="T309" s="72">
        <f>T138-S138-T308</f>
        <v>0</v>
      </c>
      <c r="U309" s="72">
        <f>U138-T138-U308</f>
        <v>0</v>
      </c>
      <c r="V309" s="72">
        <f>V138-U138-V308</f>
        <v>0</v>
      </c>
      <c r="W309" s="4">
        <f>W138-R138-W308</f>
        <v>0</v>
      </c>
      <c r="X309" s="72">
        <f>X138-W138-X308</f>
        <v>0</v>
      </c>
      <c r="Y309" s="72">
        <f>Y138-X138-Y308</f>
        <v>0</v>
      </c>
      <c r="Z309" s="72">
        <f>Z138-Y138-Z308</f>
        <v>0</v>
      </c>
      <c r="AA309" s="72">
        <f>AA138-Z138-AA308</f>
        <v>0</v>
      </c>
      <c r="AB309" s="4">
        <f>AB138-W138-AB308</f>
        <v>0</v>
      </c>
      <c r="AC309" s="72">
        <f>AC138-AB138-AC308</f>
        <v>0</v>
      </c>
      <c r="AD309" s="72">
        <f>AD138-AC138-AD308</f>
        <v>0</v>
      </c>
      <c r="AE309" s="72">
        <f>AE138-AD138-AE308</f>
        <v>0</v>
      </c>
      <c r="AF309" s="72">
        <f>AF138-AE138-AF308</f>
        <v>0</v>
      </c>
      <c r="AG309" s="4">
        <f>AG138-AB138-AG308</f>
        <v>0</v>
      </c>
      <c r="AH309" s="72">
        <f>AH138-AG138-AH308</f>
        <v>0</v>
      </c>
      <c r="AI309" s="72">
        <f>AI138-AH138-AI308</f>
        <v>0</v>
      </c>
      <c r="AJ309" s="72">
        <f>AJ138-AI138-AJ308</f>
        <v>0</v>
      </c>
      <c r="AK309" s="72">
        <f>AK138-AJ138-AK308</f>
        <v>0</v>
      </c>
      <c r="AL309" s="4">
        <f>AL138-AG138-AL308</f>
        <v>0</v>
      </c>
      <c r="AM309" s="72">
        <f>AM138-AL138-AM308</f>
        <v>0</v>
      </c>
      <c r="AN309" s="72">
        <f>AN138-AM138-AN308</f>
        <v>0</v>
      </c>
      <c r="AO309" s="72">
        <f>AO138-AN138-AO308</f>
        <v>0</v>
      </c>
      <c r="AP309" s="72">
        <f>AP138-AO138-AP308</f>
        <v>0</v>
      </c>
      <c r="AQ309" s="4">
        <f>AQ138-AL138-AQ308</f>
        <v>0</v>
      </c>
      <c r="AR309" s="72">
        <f>AR138-AQ138-AR308</f>
        <v>0</v>
      </c>
      <c r="AS309" s="72">
        <f>AS138-AR138-AS308</f>
        <v>0</v>
      </c>
      <c r="AT309" s="72">
        <f>AT138-AS138-AT308</f>
        <v>0</v>
      </c>
      <c r="AU309" s="72">
        <f>AU138-AT138-AU308</f>
        <v>0</v>
      </c>
      <c r="AV309" s="4">
        <f>AV138-AQ138-AV308</f>
        <v>0</v>
      </c>
      <c r="AW309" s="72">
        <f>AW138-AV138-AW308</f>
        <v>0</v>
      </c>
      <c r="AX309" s="72">
        <f>AX138-AW138-AX308</f>
        <v>0</v>
      </c>
      <c r="AY309" s="72">
        <f>AY138-AX138-AY308</f>
        <v>0</v>
      </c>
      <c r="AZ309" s="72">
        <f>AZ138-AY138-AZ308</f>
        <v>0</v>
      </c>
      <c r="BA309" s="4">
        <f>BA138-AV138-BA308</f>
        <v>0</v>
      </c>
      <c r="BB309" s="72">
        <f>BB138-BA138-BB308</f>
        <v>0</v>
      </c>
      <c r="BC309" s="72">
        <f>BC138-BB138-BC308</f>
        <v>0</v>
      </c>
      <c r="BD309" s="72">
        <f>BD138-BC138-BD308</f>
        <v>0</v>
      </c>
      <c r="BE309" s="72">
        <f>BE138-BD138-BE308</f>
        <v>0</v>
      </c>
      <c r="BF309" s="4">
        <f>BF138-BA138-BF308</f>
        <v>0</v>
      </c>
      <c r="BG309" s="72" t="n"/>
      <c r="BH309" s="72" t="n"/>
      <c r="BI309" s="72" t="n"/>
      <c r="BJ309" s="72" t="n"/>
      <c r="BL309" s="72" t="n"/>
      <c r="BM309" s="72" t="n"/>
      <c r="BN309" s="72" t="n"/>
      <c r="BO309" s="72" t="n"/>
      <c r="BQ309" s="72" t="n"/>
      <c r="BR309" s="72" t="n"/>
      <c r="BS309" s="72" t="n"/>
      <c r="BT309" s="72" t="n"/>
      <c r="BV309" s="72" t="n"/>
      <c r="BW309" s="72" t="n"/>
      <c r="BX309" s="72" t="n"/>
      <c r="BY309" s="72" t="n"/>
      <c r="CA309" s="72" t="n"/>
      <c r="CB309" s="72" t="n"/>
      <c r="CC309" s="72" t="n"/>
      <c r="CD309" s="72" t="n"/>
      <c r="CF309" s="72" t="n"/>
      <c r="CG309" s="72" t="n"/>
      <c r="CH309" s="72" t="n"/>
      <c r="CI309" s="72" t="n"/>
      <c r="CK309" s="72" t="n"/>
      <c r="CL309" s="72" t="n"/>
      <c r="CM309" s="72" t="n"/>
      <c r="CN309" s="72" t="n"/>
      <c r="CP309" s="72" t="n"/>
      <c r="CQ309" s="72" t="n"/>
      <c r="CR309" s="72" t="n"/>
      <c r="CS309" s="72" t="n"/>
      <c r="CU309" s="72" t="n"/>
      <c r="CV309" s="72" t="n"/>
      <c r="CW309" s="72" t="n"/>
      <c r="CX309" s="72" t="n"/>
    </row>
    <row r="310"/>
    <row r="311">
      <c r="C311" s="73" t="inlineStr">
        <is>
          <t>Ratio Analysis</t>
        </is>
      </c>
      <c r="D311" s="73" t="n"/>
      <c r="E311" s="73" t="n"/>
      <c r="F311" s="73" t="n"/>
      <c r="G311" s="73" t="n"/>
      <c r="H311" s="73" t="n"/>
      <c r="I311" s="73" t="n"/>
      <c r="J311" s="73" t="n"/>
      <c r="K311" s="73" t="n"/>
      <c r="L311" s="73" t="n"/>
      <c r="M311" s="73" t="n"/>
      <c r="N311" s="73" t="n"/>
      <c r="O311" s="73" t="n"/>
      <c r="P311" s="73" t="n"/>
      <c r="Q311" s="73" t="n"/>
      <c r="R311" s="73" t="n"/>
      <c r="S311" s="73" t="n"/>
      <c r="T311" s="73" t="n"/>
      <c r="U311" s="73" t="n"/>
      <c r="V311" s="73" t="n"/>
      <c r="W311" s="73" t="n"/>
      <c r="X311" s="73" t="n"/>
      <c r="Y311" s="73" t="n"/>
      <c r="Z311" s="73" t="n"/>
      <c r="AA311" s="73" t="n"/>
      <c r="AB311" s="73" t="n"/>
      <c r="AC311" s="73" t="n"/>
      <c r="AD311" s="73" t="n"/>
      <c r="AE311" s="73" t="n"/>
      <c r="AF311" s="73" t="n"/>
      <c r="AG311" s="73" t="n"/>
      <c r="AH311" s="73" t="n"/>
      <c r="AI311" s="73" t="n"/>
      <c r="AJ311" s="73" t="n"/>
      <c r="AK311" s="73" t="n"/>
      <c r="AL311" s="73" t="n"/>
      <c r="AM311" s="73" t="n"/>
      <c r="AN311" s="73" t="n"/>
      <c r="AO311" s="73" t="n"/>
      <c r="AP311" s="73" t="n"/>
      <c r="AQ311" s="73" t="n"/>
      <c r="AR311" s="73" t="n"/>
      <c r="AS311" s="73" t="n"/>
      <c r="AT311" s="73" t="n"/>
      <c r="AU311" s="73" t="n"/>
      <c r="AV311" s="73" t="n"/>
      <c r="AW311" s="73" t="n"/>
      <c r="AX311" s="73" t="n"/>
      <c r="AY311" s="73" t="n"/>
      <c r="AZ311" s="73" t="n"/>
      <c r="BA311" s="73" t="n"/>
      <c r="BB311" s="73" t="n"/>
      <c r="BC311" s="73" t="n"/>
      <c r="BD311" s="73" t="n"/>
      <c r="BE311" s="73" t="n"/>
      <c r="BF311" s="73" t="n"/>
      <c r="BG311" s="73" t="n"/>
      <c r="BH311" s="73" t="n"/>
      <c r="BI311" s="73" t="n"/>
      <c r="BJ311" s="73" t="n"/>
      <c r="BK311" s="73" t="n"/>
      <c r="BL311" s="73" t="n"/>
      <c r="BM311" s="73" t="n"/>
      <c r="BN311" s="73" t="n"/>
      <c r="BO311" s="73" t="n"/>
      <c r="BP311" s="73" t="n"/>
      <c r="BQ311" s="73" t="n"/>
      <c r="BR311" s="73" t="n"/>
      <c r="BS311" s="73" t="n"/>
      <c r="BT311" s="73" t="n"/>
      <c r="BU311" s="73" t="n"/>
      <c r="BV311" s="73" t="n"/>
      <c r="BW311" s="73" t="n"/>
      <c r="BX311" s="73" t="n"/>
      <c r="BY311" s="73" t="n"/>
      <c r="BZ311" s="73" t="n"/>
      <c r="CA311" s="73" t="n"/>
      <c r="CB311" s="73" t="n"/>
      <c r="CC311" s="73" t="n"/>
      <c r="CD311" s="73" t="n"/>
      <c r="CE311" s="73" t="n"/>
      <c r="CF311" s="73" t="n"/>
      <c r="CG311" s="73" t="n"/>
      <c r="CH311" s="73" t="n"/>
      <c r="CI311" s="73" t="n"/>
      <c r="CJ311" s="73" t="n"/>
      <c r="CK311" s="73" t="n"/>
      <c r="CL311" s="73" t="n"/>
      <c r="CM311" s="73" t="n"/>
      <c r="CN311" s="73" t="n"/>
      <c r="CO311" s="73" t="n"/>
      <c r="CP311" s="73" t="n"/>
      <c r="CQ311" s="73" t="n"/>
      <c r="CR311" s="73" t="n"/>
      <c r="CS311" s="73" t="n"/>
      <c r="CT311" s="73" t="n"/>
      <c r="CU311" s="73" t="n"/>
      <c r="CV311" s="73" t="n"/>
      <c r="CW311" s="73" t="n"/>
      <c r="CX311" s="73" t="n"/>
      <c r="CY311" s="73" t="n"/>
    </row>
    <row r="312"/>
    <row r="313" customFormat="1" s="74">
      <c r="C313" s="74" t="inlineStr">
        <is>
          <t>YEAR</t>
        </is>
      </c>
      <c r="D313">
        <f>IFERROR(D269,"")</f>
        <v>0</v>
      </c>
      <c r="E313" s="75">
        <f>IFERROR(E269,"")</f>
        <v>0</v>
      </c>
      <c r="F313" s="75">
        <f>IFERROR(F269,"")</f>
        <v>0</v>
      </c>
      <c r="G313" s="75">
        <f>IFERROR(G269,"")</f>
        <v>0</v>
      </c>
      <c r="H313" s="75">
        <f>IFERROR(H269,"")</f>
        <v>0</v>
      </c>
      <c r="I313" s="75" t="str">
        <f>IFERROR(I269,"")</f>
        <v>1Q21</v>
      </c>
      <c r="J313" s="75" t="str">
        <f>IFERROR(J269,"")</f>
        <v>2Q21</v>
      </c>
      <c r="K313" s="75" t="str">
        <f>IFERROR(K269,"")</f>
        <v>3Q21</v>
      </c>
      <c r="L313" s="75" t="str">
        <f>IFERROR(L269,"")</f>
        <v>4Q21</v>
      </c>
      <c r="M313" s="75">
        <f>IFERROR(M269,"")</f>
        <v>2021</v>
      </c>
      <c r="N313" s="75" t="str">
        <f>IFERROR(N269,"")</f>
        <v>1Q22</v>
      </c>
      <c r="O313" s="75" t="str">
        <f>IFERROR(O269,"")</f>
        <v>2Q22</v>
      </c>
      <c r="P313" s="75" t="str">
        <f>IFERROR(P269,"")</f>
        <v>3Q22</v>
      </c>
      <c r="Q313" s="75" t="str">
        <f>IFERROR(Q269,"")</f>
        <v>4Q22</v>
      </c>
      <c r="R313" s="75">
        <f>IFERROR(R269,"")</f>
        <v>2022</v>
      </c>
      <c r="S313" s="75" t="str">
        <f>IFERROR(S269,"")</f>
        <v>1Q23</v>
      </c>
      <c r="T313" s="75" t="str">
        <f>IFERROR(T269,"")</f>
        <v>2Q23</v>
      </c>
      <c r="U313" s="75" t="str">
        <f>IFERROR(U269,"")</f>
        <v>3Q23</v>
      </c>
      <c r="V313" s="75" t="str">
        <f>IFERROR(V269,"")</f>
        <v>4Q23</v>
      </c>
      <c r="W313" s="75">
        <f>IFERROR(W269,"")</f>
        <v>2023</v>
      </c>
      <c r="X313" s="75" t="str">
        <f>IFERROR(X269,"")</f>
        <v>1Q24</v>
      </c>
      <c r="Y313" s="75" t="str">
        <f>IFERROR(Y269,"")</f>
        <v>2Q24</v>
      </c>
      <c r="Z313" s="75" t="str">
        <f>IFERROR(Z269,"")</f>
        <v>3Q24</v>
      </c>
      <c r="AA313" s="75" t="str">
        <f>IFERROR(AA269,"")</f>
        <v>4Q24</v>
      </c>
      <c r="AB313" s="75">
        <f>IFERROR(AB269,"")</f>
        <v>2024</v>
      </c>
      <c r="AC313" s="75" t="str">
        <f>IFERROR(AC269,"")</f>
        <v>1Q25</v>
      </c>
      <c r="AD313" s="75" t="str">
        <f>IFERROR(AD269,"")</f>
        <v>2Q25</v>
      </c>
      <c r="AE313" s="75" t="str">
        <f>IFERROR(AE269,"")</f>
        <v>3Q25</v>
      </c>
      <c r="AF313" s="75" t="str">
        <f>IFERROR(AF269,"")</f>
        <v>4Q25</v>
      </c>
      <c r="AG313" s="75">
        <f>IFERROR(AG269,"")</f>
        <v>2025</v>
      </c>
      <c r="AH313" s="75" t="str">
        <f>IFERROR(AH269,"")</f>
        <v>1Q26</v>
      </c>
      <c r="AI313" s="75" t="str">
        <f>IFERROR(AI269,"")</f>
        <v>2Q26</v>
      </c>
      <c r="AJ313" s="75" t="str">
        <f>IFERROR(AJ269,"")</f>
        <v>3Q26</v>
      </c>
      <c r="AK313" s="75" t="str">
        <f>IFERROR(AK269,"")</f>
        <v>4Q26</v>
      </c>
      <c r="AL313" s="75">
        <f>IFERROR(AL269,"")</f>
        <v>2026</v>
      </c>
      <c r="AM313" s="75" t="str">
        <f>IFERROR(AM269,"")</f>
        <v>1Q27</v>
      </c>
      <c r="AN313" s="75" t="str">
        <f>IFERROR(AN269,"")</f>
        <v>2Q27</v>
      </c>
      <c r="AO313" s="75" t="str">
        <f>IFERROR(AO269,"")</f>
        <v>3Q27</v>
      </c>
      <c r="AP313" s="75" t="str">
        <f>IFERROR(AP269,"")</f>
        <v>4Q27</v>
      </c>
      <c r="AQ313" s="75">
        <f>IFERROR(AQ269,"")</f>
        <v>2027</v>
      </c>
      <c r="AR313" s="75" t="str">
        <f>IFERROR(AR269,"")</f>
        <v>1Q28</v>
      </c>
      <c r="AS313" s="75" t="str">
        <f>IFERROR(AS269,"")</f>
        <v>2Q28</v>
      </c>
      <c r="AT313" s="75" t="str">
        <f>IFERROR(AT269,"")</f>
        <v>3Q28</v>
      </c>
      <c r="AU313" s="75" t="str">
        <f>IFERROR(AU269,"")</f>
        <v>4Q28</v>
      </c>
      <c r="AV313" s="75">
        <f>IFERROR(AV269,"")</f>
        <v>2028</v>
      </c>
      <c r="AW313" s="75" t="str">
        <f>IFERROR(AW269,"")</f>
        <v>1Q29</v>
      </c>
      <c r="AX313" s="75" t="str">
        <f>IFERROR(AX269,"")</f>
        <v>2Q29</v>
      </c>
      <c r="AY313" s="75" t="str">
        <f>IFERROR(AY269,"")</f>
        <v>3Q29</v>
      </c>
      <c r="AZ313" s="75" t="str">
        <f>IFERROR(AZ269,"")</f>
        <v>4Q29</v>
      </c>
      <c r="BA313" s="75">
        <f>IFERROR(BA269,"")</f>
        <v>2029</v>
      </c>
      <c r="BB313" s="75" t="str">
        <f>IFERROR(BB269,"")</f>
        <v>1Q30</v>
      </c>
      <c r="BC313" s="75" t="str">
        <f>IFERROR(BC269,"")</f>
        <v>2Q30</v>
      </c>
      <c r="BD313" s="75" t="str">
        <f>IFERROR(BD269,"")</f>
        <v>3Q30</v>
      </c>
      <c r="BE313" s="75" t="str">
        <f>IFERROR(BE269,"")</f>
        <v>4Q30</v>
      </c>
      <c r="BF313" s="75">
        <f>IFERROR(BF269,"")</f>
        <v>2030</v>
      </c>
      <c r="BG313" s="75" t="n"/>
      <c r="BH313" s="75" t="n"/>
      <c r="BI313" s="75" t="n"/>
      <c r="BJ313" s="75" t="n"/>
      <c r="BK313" s="75" t="n"/>
      <c r="BL313" s="75" t="n"/>
      <c r="BM313" s="75" t="n"/>
      <c r="BN313" s="75" t="n"/>
      <c r="BO313" s="75" t="n"/>
      <c r="BP313" s="75" t="n"/>
      <c r="BQ313" s="75" t="n"/>
      <c r="BR313" s="75" t="n"/>
      <c r="BS313" s="75" t="n"/>
      <c r="BT313" s="75" t="n"/>
      <c r="BU313" s="75" t="n"/>
      <c r="BV313" s="75" t="n"/>
      <c r="BW313" s="75" t="n"/>
      <c r="BX313" s="75" t="n"/>
      <c r="BY313" s="75" t="n"/>
      <c r="BZ313" s="75" t="n"/>
      <c r="CA313" s="75" t="n"/>
      <c r="CB313" s="75" t="n"/>
      <c r="CC313" s="75" t="n"/>
      <c r="CD313" s="75" t="n"/>
      <c r="CE313" s="75" t="n"/>
      <c r="CF313" s="75" t="n"/>
      <c r="CG313" s="75" t="n"/>
      <c r="CH313" s="75" t="n"/>
      <c r="CI313" s="75" t="n"/>
      <c r="CJ313" s="75" t="n"/>
      <c r="CK313" s="75" t="n"/>
      <c r="CL313" s="75" t="n"/>
      <c r="CM313" s="75" t="n"/>
      <c r="CN313" s="75" t="n"/>
      <c r="CO313" s="75" t="n"/>
      <c r="CP313" s="75" t="n"/>
      <c r="CQ313" s="75" t="n"/>
      <c r="CR313" s="75" t="n"/>
      <c r="CS313" s="75" t="n"/>
      <c r="CT313" s="75" t="n"/>
      <c r="CU313" s="75" t="n"/>
      <c r="CV313" s="75" t="n"/>
      <c r="CW313" s="75" t="n"/>
      <c r="CX313" s="75" t="n"/>
      <c r="CY313" s="75" t="n"/>
    </row>
    <row r="314" customFormat="1" s="77">
      <c r="A314" s="76" t="n"/>
      <c r="B314" s="76" t="n"/>
      <c r="C314" s="74" t="inlineStr">
        <is>
          <t>GROWTH &amp; MARGINS</t>
        </is>
      </c>
    </row>
    <row r="315" customFormat="1" s="77">
      <c r="A315" s="76" t="n"/>
      <c r="B315" s="76" t="n"/>
      <c r="C315" s="77" t="inlineStr">
        <is>
          <t>NET REVENUE GROWTH (YoY)</t>
        </is>
      </c>
      <c r="E315" s="78" t="str">
        <f>IFERROR(E15/D15-1,"")</f>
        <v/>
      </c>
      <c r="F315" s="78" t="str">
        <f>IFERROR(F15/E15-1,"")</f>
        <v/>
      </c>
      <c r="G315" s="78" t="str">
        <f>IFERROR(G15/F15-1,"")</f>
        <v/>
      </c>
      <c r="H315" s="257" t="str">
        <f>""</f>
        <v/>
      </c>
      <c r="I315" s="257" t="str">
        <f>""</f>
        <v/>
      </c>
      <c r="J315" s="257" t="str">
        <f>""</f>
        <v/>
      </c>
      <c r="K315" s="257" t="str">
        <f>""</f>
        <v/>
      </c>
      <c r="L315" s="257" t="str">
        <f>""</f>
        <v/>
      </c>
      <c r="M315" s="257" t="str">
        <f>IFERROR(IF(AND(ISNUMBER(M15),ISNUMBER(H15),H15&lt;&gt;0),M15/H15-1,""),"")</f>
        <v/>
      </c>
      <c r="N315" s="257">
        <f>IFERROR(IF(AND(ISNUMBER(N15),ISNUMBER(I15),I15&lt;&gt;0),N15/I15-1,""),"")</f>
        <v>0.805371065550101</v>
      </c>
      <c r="O315" s="257">
        <f>IFERROR(IF(AND(ISNUMBER(O15),ISNUMBER(J15),J15&lt;&gt;0),O15/J15-1,""),"")</f>
        <v>0.416123097507944</v>
      </c>
      <c r="P315" s="257">
        <f>IFERROR(IF(AND(ISNUMBER(P15),ISNUMBER(K15),K15&lt;&gt;0),P15/K15-1,""),"")</f>
        <v>0.559496983353929</v>
      </c>
      <c r="Q315" s="257">
        <f>IFERROR(IF(AND(ISNUMBER(Q15),ISNUMBER(L15),L15&lt;&gt;0),Q15/L15-1,""),"")</f>
        <v>0.372425080422146</v>
      </c>
      <c r="R315" s="257">
        <f>IFERROR(IF(AND(ISNUMBER(R15),ISNUMBER(M15),M15&lt;&gt;0),R15/M15-1,""),"")</f>
        <v>0.513516526392063</v>
      </c>
      <c r="S315" s="257">
        <f>IFERROR(IF(AND(ISNUMBER(S15),ISNUMBER(N15),N15&lt;&gt;0),S15/N15-1,""),"")</f>
        <v>0.243815312433355</v>
      </c>
      <c r="T315" s="257">
        <f>IFERROR(IF(AND(ISNUMBER(T15),ISNUMBER(O15),O15&lt;&gt;0),T15/O15-1,""),"")</f>
        <v>0.472008976024566</v>
      </c>
      <c r="U315" s="257">
        <f>IFERROR(IF(AND(ISNUMBER(U15),ISNUMBER(P15),P15&lt;&gt;0),U15/P15-1,""),"")</f>
        <v>0.0883751281812248</v>
      </c>
      <c r="V315" s="257">
        <f>IFERROR(IF(AND(ISNUMBER(V15),ISNUMBER(Q15),Q15&lt;&gt;0),V15/Q15-1,""),"")</f>
        <v>0.0349124105600789</v>
      </c>
      <c r="W315" s="257">
        <f>IFERROR(IF(AND(ISNUMBER(W15),ISNUMBER(R15),R15&lt;&gt;0),W15/R15-1,""),"")</f>
        <v>0.187952665046279</v>
      </c>
      <c r="X315" s="257">
        <f>IFERROR(IF(AND(ISNUMBER(X15),ISNUMBER(S15),S15&lt;&gt;0),X15/S15-1,""),"")</f>
        <v>-0.0869304299369883</v>
      </c>
      <c r="Y315" s="257">
        <f>IFERROR(IF(AND(ISNUMBER(Y15),ISNUMBER(T15),T15&lt;&gt;0),Y15/T15-1,""),"")</f>
        <v>0.0229871223974003</v>
      </c>
      <c r="Z315" s="257">
        <f>IFERROR(IF(AND(ISNUMBER(Z15),ISNUMBER(U15),U15&lt;&gt;0),Z15/U15-1,""),"")</f>
        <v>0.0784582441113491</v>
      </c>
      <c r="AA315" s="257">
        <f>IFERROR(IF(AND(ISNUMBER(AA15),ISNUMBER(V15),V15&lt;&gt;0),AA15/V15-1,""),"")</f>
        <v>0.0214566694480869</v>
      </c>
      <c r="AB315" s="257">
        <f>IFERROR(IF(AND(ISNUMBER(AB15),ISNUMBER(W15),W15&lt;&gt;0),AB15/W15-1,""),"")</f>
        <v>0.0094757835346635</v>
      </c>
      <c r="AC315" s="257">
        <f>IFERROR(IF(AND(ISNUMBER(AC15),ISNUMBER(X15),X15&lt;&gt;0),AC15/X15-1,""),"")</f>
        <v>-0.0922961363316276</v>
      </c>
      <c r="AD315" s="257">
        <f>IFERROR(IF(AND(ISNUMBER(AD15),ISNUMBER(Y15),Y15&lt;&gt;0),AD15/Y15-1,""),"")</f>
        <v>-0.117803921568627</v>
      </c>
      <c r="AE315" s="257">
        <f>IFERROR(IF(AND(ISNUMBER(AE15),ISNUMBER(Z15),Z15&lt;&gt;0),AE15/Z15-1,""),"")</f>
        <v>0.115677865141768</v>
      </c>
      <c r="AF315" s="257">
        <f>IFERROR(IF(AND(ISNUMBER(AF15),ISNUMBER(AA15),AA15&lt;&gt;0),AF15/AA15-1,""),"")</f>
        <v>-0.0313533278873459</v>
      </c>
      <c r="AG315" s="257">
        <f>IFERROR(IF(AND(ISNUMBER(AG15),ISNUMBER(AB15),AB15&lt;&gt;0),AG15/AB15-1,""),"")</f>
        <v>-0.0293069915037363</v>
      </c>
      <c r="AH315" s="257">
        <f>IFERROR(IF(AND(ISNUMBER(AH15),ISNUMBER(AC15),AC15&lt;&gt;0),AH15/AC15-1,""),"")</f>
        <v>0.15784846133954</v>
      </c>
      <c r="AI315" s="257">
        <f>IFERROR(IF(AND(ISNUMBER(AI15),ISNUMBER(AD15),AD15&lt;&gt;0),AI15/AD15-1,""),"")</f>
        <v>0.255156472261735</v>
      </c>
      <c r="AJ315" s="257">
        <f>IFERROR(IF(AND(ISNUMBER(AJ15),ISNUMBER(AE15),AE15&lt;&gt;0),AJ15/AE15-1,""),"")</f>
        <v>0.047871568825907</v>
      </c>
      <c r="AK315" s="257">
        <f>IFERROR(IF(AND(ISNUMBER(AK15),ISNUMBER(AF15),AF15&lt;&gt;0),AK15/AF15-1,""),"")</f>
        <v>0.047871568825907</v>
      </c>
      <c r="AL315" s="257">
        <f>IFERROR(IF(AND(ISNUMBER(AL15),ISNUMBER(AG15),AG15&lt;&gt;0),AL15/AG15-1,""),"")</f>
        <v>0.119470210609824</v>
      </c>
      <c r="AM315" s="257">
        <f>IFERROR(IF(AND(ISNUMBER(AM15),ISNUMBER(AH15),AH15&lt;&gt;0),AM15/AH15-1,""),"")</f>
        <v>0.047871568825907</v>
      </c>
      <c r="AN315" s="257">
        <f>IFERROR(IF(AND(ISNUMBER(AN15),ISNUMBER(AI15),AI15&lt;&gt;0),AN15/AI15-1,""),"")</f>
        <v>0.047871568825907</v>
      </c>
      <c r="AO315" s="257">
        <f>IFERROR(IF(AND(ISNUMBER(AO15),ISNUMBER(AJ15),AJ15&lt;&gt;0),AO15/AJ15-1,""),"")</f>
        <v>0.047871568825907</v>
      </c>
      <c r="AP315" s="257">
        <f>IFERROR(IF(AND(ISNUMBER(AP15),ISNUMBER(AK15),AK15&lt;&gt;0),AP15/AK15-1,""),"")</f>
        <v>0.047871568825907</v>
      </c>
      <c r="AQ315" s="257">
        <f>IFERROR(IF(AND(ISNUMBER(AQ15),ISNUMBER(AL15),AL15&lt;&gt;0),AQ15/AL15-1,""),"")</f>
        <v>0.047871568825907</v>
      </c>
      <c r="AR315" s="257">
        <f>IFERROR(IF(AND(ISNUMBER(AR15),ISNUMBER(AM15),AM15&lt;&gt;0),AR15/AM15-1,""),"")</f>
        <v>0.0428715688259072</v>
      </c>
      <c r="AS315" s="257">
        <f>IFERROR(IF(AND(ISNUMBER(AS15),ISNUMBER(AN15),AN15&lt;&gt;0),AS15/AN15-1,""),"")</f>
        <v>0.0428715688259072</v>
      </c>
      <c r="AT315" s="257">
        <f>IFERROR(IF(AND(ISNUMBER(AT15),ISNUMBER(AO15),AO15&lt;&gt;0),AT15/AO15-1,""),"")</f>
        <v>0.0428715688259072</v>
      </c>
      <c r="AU315" s="257">
        <f>IFERROR(IF(AND(ISNUMBER(AU15),ISNUMBER(AP15),AP15&lt;&gt;0),AU15/AP15-1,""),"")</f>
        <v>0.0428715688259072</v>
      </c>
      <c r="AV315" s="257">
        <f>IFERROR(IF(AND(ISNUMBER(AV15),ISNUMBER(AQ15),AQ15&lt;&gt;0),AV15/AQ15-1,""),"")</f>
        <v>0.0428715688259072</v>
      </c>
      <c r="AW315" s="257">
        <f>IFERROR(IF(AND(ISNUMBER(AW15),ISNUMBER(AR15),AR15&lt;&gt;0),AW15/AR15-1,""),"")</f>
        <v>0.037871568825907</v>
      </c>
      <c r="AX315" s="257">
        <f>IFERROR(IF(AND(ISNUMBER(AX15),ISNUMBER(AS15),AS15&lt;&gt;0),AX15/AS15-1,""),"")</f>
        <v>0.037871568825907</v>
      </c>
      <c r="AY315" s="257">
        <f>IFERROR(IF(AND(ISNUMBER(AY15),ISNUMBER(AT15),AT15&lt;&gt;0),AY15/AT15-1,""),"")</f>
        <v>0.037871568825907</v>
      </c>
      <c r="AZ315" s="257">
        <f>IFERROR(IF(AND(ISNUMBER(AZ15),ISNUMBER(AU15),AU15&lt;&gt;0),AZ15/AU15-1,""),"")</f>
        <v>0.037871568825907</v>
      </c>
      <c r="BA315" s="257">
        <f>IFERROR(IF(AND(ISNUMBER(BA15),ISNUMBER(AV15),AV15&lt;&gt;0),BA15/AV15-1,""),"")</f>
        <v>0.037871568825907</v>
      </c>
      <c r="BB315" s="257">
        <f>IFERROR(IF(AND(ISNUMBER(BB15),ISNUMBER(AW15),AW15&lt;&gt;0),BB15/AW15-1,""),"")</f>
        <v>0.0328715688259071</v>
      </c>
      <c r="BC315" s="257">
        <f>IFERROR(IF(AND(ISNUMBER(BC15),ISNUMBER(AX15),AX15&lt;&gt;0),BC15/AX15-1,""),"")</f>
        <v>0.0328715688259074</v>
      </c>
      <c r="BD315" s="257">
        <f>IFERROR(IF(AND(ISNUMBER(BD15),ISNUMBER(AY15),AY15&lt;&gt;0),BD15/AY15-1,""),"")</f>
        <v>0.0328715688259071</v>
      </c>
      <c r="BE315" s="257">
        <f>IFERROR(IF(AND(ISNUMBER(BE15),ISNUMBER(AZ15),AZ15&lt;&gt;0),BE15/AZ15-1,""),"")</f>
        <v>0.0328715688259071</v>
      </c>
      <c r="BF315" s="257">
        <f>IFERROR(IF(AND(ISNUMBER(BF15),ISNUMBER(BA15),BA15&lt;&gt;0),BF15/BA15-1,""),"")</f>
        <v>0.0328715688259071</v>
      </c>
      <c r="BG315" s="79" t="n"/>
      <c r="BH315" s="79" t="n"/>
      <c r="BI315" s="79" t="n"/>
      <c r="BJ315" s="79" t="n"/>
      <c r="BK315" s="78" t="n"/>
      <c r="BL315" s="79" t="n"/>
      <c r="BM315" s="79" t="n"/>
      <c r="BN315" s="79" t="n"/>
      <c r="BO315" s="79" t="n"/>
      <c r="BP315" s="78" t="n"/>
      <c r="BQ315" s="79" t="n"/>
      <c r="BR315" s="79" t="n"/>
      <c r="BS315" s="79" t="n"/>
      <c r="BT315" s="79" t="n"/>
      <c r="BU315" s="78" t="n"/>
      <c r="BV315" s="79" t="n"/>
      <c r="BW315" s="79" t="n"/>
      <c r="BX315" s="79" t="n"/>
      <c r="BY315" s="79" t="n"/>
      <c r="BZ315" s="78" t="n"/>
      <c r="CA315" s="79" t="n"/>
      <c r="CB315" s="79" t="n"/>
      <c r="CC315" s="79" t="n"/>
      <c r="CD315" s="79" t="n"/>
      <c r="CE315" s="78" t="n"/>
      <c r="CF315" s="79" t="n"/>
      <c r="CG315" s="79" t="n"/>
      <c r="CH315" s="79" t="n"/>
      <c r="CI315" s="79" t="n"/>
      <c r="CJ315" s="78" t="n"/>
      <c r="CK315" s="79" t="n"/>
      <c r="CL315" s="79" t="n"/>
      <c r="CM315" s="79" t="n"/>
      <c r="CN315" s="79" t="n"/>
      <c r="CO315" s="78" t="n"/>
      <c r="CP315" s="79" t="n"/>
      <c r="CQ315" s="79" t="n"/>
      <c r="CR315" s="79" t="n"/>
      <c r="CS315" s="79" t="n"/>
      <c r="CT315" s="78" t="n"/>
      <c r="CU315" s="79" t="n"/>
      <c r="CV315" s="79" t="n"/>
      <c r="CW315" s="79" t="n"/>
      <c r="CX315" s="79" t="n"/>
      <c r="CY315" s="78" t="n"/>
    </row>
    <row r="316" customFormat="1" s="77">
      <c r="A316" s="76" t="n"/>
      <c r="B316" s="76" t="n"/>
      <c r="C316" s="77" t="inlineStr">
        <is>
          <t>GROSS MARGIN</t>
        </is>
      </c>
      <c r="D316" s="79" t="str">
        <f>IFERROR(SUM(D15,D48)/D15,"")</f>
        <v/>
      </c>
      <c r="E316" s="79" t="str">
        <f>IFERROR(SUM(E15,E48)/E15,"")</f>
        <v/>
      </c>
      <c r="F316" s="79" t="str">
        <f>IFERROR(SUM(F15,F48)/F15,"")</f>
        <v/>
      </c>
      <c r="G316" s="79" t="str">
        <f>IFERROR(SUM(G15,G48)/G15,"")</f>
        <v/>
      </c>
      <c r="H316" s="258" t="str">
        <f>IFERROR(IF(N(H15)&lt;&gt;0,(H15+H48)/H15,""),"")</f>
        <v/>
      </c>
      <c r="I316" s="258">
        <f>IFERROR(IF(N(I15)&lt;&gt;0,(I15+I48)/I15,""),"")</f>
        <v>0.213206275868707</v>
      </c>
      <c r="J316" s="258">
        <f>IFERROR(IF(N(J15)&lt;&gt;0,(J15+J48)/J15,""),"")</f>
        <v>0.241177454423817</v>
      </c>
      <c r="K316" s="258">
        <f>IFERROR(IF(N(K15)&lt;&gt;0,(K15+K48)/K15,""),"")</f>
        <v>0.266046376390201</v>
      </c>
      <c r="L316" s="258">
        <f>IFERROR(IF(N(L15)&lt;&gt;0,(L15+L48)/L15,""),"")</f>
        <v>0.273548168632541</v>
      </c>
      <c r="M316" s="258">
        <f>IFERROR(IF(N(M15)&lt;&gt;0,(M15+M48)/M15,""),"")</f>
        <v>0.252791557512588</v>
      </c>
      <c r="N316" s="258">
        <f>IFERROR(IF(N(N15)&lt;&gt;0,(N15+N48)/N15,""),"")</f>
        <v>0.291106845809341</v>
      </c>
      <c r="O316" s="258">
        <f>IFERROR(IF(N(O15)&lt;&gt;0,(O15+O48)/O15,""),"")</f>
        <v>0.250029526396599</v>
      </c>
      <c r="P316" s="258">
        <f>IFERROR(IF(N(P15)&lt;&gt;0,(P15+P48)/P15,""),"")</f>
        <v>0.25086231005873</v>
      </c>
      <c r="Q316" s="258">
        <f>IFERROR(IF(N(Q15)&lt;&gt;0,(Q15+Q48)/Q15,""),"")</f>
        <v>0.2375606546591</v>
      </c>
      <c r="R316" s="258">
        <f>IFERROR(IF(N(R15)&lt;&gt;0,(R15+R48)/R15,""),"")</f>
        <v>0.25598438535759</v>
      </c>
      <c r="S316" s="258">
        <f>IFERROR(IF(N(S15)&lt;&gt;0,(S15+S48)/S15,""),"")</f>
        <v>0.193364481975224</v>
      </c>
      <c r="T316" s="258">
        <f>IFERROR(IF(N(T15)&lt;&gt;0,(T15+T48)/T15,""),"")</f>
        <v>0.181851004934408</v>
      </c>
      <c r="U316" s="258">
        <f>IFERROR(IF(N(U15)&lt;&gt;0,(U15+U48)/U15,""),"")</f>
        <v>0.178929336188437</v>
      </c>
      <c r="V316" s="258">
        <f>IFERROR(IF(N(V15)&lt;&gt;0,(V15+V48)/V15,""),"")</f>
        <v>0.176342035204832</v>
      </c>
      <c r="W316" s="258">
        <f>IFERROR(IF(N(W15)&lt;&gt;0,(W15+W48)/W15,""),"")</f>
        <v>0.182488917363314</v>
      </c>
      <c r="X316" s="258">
        <f>IFERROR(IF(N(X15)&lt;&gt;0,(X15+X48)/X15,""),"")</f>
        <v>0.173512980611239</v>
      </c>
      <c r="Y316" s="258">
        <f>IFERROR(IF(N(Y15)&lt;&gt;0,(Y15+Y48)/Y15,""),"")</f>
        <v>0.179529411764706</v>
      </c>
      <c r="Z316" s="258">
        <f>IFERROR(IF(N(Z15)&lt;&gt;0,(Z15+Z48)/Z15,""),"")</f>
        <v>0.198435390358192</v>
      </c>
      <c r="AA316" s="258">
        <f>IFERROR(IF(N(AA15)&lt;&gt;0,(AA15+AA48)/AA15,""),"")</f>
        <v>0.16256272610573</v>
      </c>
      <c r="AB316" s="258">
        <f>IFERROR(IF(N(AB15)&lt;&gt;0,(AB15+AB48)/AB15,""),"")</f>
        <v>0.178626266762207</v>
      </c>
      <c r="AC316" s="258">
        <f>IFERROR(IF(N(AC15)&lt;&gt;0,(AC15+AC48)/AC15,""),"")</f>
        <v>0.163072148952677</v>
      </c>
      <c r="AD316" s="258">
        <f>IFERROR(IF(N(AD15)&lt;&gt;0,(AD15+AD48)/AD15,""),"")</f>
        <v>0.172386201991465</v>
      </c>
      <c r="AE316" s="258">
        <f>IFERROR(IF(N(AE15)&lt;&gt;0,(AE15+AE48)/AE15,""),"")</f>
        <v>0.179889660081865</v>
      </c>
      <c r="AF316" s="258">
        <f>IFERROR(IF(N(AF15)&lt;&gt;0,(AF15+AF48)/AF15,""),"")</f>
        <v>0.201156580057026</v>
      </c>
      <c r="AG316" s="258">
        <f>IFERROR(IF(N(AG15)&lt;&gt;0,(AG15+AG48)/AG15,""),"")</f>
        <v>0.180265114366162</v>
      </c>
      <c r="AH316" s="258">
        <f>IFERROR(IF(N(AH15)&lt;&gt;0,(AH15+AH48)/AH15,""),"")</f>
        <v>0.210836646267923</v>
      </c>
      <c r="AI316" s="258">
        <f>IFERROR(IF(N(AI15)&lt;&gt;0,(AI15+AI48)/AI15,""),"")</f>
        <v>0.168260376823913</v>
      </c>
      <c r="AJ316" s="258">
        <f>IFERROR(IF(N(AJ15)&lt;&gt;0,(AJ15+AJ48)/AJ15,""),"")</f>
        <v>0.182600269029145</v>
      </c>
      <c r="AK316" s="258">
        <f>IFERROR(IF(N(AK15)&lt;&gt;0,(AK15+AK48)/AK15,""),"")</f>
        <v>0.182600269029145</v>
      </c>
      <c r="AL316" s="258">
        <f>IFERROR(IF(N(AL15)&lt;&gt;0,(AL15+AL48)/AL15,""),"")</f>
        <v>0.184740765820482</v>
      </c>
      <c r="AM316" s="258">
        <f>IFERROR(IF(N(AM15)&lt;&gt;0,(AM15+AM48)/AM15,""),"")</f>
        <v>0.182600269029145</v>
      </c>
      <c r="AN316" s="258">
        <f>IFERROR(IF(N(AN15)&lt;&gt;0,(AN15+AN48)/AN15,""),"")</f>
        <v>0.182600269029145</v>
      </c>
      <c r="AO316" s="258">
        <f>IFERROR(IF(N(AO15)&lt;&gt;0,(AO15+AO48)/AO15,""),"")</f>
        <v>0.182600269029145</v>
      </c>
      <c r="AP316" s="258">
        <f>IFERROR(IF(N(AP15)&lt;&gt;0,(AP15+AP48)/AP15,""),"")</f>
        <v>0.182600269029145</v>
      </c>
      <c r="AQ316" s="258">
        <f>IFERROR(IF(N(AQ15)&lt;&gt;0,(AQ15+AQ48)/AQ15,""),"")</f>
        <v>0.182600269029145</v>
      </c>
      <c r="AR316" s="258">
        <f>IFERROR(IF(N(AR15)&lt;&gt;0,(AR15+AR48)/AR15,""),"")</f>
        <v>0.182600269029145</v>
      </c>
      <c r="AS316" s="258">
        <f>IFERROR(IF(N(AS15)&lt;&gt;0,(AS15+AS48)/AS15,""),"")</f>
        <v>0.182600269029145</v>
      </c>
      <c r="AT316" s="258">
        <f>IFERROR(IF(N(AT15)&lt;&gt;0,(AT15+AT48)/AT15,""),"")</f>
        <v>0.182600269029145</v>
      </c>
      <c r="AU316" s="258">
        <f>IFERROR(IF(N(AU15)&lt;&gt;0,(AU15+AU48)/AU15,""),"")</f>
        <v>0.182600269029145</v>
      </c>
      <c r="AV316" s="258">
        <f>IFERROR(IF(N(AV15)&lt;&gt;0,(AV15+AV48)/AV15,""),"")</f>
        <v>0.182600269029145</v>
      </c>
      <c r="AW316" s="258">
        <f>IFERROR(IF(N(AW15)&lt;&gt;0,(AW15+AW48)/AW15,""),"")</f>
        <v>0.182600269029145</v>
      </c>
      <c r="AX316" s="258">
        <f>IFERROR(IF(N(AX15)&lt;&gt;0,(AX15+AX48)/AX15,""),"")</f>
        <v>0.182600269029145</v>
      </c>
      <c r="AY316" s="258">
        <f>IFERROR(IF(N(AY15)&lt;&gt;0,(AY15+AY48)/AY15,""),"")</f>
        <v>0.182600269029145</v>
      </c>
      <c r="AZ316" s="258">
        <f>IFERROR(IF(N(AZ15)&lt;&gt;0,(AZ15+AZ48)/AZ15,""),"")</f>
        <v>0.182600269029145</v>
      </c>
      <c r="BA316" s="258">
        <f>IFERROR(IF(N(BA15)&lt;&gt;0,(BA15+BA48)/BA15,""),"")</f>
        <v>0.182600269029145</v>
      </c>
      <c r="BB316" s="258">
        <f>IFERROR(IF(N(BB15)&lt;&gt;0,(BB15+BB48)/BB15,""),"")</f>
        <v>0.182600269029145</v>
      </c>
      <c r="BC316" s="258">
        <f>IFERROR(IF(N(BC15)&lt;&gt;0,(BC15+BC48)/BC15,""),"")</f>
        <v>0.182600269029145</v>
      </c>
      <c r="BD316" s="258">
        <f>IFERROR(IF(N(BD15)&lt;&gt;0,(BD15+BD48)/BD15,""),"")</f>
        <v>0.182600269029145</v>
      </c>
      <c r="BE316" s="258">
        <f>IFERROR(IF(N(BE15)&lt;&gt;0,(BE15+BE48)/BE15,""),"")</f>
        <v>0.182600269029145</v>
      </c>
      <c r="BF316" s="258">
        <f>IFERROR(IF(N(BF15)&lt;&gt;0,(BF15+BF48)/BF15,""),"")</f>
        <v>0.182600269029145</v>
      </c>
      <c r="BG316" s="80" t="n"/>
      <c r="BH316" s="80" t="n"/>
      <c r="BI316" s="80" t="n"/>
      <c r="BJ316" s="80" t="n"/>
      <c r="BL316" s="80" t="n"/>
      <c r="BM316" s="80" t="n"/>
      <c r="BN316" s="80" t="n"/>
      <c r="BO316" s="80" t="n"/>
      <c r="BQ316" s="80" t="n"/>
      <c r="BR316" s="80" t="n"/>
      <c r="BS316" s="80" t="n"/>
      <c r="BT316" s="80" t="n"/>
      <c r="BV316" s="80" t="n"/>
      <c r="BW316" s="80" t="n"/>
      <c r="BX316" s="80" t="n"/>
      <c r="BY316" s="80" t="n"/>
      <c r="CA316" s="80" t="n"/>
      <c r="CB316" s="80" t="n"/>
      <c r="CC316" s="80" t="n"/>
      <c r="CD316" s="80" t="n"/>
      <c r="CF316" s="80" t="n"/>
      <c r="CG316" s="80" t="n"/>
      <c r="CH316" s="80" t="n"/>
      <c r="CI316" s="80" t="n"/>
      <c r="CK316" s="80" t="n"/>
      <c r="CL316" s="80" t="n"/>
      <c r="CM316" s="80" t="n"/>
      <c r="CN316" s="80" t="n"/>
      <c r="CP316" s="80" t="n"/>
      <c r="CQ316" s="80" t="n"/>
      <c r="CR316" s="80" t="n"/>
      <c r="CS316" s="80" t="n"/>
      <c r="CU316" s="80" t="n"/>
      <c r="CV316" s="80" t="n"/>
      <c r="CW316" s="80" t="n"/>
      <c r="CX316" s="80" t="n"/>
    </row>
    <row r="317" customFormat="1" s="77">
      <c r="A317" s="76" t="n"/>
      <c r="B317" s="76" t="n"/>
      <c r="C317" s="77" t="inlineStr">
        <is>
          <t>EBIT MARGIN</t>
        </is>
      </c>
      <c r="D317" s="78" t="str">
        <f>IFERROR((D67/D15),"")</f>
        <v/>
      </c>
      <c r="E317" s="78" t="str">
        <f>IFERROR((E67/E15),"")</f>
        <v/>
      </c>
      <c r="F317" s="78" t="str">
        <f>IFERROR((F67/F15),"")</f>
        <v/>
      </c>
      <c r="G317" s="78" t="str">
        <f>IFERROR((G67/G15),"")</f>
        <v/>
      </c>
      <c r="H317" s="258" t="str">
        <f>IFERROR(IF(N(H15)&lt;&gt;0,H67/H15,""),"")</f>
        <v/>
      </c>
      <c r="I317" s="257">
        <f>IFERROR(IF(N(I15)&lt;&gt;0,I67/I15,""),"")</f>
        <v>0.0571758590817211</v>
      </c>
      <c r="J317" s="257">
        <f>IFERROR(IF(N(J15)&lt;&gt;0,J67/J15,""),"")</f>
        <v>0.109717344037464</v>
      </c>
      <c r="K317" s="257">
        <f>IFERROR(IF(N(K15)&lt;&gt;0,K67/K15,""),"")</f>
        <v>0.145671294613651</v>
      </c>
      <c r="L317" s="257">
        <f>IFERROR(IF(N(L15)&lt;&gt;0,L67/L15,""),"")</f>
        <v>0.147468818782098</v>
      </c>
      <c r="M317" s="258">
        <f>IFERROR(IF(N(M15)&lt;&gt;0,M67/M15,""),"")</f>
        <v>0.1211935417944</v>
      </c>
      <c r="N317" s="257">
        <f>IFERROR(IF(N(N15)&lt;&gt;0,N67/N15,""),"")</f>
        <v>0.192098528470889</v>
      </c>
      <c r="O317" s="257">
        <f>IFERROR(IF(N(O15)&lt;&gt;0,O67/O15,""),"")</f>
        <v>0.145506082437699</v>
      </c>
      <c r="P317" s="257">
        <f>IFERROR(IF(N(P15)&lt;&gt;0,P67/P15,""),"")</f>
        <v>0.17190267549175</v>
      </c>
      <c r="Q317" s="257">
        <f>IFERROR(IF(N(Q15)&lt;&gt;0,Q67/Q15,""),"")</f>
        <v>0.160416152644132</v>
      </c>
      <c r="R317" s="258">
        <f>IFERROR(IF(N(R15)&lt;&gt;0,R67/R15,""),"")</f>
        <v>0.167636443986153</v>
      </c>
      <c r="S317" s="257">
        <f>IFERROR(IF(N(S15)&lt;&gt;0,S67/S15,""),"")</f>
        <v>0.114192635775215</v>
      </c>
      <c r="T317" s="257">
        <f>IFERROR(IF(N(T15)&lt;&gt;0,T67/T15,""),"")</f>
        <v>0.0962410237894652</v>
      </c>
      <c r="U317" s="257">
        <f>IFERROR(IF(N(U15)&lt;&gt;0,U67/U15,""),"")</f>
        <v>0.0755460385438972</v>
      </c>
      <c r="V317" s="257">
        <f>IFERROR(IF(N(V15)&lt;&gt;0,V67/V15,""),"")</f>
        <v>0.0820121587793539</v>
      </c>
      <c r="W317" s="258">
        <f>IFERROR(IF(N(W15)&lt;&gt;0,W67/W15,""),"")</f>
        <v>0.0918747997891974</v>
      </c>
      <c r="X317" s="257">
        <f>IFERROR(IF(N(X15)&lt;&gt;0,X67/X15,""),"")</f>
        <v>0.0549739448852167</v>
      </c>
      <c r="Y317" s="257">
        <f>IFERROR(IF(N(Y15)&lt;&gt;0,Y67/Y15,""),"")</f>
        <v>0.0629411764705882</v>
      </c>
      <c r="Z317" s="257">
        <f>IFERROR(IF(N(Z15)&lt;&gt;0,Z67/Z15,""),"")</f>
        <v>0.107894527837344</v>
      </c>
      <c r="AA317" s="257">
        <f>IFERROR(IF(N(AA15)&lt;&gt;0,AA67/AA15,""),"")</f>
        <v>0.0615785583693158</v>
      </c>
      <c r="AB317" s="258">
        <f>IFERROR(IF(N(AB15)&lt;&gt;0,AB67/AB15,""),"")</f>
        <v>0.0724332070836319</v>
      </c>
      <c r="AC317" s="257">
        <f>IFERROR(IF(N(AC15)&lt;&gt;0,AC67/AC15,""),"")</f>
        <v>0.0206361520558573</v>
      </c>
      <c r="AD317" s="257">
        <f>IFERROR(IF(N(AD15)&lt;&gt;0,AD67/AD15,""),"")</f>
        <v>0.0410295163584637</v>
      </c>
      <c r="AE317" s="257">
        <f>IFERROR(IF(N(AE15)&lt;&gt;0,AE67/AE15,""),"")</f>
        <v>0.0578038796938957</v>
      </c>
      <c r="AF317" s="257">
        <f>IFERROR(IF(N(AF15)&lt;&gt;0,AF67/AF15,""),"")</f>
        <v>0.056584072928798</v>
      </c>
      <c r="AG317" s="258">
        <f>IFERROR(IF(N(AG15)&lt;&gt;0,AG67/AG15,""),"")</f>
        <v>0.0459257384500195</v>
      </c>
      <c r="AH317" s="257">
        <f>IFERROR(IF(N(AH15)&lt;&gt;0,AH67/AH15,""),"")</f>
        <v>0.0420333229106178</v>
      </c>
      <c r="AI317" s="257">
        <f>IFERROR(IF(N(AI15)&lt;&gt;0,AI67/AI15,""),"")</f>
        <v>0.0140954809463097</v>
      </c>
      <c r="AJ317" s="257">
        <f>IFERROR(IF(N(AJ15)&lt;&gt;0,AJ67/AJ15,""),"")</f>
        <v>0.038697070815657</v>
      </c>
      <c r="AK317" s="257">
        <f>IFERROR(IF(N(AK15)&lt;&gt;0,AK67/AK15,""),"")</f>
        <v>0.0386970708156569</v>
      </c>
      <c r="AL317" s="258">
        <f>IFERROR(IF(N(AL15)&lt;&gt;0,AL67/AL15,""),"")</f>
        <v>0.0328569693970119</v>
      </c>
      <c r="AM317" s="257">
        <f>IFERROR(IF(N(AM15)&lt;&gt;0,AM67/AM15,""),"")</f>
        <v>0.0386970708156569</v>
      </c>
      <c r="AN317" s="257">
        <f>IFERROR(IF(N(AN15)&lt;&gt;0,AN67/AN15,""),"")</f>
        <v>0.038697070815657</v>
      </c>
      <c r="AO317" s="257">
        <f>IFERROR(IF(N(AO15)&lt;&gt;0,AO67/AO15,""),"")</f>
        <v>0.0386970708156569</v>
      </c>
      <c r="AP317" s="257">
        <f>IFERROR(IF(N(AP15)&lt;&gt;0,AP67/AP15,""),"")</f>
        <v>0.0386970708156569</v>
      </c>
      <c r="AQ317" s="258">
        <f>IFERROR(IF(N(AQ15)&lt;&gt;0,AQ67/AQ15,""),"")</f>
        <v>0.0386970708156569</v>
      </c>
      <c r="AR317" s="257">
        <f>IFERROR(IF(N(AR15)&lt;&gt;0,AR67/AR15,""),"")</f>
        <v>0.038697070815657</v>
      </c>
      <c r="AS317" s="257">
        <f>IFERROR(IF(N(AS15)&lt;&gt;0,AS67/AS15,""),"")</f>
        <v>0.038697070815657</v>
      </c>
      <c r="AT317" s="257">
        <f>IFERROR(IF(N(AT15)&lt;&gt;0,AT67/AT15,""),"")</f>
        <v>0.038697070815657</v>
      </c>
      <c r="AU317" s="257">
        <f>IFERROR(IF(N(AU15)&lt;&gt;0,AU67/AU15,""),"")</f>
        <v>0.0386970708156569</v>
      </c>
      <c r="AV317" s="258">
        <f>IFERROR(IF(N(AV15)&lt;&gt;0,AV67/AV15,""),"")</f>
        <v>0.038697070815657</v>
      </c>
      <c r="AW317" s="257">
        <f>IFERROR(IF(N(AW15)&lt;&gt;0,AW67/AW15,""),"")</f>
        <v>0.0386970708156569</v>
      </c>
      <c r="AX317" s="257">
        <f>IFERROR(IF(N(AX15)&lt;&gt;0,AX67/AX15,""),"")</f>
        <v>0.038697070815657</v>
      </c>
      <c r="AY317" s="257">
        <f>IFERROR(IF(N(AY15)&lt;&gt;0,AY67/AY15,""),"")</f>
        <v>0.038697070815657</v>
      </c>
      <c r="AZ317" s="257">
        <f>IFERROR(IF(N(AZ15)&lt;&gt;0,AZ67/AZ15,""),"")</f>
        <v>0.038697070815657</v>
      </c>
      <c r="BA317" s="258">
        <f>IFERROR(IF(N(BA15)&lt;&gt;0,BA67/BA15,""),"")</f>
        <v>0.038697070815657</v>
      </c>
      <c r="BB317" s="257">
        <f>IFERROR(IF(N(BB15)&lt;&gt;0,BB67/BB15,""),"")</f>
        <v>0.038697070815657</v>
      </c>
      <c r="BC317" s="257">
        <f>IFERROR(IF(N(BC15)&lt;&gt;0,BC67/BC15,""),"")</f>
        <v>0.038697070815657</v>
      </c>
      <c r="BD317" s="257">
        <f>IFERROR(IF(N(BD15)&lt;&gt;0,BD67/BD15,""),"")</f>
        <v>0.038697070815657</v>
      </c>
      <c r="BE317" s="257">
        <f>IFERROR(IF(N(BE15)&lt;&gt;0,BE67/BE15,""),"")</f>
        <v>0.0386970708156569</v>
      </c>
      <c r="BF317" s="258">
        <f>IFERROR(IF(N(BF15)&lt;&gt;0,BF67/BF15,""),"")</f>
        <v>0.038697070815657</v>
      </c>
      <c r="BG317" s="81" t="n"/>
      <c r="BH317" s="81" t="n"/>
      <c r="BI317" s="81" t="n"/>
      <c r="BJ317" s="81" t="n"/>
      <c r="BL317" s="81" t="n"/>
      <c r="BM317" s="81" t="n"/>
      <c r="BN317" s="81" t="n"/>
      <c r="BO317" s="81" t="n"/>
      <c r="BQ317" s="81" t="n"/>
      <c r="BR317" s="81" t="n"/>
      <c r="BS317" s="81" t="n"/>
      <c r="BT317" s="81" t="n"/>
      <c r="BV317" s="81" t="n"/>
      <c r="BW317" s="81" t="n"/>
      <c r="BX317" s="81" t="n"/>
      <c r="BY317" s="81" t="n"/>
      <c r="CA317" s="81" t="n"/>
      <c r="CB317" s="81" t="n"/>
      <c r="CC317" s="81" t="n"/>
      <c r="CD317" s="81" t="n"/>
      <c r="CF317" s="81" t="n"/>
      <c r="CG317" s="81" t="n"/>
      <c r="CH317" s="81" t="n"/>
      <c r="CI317" s="81" t="n"/>
      <c r="CK317" s="81" t="n"/>
      <c r="CL317" s="81" t="n"/>
      <c r="CM317" s="81" t="n"/>
      <c r="CN317" s="81" t="n"/>
      <c r="CP317" s="81" t="n"/>
      <c r="CQ317" s="81" t="n"/>
      <c r="CR317" s="81" t="n"/>
      <c r="CS317" s="81" t="n"/>
      <c r="CU317" s="81" t="n"/>
      <c r="CV317" s="81" t="n"/>
      <c r="CW317" s="81" t="n"/>
      <c r="CX317" s="81" t="n"/>
    </row>
    <row r="318" customFormat="1" s="77">
      <c r="A318" s="76" t="n"/>
      <c r="B318" s="76" t="n"/>
      <c r="C318" s="77" t="inlineStr">
        <is>
          <t>EBITDA MARGIN</t>
        </is>
      </c>
      <c r="D318" s="78" t="str">
        <f>IFERROR(D63/D15,"")</f>
        <v/>
      </c>
      <c r="E318" s="78" t="str">
        <f>IFERROR(E63/E15,"")</f>
        <v/>
      </c>
      <c r="F318" s="78" t="str">
        <f>IFERROR(F63/F15,"")</f>
        <v/>
      </c>
      <c r="G318" s="78" t="str">
        <f>IFERROR(G63/G15,"")</f>
        <v/>
      </c>
      <c r="H318" s="258" t="str">
        <f>IFERROR(IF(N(H15)&lt;&gt;0,H63/H15,""),"")</f>
        <v/>
      </c>
      <c r="I318" s="257">
        <f>IFERROR(IF(N(I15)&lt;&gt;0,I63/I15,""),"")</f>
        <v>0.116950620848975</v>
      </c>
      <c r="J318" s="257">
        <f>IFERROR(IF(N(J15)&lt;&gt;0,J63/J15,""),"")</f>
        <v>0.166666666666667</v>
      </c>
      <c r="K318" s="257">
        <f>IFERROR(IF(N(K15)&lt;&gt;0,K63/K15,""),"")</f>
        <v>0.200988587628117</v>
      </c>
      <c r="L318" s="257">
        <f>IFERROR(IF(N(L15)&lt;&gt;0,L63/L15,""),"")</f>
        <v>0.195327050059258</v>
      </c>
      <c r="M318" s="258">
        <f>IFERROR(IF(N(M15)&lt;&gt;0,M63/M15,""),"")</f>
        <v>0.175278226780373</v>
      </c>
      <c r="N318" s="257">
        <f>IFERROR(IF(N(N15)&lt;&gt;0,N63/N15,""),"")</f>
        <v>0.239016847941992</v>
      </c>
      <c r="O318" s="257">
        <f>IFERROR(IF(N(O15)&lt;&gt;0,O63/O15,""),"")</f>
        <v>0.199952757765442</v>
      </c>
      <c r="P318" s="257">
        <f>IFERROR(IF(N(P15)&lt;&gt;0,P63/P15,""),"")</f>
        <v>0.21646313041857</v>
      </c>
      <c r="Q318" s="257">
        <f>IFERROR(IF(N(Q15)&lt;&gt;0,Q63/Q15,""),"")</f>
        <v>0.201085615593388</v>
      </c>
      <c r="R318" s="258">
        <f>IFERROR(IF(N(R15)&lt;&gt;0,R63/R15,""),"")</f>
        <v>0.213633350519261</v>
      </c>
      <c r="S318" s="257">
        <f>IFERROR(IF(N(S15)&lt;&gt;0,S63/S15,""),"")</f>
        <v>0.159029534056325</v>
      </c>
      <c r="T318" s="257">
        <f>IFERROR(IF(N(T15)&lt;&gt;0,T63/T15,""),"")</f>
        <v>0.142536205720704</v>
      </c>
      <c r="U318" s="257">
        <f>IFERROR(IF(N(U15)&lt;&gt;0,U63/U15,""),"")</f>
        <v>0.128436830835118</v>
      </c>
      <c r="V318" s="257">
        <f>IFERROR(IF(N(V15)&lt;&gt;0,V63/V15,""),"")</f>
        <v>0.130965152779433</v>
      </c>
      <c r="W318" s="258">
        <f>IFERROR(IF(N(W15)&lt;&gt;0,W63/W15,""),"")</f>
        <v>0.140101061246422</v>
      </c>
      <c r="X318" s="257">
        <f>IFERROR(IF(N(X15)&lt;&gt;0,X63/X15,""),"")</f>
        <v>0.113468851227642</v>
      </c>
      <c r="Y318" s="257">
        <f>IFERROR(IF(N(Y15)&lt;&gt;0,Y63/Y15,""),"")</f>
        <v>0.113058823529412</v>
      </c>
      <c r="Z318" s="257">
        <f>IFERROR(IF(N(Z15)&lt;&gt;0,Z63/Z15,""),"")</f>
        <v>0.161424827257565</v>
      </c>
      <c r="AA318" s="257">
        <f>IFERROR(IF(N(AA15)&lt;&gt;0,AA63/AA15,""),"")</f>
        <v>0.119772824522504</v>
      </c>
      <c r="AB318" s="258">
        <f>IFERROR(IF(N(AB15)&lt;&gt;0,AB63/AB15,""),"")</f>
        <v>0.127382536595353</v>
      </c>
      <c r="AC318" s="257">
        <f>IFERROR(IF(N(AC15)&lt;&gt;0,AC63/AC15,""),"")</f>
        <v>0.095474528057926</v>
      </c>
      <c r="AD318" s="257">
        <f>IFERROR(IF(N(AD15)&lt;&gt;0,AD63/AD15,""),"")</f>
        <v>0.10472972972973</v>
      </c>
      <c r="AE318" s="257">
        <f>IFERROR(IF(N(AE15)&lt;&gt;0,AE63/AE15,""),"")</f>
        <v>0.11564335290977</v>
      </c>
      <c r="AF318" s="257">
        <f>IFERROR(IF(N(AF15)&lt;&gt;0,AF63/AF15,""),"")</f>
        <v>0.122565358820931</v>
      </c>
      <c r="AG318" s="258">
        <f>IFERROR(IF(N(AG15)&lt;&gt;0,AG63/AG15,""),"")</f>
        <v>0.11075959378658</v>
      </c>
      <c r="AH318" s="257">
        <f>IFERROR(IF(N(AH15)&lt;&gt;0,AH63/AH15,""),"")</f>
        <v>0.113056684683075</v>
      </c>
      <c r="AI318" s="257">
        <f>IFERROR(IF(N(AI15)&lt;&gt;0,AI63/AI15,""),"")</f>
        <v>0.071433630825896</v>
      </c>
      <c r="AJ318" s="257">
        <f>IFERROR(IF(N(AJ15)&lt;&gt;0,AJ63/AJ15,""),"")</f>
        <v>0.103817214171221</v>
      </c>
      <c r="AK318" s="257">
        <f>IFERROR(IF(N(AK15)&lt;&gt;0,AK63/AK15,""),"")</f>
        <v>0.103817214171221</v>
      </c>
      <c r="AL318" s="258">
        <f>IFERROR(IF(N(AL15)&lt;&gt;0,AL63/AL15,""),"")</f>
        <v>0.0971521286186787</v>
      </c>
      <c r="AM318" s="257">
        <f>IFERROR(IF(N(AM15)&lt;&gt;0,AM63/AM15,""),"")</f>
        <v>0.103817214171221</v>
      </c>
      <c r="AN318" s="257">
        <f>IFERROR(IF(N(AN15)&lt;&gt;0,AN63/AN15,""),"")</f>
        <v>0.103817214171221</v>
      </c>
      <c r="AO318" s="257">
        <f>IFERROR(IF(N(AO15)&lt;&gt;0,AO63/AO15,""),"")</f>
        <v>0.103817214171221</v>
      </c>
      <c r="AP318" s="257">
        <f>IFERROR(IF(N(AP15)&lt;&gt;0,AP63/AP15,""),"")</f>
        <v>0.103817214171221</v>
      </c>
      <c r="AQ318" s="258">
        <f>IFERROR(IF(N(AQ15)&lt;&gt;0,AQ63/AQ15,""),"")</f>
        <v>0.103817214171221</v>
      </c>
      <c r="AR318" s="257">
        <f>IFERROR(IF(N(AR15)&lt;&gt;0,AR63/AR15,""),"")</f>
        <v>0.103817214171221</v>
      </c>
      <c r="AS318" s="257">
        <f>IFERROR(IF(N(AS15)&lt;&gt;0,AS63/AS15,""),"")</f>
        <v>0.103817214171221</v>
      </c>
      <c r="AT318" s="257">
        <f>IFERROR(IF(N(AT15)&lt;&gt;0,AT63/AT15,""),"")</f>
        <v>0.103817214171221</v>
      </c>
      <c r="AU318" s="257">
        <f>IFERROR(IF(N(AU15)&lt;&gt;0,AU63/AU15,""),"")</f>
        <v>0.103817214171221</v>
      </c>
      <c r="AV318" s="258">
        <f>IFERROR(IF(N(AV15)&lt;&gt;0,AV63/AV15,""),"")</f>
        <v>0.103817214171221</v>
      </c>
      <c r="AW318" s="257">
        <f>IFERROR(IF(N(AW15)&lt;&gt;0,AW63/AW15,""),"")</f>
        <v>0.103817214171221</v>
      </c>
      <c r="AX318" s="257">
        <f>IFERROR(IF(N(AX15)&lt;&gt;0,AX63/AX15,""),"")</f>
        <v>0.103817214171221</v>
      </c>
      <c r="AY318" s="257">
        <f>IFERROR(IF(N(AY15)&lt;&gt;0,AY63/AY15,""),"")</f>
        <v>0.103817214171221</v>
      </c>
      <c r="AZ318" s="257">
        <f>IFERROR(IF(N(AZ15)&lt;&gt;0,AZ63/AZ15,""),"")</f>
        <v>0.103817214171221</v>
      </c>
      <c r="BA318" s="258">
        <f>IFERROR(IF(N(BA15)&lt;&gt;0,BA63/BA15,""),"")</f>
        <v>0.103817214171221</v>
      </c>
      <c r="BB318" s="257">
        <f>IFERROR(IF(N(BB15)&lt;&gt;0,BB63/BB15,""),"")</f>
        <v>0.103817214171221</v>
      </c>
      <c r="BC318" s="257">
        <f>IFERROR(IF(N(BC15)&lt;&gt;0,BC63/BC15,""),"")</f>
        <v>0.103817214171221</v>
      </c>
      <c r="BD318" s="257">
        <f>IFERROR(IF(N(BD15)&lt;&gt;0,BD63/BD15,""),"")</f>
        <v>0.103817214171221</v>
      </c>
      <c r="BE318" s="257">
        <f>IFERROR(IF(N(BE15)&lt;&gt;0,BE63/BE15,""),"")</f>
        <v>0.103817214171221</v>
      </c>
      <c r="BF318" s="258">
        <f>IFERROR(IF(N(BF15)&lt;&gt;0,BF63/BF15,""),"")</f>
        <v>0.103817214171221</v>
      </c>
      <c r="BG318" s="81" t="n"/>
      <c r="BH318" s="81" t="n"/>
      <c r="BI318" s="81" t="n"/>
      <c r="BJ318" s="81" t="n"/>
      <c r="BL318" s="81" t="n"/>
      <c r="BM318" s="81" t="n"/>
      <c r="BN318" s="81" t="n"/>
      <c r="BO318" s="81" t="n"/>
      <c r="BQ318" s="81" t="n"/>
      <c r="BR318" s="81" t="n"/>
      <c r="BS318" s="81" t="n"/>
      <c r="BT318" s="81" t="n"/>
      <c r="BV318" s="81" t="n"/>
      <c r="BW318" s="81" t="n"/>
      <c r="BX318" s="81" t="n"/>
      <c r="BY318" s="81" t="n"/>
      <c r="CA318" s="81" t="n"/>
      <c r="CB318" s="81" t="n"/>
      <c r="CC318" s="81" t="n"/>
      <c r="CD318" s="81" t="n"/>
      <c r="CF318" s="81" t="n"/>
      <c r="CG318" s="81" t="n"/>
      <c r="CH318" s="81" t="n"/>
      <c r="CI318" s="81" t="n"/>
      <c r="CK318" s="81" t="n"/>
      <c r="CL318" s="81" t="n"/>
      <c r="CM318" s="81" t="n"/>
      <c r="CN318" s="81" t="n"/>
      <c r="CP318" s="81" t="n"/>
      <c r="CQ318" s="81" t="n"/>
      <c r="CR318" s="81" t="n"/>
      <c r="CS318" s="81" t="n"/>
      <c r="CU318" s="81" t="n"/>
      <c r="CV318" s="81" t="n"/>
      <c r="CW318" s="81" t="n"/>
      <c r="CX318" s="81" t="n"/>
    </row>
    <row r="319" customFormat="1" s="77">
      <c r="A319" s="76" t="n"/>
      <c r="B319" s="76" t="n"/>
      <c r="C319" s="77" t="inlineStr">
        <is>
          <t>ETR</t>
        </is>
      </c>
      <c r="D319" s="78" t="str">
        <f>IFERROR(-D125/D124,"")</f>
        <v/>
      </c>
      <c r="E319" s="78" t="str">
        <f>IFERROR(-E125/E124,"")</f>
        <v/>
      </c>
      <c r="F319" s="78" t="str">
        <f>IFERROR(-F125/F124,"")</f>
        <v/>
      </c>
      <c r="G319" s="78" t="str">
        <f>IFERROR(-G125/G124,"")</f>
        <v/>
      </c>
      <c r="H319" s="258" t="str">
        <f>IFERROR(IF(N(H124)&lt;&gt;0,-H125/H124,""),"")</f>
        <v/>
      </c>
      <c r="I319" s="257">
        <f>IFERROR(IF(N(I124)&lt;&gt;0,-I125/I124,""),"")</f>
        <v>0.129455909943715</v>
      </c>
      <c r="J319" s="257">
        <f>IFERROR(IF(N(J124)&lt;&gt;0,-J125/J124,""),"")</f>
        <v>0.0889404485692189</v>
      </c>
      <c r="K319" s="257">
        <f>IFERROR(IF(N(K124)&lt;&gt;0,-K125/K124,""),"")</f>
        <v>0.118490967056323</v>
      </c>
      <c r="L319" s="257">
        <f>IFERROR(IF(N(L124)&lt;&gt;0,-L125/L124,""),"")</f>
        <v>0.110815939278937</v>
      </c>
      <c r="M319" s="258">
        <f>IFERROR(IF(N(M124)&lt;&gt;0,-M125/M124,""),"")</f>
        <v>0.11020022071575</v>
      </c>
      <c r="N319" s="257">
        <f>IFERROR(IF(N(N124)&lt;&gt;0,-N125/N124,""),"")</f>
        <v>0.0954219525648097</v>
      </c>
      <c r="O319" s="257">
        <f>IFERROR(IF(N(O124)&lt;&gt;0,-O125/O124,""),"")</f>
        <v>0.0828617623282134</v>
      </c>
      <c r="P319" s="257">
        <f>IFERROR(IF(N(P124)&lt;&gt;0,-P125/P124,""),"")</f>
        <v>0.0838833883388339</v>
      </c>
      <c r="Q319" s="257">
        <f>IFERROR(IF(N(Q124)&lt;&gt;0,-Q125/Q124,""),"")</f>
        <v>0.0692945016319357</v>
      </c>
      <c r="R319" s="258">
        <f>IFERROR(IF(N(R124)&lt;&gt;0,-R125/R124,""),"")</f>
        <v>0.0825133027188571</v>
      </c>
      <c r="S319" s="257">
        <f>IFERROR(IF(N(S124)&lt;&gt;0,-S125/S124,""),"")</f>
        <v>0.0932142857142857</v>
      </c>
      <c r="T319" s="257">
        <f>IFERROR(IF(N(T124)&lt;&gt;0,-T125/T124,""),"")</f>
        <v>0.109976166155941</v>
      </c>
      <c r="U319" s="257">
        <f>IFERROR(IF(N(U124)&lt;&gt;0,-U125/U124,""),"")</f>
        <v>0.0816625916870416</v>
      </c>
      <c r="V319" s="257">
        <f>IFERROR(IF(N(V124)&lt;&gt;0,-V125/V124,""),"")</f>
        <v>-2.62528525787312</v>
      </c>
      <c r="W319" s="258">
        <f>IFERROR(IF(N(W124)&lt;&gt;0,-W125/W124,""),"")</f>
        <v>-0.501453925599118</v>
      </c>
      <c r="X319" s="257">
        <f>IFERROR(IF(N(X124)&lt;&gt;0,-X125/X124,""),"")</f>
        <v>0.255826271186441</v>
      </c>
      <c r="Y319" s="257">
        <f>IFERROR(IF(N(Y124)&lt;&gt;0,-Y125/Y124,""),"")</f>
        <v>0.207610520425294</v>
      </c>
      <c r="Z319" s="257">
        <f>IFERROR(IF(N(Z124)&lt;&gt;0,-Z125/Z124,""),"")</f>
        <v>0.215693299892512</v>
      </c>
      <c r="AA319" s="257">
        <f>IFERROR(IF(N(AA124)&lt;&gt;0,-AA125/AA124,""),"")</f>
        <v>0.15095087163233</v>
      </c>
      <c r="AB319" s="258">
        <f>IFERROR(IF(N(AB124)&lt;&gt;0,-AB125/AB124,""),"")</f>
        <v>0.204338153503893</v>
      </c>
      <c r="AC319" s="257">
        <f>IFERROR(IF(N(AC124)&lt;&gt;0,-AC125/AC124,""),"")</f>
        <v>0.286926994906621</v>
      </c>
      <c r="AD319" s="257">
        <f>IFERROR(IF(N(AD124)&lt;&gt;0,-AD125/AD124,""),"")</f>
        <v>0.231762427372498</v>
      </c>
      <c r="AE319" s="257">
        <f>IFERROR(IF(N(AE124)&lt;&gt;0,-AE125/AE124,""),"")</f>
        <v>0.290964777947933</v>
      </c>
      <c r="AF319" s="257">
        <f>IFERROR(IF(N(AF124)&lt;&gt;0,-AF125/AF124,""),"")</f>
        <v>0.275190516511431</v>
      </c>
      <c r="AG319" s="258">
        <f>IFERROR(IF(N(AG124)&lt;&gt;0,-AG125/AG124,""),"")</f>
        <v>0.269609700644183</v>
      </c>
      <c r="AH319" s="257">
        <f>IFERROR(IF(N(AH124)&lt;&gt;0,-AH125/AH124,""),"")</f>
        <v>0.343582887700535</v>
      </c>
      <c r="AI319" s="257">
        <f>IFERROR(IF(N(AI124)&lt;&gt;0,-AI125/AI124,""),"")</f>
        <v>0.151241534988713</v>
      </c>
      <c r="AJ319" s="257">
        <f>IFERROR(IF(N(AJ124)&lt;&gt;0,-AJ125/AJ124,""),"")</f>
        <v>0.263278189904622</v>
      </c>
      <c r="AK319" s="257">
        <f>IFERROR(IF(N(AK124)&lt;&gt;0,-AK125/AK124,""),"")</f>
        <v>0.263278189904622</v>
      </c>
      <c r="AL319" s="258">
        <f>IFERROR(IF(N(AL124)&lt;&gt;0,-AL125/AL124,""),"")</f>
        <v>0.245706550605576</v>
      </c>
      <c r="AM319" s="257">
        <f>IFERROR(IF(N(AM124)&lt;&gt;0,-AM125/AM124,""),"")</f>
        <v>0.263278189904622</v>
      </c>
      <c r="AN319" s="257">
        <f>IFERROR(IF(N(AN124)&lt;&gt;0,-AN125/AN124,""),"")</f>
        <v>0.263278189904622</v>
      </c>
      <c r="AO319" s="257">
        <f>IFERROR(IF(N(AO124)&lt;&gt;0,-AO125/AO124,""),"")</f>
        <v>0.263278189904622</v>
      </c>
      <c r="AP319" s="257">
        <f>IFERROR(IF(N(AP124)&lt;&gt;0,-AP125/AP124,""),"")</f>
        <v>0.263278189904622</v>
      </c>
      <c r="AQ319" s="258">
        <f>IFERROR(IF(N(AQ124)&lt;&gt;0,-AQ125/AQ124,""),"")</f>
        <v>0.263278189904622</v>
      </c>
      <c r="AR319" s="257">
        <f>IFERROR(IF(N(AR124)&lt;&gt;0,-AR125/AR124,""),"")</f>
        <v>0.263278189904622</v>
      </c>
      <c r="AS319" s="257">
        <f>IFERROR(IF(N(AS124)&lt;&gt;0,-AS125/AS124,""),"")</f>
        <v>0.263278189904622</v>
      </c>
      <c r="AT319" s="257">
        <f>IFERROR(IF(N(AT124)&lt;&gt;0,-AT125/AT124,""),"")</f>
        <v>0.263278189904622</v>
      </c>
      <c r="AU319" s="257">
        <f>IFERROR(IF(N(AU124)&lt;&gt;0,-AU125/AU124,""),"")</f>
        <v>0.263278189904622</v>
      </c>
      <c r="AV319" s="258">
        <f>IFERROR(IF(N(AV124)&lt;&gt;0,-AV125/AV124,""),"")</f>
        <v>0.263278189904622</v>
      </c>
      <c r="AW319" s="257">
        <f>IFERROR(IF(N(AW124)&lt;&gt;0,-AW125/AW124,""),"")</f>
        <v>0.263278189904622</v>
      </c>
      <c r="AX319" s="257">
        <f>IFERROR(IF(N(AX124)&lt;&gt;0,-AX125/AX124,""),"")</f>
        <v>0.263278189904622</v>
      </c>
      <c r="AY319" s="257">
        <f>IFERROR(IF(N(AY124)&lt;&gt;0,-AY125/AY124,""),"")</f>
        <v>0.263278189904622</v>
      </c>
      <c r="AZ319" s="257">
        <f>IFERROR(IF(N(AZ124)&lt;&gt;0,-AZ125/AZ124,""),"")</f>
        <v>0.263278189904622</v>
      </c>
      <c r="BA319" s="258">
        <f>IFERROR(IF(N(BA124)&lt;&gt;0,-BA125/BA124,""),"")</f>
        <v>0.263278189904622</v>
      </c>
      <c r="BB319" s="257">
        <f>IFERROR(IF(N(BB124)&lt;&gt;0,-BB125/BB124,""),"")</f>
        <v>0.263278189904622</v>
      </c>
      <c r="BC319" s="257">
        <f>IFERROR(IF(N(BC124)&lt;&gt;0,-BC125/BC124,""),"")</f>
        <v>0.263278189904622</v>
      </c>
      <c r="BD319" s="257">
        <f>IFERROR(IF(N(BD124)&lt;&gt;0,-BD125/BD124,""),"")</f>
        <v>0.263278189904622</v>
      </c>
      <c r="BE319" s="257">
        <f>IFERROR(IF(N(BE124)&lt;&gt;0,-BE125/BE124,""),"")</f>
        <v>0.263278189904622</v>
      </c>
      <c r="BF319" s="258">
        <f>IFERROR(IF(N(BF124)&lt;&gt;0,-BF125/BF124,""),"")</f>
        <v>0.263278189904622</v>
      </c>
      <c r="BG319" s="81" t="n"/>
      <c r="BH319" s="81" t="n"/>
      <c r="BI319" s="81" t="n"/>
      <c r="BJ319" s="81" t="n"/>
      <c r="BL319" s="81" t="n"/>
      <c r="BM319" s="81" t="n"/>
      <c r="BN319" s="81" t="n"/>
      <c r="BO319" s="81" t="n"/>
      <c r="BQ319" s="81" t="n"/>
      <c r="BR319" s="81" t="n"/>
      <c r="BS319" s="81" t="n"/>
      <c r="BT319" s="81" t="n"/>
      <c r="BV319" s="81" t="n"/>
      <c r="BW319" s="81" t="n"/>
      <c r="BX319" s="81" t="n"/>
      <c r="BY319" s="81" t="n"/>
      <c r="CA319" s="81" t="n"/>
      <c r="CB319" s="81" t="n"/>
      <c r="CC319" s="81" t="n"/>
      <c r="CD319" s="81" t="n"/>
      <c r="CF319" s="81" t="n"/>
      <c r="CG319" s="81" t="n"/>
      <c r="CH319" s="81" t="n"/>
      <c r="CI319" s="81" t="n"/>
      <c r="CK319" s="81" t="n"/>
      <c r="CL319" s="81" t="n"/>
      <c r="CM319" s="81" t="n"/>
      <c r="CN319" s="81" t="n"/>
      <c r="CP319" s="81" t="n"/>
      <c r="CQ319" s="81" t="n"/>
      <c r="CR319" s="81" t="n"/>
      <c r="CS319" s="81" t="n"/>
      <c r="CU319" s="81" t="n"/>
      <c r="CV319" s="81" t="n"/>
      <c r="CW319" s="81" t="n"/>
      <c r="CX319" s="81" t="n"/>
    </row>
    <row r="320" customFormat="1" s="77">
      <c r="A320" s="76" t="n"/>
      <c r="B320" s="76" t="n"/>
    </row>
    <row r="321" customFormat="1" s="77">
      <c r="A321" s="76" t="n"/>
      <c r="B321" s="76" t="n"/>
      <c r="C321" s="74" t="inlineStr">
        <is>
          <t>CAPITAL STRUCTURE</t>
        </is>
      </c>
    </row>
    <row r="322" customFormat="1" s="77">
      <c r="A322" s="76" t="n"/>
      <c r="B322" s="76" t="n"/>
      <c r="C322" s="77" t="inlineStr">
        <is>
          <t>TOTAL DEBT / EQUITY (BOOK VALUE)</t>
        </is>
      </c>
      <c r="H322" s="262" t="str">
        <f>IFERROR(IF(N(H265)&lt;&gt;0,(N(H206)+N(H207)+N(H208)+N(H211)+N(H229)+N(H232))/H265,""),"")</f>
        <v/>
      </c>
      <c r="I322" s="262">
        <f>IFERROR(IF(N(I265)&lt;&gt;0,(N(I206)+N(I207)+N(I208)+N(I211)+N(I229)+N(I232))/I265,""),"")</f>
        <v>0</v>
      </c>
      <c r="J322" s="262">
        <f>IFERROR(IF(N(J265)&lt;&gt;0,(N(J206)+N(J207)+N(J208)+N(J211)+N(J229)+N(J232))/J265,""),"")</f>
        <v>0</v>
      </c>
      <c r="K322" s="262">
        <f>IFERROR(IF(N(K265)&lt;&gt;0,(N(K206)+N(K207)+N(K208)+N(K211)+N(K229)+N(K232))/K265,""),"")</f>
        <v>0</v>
      </c>
      <c r="L322" s="262">
        <f>IFERROR(IF(N(L265)&lt;&gt;0,(N(L206)+N(L207)+N(L208)+N(L211)+N(L229)+N(L232))/L265,""),"")</f>
        <v>0</v>
      </c>
      <c r="M322" s="262">
        <f>IFERROR(IF(N(M265)&lt;&gt;0,(N(M206)+N(M207)+N(M208)+N(M211)+N(M229)+N(M232))/M265,""),"")</f>
        <v>0</v>
      </c>
      <c r="N322" s="262">
        <f>IFERROR(IF(N(N265)&lt;&gt;0,(N(N206)+N(N207)+N(N208)+N(N211)+N(N229)+N(N232))/N265,""),"")</f>
        <v>0</v>
      </c>
      <c r="O322" s="262">
        <f>IFERROR(IF(N(O265)&lt;&gt;0,(N(O206)+N(O207)+N(O208)+N(O211)+N(O229)+N(O232))/O265,""),"")</f>
        <v>0</v>
      </c>
      <c r="P322" s="262">
        <f>IFERROR(IF(N(P265)&lt;&gt;0,(N(P206)+N(P207)+N(P208)+N(P211)+N(P229)+N(P232))/P265,""),"")</f>
        <v>0</v>
      </c>
      <c r="Q322" s="262">
        <f>IFERROR(IF(N(Q265)&lt;&gt;0,(N(Q206)+N(Q207)+N(Q208)+N(Q211)+N(Q229)+N(Q232))/Q265,""),"")</f>
        <v>0</v>
      </c>
      <c r="R322" s="262">
        <f>IFERROR(IF(N(R265)&lt;&gt;0,(N(R206)+N(R207)+N(R208)+N(R211)+N(R229)+N(R232))/R265,""),"")</f>
        <v>0</v>
      </c>
      <c r="S322" s="262">
        <f>IFERROR(IF(N(S265)&lt;&gt;0,(N(S206)+N(S207)+N(S208)+N(S211)+N(S229)+N(S232))/S265,""),"")</f>
        <v>0</v>
      </c>
      <c r="T322" s="262">
        <f>IFERROR(IF(N(T265)&lt;&gt;0,(N(T206)+N(T207)+N(T208)+N(T211)+N(T229)+N(T232))/T265,""),"")</f>
        <v>0</v>
      </c>
      <c r="U322" s="262">
        <f>IFERROR(IF(N(U265)&lt;&gt;0,(N(U206)+N(U207)+N(U208)+N(U211)+N(U229)+N(U232))/U265,""),"")</f>
        <v>0</v>
      </c>
      <c r="V322" s="262">
        <f>IFERROR(IF(N(V265)&lt;&gt;0,(N(V206)+N(V207)+N(V208)+N(V211)+N(V229)+N(V232))/V265,""),"")</f>
        <v>0</v>
      </c>
      <c r="W322" s="262">
        <f>IFERROR(IF(N(W265)&lt;&gt;0,(N(W206)+N(W207)+N(W208)+N(W211)+N(W229)+N(W232))/W265,""),"")</f>
        <v>0</v>
      </c>
      <c r="X322" s="262">
        <f>IFERROR(IF(N(X265)&lt;&gt;0,(N(X206)+N(X207)+N(X208)+N(X211)+N(X229)+N(X232))/X265,""),"")</f>
        <v>0</v>
      </c>
      <c r="Y322" s="262">
        <f>IFERROR(IF(N(Y265)&lt;&gt;0,(N(Y206)+N(Y207)+N(Y208)+N(Y211)+N(Y229)+N(Y232))/Y265,""),"")</f>
        <v>0</v>
      </c>
      <c r="Z322" s="262">
        <f>IFERROR(IF(N(Z265)&lt;&gt;0,(N(Z206)+N(Z207)+N(Z208)+N(Z211)+N(Z229)+N(Z232))/Z265,""),"")</f>
        <v>0</v>
      </c>
      <c r="AA322" s="262">
        <f>IFERROR(IF(N(AA265)&lt;&gt;0,(N(AA206)+N(AA207)+N(AA208)+N(AA211)+N(AA229)+N(AA232))/AA265,""),"")</f>
        <v>0</v>
      </c>
      <c r="AB322" s="262">
        <f>IFERROR(IF(N(AB265)&lt;&gt;0,(N(AB206)+N(AB207)+N(AB208)+N(AB211)+N(AB229)+N(AB232))/AB265,""),"")</f>
        <v>0</v>
      </c>
      <c r="AC322" s="262">
        <f>IFERROR(IF(N(AC265)&lt;&gt;0,(N(AC206)+N(AC207)+N(AC208)+N(AC211)+N(AC229)+N(AC232))/AC265,""),"")</f>
        <v>0</v>
      </c>
      <c r="AD322" s="262">
        <f>IFERROR(IF(N(AD265)&lt;&gt;0,(N(AD206)+N(AD207)+N(AD208)+N(AD211)+N(AD229)+N(AD232))/AD265,""),"")</f>
        <v>0</v>
      </c>
      <c r="AE322" s="262">
        <f>IFERROR(IF(N(AE265)&lt;&gt;0,(N(AE206)+N(AE207)+N(AE208)+N(AE211)+N(AE229)+N(AE232))/AE265,""),"")</f>
        <v>0</v>
      </c>
      <c r="AF322" s="262">
        <f>IFERROR(IF(N(AF265)&lt;&gt;0,(N(AF206)+N(AF207)+N(AF208)+N(AF211)+N(AF229)+N(AF232))/AF265,""),"")</f>
        <v>0</v>
      </c>
      <c r="AG322" s="262">
        <f>IFERROR(IF(N(AG265)&lt;&gt;0,(N(AG206)+N(AG207)+N(AG208)+N(AG211)+N(AG229)+N(AG232))/AG265,""),"")</f>
        <v>0</v>
      </c>
      <c r="AH322" s="262">
        <f>IFERROR(IF(N(AH265)&lt;&gt;0,(N(AH206)+N(AH207)+N(AH208)+N(AH211)+N(AH229)+N(AH232))/AH265,""),"")</f>
        <v>0</v>
      </c>
      <c r="AI322" s="262">
        <f>IFERROR(IF(N(AI265)&lt;&gt;0,(N(AI206)+N(AI207)+N(AI208)+N(AI211)+N(AI229)+N(AI232))/AI265,""),"")</f>
        <v>0</v>
      </c>
      <c r="AJ322" s="262">
        <f>IFERROR(IF(N(AJ265)&lt;&gt;0,(N(AJ206)+N(AJ207)+N(AJ208)+N(AJ211)+N(AJ229)+N(AJ232))/AJ265,""),"")</f>
        <v>0</v>
      </c>
      <c r="AK322" s="262">
        <f>IFERROR(IF(N(AK265)&lt;&gt;0,(N(AK206)+N(AK207)+N(AK208)+N(AK211)+N(AK229)+N(AK232))/AK265,""),"")</f>
        <v>0</v>
      </c>
      <c r="AL322" s="262">
        <f>IFERROR(IF(N(AL265)&lt;&gt;0,(N(AL206)+N(AL207)+N(AL208)+N(AL211)+N(AL229)+N(AL232))/AL265,""),"")</f>
        <v>0</v>
      </c>
      <c r="AM322" s="262">
        <f>IFERROR(IF(N(AM265)&lt;&gt;0,(N(AM206)+N(AM207)+N(AM208)+N(AM211)+N(AM229)+N(AM232))/AM265,""),"")</f>
        <v>0</v>
      </c>
      <c r="AN322" s="262">
        <f>IFERROR(IF(N(AN265)&lt;&gt;0,(N(AN206)+N(AN207)+N(AN208)+N(AN211)+N(AN229)+N(AN232))/AN265,""),"")</f>
        <v>0</v>
      </c>
      <c r="AO322" s="262">
        <f>IFERROR(IF(N(AO265)&lt;&gt;0,(N(AO206)+N(AO207)+N(AO208)+N(AO211)+N(AO229)+N(AO232))/AO265,""),"")</f>
        <v>0</v>
      </c>
      <c r="AP322" s="262">
        <f>IFERROR(IF(N(AP265)&lt;&gt;0,(N(AP206)+N(AP207)+N(AP208)+N(AP211)+N(AP229)+N(AP232))/AP265,""),"")</f>
        <v>0</v>
      </c>
      <c r="AQ322" s="262">
        <f>IFERROR(IF(N(AQ265)&lt;&gt;0,(N(AQ206)+N(AQ207)+N(AQ208)+N(AQ211)+N(AQ229)+N(AQ232))/AQ265,""),"")</f>
        <v>0</v>
      </c>
      <c r="AR322" s="262">
        <f>IFERROR(IF(N(AR265)&lt;&gt;0,(N(AR206)+N(AR207)+N(AR208)+N(AR211)+N(AR229)+N(AR232))/AR265,""),"")</f>
        <v>0</v>
      </c>
      <c r="AS322" s="262">
        <f>IFERROR(IF(N(AS265)&lt;&gt;0,(N(AS206)+N(AS207)+N(AS208)+N(AS211)+N(AS229)+N(AS232))/AS265,""),"")</f>
        <v>0</v>
      </c>
      <c r="AT322" s="262">
        <f>IFERROR(IF(N(AT265)&lt;&gt;0,(N(AT206)+N(AT207)+N(AT208)+N(AT211)+N(AT229)+N(AT232))/AT265,""),"")</f>
        <v>0</v>
      </c>
      <c r="AU322" s="262">
        <f>IFERROR(IF(N(AU265)&lt;&gt;0,(N(AU206)+N(AU207)+N(AU208)+N(AU211)+N(AU229)+N(AU232))/AU265,""),"")</f>
        <v>0</v>
      </c>
      <c r="AV322" s="262">
        <f>IFERROR(IF(N(AV265)&lt;&gt;0,(N(AV206)+N(AV207)+N(AV208)+N(AV211)+N(AV229)+N(AV232))/AV265,""),"")</f>
        <v>0</v>
      </c>
      <c r="AW322" s="262">
        <f>IFERROR(IF(N(AW265)&lt;&gt;0,(N(AW206)+N(AW207)+N(AW208)+N(AW211)+N(AW229)+N(AW232))/AW265,""),"")</f>
        <v>0</v>
      </c>
      <c r="AX322" s="262">
        <f>IFERROR(IF(N(AX265)&lt;&gt;0,(N(AX206)+N(AX207)+N(AX208)+N(AX211)+N(AX229)+N(AX232))/AX265,""),"")</f>
        <v>0</v>
      </c>
      <c r="AY322" s="262">
        <f>IFERROR(IF(N(AY265)&lt;&gt;0,(N(AY206)+N(AY207)+N(AY208)+N(AY211)+N(AY229)+N(AY232))/AY265,""),"")</f>
        <v>0</v>
      </c>
      <c r="AZ322" s="262">
        <f>IFERROR(IF(N(AZ265)&lt;&gt;0,(N(AZ206)+N(AZ207)+N(AZ208)+N(AZ211)+N(AZ229)+N(AZ232))/AZ265,""),"")</f>
        <v>0</v>
      </c>
      <c r="BA322" s="262">
        <f>IFERROR(IF(N(BA265)&lt;&gt;0,(N(BA206)+N(BA207)+N(BA208)+N(BA211)+N(BA229)+N(BA232))/BA265,""),"")</f>
        <v>0</v>
      </c>
      <c r="BB322" s="262">
        <f>IFERROR(IF(N(BB265)&lt;&gt;0,(N(BB206)+N(BB207)+N(BB208)+N(BB211)+N(BB229)+N(BB232))/BB265,""),"")</f>
        <v>0</v>
      </c>
      <c r="BC322" s="262">
        <f>IFERROR(IF(N(BC265)&lt;&gt;0,(N(BC206)+N(BC207)+N(BC208)+N(BC211)+N(BC229)+N(BC232))/BC265,""),"")</f>
        <v>0</v>
      </c>
      <c r="BD322" s="262">
        <f>IFERROR(IF(N(BD265)&lt;&gt;0,(N(BD206)+N(BD207)+N(BD208)+N(BD211)+N(BD229)+N(BD232))/BD265,""),"")</f>
        <v>0</v>
      </c>
      <c r="BE322" s="262">
        <f>IFERROR(IF(N(BE265)&lt;&gt;0,(N(BE206)+N(BE207)+N(BE208)+N(BE211)+N(BE229)+N(BE232))/BE265,""),"")</f>
        <v>0</v>
      </c>
      <c r="BF322" s="262">
        <f>IFERROR(IF(N(BF265)&lt;&gt;0,(N(BF206)+N(BF207)+N(BF208)+N(BF211)+N(BF229)+N(BF232))/BF265,""),"")</f>
        <v>0</v>
      </c>
    </row>
    <row r="323" customFormat="1" s="77">
      <c r="A323" s="76" t="n"/>
      <c r="B323" s="76" t="n"/>
      <c r="C323" s="77" t="inlineStr">
        <is>
          <t>NET DEBT / (NET DEBT + EQUITY) (BOOK VALUE)</t>
        </is>
      </c>
      <c r="H323" s="258" t="str">
        <f>IFERROR(IF(((N(H206)+N(H207)+N(H208)+N(H211)+N(H229)+N(H232))-N(H138)+N(H265))&lt;&gt;0,((N(H206)+N(H207)+N(H208)+N(H211)+N(H229)+N(H232))-N(H138))/((N(H206)+N(H207)+N(H208)+N(H211)+N(H229)+N(H232))-N(H138)+H265),""),"")</f>
        <v/>
      </c>
      <c r="I323" s="258">
        <f>IFERROR(IF(((N(I206)+N(I207)+N(I208)+N(I211)+N(I229)+N(I232))-N(I138)+N(I265))&lt;&gt;0,((N(I206)+N(I207)+N(I208)+N(I211)+N(I229)+N(I232))-N(I138))/((N(I206)+N(I207)+N(I208)+N(I211)+N(I229)+N(I232))-N(I138)+I265),""),"")</f>
        <v>-2.34038776624795</v>
      </c>
      <c r="J323" s="258">
        <f>IFERROR(IF(((N(J206)+N(J207)+N(J208)+N(J211)+N(J229)+N(J232))-N(J138)+N(J265))&lt;&gt;0,((N(J206)+N(J207)+N(J208)+N(J211)+N(J229)+N(J232))-N(J138))/((N(J206)+N(J207)+N(J208)+N(J211)+N(J229)+N(J232))-N(J138)+J265),""),"")</f>
        <v>-1.61949905199082</v>
      </c>
      <c r="K323" s="258">
        <f>IFERROR(IF(((N(K206)+N(K207)+N(K208)+N(K211)+N(K229)+N(K232))-N(K138)+N(K265))&lt;&gt;0,((N(K206)+N(K207)+N(K208)+N(K211)+N(K229)+N(K232))-N(K138))/((N(K206)+N(K207)+N(K208)+N(K211)+N(K229)+N(K232))-N(K138)+K265),""),"")</f>
        <v>-1.29808855552867</v>
      </c>
      <c r="L323" s="258">
        <f>IFERROR(IF(((N(L206)+N(L207)+N(L208)+N(L211)+N(L229)+N(L232))-N(L138)+N(L265))&lt;&gt;0,((N(L206)+N(L207)+N(L208)+N(L211)+N(L229)+N(L232))-N(L138))/((N(L206)+N(L207)+N(L208)+N(L211)+N(L229)+N(L232))-N(L138)+L265),""),"")</f>
        <v>-1.27608820985875</v>
      </c>
      <c r="M323" s="258">
        <f>IFERROR(IF(((N(M206)+N(M207)+N(M208)+N(M211)+N(M229)+N(M232))-N(M138)+N(M265))&lt;&gt;0,((N(M206)+N(M207)+N(M208)+N(M211)+N(M229)+N(M232))-N(M138))/((N(M206)+N(M207)+N(M208)+N(M211)+N(M229)+N(M232))-N(M138)+M265),""),"")</f>
        <v>-1.27608820985875</v>
      </c>
      <c r="N323" s="258">
        <f>IFERROR(IF(((N(N206)+N(N207)+N(N208)+N(N211)+N(N229)+N(N232))-N(N138)+N(N265))&lt;&gt;0,((N(N206)+N(N207)+N(N208)+N(N211)+N(N229)+N(N232))-N(N138))/((N(N206)+N(N207)+N(N208)+N(N211)+N(N229)+N(N232))-N(N138)+N265),""),"")</f>
        <v>-1.03564652446386</v>
      </c>
      <c r="O323" s="258">
        <f>IFERROR(IF(((N(O206)+N(O207)+N(O208)+N(O211)+N(O229)+N(O232))-N(O138)+N(O265))&lt;&gt;0,((N(O206)+N(O207)+N(O208)+N(O211)+N(O229)+N(O232))-N(O138))/((N(O206)+N(O207)+N(O208)+N(O211)+N(O229)+N(O232))-N(O138)+O265),""),"")</f>
        <v>-1.00917675932348</v>
      </c>
      <c r="P323" s="258">
        <f>IFERROR(IF(((N(P206)+N(P207)+N(P208)+N(P211)+N(P229)+N(P232))-N(P138)+N(P265))&lt;&gt;0,((N(P206)+N(P207)+N(P208)+N(P211)+N(P229)+N(P232))-N(P138))/((N(P206)+N(P207)+N(P208)+N(P211)+N(P229)+N(P232))-N(P138)+P265),""),"")</f>
        <v>-1.05445371434281</v>
      </c>
      <c r="Q323" s="258">
        <f>IFERROR(IF(((N(Q206)+N(Q207)+N(Q208)+N(Q211)+N(Q229)+N(Q232))-N(Q138)+N(Q265))&lt;&gt;0,((N(Q206)+N(Q207)+N(Q208)+N(Q211)+N(Q229)+N(Q232))-N(Q138))/((N(Q206)+N(Q207)+N(Q208)+N(Q211)+N(Q229)+N(Q232))-N(Q138)+Q265),""),"")</f>
        <v>-0.935562771475562</v>
      </c>
      <c r="R323" s="258">
        <f>IFERROR(IF(((N(R206)+N(R207)+N(R208)+N(R211)+N(R229)+N(R232))-N(R138)+N(R265))&lt;&gt;0,((N(R206)+N(R207)+N(R208)+N(R211)+N(R229)+N(R232))-N(R138))/((N(R206)+N(R207)+N(R208)+N(R211)+N(R229)+N(R232))-N(R138)+R265),""),"")</f>
        <v>-0.935562771475562</v>
      </c>
      <c r="S323" s="258">
        <f>IFERROR(IF(((N(S206)+N(S207)+N(S208)+N(S211)+N(S229)+N(S232))-N(S138)+N(S265))&lt;&gt;0,((N(S206)+N(S207)+N(S208)+N(S211)+N(S229)+N(S232))-N(S138))/((N(S206)+N(S207)+N(S208)+N(S211)+N(S229)+N(S232))-N(S138)+S265),""),"")</f>
        <v>-0.83486751388216</v>
      </c>
      <c r="T323" s="258">
        <f>IFERROR(IF(((N(T206)+N(T207)+N(T208)+N(T211)+N(T229)+N(T232))-N(T138)+N(T265))&lt;&gt;0,((N(T206)+N(T207)+N(T208)+N(T211)+N(T229)+N(T232))-N(T138))/((N(T206)+N(T207)+N(T208)+N(T211)+N(T229)+N(T232))-N(T138)+T265),""),"")</f>
        <v>-0.792764627065654</v>
      </c>
      <c r="U323" s="258">
        <f>IFERROR(IF(((N(U206)+N(U207)+N(U208)+N(U211)+N(U229)+N(U232))-N(U138)+N(U265))&lt;&gt;0,((N(U206)+N(U207)+N(U208)+N(U211)+N(U229)+N(U232))-N(U138))/((N(U206)+N(U207)+N(U208)+N(U211)+N(U229)+N(U232))-N(U138)+U265),""),"")</f>
        <v>-0.917622633542121</v>
      </c>
      <c r="V323" s="258">
        <f>IFERROR(IF(((N(V206)+N(V207)+N(V208)+N(V211)+N(V229)+N(V232))-N(V138)+N(V265))&lt;&gt;0,((N(V206)+N(V207)+N(V208)+N(V211)+N(V229)+N(V232))-N(V138))/((N(V206)+N(V207)+N(V208)+N(V211)+N(V229)+N(V232))-N(V138)+V265),""),"")</f>
        <v>-0.842937853107345</v>
      </c>
      <c r="W323" s="258">
        <f>IFERROR(IF(((N(W206)+N(W207)+N(W208)+N(W211)+N(W229)+N(W232))-N(W138)+N(W265))&lt;&gt;0,((N(W206)+N(W207)+N(W208)+N(W211)+N(W229)+N(W232))-N(W138))/((N(W206)+N(W207)+N(W208)+N(W211)+N(W229)+N(W232))-N(W138)+W265),""),"")</f>
        <v>-0.842937853107345</v>
      </c>
      <c r="X323" s="258">
        <f>IFERROR(IF(((N(X206)+N(X207)+N(X208)+N(X211)+N(X229)+N(X232))-N(X138)+N(X265))&lt;&gt;0,((N(X206)+N(X207)+N(X208)+N(X211)+N(X229)+N(X232))-N(X138))/((N(X206)+N(X207)+N(X208)+N(X211)+N(X229)+N(X232))-N(X138)+X265),""),"")</f>
        <v>-0.701072630947099</v>
      </c>
      <c r="Y323" s="258">
        <f>IFERROR(IF(((N(Y206)+N(Y207)+N(Y208)+N(Y211)+N(Y229)+N(Y232))-N(Y138)+N(Y265))&lt;&gt;0,((N(Y206)+N(Y207)+N(Y208)+N(Y211)+N(Y229)+N(Y232))-N(Y138))/((N(Y206)+N(Y207)+N(Y208)+N(Y211)+N(Y229)+N(Y232))-N(Y138)+Y265),""),"")</f>
        <v>-0.840653476726049</v>
      </c>
      <c r="Z323" s="258">
        <f>IFERROR(IF(((N(Z206)+N(Z207)+N(Z208)+N(Z211)+N(Z229)+N(Z232))-N(Z138)+N(Z265))&lt;&gt;0,((N(Z206)+N(Z207)+N(Z208)+N(Z211)+N(Z229)+N(Z232))-N(Z138))/((N(Z206)+N(Z207)+N(Z208)+N(Z211)+N(Z229)+N(Z232))-N(Z138)+Z265),""),"")</f>
        <v>-0.907884086125951</v>
      </c>
      <c r="AA323" s="258">
        <f>IFERROR(IF(((N(AA206)+N(AA207)+N(AA208)+N(AA211)+N(AA229)+N(AA232))-N(AA138)+N(AA265))&lt;&gt;0,((N(AA206)+N(AA207)+N(AA208)+N(AA211)+N(AA229)+N(AA232))-N(AA138))/((N(AA206)+N(AA207)+N(AA208)+N(AA211)+N(AA229)+N(AA232))-N(AA138)+AA265),""),"")</f>
        <v>-0.985074224748767</v>
      </c>
      <c r="AB323" s="258">
        <f>IFERROR(IF(((N(AB206)+N(AB207)+N(AB208)+N(AB211)+N(AB229)+N(AB232))-N(AB138)+N(AB265))&lt;&gt;0,((N(AB206)+N(AB207)+N(AB208)+N(AB211)+N(AB229)+N(AB232))-N(AB138))/((N(AB206)+N(AB207)+N(AB208)+N(AB211)+N(AB229)+N(AB232))-N(AB138)+AB265),""),"")</f>
        <v>-0.985074224748767</v>
      </c>
      <c r="AC323" s="258">
        <f>IFERROR(IF(((N(AC206)+N(AC207)+N(AC208)+N(AC211)+N(AC229)+N(AC232))-N(AC138)+N(AC265))&lt;&gt;0,((N(AC206)+N(AC207)+N(AC208)+N(AC211)+N(AC229)+N(AC232))-N(AC138))/((N(AC206)+N(AC207)+N(AC208)+N(AC211)+N(AC229)+N(AC232))-N(AC138)+AC265),""),"")</f>
        <v>-0.962885846650357</v>
      </c>
      <c r="AD323" s="258">
        <f>IFERROR(IF(((N(AD206)+N(AD207)+N(AD208)+N(AD211)+N(AD229)+N(AD232))-N(AD138)+N(AD265))&lt;&gt;0,((N(AD206)+N(AD207)+N(AD208)+N(AD211)+N(AD229)+N(AD232))-N(AD138))/((N(AD206)+N(AD207)+N(AD208)+N(AD211)+N(AD229)+N(AD232))-N(AD138)+AD265),""),"")</f>
        <v>-0.890821022039235</v>
      </c>
      <c r="AE323" s="258">
        <f>IFERROR(IF(((N(AE206)+N(AE207)+N(AE208)+N(AE211)+N(AE229)+N(AE232))-N(AE138)+N(AE265))&lt;&gt;0,((N(AE206)+N(AE207)+N(AE208)+N(AE211)+N(AE229)+N(AE232))-N(AE138))/((N(AE206)+N(AE207)+N(AE208)+N(AE211)+N(AE229)+N(AE232))-N(AE138)+AE265),""),"")</f>
        <v>-1.06598581995956</v>
      </c>
      <c r="AF323" s="258">
        <f>IFERROR(IF(((N(AF206)+N(AF207)+N(AF208)+N(AF211)+N(AF229)+N(AF232))-N(AF138)+N(AF265))&lt;&gt;0,((N(AF206)+N(AF207)+N(AF208)+N(AF211)+N(AF229)+N(AF232))-N(AF138))/((N(AF206)+N(AF207)+N(AF208)+N(AF211)+N(AF229)+N(AF232))-N(AF138)+AF265),""),"")</f>
        <v>-1.13536566510333</v>
      </c>
      <c r="AG323" s="258">
        <f>IFERROR(IF(((N(AG206)+N(AG207)+N(AG208)+N(AG211)+N(AG229)+N(AG232))-N(AG138)+N(AG265))&lt;&gt;0,((N(AG206)+N(AG207)+N(AG208)+N(AG211)+N(AG229)+N(AG232))-N(AG138))/((N(AG206)+N(AG207)+N(AG208)+N(AG211)+N(AG229)+N(AG232))-N(AG138)+AG265),""),"")</f>
        <v>-1.13536566510333</v>
      </c>
      <c r="AH323" s="258">
        <f>IFERROR(IF(((N(AH206)+N(AH207)+N(AH208)+N(AH211)+N(AH229)+N(AH232))-N(AH138)+N(AH265))&lt;&gt;0,((N(AH206)+N(AH207)+N(AH208)+N(AH211)+N(AH229)+N(AH232))-N(AH138))/((N(AH206)+N(AH207)+N(AH208)+N(AH211)+N(AH229)+N(AH232))-N(AH138)+AH265),""),"")</f>
        <v>-1.11692753189046</v>
      </c>
      <c r="AI323" s="258">
        <f>IFERROR(IF(((N(AI206)+N(AI207)+N(AI208)+N(AI211)+N(AI229)+N(AI232))-N(AI138)+N(AI265))&lt;&gt;0,((N(AI206)+N(AI207)+N(AI208)+N(AI211)+N(AI229)+N(AI232))-N(AI138))/((N(AI206)+N(AI207)+N(AI208)+N(AI211)+N(AI229)+N(AI232))-N(AI138)+AI265),""),"")</f>
        <v>-0.989294237981589</v>
      </c>
      <c r="AJ323" s="258">
        <f>IFERROR(IF(((N(AJ206)+N(AJ207)+N(AJ208)+N(AJ211)+N(AJ229)+N(AJ232))-N(AJ138)+N(AJ265))&lt;&gt;0,((N(AJ206)+N(AJ207)+N(AJ208)+N(AJ211)+N(AJ229)+N(AJ232))-N(AJ138))/((N(AJ206)+N(AJ207)+N(AJ208)+N(AJ211)+N(AJ229)+N(AJ232))-N(AJ138)+AJ265),""),"")</f>
        <v>-0.826989958313746</v>
      </c>
      <c r="AK323" s="258">
        <f>IFERROR(IF(((N(AK206)+N(AK207)+N(AK208)+N(AK211)+N(AK229)+N(AK232))-N(AK138)+N(AK265))&lt;&gt;0,((N(AK206)+N(AK207)+N(AK208)+N(AK211)+N(AK229)+N(AK232))-N(AK138))/((N(AK206)+N(AK207)+N(AK208)+N(AK211)+N(AK229)+N(AK232))-N(AK138)+AK265),""),"")</f>
        <v>-0.793348871111797</v>
      </c>
      <c r="AL323" s="258">
        <f>IFERROR(IF(((N(AL206)+N(AL207)+N(AL208)+N(AL211)+N(AL229)+N(AL232))-N(AL138)+N(AL265))&lt;&gt;0,((N(AL206)+N(AL207)+N(AL208)+N(AL211)+N(AL229)+N(AL232))-N(AL138))/((N(AL206)+N(AL207)+N(AL208)+N(AL211)+N(AL229)+N(AL232))-N(AL138)+AL265),""),"")</f>
        <v>-0.793348871111797</v>
      </c>
      <c r="AM323" s="258">
        <f>IFERROR(IF(((N(AM206)+N(AM207)+N(AM208)+N(AM211)+N(AM229)+N(AM232))-N(AM138)+N(AM265))&lt;&gt;0,((N(AM206)+N(AM207)+N(AM208)+N(AM211)+N(AM229)+N(AM232))-N(AM138))/((N(AM206)+N(AM207)+N(AM208)+N(AM211)+N(AM229)+N(AM232))-N(AM138)+AM265),""),"")</f>
        <v>-0.759789343151142</v>
      </c>
      <c r="AN323" s="258">
        <f>IFERROR(IF(((N(AN206)+N(AN207)+N(AN208)+N(AN211)+N(AN229)+N(AN232))-N(AN138)+N(AN265))&lt;&gt;0,((N(AN206)+N(AN207)+N(AN208)+N(AN211)+N(AN229)+N(AN232))-N(AN138))/((N(AN206)+N(AN207)+N(AN208)+N(AN211)+N(AN229)+N(AN232))-N(AN138)+AN265),""),"")</f>
        <v>-0.676345295185466</v>
      </c>
      <c r="AO323" s="258">
        <f>IFERROR(IF(((N(AO206)+N(AO207)+N(AO208)+N(AO211)+N(AO229)+N(AO232))-N(AO138)+N(AO265))&lt;&gt;0,((N(AO206)+N(AO207)+N(AO208)+N(AO211)+N(AO229)+N(AO232))-N(AO138))/((N(AO206)+N(AO207)+N(AO208)+N(AO211)+N(AO229)+N(AO232))-N(AO138)+AO265),""),"")</f>
        <v>-0.623049043055171</v>
      </c>
      <c r="AP323" s="258">
        <f>IFERROR(IF(((N(AP206)+N(AP207)+N(AP208)+N(AP211)+N(AP229)+N(AP232))-N(AP138)+N(AP265))&lt;&gt;0,((N(AP206)+N(AP207)+N(AP208)+N(AP211)+N(AP229)+N(AP232))-N(AP138))/((N(AP206)+N(AP207)+N(AP208)+N(AP211)+N(AP229)+N(AP232))-N(AP138)+AP265),""),"")</f>
        <v>-0.59848724365902</v>
      </c>
      <c r="AQ323" s="258">
        <f>IFERROR(IF(((N(AQ206)+N(AQ207)+N(AQ208)+N(AQ211)+N(AQ229)+N(AQ232))-N(AQ138)+N(AQ265))&lt;&gt;0,((N(AQ206)+N(AQ207)+N(AQ208)+N(AQ211)+N(AQ229)+N(AQ232))-N(AQ138))/((N(AQ206)+N(AQ207)+N(AQ208)+N(AQ211)+N(AQ229)+N(AQ232))-N(AQ138)+AQ265),""),"")</f>
        <v>-0.59848724365902</v>
      </c>
      <c r="AR323" s="258">
        <f>IFERROR(IF(((N(AR206)+N(AR207)+N(AR208)+N(AR211)+N(AR229)+N(AR232))-N(AR138)+N(AR265))&lt;&gt;0,((N(AR206)+N(AR207)+N(AR208)+N(AR211)+N(AR229)+N(AR232))-N(AR138))/((N(AR206)+N(AR207)+N(AR208)+N(AR211)+N(AR229)+N(AR232))-N(AR138)+AR265),""),"")</f>
        <v>-0.575344261750833</v>
      </c>
      <c r="AS323" s="258">
        <f>IFERROR(IF(((N(AS206)+N(AS207)+N(AS208)+N(AS211)+N(AS229)+N(AS232))-N(AS138)+N(AS265))&lt;&gt;0,((N(AS206)+N(AS207)+N(AS208)+N(AS211)+N(AS229)+N(AS232))-N(AS138))/((N(AS206)+N(AS207)+N(AS208)+N(AS211)+N(AS229)+N(AS232))-N(AS138)+AS265),""),"")</f>
        <v>-0.509372715098873</v>
      </c>
      <c r="AT323" s="258">
        <f>IFERROR(IF(((N(AT206)+N(AT207)+N(AT208)+N(AT211)+N(AT229)+N(AT232))-N(AT138)+N(AT265))&lt;&gt;0,((N(AT206)+N(AT207)+N(AT208)+N(AT211)+N(AT229)+N(AT232))-N(AT138))/((N(AT206)+N(AT207)+N(AT208)+N(AT211)+N(AT229)+N(AT232))-N(AT138)+AT265),""),"")</f>
        <v>-0.468115260529883</v>
      </c>
      <c r="AU323" s="258">
        <f>IFERROR(IF(((N(AU206)+N(AU207)+N(AU208)+N(AU211)+N(AU229)+N(AU232))-N(AU138)+N(AU265))&lt;&gt;0,((N(AU206)+N(AU207)+N(AU208)+N(AU211)+N(AU229)+N(AU232))-N(AU138))/((N(AU206)+N(AU207)+N(AU208)+N(AU211)+N(AU229)+N(AU232))-N(AU138)+AU265),""),"")</f>
        <v>-0.449658411494374</v>
      </c>
      <c r="AV323" s="258">
        <f>IFERROR(IF(((N(AV206)+N(AV207)+N(AV208)+N(AV211)+N(AV229)+N(AV232))-N(AV138)+N(AV265))&lt;&gt;0,((N(AV206)+N(AV207)+N(AV208)+N(AV211)+N(AV229)+N(AV232))-N(AV138))/((N(AV206)+N(AV207)+N(AV208)+N(AV211)+N(AV229)+N(AV232))-N(AV138)+AV265),""),"")</f>
        <v>-0.449658411494374</v>
      </c>
      <c r="AW323" s="258">
        <f>IFERROR(IF(((N(AW206)+N(AW207)+N(AW208)+N(AW211)+N(AW229)+N(AW232))-N(AW138)+N(AW265))&lt;&gt;0,((N(AW206)+N(AW207)+N(AW208)+N(AW211)+N(AW229)+N(AW232))-N(AW138))/((N(AW206)+N(AW207)+N(AW208)+N(AW211)+N(AW229)+N(AW232))-N(AW138)+AW265),""),"")</f>
        <v>-0.431620219531424</v>
      </c>
      <c r="AX323" s="258">
        <f>IFERROR(IF(((N(AX206)+N(AX207)+N(AX208)+N(AX211)+N(AX229)+N(AX232))-N(AX138)+N(AX265))&lt;&gt;0,((N(AX206)+N(AX207)+N(AX208)+N(AX211)+N(AX229)+N(AX232))-N(AX138))/((N(AX206)+N(AX207)+N(AX208)+N(AX211)+N(AX229)+N(AX232))-N(AX138)+AX265),""),"")</f>
        <v>-0.379847994990128</v>
      </c>
      <c r="AY323" s="258">
        <f>IFERROR(IF(((N(AY206)+N(AY207)+N(AY208)+N(AY211)+N(AY229)+N(AY232))-N(AY138)+N(AY265))&lt;&gt;0,((N(AY206)+N(AY207)+N(AY208)+N(AY211)+N(AY229)+N(AY232))-N(AY138))/((N(AY206)+N(AY207)+N(AY208)+N(AY211)+N(AY229)+N(AY232))-N(AY138)+AY265),""),"")</f>
        <v>-0.347076558687164</v>
      </c>
      <c r="AZ323" s="258">
        <f>IFERROR(IF(((N(AZ206)+N(AZ207)+N(AZ208)+N(AZ211)+N(AZ229)+N(AZ232))-N(AZ138)+N(AZ265))&lt;&gt;0,((N(AZ206)+N(AZ207)+N(AZ208)+N(AZ211)+N(AZ229)+N(AZ232))-N(AZ138))/((N(AZ206)+N(AZ207)+N(AZ208)+N(AZ211)+N(AZ229)+N(AZ232))-N(AZ138)+AZ265),""),"")</f>
        <v>-0.33290091297783</v>
      </c>
      <c r="BA323" s="258">
        <f>IFERROR(IF(((N(BA206)+N(BA207)+N(BA208)+N(BA211)+N(BA229)+N(BA232))-N(BA138)+N(BA265))&lt;&gt;0,((N(BA206)+N(BA207)+N(BA208)+N(BA211)+N(BA229)+N(BA232))-N(BA138))/((N(BA206)+N(BA207)+N(BA208)+N(BA211)+N(BA229)+N(BA232))-N(BA138)+BA265),""),"")</f>
        <v>-0.33290091297783</v>
      </c>
      <c r="BB323" s="258">
        <f>IFERROR(IF(((N(BB206)+N(BB207)+N(BB208)+N(BB211)+N(BB229)+N(BB232))-N(BB138)+N(BB265))&lt;&gt;0,((N(BB206)+N(BB207)+N(BB208)+N(BB211)+N(BB229)+N(BB232))-N(BB138))/((N(BB206)+N(BB207)+N(BB208)+N(BB211)+N(BB229)+N(BB232))-N(BB138)+BB265),""),"")</f>
        <v>-0.319280992743761</v>
      </c>
      <c r="BC323" s="258">
        <f>IFERROR(IF(((N(BC206)+N(BC207)+N(BC208)+N(BC211)+N(BC229)+N(BC232))-N(BC138)+N(BC265))&lt;&gt;0,((N(BC206)+N(BC207)+N(BC208)+N(BC211)+N(BC229)+N(BC232))-N(BC138))/((N(BC206)+N(BC207)+N(BC208)+N(BC211)+N(BC229)+N(BC232))-N(BC138)+BC265),""),"")</f>
        <v>-0.276996847820177</v>
      </c>
      <c r="BD323" s="258">
        <f>IFERROR(IF(((N(BD206)+N(BD207)+N(BD208)+N(BD211)+N(BD229)+N(BD232))-N(BD138)+N(BD265))&lt;&gt;0,((N(BD206)+N(BD207)+N(BD208)+N(BD211)+N(BD229)+N(BD232))-N(BD138))/((N(BD206)+N(BD207)+N(BD208)+N(BD211)+N(BD229)+N(BD232))-N(BD138)+BD265),""),"")</f>
        <v>-0.250426866356774</v>
      </c>
      <c r="BE323" s="258">
        <f>IFERROR(IF(((N(BE206)+N(BE207)+N(BE208)+N(BE211)+N(BE229)+N(BE232))-N(BE138)+N(BE265))&lt;&gt;0,((N(BE206)+N(BE207)+N(BE208)+N(BE211)+N(BE229)+N(BE232))-N(BE138))/((N(BE206)+N(BE207)+N(BE208)+N(BE211)+N(BE229)+N(BE232))-N(BE138)+BE265),""),"")</f>
        <v>-0.239353663115214</v>
      </c>
      <c r="BF323" s="258">
        <f>IFERROR(IF(((N(BF206)+N(BF207)+N(BF208)+N(BF211)+N(BF229)+N(BF232))-N(BF138)+N(BF265))&lt;&gt;0,((N(BF206)+N(BF207)+N(BF208)+N(BF211)+N(BF229)+N(BF232))-N(BF138))/((N(BF206)+N(BF207)+N(BF208)+N(BF211)+N(BF229)+N(BF232))-N(BF138)+BF265),""),"")</f>
        <v>-0.239353663115214</v>
      </c>
    </row>
    <row r="324" customFormat="1" s="77">
      <c r="A324" s="76" t="n"/>
      <c r="B324" s="76" t="n"/>
    </row>
    <row r="325" customFormat="1" s="77">
      <c r="A325" s="76" t="n"/>
      <c r="B325" s="76" t="n"/>
      <c r="C325" s="74" t="inlineStr">
        <is>
          <t>FINANCIAL RISK RATIOS</t>
        </is>
      </c>
    </row>
    <row r="326" customFormat="1" s="77">
      <c r="A326" s="76" t="n"/>
      <c r="B326" s="76" t="n"/>
      <c r="C326" s="77" t="inlineStr">
        <is>
          <t>EBITDA / TOTAL INTEREST (LTM)</t>
        </is>
      </c>
      <c r="D326" s="82" t="str">
        <f>IFERROR(D63/-D68,"")</f>
        <v/>
      </c>
      <c r="E326" s="82" t="str">
        <f>IFERROR(E63/-E68,"")</f>
        <v/>
      </c>
      <c r="F326" s="82" t="str">
        <f>IFERROR(F63/-F68,"")</f>
        <v/>
      </c>
      <c r="G326" s="82" t="str">
        <f>IFERROR(G63/-G68,"")</f>
        <v/>
      </c>
      <c r="H326" s="262" t="str">
        <f>IFERROR(IF(AND(COUNT(H63)=1,(H68)&lt;&gt;0),(H63)/-(H68),""),"")</f>
        <v/>
      </c>
      <c r="I326" s="262" t="str">
        <f>""</f>
        <v/>
      </c>
      <c r="J326" s="262" t="str">
        <f>""</f>
        <v/>
      </c>
      <c r="K326" s="262" t="str">
        <f>""</f>
        <v/>
      </c>
      <c r="L326" s="262">
        <f>IFERROR(IF(AND(COUNT(I63,J63,K63,L63)=4,(I68+J68+K68+L68)&lt;&gt;0),(I63+J63+K63+L63)/-(I68+J68+K68+L68),""),"")</f>
        <v>25.4285714285714</v>
      </c>
      <c r="M326" s="262">
        <f>IFERROR(IF(AND(COUNT(I63,J63,K63,L63)=4,(I68+J68+K68+L68)&lt;&gt;0),(I63+J63+K63+L63)/-(I68+J68+K68+L68),""),"")</f>
        <v>25.4285714285714</v>
      </c>
      <c r="N326" s="262">
        <f>IFERROR(IF(AND(COUNT(J63,K63,L63,N63)=4,(J68+K68+L68+N68)&lt;&gt;0),(J63+K63+L63+N63)/-(J68+K68+L68+N68),""),"")</f>
        <v>38.1441441441441</v>
      </c>
      <c r="O326" s="262">
        <f>IFERROR(IF(AND(COUNT(K63,L63,N63,O63)=4,(K68+L68+N68+O68)&lt;&gt;0),(K63+L63+N63+O63)/-(K68+L68+N68+O68),""),"")</f>
        <v>46.6721854304636</v>
      </c>
      <c r="P326" s="262">
        <f>IFERROR(IF(AND(COUNT(L63,N63,O63,P63)=4,(L68+N68+O68+P68)&lt;&gt;0),(L63+N63+O63+P63)/-(L68+N68+O68+P68),""),"")</f>
        <v>69.7554585152839</v>
      </c>
      <c r="Q326" s="262">
        <f>IFERROR(IF(AND(COUNT(N63,O63,P63,Q63)=4,(N68+O68+P68+Q68)&lt;&gt;0),(N63+O63+P63+Q63)/-(N68+O68+P68+Q68),""),"")</f>
        <v>91.1151832460733</v>
      </c>
      <c r="R326" s="262">
        <f>IFERROR(IF(AND(COUNT(N63,O63,P63,Q63)=4,(N68+O68+P68+Q68)&lt;&gt;0),(N63+O63+P63+Q63)/-(N68+O68+P68+Q68),""),"")</f>
        <v>91.1151832460733</v>
      </c>
      <c r="S326" s="262">
        <f>IFERROR(IF(AND(COUNT(O63,P63,Q63,S63)=4,(O68+P68+Q68+S68)&lt;&gt;0),(O63+P63+Q63+S63)/-(O68+P68+Q68+S68),""),"")</f>
        <v>104.591194968553</v>
      </c>
      <c r="T326" s="262">
        <f>IFERROR(IF(AND(COUNT(P63,Q63,S63,T63)=4,(P68+Q68+S68+T68)&lt;&gt;0),(P63+Q63+S63+T63)/-(P68+Q68+S68+T68),""),"")</f>
        <v>117.461538461538</v>
      </c>
      <c r="U326" s="262">
        <f>IFERROR(IF(AND(COUNT(Q63,S63,T63,U63)=4,(Q68+S68+T68+U68)&lt;&gt;0),(Q63+S63+T63+U63)/-(Q68+S68+T68+U68),""),"")</f>
        <v>118.375</v>
      </c>
      <c r="V326" s="262">
        <f>IFERROR(IF(AND(COUNT(S63,T63,U63,V63)=4,(S68+T68+U68+V68)&lt;&gt;0),(S63+T63+U63+V63)/-(S68+T68+U68+V68),""),"")</f>
        <v>86.9102564102564</v>
      </c>
      <c r="W326" s="262">
        <f>IFERROR(IF(AND(COUNT(S63,T63,U63,V63)=4,(S68+T68+U68+V68)&lt;&gt;0),(S63+T63+U63+V63)/-(S68+T68+U68+V68),""),"")</f>
        <v>86.9102564102564</v>
      </c>
      <c r="X326" s="262">
        <f>IFERROR(IF(AND(COUNT(T63,U63,V63,X63)=4,(T68+U68+V68+X68)&lt;&gt;0),(T63+U63+V63+X63)/-(T68+U68+V68+X68),""),"")</f>
        <v>60.4187192118227</v>
      </c>
      <c r="Y326" s="262">
        <f>IFERROR(IF(AND(COUNT(U63,V63,X63,Y63)=4,(U68+V68+X68+Y68)&lt;&gt;0),(U63+V63+X63+Y63)/-(U68+V68+X68+Y68),""),"")</f>
        <v>44.4252873563218</v>
      </c>
      <c r="Z326" s="262">
        <f>IFERROR(IF(AND(COUNT(V63,X63,Y63,Z63)=4,(V68+X68+Y68+Z68)&lt;&gt;0),(V63+X63+Y63+Z63)/-(V68+X68+Y68+Z68),""),"")</f>
        <v>40.1936507936508</v>
      </c>
      <c r="AA326" s="262">
        <f>IFERROR(IF(AND(COUNT(X63,Y63,Z63,AA63)=4,(X68+Y68+Z68+AA68)&lt;&gt;0),(X63+Y63+Z63+AA63)/-(X68+Y68+Z68+AA68),""),"")</f>
        <v>35.5542857142857</v>
      </c>
      <c r="AB326" s="262">
        <f>IFERROR(IF(AND(COUNT(X63,Y63,Z63,AA63)=4,(X68+Y68+Z68+AA68)&lt;&gt;0),(X63+Y63+Z63+AA63)/-(X68+Y68+Z68+AA68),""),"")</f>
        <v>35.5542857142857</v>
      </c>
      <c r="AC326" s="262">
        <f>IFERROR(IF(AND(COUNT(Y63,Z63,AA63,AC63)=4,(Y68+Z68+AA68+AC68)&lt;&gt;0),(Y63+Z63+AA63+AC63)/-(Y68+Z68+AA68+AC68),""),"")</f>
        <v>32.5287671232877</v>
      </c>
      <c r="AD326" s="262">
        <f>IFERROR(IF(AND(COUNT(Z63,AA63,AC63,AD63)=4,(Z68+AA68+AC68+AD68)&lt;&gt;0),(Z63+AA63+AC63+AD63)/-(Z68+AA68+AC68+AD68),""),"")</f>
        <v>31.0849315068493</v>
      </c>
      <c r="AE326" s="262">
        <f>IFERROR(IF(AND(COUNT(AA63,AC63,AD63,AE63)=4,(AA68+AC68+AD68+AE68)&lt;&gt;0),(AA63+AC63+AD63+AE63)/-(AA68+AC68+AD68+AE68),""),"")</f>
        <v>30.1719197707736</v>
      </c>
      <c r="AF326" s="262">
        <f>IFERROR(IF(AND(COUNT(AB63,AD63,AE63,AF63)=4,(AB68+AD68+AE68+AF68)&lt;&gt;0),(AB63+AD63+AE63+AF63)/-(AB68+AD68+AE68+AF68),""),"")</f>
        <v>35.3450586264657</v>
      </c>
      <c r="AG326" s="262">
        <f>IFERROR(IF(AND(COUNT(AC63,AD63,AE63,AF63)=4,(AC68+AD68+AE68+AF68)&lt;&gt;0),(AC63+AD63+AE63+AF63)/-(AC68+AD68+AE68+AF68),""),"")</f>
        <v>31.0739644970414</v>
      </c>
      <c r="AH326" s="262">
        <f>IFERROR(IF(AND(COUNT(AD63,AF63,AG63,AH63)=4,(AD68+AF68+AG68+AH68)&lt;&gt;0),(AD63+AF63+AG63+AH63)/-(AD68+AF68+AG68+AH68),""),"")</f>
        <v>30.6855241264559</v>
      </c>
      <c r="AI326" s="262">
        <f>IFERROR(IF(AND(COUNT(AE63,AG63,AH63,AI63)=4,(AE68+AG68+AH68+AI68)&lt;&gt;0),(AE63+AG63+AH63+AI63)/-(AE68+AG68+AH68+AI68),""),"")</f>
        <v>31.175468483816</v>
      </c>
      <c r="AJ326" s="262" t="str">
        <f>IFERROR(IF(AND(COUNT(AF63,AH63,AI63,AJ63)=4,(AF68+AH68+AI68+AJ68)&lt;&gt;0),(AF63+AH63+AI63+AJ63)/-(AF68+AH68+AI68+AJ68),""),"")</f>
        <v/>
      </c>
      <c r="AK326" s="262" t="str">
        <f>IFERROR(IF(AND(COUNT(AH63,AI63,AJ63,AK63)=4,(AH68+AI68+AJ68+AK68)&lt;&gt;0),(AH63+AI63+AJ63+AK63)/-(AH68+AI68+AJ68+AK68),""),"")</f>
        <v/>
      </c>
      <c r="AL326" s="262" t="str">
        <f>IFERROR(IF(AND(COUNT(AH63,AI63,AJ63,AK63)=4,(AH68+AI68+AJ68+AK68)&lt;&gt;0),(AH63+AI63+AJ63+AK63)/-(AH68+AI68+AJ68+AK68),""),"")</f>
        <v/>
      </c>
      <c r="AM326" s="262" t="str">
        <f>IFERROR(IF(AND(COUNT(AI63,AJ63,AK63,AM63)=4,(AI68+AJ68+AK68+AM68)&lt;&gt;0),(AI63+AJ63+AK63+AM63)/-(AI68+AJ68+AK68+AM68),""),"")</f>
        <v/>
      </c>
      <c r="AN326" s="262" t="str">
        <f>IFERROR(IF(AND(COUNT(AJ63,AK63,AM63,AN63)=4,(AJ68+AK68+AM68+AN68)&lt;&gt;0),(AJ63+AK63+AM63+AN63)/-(AJ68+AK68+AM68+AN68),""),"")</f>
        <v/>
      </c>
      <c r="AO326" s="262" t="str">
        <f>IFERROR(IF(AND(COUNT(AK63,AM63,AN63,AO63)=4,(AK68+AM68+AN68+AO68)&lt;&gt;0),(AK63+AM63+AN63+AO63)/-(AK68+AM68+AN68+AO68),""),"")</f>
        <v/>
      </c>
      <c r="AP326" s="262" t="str">
        <f>IFERROR(IF(AND(COUNT(AM63,AN63,AO63,AP63)=4,(AM68+AN68+AO68+AP68)&lt;&gt;0),(AM63+AN63+AO63+AP63)/-(AM68+AN68+AO68+AP68),""),"")</f>
        <v/>
      </c>
      <c r="AQ326" s="262" t="str">
        <f>IFERROR(IF(AND(COUNT(AM63,AN63,AO63,AP63)=4,(AM68+AN68+AO68+AP68)&lt;&gt;0),(AM63+AN63+AO63+AP63)/-(AM68+AN68+AO68+AP68),""),"")</f>
        <v/>
      </c>
      <c r="AR326" s="262" t="str">
        <f>IFERROR(IF(AND(COUNT(AN63,AO63,AP63,AR63)=4,(AN68+AO68+AP68+AR68)&lt;&gt;0),(AN63+AO63+AP63+AR63)/-(AN68+AO68+AP68+AR68),""),"")</f>
        <v/>
      </c>
      <c r="AS326" s="262" t="str">
        <f>IFERROR(IF(AND(COUNT(AO63,AP63,AR63,AS63)=4,(AO68+AP68+AR68+AS68)&lt;&gt;0),(AO63+AP63+AR63+AS63)/-(AO68+AP68+AR68+AS68),""),"")</f>
        <v/>
      </c>
      <c r="AT326" s="262" t="str">
        <f>IFERROR(IF(AND(COUNT(AP63,AR63,AS63,AT63)=4,(AP68+AR68+AS68+AT68)&lt;&gt;0),(AP63+AR63+AS63+AT63)/-(AP68+AR68+AS68+AT68),""),"")</f>
        <v/>
      </c>
      <c r="AU326" s="262" t="str">
        <f>IFERROR(IF(AND(COUNT(AR63,AS63,AT63,AU63)=4,(AR68+AS68+AT68+AU68)&lt;&gt;0),(AR63+AS63+AT63+AU63)/-(AR68+AS68+AT68+AU68),""),"")</f>
        <v/>
      </c>
      <c r="AV326" s="262" t="str">
        <f>IFERROR(IF(AND(COUNT(AR63,AS63,AT63,AU63)=4,(AR68+AS68+AT68+AU68)&lt;&gt;0),(AR63+AS63+AT63+AU63)/-(AR68+AS68+AT68+AU68),""),"")</f>
        <v/>
      </c>
      <c r="AW326" s="262" t="str">
        <f>IFERROR(IF(AND(COUNT(AS63,AT63,AU63,AW63)=4,(AS68+AT68+AU68+AW68)&lt;&gt;0),(AS63+AT63+AU63+AW63)/-(AS68+AT68+AU68+AW68),""),"")</f>
        <v/>
      </c>
      <c r="AX326" s="262" t="str">
        <f>IFERROR(IF(AND(COUNT(AT63,AU63,AW63,AX63)=4,(AT68+AU68+AW68+AX68)&lt;&gt;0),(AT63+AU63+AW63+AX63)/-(AT68+AU68+AW68+AX68),""),"")</f>
        <v/>
      </c>
      <c r="AY326" s="262" t="str">
        <f>IFERROR(IF(AND(COUNT(AU63,AW63,AX63,AY63)=4,(AU68+AW68+AX68+AY68)&lt;&gt;0),(AU63+AW63+AX63+AY63)/-(AU68+AW68+AX68+AY68),""),"")</f>
        <v/>
      </c>
      <c r="AZ326" s="262" t="str">
        <f>IFERROR(IF(AND(COUNT(AW63,AX63,AY63,AZ63)=4,(AW68+AX68+AY68+AZ68)&lt;&gt;0),(AW63+AX63+AY63+AZ63)/-(AW68+AX68+AY68+AZ68),""),"")</f>
        <v/>
      </c>
      <c r="BA326" s="262" t="str">
        <f>IFERROR(IF(AND(COUNT(AW63,AX63,AY63,AZ63)=4,(AW68+AX68+AY68+AZ68)&lt;&gt;0),(AW63+AX63+AY63+AZ63)/-(AW68+AX68+AY68+AZ68),""),"")</f>
        <v/>
      </c>
      <c r="BB326" s="262" t="str">
        <f>IFERROR(IF(AND(COUNT(AX63,AY63,AZ63,BB63)=4,(AX68+AY68+AZ68+BB68)&lt;&gt;0),(AX63+AY63+AZ63+BB63)/-(AX68+AY68+AZ68+BB68),""),"")</f>
        <v/>
      </c>
      <c r="BC326" s="262" t="str">
        <f>IFERROR(IF(AND(COUNT(AY63,AZ63,BB63,BC63)=4,(AY68+AZ68+BB68+BC68)&lt;&gt;0),(AY63+AZ63+BB63+BC63)/-(AY68+AZ68+BB68+BC68),""),"")</f>
        <v/>
      </c>
      <c r="BD326" s="262" t="str">
        <f>IFERROR(IF(AND(COUNT(AZ63,BB63,BC63,BD63)=4,(AZ68+BB68+BC68+BD68)&lt;&gt;0),(AZ63+BB63+BC63+BD63)/-(AZ68+BB68+BC68+BD68),""),"")</f>
        <v/>
      </c>
      <c r="BE326" s="262" t="str">
        <f>IFERROR(IF(AND(COUNT(BB63,BC63,BD63,BE63)=4,(BB68+BC68+BD68+BE68)&lt;&gt;0),(BB63+BC63+BD63+BE63)/-(BB68+BC68+BD68+BE68),""),"")</f>
        <v/>
      </c>
      <c r="BF326" s="262" t="str">
        <f>IFERROR(IF(AND(COUNT(BB63,BC63,BD63,BE63)=4,(BB68+BC68+BD68+BE68)&lt;&gt;0),(BB63+BC63+BD63+BE63)/-(BB68+BC68+BD68+BE68),""),"")</f>
        <v/>
      </c>
      <c r="BG326" s="82" t="n"/>
      <c r="BH326" s="82" t="n"/>
      <c r="BI326" s="82" t="n"/>
      <c r="BJ326" s="82" t="n"/>
      <c r="BL326" s="82" t="n"/>
      <c r="BM326" s="82" t="n"/>
      <c r="BN326" s="82" t="n"/>
      <c r="BO326" s="82" t="n"/>
      <c r="BQ326" s="82" t="n"/>
      <c r="BR326" s="82" t="n"/>
      <c r="BS326" s="82" t="n"/>
      <c r="BT326" s="82" t="n"/>
      <c r="BV326" s="82" t="n"/>
      <c r="BW326" s="82" t="n"/>
      <c r="BX326" s="82" t="n"/>
      <c r="BY326" s="82" t="n"/>
      <c r="CA326" s="82" t="n"/>
      <c r="CB326" s="82" t="n"/>
      <c r="CC326" s="82" t="n"/>
      <c r="CD326" s="82" t="n"/>
      <c r="CF326" s="82" t="n"/>
      <c r="CG326" s="82" t="n"/>
      <c r="CH326" s="82" t="n"/>
      <c r="CI326" s="82" t="n"/>
      <c r="CK326" s="82" t="n"/>
      <c r="CL326" s="82" t="n"/>
      <c r="CM326" s="82" t="n"/>
      <c r="CN326" s="82" t="n"/>
      <c r="CP326" s="82" t="n"/>
      <c r="CQ326" s="82" t="n"/>
      <c r="CR326" s="82" t="n"/>
      <c r="CS326" s="82" t="n"/>
      <c r="CU326" s="82" t="n"/>
      <c r="CV326" s="82" t="n"/>
      <c r="CW326" s="82" t="n"/>
      <c r="CX326" s="82" t="n"/>
    </row>
    <row r="327" customFormat="1" s="77">
      <c r="A327" s="76" t="n"/>
      <c r="B327" s="76" t="n"/>
      <c r="C327" s="77" t="inlineStr">
        <is>
          <t>(EBITDA - CAPEX) / TOTAL INTEREST (LTM)</t>
        </is>
      </c>
      <c r="D327" s="82" t="str">
        <f>IFERROR((D63-D162)/-D68,"")</f>
        <v/>
      </c>
      <c r="E327" s="82" t="str">
        <f>IFERROR((E63-E162)/-E68,"")</f>
        <v/>
      </c>
      <c r="F327" s="82" t="str">
        <f>IFERROR((F63-F162)/-F68,"")</f>
        <v/>
      </c>
      <c r="G327" s="82" t="str">
        <f>IFERROR((G63-G162)/-G68,"")</f>
        <v/>
      </c>
      <c r="H327" s="262" t="str">
        <f>IFERROR(IF(AND(COUNT(H63)=1,(H68)&lt;&gt;0),((H63)-(H162))/-(H68),""),"")</f>
        <v/>
      </c>
      <c r="I327" s="262" t="str">
        <f>""</f>
        <v/>
      </c>
      <c r="J327" s="262" t="str">
        <f>""</f>
        <v/>
      </c>
      <c r="K327" s="262" t="str">
        <f>""</f>
        <v/>
      </c>
      <c r="L327" s="262">
        <f>IFERROR(IF(AND(COUNT(I63,J63,K63,L63)=4,(I68+J68+K68+L68)&lt;&gt;0),((I63+J63+K63+L63)-(I162+J162+K162+L162))/-(I68+J68+K68+L68),""),"")</f>
        <v>5.73584905660377</v>
      </c>
      <c r="M327" s="262">
        <f>IFERROR(IF(AND(COUNT(I63,J63,K63,L63)=4,(I68+J68+K68+L68)&lt;&gt;0),((I63+J63+K63+L63)-(I162+J162+K162+L162))/-(I68+J68+K68+L68),""),"")</f>
        <v>5.73584905660377</v>
      </c>
      <c r="N327" s="262">
        <f>IFERROR(IF(AND(COUNT(J63,K63,L63,N63)=4,(J68+K68+L68+N68)&lt;&gt;0),((J63+K63+L63+N63)-(J162+K162+L162+N162))/-(J68+K68+L68+N68),""),"")</f>
        <v>10.1291291291291</v>
      </c>
      <c r="O327" s="262">
        <f>IFERROR(IF(AND(COUNT(K63,L63,N63,O63)=4,(K68+L68+N68+O68)&lt;&gt;0),((K63+L63+N63+O63)-(K162+L162+N162+O162))/-(K68+L68+N68+O68),""),"")</f>
        <v>17.4039735099338</v>
      </c>
      <c r="P327" s="262">
        <f>IFERROR(IF(AND(COUNT(L63,N63,O63,P63)=4,(L68+N68+O68+P68)&lt;&gt;0),((L63+N63+O63+P63)-(L162+N162+O162+P162))/-(L68+N68+O68+P68),""),"")</f>
        <v>33.7991266375546</v>
      </c>
      <c r="Q327" s="262">
        <f>IFERROR(IF(AND(COUNT(N63,O63,P63,Q63)=4,(N68+O68+P68+Q68)&lt;&gt;0),((N63+O63+P63+Q63)-(N162+O162+P162+Q162))/-(N68+O68+P68+Q68),""),"")</f>
        <v>47.0785340314136</v>
      </c>
      <c r="R327" s="262">
        <f>IFERROR(IF(AND(COUNT(N63,O63,P63,Q63)=4,(N68+O68+P68+Q68)&lt;&gt;0),((N63+O63+P63+Q63)-(N162+O162+P162+Q162))/-(N68+O68+P68+Q68),""),"")</f>
        <v>47.0785340314136</v>
      </c>
      <c r="S327" s="262">
        <f>IFERROR(IF(AND(COUNT(O63,P63,Q63,S63)=4,(O68+P68+Q68+S68)&lt;&gt;0),((O63+P63+Q63+S63)-(O162+P162+Q162+S162))/-(O68+P68+Q68+S68),""),"")</f>
        <v>48.8993710691824</v>
      </c>
      <c r="T327" s="262">
        <f>IFERROR(IF(AND(COUNT(P63,Q63,S63,T63)=4,(P68+Q68+S68+T68)&lt;&gt;0),((P63+Q63+S63+T63)-(P162+Q162+S162+T162))/-(P68+Q68+S68+T68),""),"")</f>
        <v>51.4405594405594</v>
      </c>
      <c r="U327" s="262">
        <f>IFERROR(IF(AND(COUNT(Q63,S63,T63,U63)=4,(Q68+S68+T68+U68)&lt;&gt;0),((Q63+S63+T63+U63)-(Q162+S162+T162+U162))/-(Q68+S68+T68+U68),""),"")</f>
        <v>38.359375</v>
      </c>
      <c r="V327" s="262">
        <f>IFERROR(IF(AND(COUNT(S63,T63,U63,V63)=4,(S68+T68+U68+V68)&lt;&gt;0),((S63+T63+U63+V63)-(S162+T162+U162+V162))/-(S68+T68+U68+V68),""),"")</f>
        <v>17.3974358974359</v>
      </c>
      <c r="W327" s="262">
        <f>IFERROR(IF(AND(COUNT(S63,T63,U63,V63)=4,(S68+T68+U68+V68)&lt;&gt;0),((S63+T63+U63+V63)-(S162+T162+U162+V162))/-(S68+T68+U68+V68),""),"")</f>
        <v>17.3974358974359</v>
      </c>
      <c r="X327" s="262">
        <f>IFERROR(IF(AND(COUNT(T63,U63,V63,X63)=4,(T68+U68+V68+X68)&lt;&gt;0),((T63+U63+V63+X63)-(T162+U162+V162+X162))/-(T68+U68+V68+X68),""),"")</f>
        <v>4.58620689655172</v>
      </c>
      <c r="Y327" s="262">
        <f>IFERROR(IF(AND(COUNT(U63,V63,X63,Y63)=4,(U68+V68+X68+Y68)&lt;&gt;0),((U63+V63+X63+Y63)-(U162+V162+X162+Y162))/-(U68+V68+X68+Y68),""),"")</f>
        <v>0.348659003831418</v>
      </c>
      <c r="Z327" s="262">
        <f>IFERROR(IF(AND(COUNT(V63,X63,Y63,Z63)=4,(V68+X68+Y68+Z68)&lt;&gt;0),((V63+X63+Y63+Z63)-(V162+X162+Y162+Z162))/-(V68+X68+Y68+Z68),""),"")</f>
        <v>-2.58730158730159</v>
      </c>
      <c r="AA327" s="262">
        <f>IFERROR(IF(AND(COUNT(X63,Y63,Z63,AA63)=4,(X68+Y68+Z68+AA68)&lt;&gt;0),((X63+Y63+Z63+AA63)-(X162+Y162+Z162+AA162))/-(X68+Y68+Z68+AA68),""),"")</f>
        <v>2.75714285714286</v>
      </c>
      <c r="AB327" s="262">
        <f>IFERROR(IF(AND(COUNT(X63,Y63,Z63,AA63)=4,(X68+Y68+Z68+AA68)&lt;&gt;0),((X63+Y63+Z63+AA63)-(X162+Y162+Z162+AA162))/-(X68+Y68+Z68+AA68),""),"")</f>
        <v>2.75714285714286</v>
      </c>
      <c r="AC327" s="262">
        <f>IFERROR(IF(AND(COUNT(Y63,Z63,AA63,AC63)=4,(Y68+Z68+AA68+AC68)&lt;&gt;0),((Y63+Z63+AA63+AC63)-(Y162+Z162+AA162+AC162))/-(Y68+Z68+AA68+AC68),""),"")</f>
        <v>1.78630136986301</v>
      </c>
      <c r="AD327" s="262">
        <f>IFERROR(IF(AND(COUNT(Z63,AA63,AC63,AD63)=4,(Z68+AA68+AC68+AD68)&lt;&gt;0),((Z63+AA63+AC63+AD63)-(Z162+AA162+AC162+AD162))/-(Z68+AA68+AC68+AD68),""),"")</f>
        <v>-0.136986301369863</v>
      </c>
      <c r="AE327" s="262">
        <f>IFERROR(IF(AND(COUNT(AA63,AC63,AD63,AE63)=4,(AA68+AC68+AD68+AE68)&lt;&gt;0),((AA63+AC63+AD63+AE63)-(AA162+AC162+AD162+AE162))/-(AA68+AC68+AD68+AE68),""),"")</f>
        <v>3.54727793696275</v>
      </c>
      <c r="AF327" s="262">
        <f>IFERROR(IF(AND(COUNT(AB63,AD63,AE63,AF63)=4,(AB68+AD68+AE68+AF68)&lt;&gt;0),((AB63+AD63+AE63+AF63)-(AB162+AD162+AE162+AF162))/-(AB68+AD68+AE68+AF68),""),"")</f>
        <v>21.5159128978224</v>
      </c>
      <c r="AG327" s="262">
        <f>IFERROR(IF(AND(COUNT(AC63,AD63,AE63,AF63)=4,(AC68+AD68+AE68+AF68)&lt;&gt;0),((AC63+AD63+AE63+AF63)-(AC162+AD162+AE162+AF162))/-(AC68+AD68+AE68+AF68),""),"")</f>
        <v>-1.33727810650888</v>
      </c>
      <c r="AH327" s="262">
        <f>IFERROR(IF(AND(COUNT(AD63,AF63,AG63,AH63)=4,(AD68+AF68+AG68+AH68)&lt;&gt;0),((AD63+AF63+AG63+AH63)-(AD162+AF162+AG162+AH162))/-(AD68+AF68+AG68+AH68),""),"")</f>
        <v>-4.11148086522463</v>
      </c>
      <c r="AI327" s="262">
        <f>IFERROR(IF(AND(COUNT(AE63,AG63,AH63,AI63)=4,(AE68+AG68+AH68+AI68)&lt;&gt;0),((AE63+AG63+AH63+AI63)-(AE162+AG162+AH162+AI162))/-(AE68+AG68+AH68+AI68),""),"")</f>
        <v>-8.40545144804089</v>
      </c>
      <c r="AJ327" s="262" t="str">
        <f>IFERROR(IF(AND(COUNT(AF63,AH63,AI63,AJ63)=4,(AF68+AH68+AI68+AJ68)&lt;&gt;0),((AF63+AH63+AI63+AJ63)-(AF162+AH162+AI162+AJ162))/-(AF68+AH68+AI68+AJ68),""),"")</f>
        <v/>
      </c>
      <c r="AK327" s="262" t="str">
        <f>IFERROR(IF(AND(COUNT(AH63,AI63,AJ63,AK63)=4,(AH68+AI68+AJ68+AK68)&lt;&gt;0),((AH63+AI63+AJ63+AK63)-(AH162+AI162+AJ162+AK162))/-(AH68+AI68+AJ68+AK68),""),"")</f>
        <v/>
      </c>
      <c r="AL327" s="262" t="str">
        <f>IFERROR(IF(AND(COUNT(AH63,AI63,AJ63,AK63)=4,(AH68+AI68+AJ68+AK68)&lt;&gt;0),((AH63+AI63+AJ63+AK63)-(AH162+AI162+AJ162+AK162))/-(AH68+AI68+AJ68+AK68),""),"")</f>
        <v/>
      </c>
      <c r="AM327" s="262" t="str">
        <f>IFERROR(IF(AND(COUNT(AI63,AJ63,AK63,AM63)=4,(AI68+AJ68+AK68+AM68)&lt;&gt;0),((AI63+AJ63+AK63+AM63)-(AI162+AJ162+AK162+AM162))/-(AI68+AJ68+AK68+AM68),""),"")</f>
        <v/>
      </c>
      <c r="AN327" s="262" t="str">
        <f>IFERROR(IF(AND(COUNT(AJ63,AK63,AM63,AN63)=4,(AJ68+AK68+AM68+AN68)&lt;&gt;0),((AJ63+AK63+AM63+AN63)-(AJ162+AK162+AM162+AN162))/-(AJ68+AK68+AM68+AN68),""),"")</f>
        <v/>
      </c>
      <c r="AO327" s="262" t="str">
        <f>IFERROR(IF(AND(COUNT(AK63,AM63,AN63,AO63)=4,(AK68+AM68+AN68+AO68)&lt;&gt;0),((AK63+AM63+AN63+AO63)-(AK162+AM162+AN162+AO162))/-(AK68+AM68+AN68+AO68),""),"")</f>
        <v/>
      </c>
      <c r="AP327" s="262" t="str">
        <f>IFERROR(IF(AND(COUNT(AM63,AN63,AO63,AP63)=4,(AM68+AN68+AO68+AP68)&lt;&gt;0),((AM63+AN63+AO63+AP63)-(AM162+AN162+AO162+AP162))/-(AM68+AN68+AO68+AP68),""),"")</f>
        <v/>
      </c>
      <c r="AQ327" s="262" t="str">
        <f>IFERROR(IF(AND(COUNT(AM63,AN63,AO63,AP63)=4,(AM68+AN68+AO68+AP68)&lt;&gt;0),((AM63+AN63+AO63+AP63)-(AM162+AN162+AO162+AP162))/-(AM68+AN68+AO68+AP68),""),"")</f>
        <v/>
      </c>
      <c r="AR327" s="262" t="str">
        <f>IFERROR(IF(AND(COUNT(AN63,AO63,AP63,AR63)=4,(AN68+AO68+AP68+AR68)&lt;&gt;0),((AN63+AO63+AP63+AR63)-(AN162+AO162+AP162+AR162))/-(AN68+AO68+AP68+AR68),""),"")</f>
        <v/>
      </c>
      <c r="AS327" s="262" t="str">
        <f>IFERROR(IF(AND(COUNT(AO63,AP63,AR63,AS63)=4,(AO68+AP68+AR68+AS68)&lt;&gt;0),((AO63+AP63+AR63+AS63)-(AO162+AP162+AR162+AS162))/-(AO68+AP68+AR68+AS68),""),"")</f>
        <v/>
      </c>
      <c r="AT327" s="262" t="str">
        <f>IFERROR(IF(AND(COUNT(AP63,AR63,AS63,AT63)=4,(AP68+AR68+AS68+AT68)&lt;&gt;0),((AP63+AR63+AS63+AT63)-(AP162+AR162+AS162+AT162))/-(AP68+AR68+AS68+AT68),""),"")</f>
        <v/>
      </c>
      <c r="AU327" s="262" t="str">
        <f>IFERROR(IF(AND(COUNT(AR63,AS63,AT63,AU63)=4,(AR68+AS68+AT68+AU68)&lt;&gt;0),((AR63+AS63+AT63+AU63)-(AR162+AS162+AT162+AU162))/-(AR68+AS68+AT68+AU68),""),"")</f>
        <v/>
      </c>
      <c r="AV327" s="262" t="str">
        <f>IFERROR(IF(AND(COUNT(AR63,AS63,AT63,AU63)=4,(AR68+AS68+AT68+AU68)&lt;&gt;0),((AR63+AS63+AT63+AU63)-(AR162+AS162+AT162+AU162))/-(AR68+AS68+AT68+AU68),""),"")</f>
        <v/>
      </c>
      <c r="AW327" s="262" t="str">
        <f>IFERROR(IF(AND(COUNT(AS63,AT63,AU63,AW63)=4,(AS68+AT68+AU68+AW68)&lt;&gt;0),((AS63+AT63+AU63+AW63)-(AS162+AT162+AU162+AW162))/-(AS68+AT68+AU68+AW68),""),"")</f>
        <v/>
      </c>
      <c r="AX327" s="262" t="str">
        <f>IFERROR(IF(AND(COUNT(AT63,AU63,AW63,AX63)=4,(AT68+AU68+AW68+AX68)&lt;&gt;0),((AT63+AU63+AW63+AX63)-(AT162+AU162+AW162+AX162))/-(AT68+AU68+AW68+AX68),""),"")</f>
        <v/>
      </c>
      <c r="AY327" s="262" t="str">
        <f>IFERROR(IF(AND(COUNT(AU63,AW63,AX63,AY63)=4,(AU68+AW68+AX68+AY68)&lt;&gt;0),((AU63+AW63+AX63+AY63)-(AU162+AW162+AX162+AY162))/-(AU68+AW68+AX68+AY68),""),"")</f>
        <v/>
      </c>
      <c r="AZ327" s="262" t="str">
        <f>IFERROR(IF(AND(COUNT(AW63,AX63,AY63,AZ63)=4,(AW68+AX68+AY68+AZ68)&lt;&gt;0),((AW63+AX63+AY63+AZ63)-(AW162+AX162+AY162+AZ162))/-(AW68+AX68+AY68+AZ68),""),"")</f>
        <v/>
      </c>
      <c r="BA327" s="262" t="str">
        <f>IFERROR(IF(AND(COUNT(AW63,AX63,AY63,AZ63)=4,(AW68+AX68+AY68+AZ68)&lt;&gt;0),((AW63+AX63+AY63+AZ63)-(AW162+AX162+AY162+AZ162))/-(AW68+AX68+AY68+AZ68),""),"")</f>
        <v/>
      </c>
      <c r="BB327" s="262" t="str">
        <f>IFERROR(IF(AND(COUNT(AX63,AY63,AZ63,BB63)=4,(AX68+AY68+AZ68+BB68)&lt;&gt;0),((AX63+AY63+AZ63+BB63)-(AX162+AY162+AZ162+BB162))/-(AX68+AY68+AZ68+BB68),""),"")</f>
        <v/>
      </c>
      <c r="BC327" s="262" t="str">
        <f>IFERROR(IF(AND(COUNT(AY63,AZ63,BB63,BC63)=4,(AY68+AZ68+BB68+BC68)&lt;&gt;0),((AY63+AZ63+BB63+BC63)-(AY162+AZ162+BB162+BC162))/-(AY68+AZ68+BB68+BC68),""),"")</f>
        <v/>
      </c>
      <c r="BD327" s="262" t="str">
        <f>IFERROR(IF(AND(COUNT(AZ63,BB63,BC63,BD63)=4,(AZ68+BB68+BC68+BD68)&lt;&gt;0),((AZ63+BB63+BC63+BD63)-(AZ162+BB162+BC162+BD162))/-(AZ68+BB68+BC68+BD68),""),"")</f>
        <v/>
      </c>
      <c r="BE327" s="262" t="str">
        <f>IFERROR(IF(AND(COUNT(BB63,BC63,BD63,BE63)=4,(BB68+BC68+BD68+BE68)&lt;&gt;0),((BB63+BC63+BD63+BE63)-(BB162+BC162+BD162+BE162))/-(BB68+BC68+BD68+BE68),""),"")</f>
        <v/>
      </c>
      <c r="BF327" s="262" t="str">
        <f>IFERROR(IF(AND(COUNT(BB63,BC63,BD63,BE63)=4,(BB68+BC68+BD68+BE68)&lt;&gt;0),((BB63+BC63+BD63+BE63)-(BB162+BC162+BD162+BE162))/-(BB68+BC68+BD68+BE68),""),"")</f>
        <v/>
      </c>
      <c r="BG327" s="82" t="n"/>
      <c r="BH327" s="82" t="n"/>
      <c r="BI327" s="82" t="n"/>
      <c r="BJ327" s="82" t="n"/>
      <c r="BL327" s="82" t="n"/>
      <c r="BM327" s="82" t="n"/>
      <c r="BN327" s="82" t="n"/>
      <c r="BO327" s="82" t="n"/>
      <c r="BQ327" s="82" t="n"/>
      <c r="BR327" s="82" t="n"/>
      <c r="BS327" s="82" t="n"/>
      <c r="BT327" s="82" t="n"/>
      <c r="BV327" s="82" t="n"/>
      <c r="BW327" s="82" t="n"/>
      <c r="BX327" s="82" t="n"/>
      <c r="BY327" s="82" t="n"/>
      <c r="CA327" s="82" t="n"/>
      <c r="CB327" s="82" t="n"/>
      <c r="CC327" s="82" t="n"/>
      <c r="CD327" s="82" t="n"/>
      <c r="CF327" s="82" t="n"/>
      <c r="CG327" s="82" t="n"/>
      <c r="CH327" s="82" t="n"/>
      <c r="CI327" s="82" t="n"/>
      <c r="CK327" s="82" t="n"/>
      <c r="CL327" s="82" t="n"/>
      <c r="CM327" s="82" t="n"/>
      <c r="CN327" s="82" t="n"/>
      <c r="CP327" s="82" t="n"/>
      <c r="CQ327" s="82" t="n"/>
      <c r="CR327" s="82" t="n"/>
      <c r="CS327" s="82" t="n"/>
      <c r="CU327" s="82" t="n"/>
      <c r="CV327" s="82" t="n"/>
      <c r="CW327" s="82" t="n"/>
      <c r="CX327" s="82" t="n"/>
    </row>
    <row r="328" customFormat="1" s="77">
      <c r="A328" s="76" t="n"/>
      <c r="B328" s="76" t="n"/>
      <c r="C328" s="77" t="inlineStr">
        <is>
          <t>TOTAL DEBT / EBITDA (LTM)</t>
        </is>
      </c>
      <c r="D328" s="82" t="str">
        <f>IFERROR(SUM(D206,D207,D208,D211,D229,D232)/D63,"")</f>
        <v/>
      </c>
      <c r="E328" s="82" t="str">
        <f>IFERROR(SUM(E206,E207,E208,E211,E229,E232)/E63,"")</f>
        <v/>
      </c>
      <c r="F328" s="82" t="str">
        <f>IFERROR(SUM(F206,F207,F208,F211,F229,F232)/F63,"")</f>
        <v/>
      </c>
      <c r="G328" s="82" t="str">
        <f>IFERROR(SUM(G206,G207,G208,G211,G229,G232)/G63,"")</f>
        <v/>
      </c>
      <c r="H328" s="262" t="str">
        <f>IFERROR(IF(AND(COUNT(H63)=1,(H63)&lt;&gt;0),(N(H206)+N(H207)+N(H208)+N(H211)+N(H229)+N(H232))/(H63),""),"")</f>
        <v/>
      </c>
      <c r="I328" s="262" t="str">
        <f>""</f>
        <v/>
      </c>
      <c r="J328" s="262" t="str">
        <f>""</f>
        <v/>
      </c>
      <c r="K328" s="262" t="str">
        <f>""</f>
        <v/>
      </c>
      <c r="L328" s="262">
        <f>IFERROR(IF(AND(COUNT(I63,J63,K63,L63)=4,(I63+J63+K63+L63)&lt;&gt;0),(N(L206)+N(L207)+N(L208)+N(L211)+N(L229)+N(L232))/(I63+J63+K63+L63),""),"")</f>
        <v>0</v>
      </c>
      <c r="M328" s="262">
        <f>IFERROR(IF(AND(COUNT(I63,J63,K63,L63)=4,(I63+J63+K63+L63)&lt;&gt;0),(N(M206)+N(M207)+N(M208)+N(M211)+N(M229)+N(M232))/(I63+J63+K63+L63),""),"")</f>
        <v>0</v>
      </c>
      <c r="N328" s="262">
        <f>IFERROR(IF(AND(COUNT(J63,K63,L63,N63)=4,(J63+K63+L63+N63)&lt;&gt;0),(N(N206)+N(N207)+N(N208)+N(N211)+N(N229)+N(N232))/(J63+K63+L63+N63),""),"")</f>
        <v>0</v>
      </c>
      <c r="O328" s="262">
        <f>IFERROR(IF(AND(COUNT(K63,L63,N63,O63)=4,(K63+L63+N63+O63)&lt;&gt;0),(N(O206)+N(O207)+N(O208)+N(O211)+N(O229)+N(O232))/(K63+L63+N63+O63),""),"")</f>
        <v>0</v>
      </c>
      <c r="P328" s="262">
        <f>IFERROR(IF(AND(COUNT(L63,N63,O63,P63)=4,(L63+N63+O63+P63)&lt;&gt;0),(N(P206)+N(P207)+N(P208)+N(P211)+N(P229)+N(P232))/(L63+N63+O63+P63),""),"")</f>
        <v>0</v>
      </c>
      <c r="Q328" s="262">
        <f>IFERROR(IF(AND(COUNT(N63,O63,P63,Q63)=4,(N63+O63+P63+Q63)&lt;&gt;0),(N(Q206)+N(Q207)+N(Q208)+N(Q211)+N(Q229)+N(Q232))/(N63+O63+P63+Q63),""),"")</f>
        <v>0</v>
      </c>
      <c r="R328" s="262">
        <f>IFERROR(IF(AND(COUNT(N63,O63,P63,Q63)=4,(N63+O63+P63+Q63)&lt;&gt;0),(N(R206)+N(R207)+N(R208)+N(R211)+N(R229)+N(R232))/(N63+O63+P63+Q63),""),"")</f>
        <v>0</v>
      </c>
      <c r="S328" s="262">
        <f>IFERROR(IF(AND(COUNT(O63,P63,Q63,S63)=4,(O63+P63+Q63+S63)&lt;&gt;0),(N(S206)+N(S207)+N(S208)+N(S211)+N(S229)+N(S232))/(O63+P63+Q63+S63),""),"")</f>
        <v>0</v>
      </c>
      <c r="T328" s="262">
        <f>IFERROR(IF(AND(COUNT(P63,Q63,S63,T63)=4,(P63+Q63+S63+T63)&lt;&gt;0),(N(T206)+N(T207)+N(T208)+N(T211)+N(T229)+N(T232))/(P63+Q63+S63+T63),""),"")</f>
        <v>0</v>
      </c>
      <c r="U328" s="262">
        <f>IFERROR(IF(AND(COUNT(Q63,S63,T63,U63)=4,(Q63+S63+T63+U63)&lt;&gt;0),(N(U206)+N(U207)+N(U208)+N(U211)+N(U229)+N(U232))/(Q63+S63+T63+U63),""),"")</f>
        <v>0</v>
      </c>
      <c r="V328" s="262">
        <f>IFERROR(IF(AND(COUNT(S63,T63,U63,V63)=4,(S63+T63+U63+V63)&lt;&gt;0),(N(V206)+N(V207)+N(V208)+N(V211)+N(V229)+N(V232))/(S63+T63+U63+V63),""),"")</f>
        <v>0</v>
      </c>
      <c r="W328" s="262">
        <f>IFERROR(IF(AND(COUNT(S63,T63,U63,V63)=4,(S63+T63+U63+V63)&lt;&gt;0),(N(W206)+N(W207)+N(W208)+N(W211)+N(W229)+N(W232))/(S63+T63+U63+V63),""),"")</f>
        <v>0</v>
      </c>
      <c r="X328" s="262">
        <f>IFERROR(IF(AND(COUNT(T63,U63,V63,X63)=4,(T63+U63+V63+X63)&lt;&gt;0),(N(X206)+N(X207)+N(X208)+N(X211)+N(X229)+N(X232))/(T63+U63+V63+X63),""),"")</f>
        <v>0</v>
      </c>
      <c r="Y328" s="262">
        <f>IFERROR(IF(AND(COUNT(U63,V63,X63,Y63)=4,(U63+V63+X63+Y63)&lt;&gt;0),(N(Y206)+N(Y207)+N(Y208)+N(Y211)+N(Y229)+N(Y232))/(U63+V63+X63+Y63),""),"")</f>
        <v>0</v>
      </c>
      <c r="Z328" s="262">
        <f>IFERROR(IF(AND(COUNT(V63,X63,Y63,Z63)=4,(V63+X63+Y63+Z63)&lt;&gt;0),(N(Z206)+N(Z207)+N(Z208)+N(Z211)+N(Z229)+N(Z232))/(V63+X63+Y63+Z63),""),"")</f>
        <v>0</v>
      </c>
      <c r="AA328" s="262">
        <f>IFERROR(IF(AND(COUNT(X63,Y63,Z63,AA63)=4,(X63+Y63+Z63+AA63)&lt;&gt;0),(N(AA206)+N(AA207)+N(AA208)+N(AA211)+N(AA229)+N(AA232))/(X63+Y63+Z63+AA63),""),"")</f>
        <v>0</v>
      </c>
      <c r="AB328" s="262">
        <f>IFERROR(IF(AND(COUNT(X63,Y63,Z63,AA63)=4,(X63+Y63+Z63+AA63)&lt;&gt;0),(N(AB206)+N(AB207)+N(AB208)+N(AB211)+N(AB229)+N(AB232))/(X63+Y63+Z63+AA63),""),"")</f>
        <v>0</v>
      </c>
      <c r="AC328" s="262">
        <f>IFERROR(IF(AND(COUNT(Y63,Z63,AA63,AC63)=4,(Y63+Z63+AA63+AC63)&lt;&gt;0),(N(AC206)+N(AC207)+N(AC208)+N(AC211)+N(AC229)+N(AC232))/(Y63+Z63+AA63+AC63),""),"")</f>
        <v>0</v>
      </c>
      <c r="AD328" s="262">
        <f>IFERROR(IF(AND(COUNT(Z63,AA63,AC63,AD63)=4,(Z63+AA63+AC63+AD63)&lt;&gt;0),(N(AD206)+N(AD207)+N(AD208)+N(AD211)+N(AD229)+N(AD232))/(Z63+AA63+AC63+AD63),""),"")</f>
        <v>0</v>
      </c>
      <c r="AE328" s="262">
        <f>IFERROR(IF(AND(COUNT(AA63,AC63,AD63,AE63)=4,(AA63+AC63+AD63+AE63)&lt;&gt;0),(N(AE206)+N(AE207)+N(AE208)+N(AE211)+N(AE229)+N(AE232))/(AA63+AC63+AD63+AE63),""),"")</f>
        <v>0</v>
      </c>
      <c r="AF328" s="262">
        <f>IFERROR(IF(AND(COUNT(AB63,AD63,AE63,AF63)=4,(AB63+AD63+AE63+AF63)&lt;&gt;0),(N(AF206)+N(AF207)+N(AF208)+N(AF211)+N(AF229)+N(AF232))/(AB63+AD63+AE63+AF63),""),"")</f>
        <v>0</v>
      </c>
      <c r="AG328" s="262">
        <f>IFERROR(IF(AND(COUNT(AC63,AD63,AE63,AF63)=4,(AC63+AD63+AE63+AF63)&lt;&gt;0),(N(AG206)+N(AG207)+N(AG208)+N(AG211)+N(AG229)+N(AG232))/(AC63+AD63+AE63+AF63),""),"")</f>
        <v>0</v>
      </c>
      <c r="AH328" s="262">
        <f>IFERROR(IF(AND(COUNT(AD63,AF63,AG63,AH63)=4,(AD63+AF63+AG63+AH63)&lt;&gt;0),(N(AH206)+N(AH207)+N(AH208)+N(AH211)+N(AH229)+N(AH232))/(AD63+AF63+AG63+AH63),""),"")</f>
        <v>0</v>
      </c>
      <c r="AI328" s="262">
        <f>IFERROR(IF(AND(COUNT(AE63,AG63,AH63,AI63)=4,(AE63+AG63+AH63+AI63)&lt;&gt;0),(N(AI206)+N(AI207)+N(AI208)+N(AI211)+N(AI229)+N(AI232))/(AE63+AG63+AH63+AI63),""),"")</f>
        <v>0</v>
      </c>
      <c r="AJ328" s="262">
        <f>IFERROR(IF(AND(COUNT(AF63,AH63,AI63,AJ63)=4,(AF63+AH63+AI63+AJ63)&lt;&gt;0),(N(AJ206)+N(AJ207)+N(AJ208)+N(AJ211)+N(AJ229)+N(AJ232))/(AF63+AH63+AI63+AJ63),""),"")</f>
        <v>0</v>
      </c>
      <c r="AK328" s="262">
        <f>IFERROR(IF(AND(COUNT(AH63,AI63,AJ63,AK63)=4,(AH63+AI63+AJ63+AK63)&lt;&gt;0),(N(AK206)+N(AK207)+N(AK208)+N(AK211)+N(AK229)+N(AK232))/(AH63+AI63+AJ63+AK63),""),"")</f>
        <v>0</v>
      </c>
      <c r="AL328" s="262">
        <f>IFERROR(IF(AND(COUNT(AH63,AI63,AJ63,AK63)=4,(AH63+AI63+AJ63+AK63)&lt;&gt;0),(N(AL206)+N(AL207)+N(AL208)+N(AL211)+N(AL229)+N(AL232))/(AH63+AI63+AJ63+AK63),""),"")</f>
        <v>0</v>
      </c>
      <c r="AM328" s="262">
        <f>IFERROR(IF(AND(COUNT(AI63,AJ63,AK63,AM63)=4,(AI63+AJ63+AK63+AM63)&lt;&gt;0),(N(AM206)+N(AM207)+N(AM208)+N(AM211)+N(AM229)+N(AM232))/(AI63+AJ63+AK63+AM63),""),"")</f>
        <v>0</v>
      </c>
      <c r="AN328" s="262">
        <f>IFERROR(IF(AND(COUNT(AJ63,AK63,AM63,AN63)=4,(AJ63+AK63+AM63+AN63)&lt;&gt;0),(N(AN206)+N(AN207)+N(AN208)+N(AN211)+N(AN229)+N(AN232))/(AJ63+AK63+AM63+AN63),""),"")</f>
        <v>0</v>
      </c>
      <c r="AO328" s="262">
        <f>IFERROR(IF(AND(COUNT(AK63,AM63,AN63,AO63)=4,(AK63+AM63+AN63+AO63)&lt;&gt;0),(N(AO206)+N(AO207)+N(AO208)+N(AO211)+N(AO229)+N(AO232))/(AK63+AM63+AN63+AO63),""),"")</f>
        <v>0</v>
      </c>
      <c r="AP328" s="262">
        <f>IFERROR(IF(AND(COUNT(AM63,AN63,AO63,AP63)=4,(AM63+AN63+AO63+AP63)&lt;&gt;0),(N(AP206)+N(AP207)+N(AP208)+N(AP211)+N(AP229)+N(AP232))/(AM63+AN63+AO63+AP63),""),"")</f>
        <v>0</v>
      </c>
      <c r="AQ328" s="262">
        <f>IFERROR(IF(AND(COUNT(AM63,AN63,AO63,AP63)=4,(AM63+AN63+AO63+AP63)&lt;&gt;0),(N(AQ206)+N(AQ207)+N(AQ208)+N(AQ211)+N(AQ229)+N(AQ232))/(AM63+AN63+AO63+AP63),""),"")</f>
        <v>0</v>
      </c>
      <c r="AR328" s="262">
        <f>IFERROR(IF(AND(COUNT(AN63,AO63,AP63,AR63)=4,(AN63+AO63+AP63+AR63)&lt;&gt;0),(N(AR206)+N(AR207)+N(AR208)+N(AR211)+N(AR229)+N(AR232))/(AN63+AO63+AP63+AR63),""),"")</f>
        <v>0</v>
      </c>
      <c r="AS328" s="262">
        <f>IFERROR(IF(AND(COUNT(AO63,AP63,AR63,AS63)=4,(AO63+AP63+AR63+AS63)&lt;&gt;0),(N(AS206)+N(AS207)+N(AS208)+N(AS211)+N(AS229)+N(AS232))/(AO63+AP63+AR63+AS63),""),"")</f>
        <v>0</v>
      </c>
      <c r="AT328" s="262">
        <f>IFERROR(IF(AND(COUNT(AP63,AR63,AS63,AT63)=4,(AP63+AR63+AS63+AT63)&lt;&gt;0),(N(AT206)+N(AT207)+N(AT208)+N(AT211)+N(AT229)+N(AT232))/(AP63+AR63+AS63+AT63),""),"")</f>
        <v>0</v>
      </c>
      <c r="AU328" s="262">
        <f>IFERROR(IF(AND(COUNT(AR63,AS63,AT63,AU63)=4,(AR63+AS63+AT63+AU63)&lt;&gt;0),(N(AU206)+N(AU207)+N(AU208)+N(AU211)+N(AU229)+N(AU232))/(AR63+AS63+AT63+AU63),""),"")</f>
        <v>0</v>
      </c>
      <c r="AV328" s="262">
        <f>IFERROR(IF(AND(COUNT(AR63,AS63,AT63,AU63)=4,(AR63+AS63+AT63+AU63)&lt;&gt;0),(N(AV206)+N(AV207)+N(AV208)+N(AV211)+N(AV229)+N(AV232))/(AR63+AS63+AT63+AU63),""),"")</f>
        <v>0</v>
      </c>
      <c r="AW328" s="262">
        <f>IFERROR(IF(AND(COUNT(AS63,AT63,AU63,AW63)=4,(AS63+AT63+AU63+AW63)&lt;&gt;0),(N(AW206)+N(AW207)+N(AW208)+N(AW211)+N(AW229)+N(AW232))/(AS63+AT63+AU63+AW63),""),"")</f>
        <v>0</v>
      </c>
      <c r="AX328" s="262">
        <f>IFERROR(IF(AND(COUNT(AT63,AU63,AW63,AX63)=4,(AT63+AU63+AW63+AX63)&lt;&gt;0),(N(AX206)+N(AX207)+N(AX208)+N(AX211)+N(AX229)+N(AX232))/(AT63+AU63+AW63+AX63),""),"")</f>
        <v>0</v>
      </c>
      <c r="AY328" s="262">
        <f>IFERROR(IF(AND(COUNT(AU63,AW63,AX63,AY63)=4,(AU63+AW63+AX63+AY63)&lt;&gt;0),(N(AY206)+N(AY207)+N(AY208)+N(AY211)+N(AY229)+N(AY232))/(AU63+AW63+AX63+AY63),""),"")</f>
        <v>0</v>
      </c>
      <c r="AZ328" s="262">
        <f>IFERROR(IF(AND(COUNT(AW63,AX63,AY63,AZ63)=4,(AW63+AX63+AY63+AZ63)&lt;&gt;0),(N(AZ206)+N(AZ207)+N(AZ208)+N(AZ211)+N(AZ229)+N(AZ232))/(AW63+AX63+AY63+AZ63),""),"")</f>
        <v>0</v>
      </c>
      <c r="BA328" s="262">
        <f>IFERROR(IF(AND(COUNT(AW63,AX63,AY63,AZ63)=4,(AW63+AX63+AY63+AZ63)&lt;&gt;0),(N(BA206)+N(BA207)+N(BA208)+N(BA211)+N(BA229)+N(BA232))/(AW63+AX63+AY63+AZ63),""),"")</f>
        <v>0</v>
      </c>
      <c r="BB328" s="262">
        <f>IFERROR(IF(AND(COUNT(AX63,AY63,AZ63,BB63)=4,(AX63+AY63+AZ63+BB63)&lt;&gt;0),(N(BB206)+N(BB207)+N(BB208)+N(BB211)+N(BB229)+N(BB232))/(AX63+AY63+AZ63+BB63),""),"")</f>
        <v>0</v>
      </c>
      <c r="BC328" s="262">
        <f>IFERROR(IF(AND(COUNT(AY63,AZ63,BB63,BC63)=4,(AY63+AZ63+BB63+BC63)&lt;&gt;0),(N(BC206)+N(BC207)+N(BC208)+N(BC211)+N(BC229)+N(BC232))/(AY63+AZ63+BB63+BC63),""),"")</f>
        <v>0</v>
      </c>
      <c r="BD328" s="262">
        <f>IFERROR(IF(AND(COUNT(AZ63,BB63,BC63,BD63)=4,(AZ63+BB63+BC63+BD63)&lt;&gt;0),(N(BD206)+N(BD207)+N(BD208)+N(BD211)+N(BD229)+N(BD232))/(AZ63+BB63+BC63+BD63),""),"")</f>
        <v>0</v>
      </c>
      <c r="BE328" s="262">
        <f>IFERROR(IF(AND(COUNT(BB63,BC63,BD63,BE63)=4,(BB63+BC63+BD63+BE63)&lt;&gt;0),(N(BE206)+N(BE207)+N(BE208)+N(BE211)+N(BE229)+N(BE232))/(BB63+BC63+BD63+BE63),""),"")</f>
        <v>0</v>
      </c>
      <c r="BF328" s="262">
        <f>IFERROR(IF(AND(COUNT(BB63,BC63,BD63,BE63)=4,(BB63+BC63+BD63+BE63)&lt;&gt;0),(N(BF206)+N(BF207)+N(BF208)+N(BF211)+N(BF229)+N(BF232))/(BB63+BC63+BD63+BE63),""),"")</f>
        <v>0</v>
      </c>
      <c r="BG328" s="82" t="n"/>
      <c r="BH328" s="82" t="n"/>
      <c r="BI328" s="82" t="n"/>
      <c r="BJ328" s="82" t="n"/>
      <c r="BL328" s="82" t="n"/>
      <c r="BM328" s="82" t="n"/>
      <c r="BN328" s="82" t="n"/>
      <c r="BO328" s="82" t="n"/>
      <c r="BQ328" s="82" t="n"/>
      <c r="BR328" s="82" t="n"/>
      <c r="BS328" s="82" t="n"/>
      <c r="BT328" s="82" t="n"/>
      <c r="BV328" s="82" t="n"/>
      <c r="BW328" s="82" t="n"/>
      <c r="BX328" s="82" t="n"/>
      <c r="BY328" s="82" t="n"/>
      <c r="CA328" s="82" t="n"/>
      <c r="CB328" s="82" t="n"/>
      <c r="CC328" s="82" t="n"/>
      <c r="CD328" s="82" t="n"/>
      <c r="CF328" s="82" t="n"/>
      <c r="CG328" s="82" t="n"/>
      <c r="CH328" s="82" t="n"/>
      <c r="CI328" s="82" t="n"/>
      <c r="CK328" s="82" t="n"/>
      <c r="CL328" s="82" t="n"/>
      <c r="CM328" s="82" t="n"/>
      <c r="CN328" s="82" t="n"/>
      <c r="CP328" s="82" t="n"/>
      <c r="CQ328" s="82" t="n"/>
      <c r="CR328" s="82" t="n"/>
      <c r="CS328" s="82" t="n"/>
      <c r="CU328" s="82" t="n"/>
      <c r="CV328" s="82" t="n"/>
      <c r="CW328" s="82" t="n"/>
      <c r="CX328" s="82" t="n"/>
    </row>
    <row r="329" customFormat="1" s="77">
      <c r="A329" s="76" t="n"/>
      <c r="B329" s="76" t="n"/>
      <c r="C329" s="77" t="inlineStr">
        <is>
          <t>TOTAL DEBT / TOTAL CAPITALIZATION</t>
        </is>
      </c>
      <c r="D329" s="80" t="str">
        <f>IFERROR(SUM(D206+D207+D208+D211+D229+D232)/(SUM(D206+D207+D208+D211+D229+D232)+D265),"")</f>
        <v/>
      </c>
      <c r="E329" s="80" t="str">
        <f>IFERROR(SUM(E206+E207+E208+E211+E229+E232)/(SUM(E206+E207+E208+E211+E229+E232)+E265),"")</f>
        <v/>
      </c>
      <c r="F329" s="80" t="str">
        <f>IFERROR(SUM(F206+F207+F208+F211+F229+F232)/(SUM(F206+F207+F208+F211+F229+F232)+F265),"")</f>
        <v/>
      </c>
      <c r="G329" s="80" t="str">
        <f>IFERROR(SUM(G206+G207+G208+G211+G229+G232)/(SUM(G206+G207+G208+G211+G229+G232)+G265),"")</f>
        <v/>
      </c>
      <c r="H329" s="258" t="str">
        <f>IFERROR(IF(((N(H206)+N(H207)+N(H208)+N(H211)+N(H229)+N(H232))+N(H265))&lt;&gt;0,(N(H206)+N(H207)+N(H208)+N(H211)+N(H229)+N(H232))/((N(H206)+N(H207)+N(H208)+N(H211)+N(H229)+N(H232))+H265),""),"")</f>
        <v/>
      </c>
      <c r="I329" s="258">
        <f>IFERROR(IF(((N(I206)+N(I207)+N(I208)+N(I211)+N(I229)+N(I232))+N(I265))&lt;&gt;0,(N(I206)+N(I207)+N(I208)+N(I211)+N(I229)+N(I232))/((N(I206)+N(I207)+N(I208)+N(I211)+N(I229)+N(I232))+I265),""),"")</f>
        <v>0</v>
      </c>
      <c r="J329" s="258">
        <f>IFERROR(IF(((N(J206)+N(J207)+N(J208)+N(J211)+N(J229)+N(J232))+N(J265))&lt;&gt;0,(N(J206)+N(J207)+N(J208)+N(J211)+N(J229)+N(J232))/((N(J206)+N(J207)+N(J208)+N(J211)+N(J229)+N(J232))+J265),""),"")</f>
        <v>0</v>
      </c>
      <c r="K329" s="258">
        <f>IFERROR(IF(((N(K206)+N(K207)+N(K208)+N(K211)+N(K229)+N(K232))+N(K265))&lt;&gt;0,(N(K206)+N(K207)+N(K208)+N(K211)+N(K229)+N(K232))/((N(K206)+N(K207)+N(K208)+N(K211)+N(K229)+N(K232))+K265),""),"")</f>
        <v>0</v>
      </c>
      <c r="L329" s="258">
        <f>IFERROR(IF(((N(L206)+N(L207)+N(L208)+N(L211)+N(L229)+N(L232))+N(L265))&lt;&gt;0,(N(L206)+N(L207)+N(L208)+N(L211)+N(L229)+N(L232))/((N(L206)+N(L207)+N(L208)+N(L211)+N(L229)+N(L232))+L265),""),"")</f>
        <v>0</v>
      </c>
      <c r="M329" s="258">
        <f>IFERROR(IF(((N(M206)+N(M207)+N(M208)+N(M211)+N(M229)+N(M232))+N(M265))&lt;&gt;0,(N(M206)+N(M207)+N(M208)+N(M211)+N(M229)+N(M232))/((N(M206)+N(M207)+N(M208)+N(M211)+N(M229)+N(M232))+M265),""),"")</f>
        <v>0</v>
      </c>
      <c r="N329" s="258">
        <f>IFERROR(IF(((N(N206)+N(N207)+N(N208)+N(N211)+N(N229)+N(N232))+N(N265))&lt;&gt;0,(N(N206)+N(N207)+N(N208)+N(N211)+N(N229)+N(N232))/((N(N206)+N(N207)+N(N208)+N(N211)+N(N229)+N(N232))+N265),""),"")</f>
        <v>0</v>
      </c>
      <c r="O329" s="258">
        <f>IFERROR(IF(((N(O206)+N(O207)+N(O208)+N(O211)+N(O229)+N(O232))+N(O265))&lt;&gt;0,(N(O206)+N(O207)+N(O208)+N(O211)+N(O229)+N(O232))/((N(O206)+N(O207)+N(O208)+N(O211)+N(O229)+N(O232))+O265),""),"")</f>
        <v>0</v>
      </c>
      <c r="P329" s="258">
        <f>IFERROR(IF(((N(P206)+N(P207)+N(P208)+N(P211)+N(P229)+N(P232))+N(P265))&lt;&gt;0,(N(P206)+N(P207)+N(P208)+N(P211)+N(P229)+N(P232))/((N(P206)+N(P207)+N(P208)+N(P211)+N(P229)+N(P232))+P265),""),"")</f>
        <v>0</v>
      </c>
      <c r="Q329" s="258">
        <f>IFERROR(IF(((N(Q206)+N(Q207)+N(Q208)+N(Q211)+N(Q229)+N(Q232))+N(Q265))&lt;&gt;0,(N(Q206)+N(Q207)+N(Q208)+N(Q211)+N(Q229)+N(Q232))/((N(Q206)+N(Q207)+N(Q208)+N(Q211)+N(Q229)+N(Q232))+Q265),""),"")</f>
        <v>0</v>
      </c>
      <c r="R329" s="258">
        <f>IFERROR(IF(((N(R206)+N(R207)+N(R208)+N(R211)+N(R229)+N(R232))+N(R265))&lt;&gt;0,(N(R206)+N(R207)+N(R208)+N(R211)+N(R229)+N(R232))/((N(R206)+N(R207)+N(R208)+N(R211)+N(R229)+N(R232))+R265),""),"")</f>
        <v>0</v>
      </c>
      <c r="S329" s="258">
        <f>IFERROR(IF(((N(S206)+N(S207)+N(S208)+N(S211)+N(S229)+N(S232))+N(S265))&lt;&gt;0,(N(S206)+N(S207)+N(S208)+N(S211)+N(S229)+N(S232))/((N(S206)+N(S207)+N(S208)+N(S211)+N(S229)+N(S232))+S265),""),"")</f>
        <v>0</v>
      </c>
      <c r="T329" s="258">
        <f>IFERROR(IF(((N(T206)+N(T207)+N(T208)+N(T211)+N(T229)+N(T232))+N(T265))&lt;&gt;0,(N(T206)+N(T207)+N(T208)+N(T211)+N(T229)+N(T232))/((N(T206)+N(T207)+N(T208)+N(T211)+N(T229)+N(T232))+T265),""),"")</f>
        <v>0</v>
      </c>
      <c r="U329" s="258">
        <f>IFERROR(IF(((N(U206)+N(U207)+N(U208)+N(U211)+N(U229)+N(U232))+N(U265))&lt;&gt;0,(N(U206)+N(U207)+N(U208)+N(U211)+N(U229)+N(U232))/((N(U206)+N(U207)+N(U208)+N(U211)+N(U229)+N(U232))+U265),""),"")</f>
        <v>0</v>
      </c>
      <c r="V329" s="258">
        <f>IFERROR(IF(((N(V206)+N(V207)+N(V208)+N(V211)+N(V229)+N(V232))+N(V265))&lt;&gt;0,(N(V206)+N(V207)+N(V208)+N(V211)+N(V229)+N(V232))/((N(V206)+N(V207)+N(V208)+N(V211)+N(V229)+N(V232))+V265),""),"")</f>
        <v>0</v>
      </c>
      <c r="W329" s="258">
        <f>IFERROR(IF(((N(W206)+N(W207)+N(W208)+N(W211)+N(W229)+N(W232))+N(W265))&lt;&gt;0,(N(W206)+N(W207)+N(W208)+N(W211)+N(W229)+N(W232))/((N(W206)+N(W207)+N(W208)+N(W211)+N(W229)+N(W232))+W265),""),"")</f>
        <v>0</v>
      </c>
      <c r="X329" s="258">
        <f>IFERROR(IF(((N(X206)+N(X207)+N(X208)+N(X211)+N(X229)+N(X232))+N(X265))&lt;&gt;0,(N(X206)+N(X207)+N(X208)+N(X211)+N(X229)+N(X232))/((N(X206)+N(X207)+N(X208)+N(X211)+N(X229)+N(X232))+X265),""),"")</f>
        <v>0</v>
      </c>
      <c r="Y329" s="258">
        <f>IFERROR(IF(((N(Y206)+N(Y207)+N(Y208)+N(Y211)+N(Y229)+N(Y232))+N(Y265))&lt;&gt;0,(N(Y206)+N(Y207)+N(Y208)+N(Y211)+N(Y229)+N(Y232))/((N(Y206)+N(Y207)+N(Y208)+N(Y211)+N(Y229)+N(Y232))+Y265),""),"")</f>
        <v>0</v>
      </c>
      <c r="Z329" s="258">
        <f>IFERROR(IF(((N(Z206)+N(Z207)+N(Z208)+N(Z211)+N(Z229)+N(Z232))+N(Z265))&lt;&gt;0,(N(Z206)+N(Z207)+N(Z208)+N(Z211)+N(Z229)+N(Z232))/((N(Z206)+N(Z207)+N(Z208)+N(Z211)+N(Z229)+N(Z232))+Z265),""),"")</f>
        <v>0</v>
      </c>
      <c r="AA329" s="258">
        <f>IFERROR(IF(((N(AA206)+N(AA207)+N(AA208)+N(AA211)+N(AA229)+N(AA232))+N(AA265))&lt;&gt;0,(N(AA206)+N(AA207)+N(AA208)+N(AA211)+N(AA229)+N(AA232))/((N(AA206)+N(AA207)+N(AA208)+N(AA211)+N(AA229)+N(AA232))+AA265),""),"")</f>
        <v>0</v>
      </c>
      <c r="AB329" s="258">
        <f>IFERROR(IF(((N(AB206)+N(AB207)+N(AB208)+N(AB211)+N(AB229)+N(AB232))+N(AB265))&lt;&gt;0,(N(AB206)+N(AB207)+N(AB208)+N(AB211)+N(AB229)+N(AB232))/((N(AB206)+N(AB207)+N(AB208)+N(AB211)+N(AB229)+N(AB232))+AB265),""),"")</f>
        <v>0</v>
      </c>
      <c r="AC329" s="258">
        <f>IFERROR(IF(((N(AC206)+N(AC207)+N(AC208)+N(AC211)+N(AC229)+N(AC232))+N(AC265))&lt;&gt;0,(N(AC206)+N(AC207)+N(AC208)+N(AC211)+N(AC229)+N(AC232))/((N(AC206)+N(AC207)+N(AC208)+N(AC211)+N(AC229)+N(AC232))+AC265),""),"")</f>
        <v>0</v>
      </c>
      <c r="AD329" s="258">
        <f>IFERROR(IF(((N(AD206)+N(AD207)+N(AD208)+N(AD211)+N(AD229)+N(AD232))+N(AD265))&lt;&gt;0,(N(AD206)+N(AD207)+N(AD208)+N(AD211)+N(AD229)+N(AD232))/((N(AD206)+N(AD207)+N(AD208)+N(AD211)+N(AD229)+N(AD232))+AD265),""),"")</f>
        <v>0</v>
      </c>
      <c r="AE329" s="258">
        <f>IFERROR(IF(((N(AE206)+N(AE207)+N(AE208)+N(AE211)+N(AE229)+N(AE232))+N(AE265))&lt;&gt;0,(N(AE206)+N(AE207)+N(AE208)+N(AE211)+N(AE229)+N(AE232))/((N(AE206)+N(AE207)+N(AE208)+N(AE211)+N(AE229)+N(AE232))+AE265),""),"")</f>
        <v>0</v>
      </c>
      <c r="AF329" s="258">
        <f>IFERROR(IF(((N(AF206)+N(AF207)+N(AF208)+N(AF211)+N(AF229)+N(AF232))+N(AF265))&lt;&gt;0,(N(AF206)+N(AF207)+N(AF208)+N(AF211)+N(AF229)+N(AF232))/((N(AF206)+N(AF207)+N(AF208)+N(AF211)+N(AF229)+N(AF232))+AF265),""),"")</f>
        <v>0</v>
      </c>
      <c r="AG329" s="258">
        <f>IFERROR(IF(((N(AG206)+N(AG207)+N(AG208)+N(AG211)+N(AG229)+N(AG232))+N(AG265))&lt;&gt;0,(N(AG206)+N(AG207)+N(AG208)+N(AG211)+N(AG229)+N(AG232))/((N(AG206)+N(AG207)+N(AG208)+N(AG211)+N(AG229)+N(AG232))+AG265),""),"")</f>
        <v>0</v>
      </c>
      <c r="AH329" s="258">
        <f>IFERROR(IF(((N(AH206)+N(AH207)+N(AH208)+N(AH211)+N(AH229)+N(AH232))+N(AH265))&lt;&gt;0,(N(AH206)+N(AH207)+N(AH208)+N(AH211)+N(AH229)+N(AH232))/((N(AH206)+N(AH207)+N(AH208)+N(AH211)+N(AH229)+N(AH232))+AH265),""),"")</f>
        <v>0</v>
      </c>
      <c r="AI329" s="258">
        <f>IFERROR(IF(((N(AI206)+N(AI207)+N(AI208)+N(AI211)+N(AI229)+N(AI232))+N(AI265))&lt;&gt;0,(N(AI206)+N(AI207)+N(AI208)+N(AI211)+N(AI229)+N(AI232))/((N(AI206)+N(AI207)+N(AI208)+N(AI211)+N(AI229)+N(AI232))+AI265),""),"")</f>
        <v>0</v>
      </c>
      <c r="AJ329" s="258">
        <f>IFERROR(IF(((N(AJ206)+N(AJ207)+N(AJ208)+N(AJ211)+N(AJ229)+N(AJ232))+N(AJ265))&lt;&gt;0,(N(AJ206)+N(AJ207)+N(AJ208)+N(AJ211)+N(AJ229)+N(AJ232))/((N(AJ206)+N(AJ207)+N(AJ208)+N(AJ211)+N(AJ229)+N(AJ232))+AJ265),""),"")</f>
        <v>0</v>
      </c>
      <c r="AK329" s="258">
        <f>IFERROR(IF(((N(AK206)+N(AK207)+N(AK208)+N(AK211)+N(AK229)+N(AK232))+N(AK265))&lt;&gt;0,(N(AK206)+N(AK207)+N(AK208)+N(AK211)+N(AK229)+N(AK232))/((N(AK206)+N(AK207)+N(AK208)+N(AK211)+N(AK229)+N(AK232))+AK265),""),"")</f>
        <v>0</v>
      </c>
      <c r="AL329" s="258">
        <f>IFERROR(IF(((N(AL206)+N(AL207)+N(AL208)+N(AL211)+N(AL229)+N(AL232))+N(AL265))&lt;&gt;0,(N(AL206)+N(AL207)+N(AL208)+N(AL211)+N(AL229)+N(AL232))/((N(AL206)+N(AL207)+N(AL208)+N(AL211)+N(AL229)+N(AL232))+AL265),""),"")</f>
        <v>0</v>
      </c>
      <c r="AM329" s="258">
        <f>IFERROR(IF(((N(AM206)+N(AM207)+N(AM208)+N(AM211)+N(AM229)+N(AM232))+N(AM265))&lt;&gt;0,(N(AM206)+N(AM207)+N(AM208)+N(AM211)+N(AM229)+N(AM232))/((N(AM206)+N(AM207)+N(AM208)+N(AM211)+N(AM229)+N(AM232))+AM265),""),"")</f>
        <v>0</v>
      </c>
      <c r="AN329" s="258">
        <f>IFERROR(IF(((N(AN206)+N(AN207)+N(AN208)+N(AN211)+N(AN229)+N(AN232))+N(AN265))&lt;&gt;0,(N(AN206)+N(AN207)+N(AN208)+N(AN211)+N(AN229)+N(AN232))/((N(AN206)+N(AN207)+N(AN208)+N(AN211)+N(AN229)+N(AN232))+AN265),""),"")</f>
        <v>0</v>
      </c>
      <c r="AO329" s="258">
        <f>IFERROR(IF(((N(AO206)+N(AO207)+N(AO208)+N(AO211)+N(AO229)+N(AO232))+N(AO265))&lt;&gt;0,(N(AO206)+N(AO207)+N(AO208)+N(AO211)+N(AO229)+N(AO232))/((N(AO206)+N(AO207)+N(AO208)+N(AO211)+N(AO229)+N(AO232))+AO265),""),"")</f>
        <v>0</v>
      </c>
      <c r="AP329" s="258">
        <f>IFERROR(IF(((N(AP206)+N(AP207)+N(AP208)+N(AP211)+N(AP229)+N(AP232))+N(AP265))&lt;&gt;0,(N(AP206)+N(AP207)+N(AP208)+N(AP211)+N(AP229)+N(AP232))/((N(AP206)+N(AP207)+N(AP208)+N(AP211)+N(AP229)+N(AP232))+AP265),""),"")</f>
        <v>0</v>
      </c>
      <c r="AQ329" s="258">
        <f>IFERROR(IF(((N(AQ206)+N(AQ207)+N(AQ208)+N(AQ211)+N(AQ229)+N(AQ232))+N(AQ265))&lt;&gt;0,(N(AQ206)+N(AQ207)+N(AQ208)+N(AQ211)+N(AQ229)+N(AQ232))/((N(AQ206)+N(AQ207)+N(AQ208)+N(AQ211)+N(AQ229)+N(AQ232))+AQ265),""),"")</f>
        <v>0</v>
      </c>
      <c r="AR329" s="258">
        <f>IFERROR(IF(((N(AR206)+N(AR207)+N(AR208)+N(AR211)+N(AR229)+N(AR232))+N(AR265))&lt;&gt;0,(N(AR206)+N(AR207)+N(AR208)+N(AR211)+N(AR229)+N(AR232))/((N(AR206)+N(AR207)+N(AR208)+N(AR211)+N(AR229)+N(AR232))+AR265),""),"")</f>
        <v>0</v>
      </c>
      <c r="AS329" s="258">
        <f>IFERROR(IF(((N(AS206)+N(AS207)+N(AS208)+N(AS211)+N(AS229)+N(AS232))+N(AS265))&lt;&gt;0,(N(AS206)+N(AS207)+N(AS208)+N(AS211)+N(AS229)+N(AS232))/((N(AS206)+N(AS207)+N(AS208)+N(AS211)+N(AS229)+N(AS232))+AS265),""),"")</f>
        <v>0</v>
      </c>
      <c r="AT329" s="258">
        <f>IFERROR(IF(((N(AT206)+N(AT207)+N(AT208)+N(AT211)+N(AT229)+N(AT232))+N(AT265))&lt;&gt;0,(N(AT206)+N(AT207)+N(AT208)+N(AT211)+N(AT229)+N(AT232))/((N(AT206)+N(AT207)+N(AT208)+N(AT211)+N(AT229)+N(AT232))+AT265),""),"")</f>
        <v>0</v>
      </c>
      <c r="AU329" s="258">
        <f>IFERROR(IF(((N(AU206)+N(AU207)+N(AU208)+N(AU211)+N(AU229)+N(AU232))+N(AU265))&lt;&gt;0,(N(AU206)+N(AU207)+N(AU208)+N(AU211)+N(AU229)+N(AU232))/((N(AU206)+N(AU207)+N(AU208)+N(AU211)+N(AU229)+N(AU232))+AU265),""),"")</f>
        <v>0</v>
      </c>
      <c r="AV329" s="258">
        <f>IFERROR(IF(((N(AV206)+N(AV207)+N(AV208)+N(AV211)+N(AV229)+N(AV232))+N(AV265))&lt;&gt;0,(N(AV206)+N(AV207)+N(AV208)+N(AV211)+N(AV229)+N(AV232))/((N(AV206)+N(AV207)+N(AV208)+N(AV211)+N(AV229)+N(AV232))+AV265),""),"")</f>
        <v>0</v>
      </c>
      <c r="AW329" s="258">
        <f>IFERROR(IF(((N(AW206)+N(AW207)+N(AW208)+N(AW211)+N(AW229)+N(AW232))+N(AW265))&lt;&gt;0,(N(AW206)+N(AW207)+N(AW208)+N(AW211)+N(AW229)+N(AW232))/((N(AW206)+N(AW207)+N(AW208)+N(AW211)+N(AW229)+N(AW232))+AW265),""),"")</f>
        <v>0</v>
      </c>
      <c r="AX329" s="258">
        <f>IFERROR(IF(((N(AX206)+N(AX207)+N(AX208)+N(AX211)+N(AX229)+N(AX232))+N(AX265))&lt;&gt;0,(N(AX206)+N(AX207)+N(AX208)+N(AX211)+N(AX229)+N(AX232))/((N(AX206)+N(AX207)+N(AX208)+N(AX211)+N(AX229)+N(AX232))+AX265),""),"")</f>
        <v>0</v>
      </c>
      <c r="AY329" s="258">
        <f>IFERROR(IF(((N(AY206)+N(AY207)+N(AY208)+N(AY211)+N(AY229)+N(AY232))+N(AY265))&lt;&gt;0,(N(AY206)+N(AY207)+N(AY208)+N(AY211)+N(AY229)+N(AY232))/((N(AY206)+N(AY207)+N(AY208)+N(AY211)+N(AY229)+N(AY232))+AY265),""),"")</f>
        <v>0</v>
      </c>
      <c r="AZ329" s="258">
        <f>IFERROR(IF(((N(AZ206)+N(AZ207)+N(AZ208)+N(AZ211)+N(AZ229)+N(AZ232))+N(AZ265))&lt;&gt;0,(N(AZ206)+N(AZ207)+N(AZ208)+N(AZ211)+N(AZ229)+N(AZ232))/((N(AZ206)+N(AZ207)+N(AZ208)+N(AZ211)+N(AZ229)+N(AZ232))+AZ265),""),"")</f>
        <v>0</v>
      </c>
      <c r="BA329" s="258">
        <f>IFERROR(IF(((N(BA206)+N(BA207)+N(BA208)+N(BA211)+N(BA229)+N(BA232))+N(BA265))&lt;&gt;0,(N(BA206)+N(BA207)+N(BA208)+N(BA211)+N(BA229)+N(BA232))/((N(BA206)+N(BA207)+N(BA208)+N(BA211)+N(BA229)+N(BA232))+BA265),""),"")</f>
        <v>0</v>
      </c>
      <c r="BB329" s="258">
        <f>IFERROR(IF(((N(BB206)+N(BB207)+N(BB208)+N(BB211)+N(BB229)+N(BB232))+N(BB265))&lt;&gt;0,(N(BB206)+N(BB207)+N(BB208)+N(BB211)+N(BB229)+N(BB232))/((N(BB206)+N(BB207)+N(BB208)+N(BB211)+N(BB229)+N(BB232))+BB265),""),"")</f>
        <v>0</v>
      </c>
      <c r="BC329" s="258">
        <f>IFERROR(IF(((N(BC206)+N(BC207)+N(BC208)+N(BC211)+N(BC229)+N(BC232))+N(BC265))&lt;&gt;0,(N(BC206)+N(BC207)+N(BC208)+N(BC211)+N(BC229)+N(BC232))/((N(BC206)+N(BC207)+N(BC208)+N(BC211)+N(BC229)+N(BC232))+BC265),""),"")</f>
        <v>0</v>
      </c>
      <c r="BD329" s="258">
        <f>IFERROR(IF(((N(BD206)+N(BD207)+N(BD208)+N(BD211)+N(BD229)+N(BD232))+N(BD265))&lt;&gt;0,(N(BD206)+N(BD207)+N(BD208)+N(BD211)+N(BD229)+N(BD232))/((N(BD206)+N(BD207)+N(BD208)+N(BD211)+N(BD229)+N(BD232))+BD265),""),"")</f>
        <v>0</v>
      </c>
      <c r="BE329" s="258">
        <f>IFERROR(IF(((N(BE206)+N(BE207)+N(BE208)+N(BE211)+N(BE229)+N(BE232))+N(BE265))&lt;&gt;0,(N(BE206)+N(BE207)+N(BE208)+N(BE211)+N(BE229)+N(BE232))/((N(BE206)+N(BE207)+N(BE208)+N(BE211)+N(BE229)+N(BE232))+BE265),""),"")</f>
        <v>0</v>
      </c>
      <c r="BF329" s="258">
        <f>IFERROR(IF(((N(BF206)+N(BF207)+N(BF208)+N(BF211)+N(BF229)+N(BF232))+N(BF265))&lt;&gt;0,(N(BF206)+N(BF207)+N(BF208)+N(BF211)+N(BF229)+N(BF232))/((N(BF206)+N(BF207)+N(BF208)+N(BF211)+N(BF229)+N(BF232))+BF265),""),"")</f>
        <v>0</v>
      </c>
      <c r="BG329" s="80" t="n"/>
      <c r="BH329" s="80" t="n"/>
      <c r="BI329" s="80" t="n"/>
      <c r="BJ329" s="80" t="n"/>
      <c r="BL329" s="80" t="n"/>
      <c r="BM329" s="80" t="n"/>
      <c r="BN329" s="80" t="n"/>
      <c r="BO329" s="80" t="n"/>
      <c r="BQ329" s="80" t="n"/>
      <c r="BR329" s="80" t="n"/>
      <c r="BS329" s="80" t="n"/>
      <c r="BT329" s="80" t="n"/>
      <c r="BV329" s="80" t="n"/>
      <c r="BW329" s="80" t="n"/>
      <c r="BX329" s="80" t="n"/>
      <c r="BY329" s="80" t="n"/>
      <c r="CA329" s="80" t="n"/>
      <c r="CB329" s="80" t="n"/>
      <c r="CC329" s="80" t="n"/>
      <c r="CD329" s="80" t="n"/>
      <c r="CF329" s="80" t="n"/>
      <c r="CG329" s="80" t="n"/>
      <c r="CH329" s="80" t="n"/>
      <c r="CI329" s="80" t="n"/>
      <c r="CK329" s="80" t="n"/>
      <c r="CL329" s="80" t="n"/>
      <c r="CM329" s="80" t="n"/>
      <c r="CN329" s="80" t="n"/>
      <c r="CP329" s="80" t="n"/>
      <c r="CQ329" s="80" t="n"/>
      <c r="CR329" s="80" t="n"/>
      <c r="CS329" s="80" t="n"/>
      <c r="CU329" s="80" t="n"/>
      <c r="CV329" s="80" t="n"/>
      <c r="CW329" s="80" t="n"/>
      <c r="CX329" s="80" t="n"/>
    </row>
    <row r="330" customFormat="1" s="77">
      <c r="A330" s="76" t="n"/>
      <c r="B330" s="76" t="n"/>
      <c r="C330" s="77" t="inlineStr">
        <is>
          <t>NET DEBT / EBITDA (LTM)</t>
        </is>
      </c>
      <c r="D330" s="82" t="str">
        <f>IFERROR(SUM((D206+D207+D208+D211+D229)-D138)/(D63*4),"")</f>
        <v/>
      </c>
      <c r="E330" s="82" t="str">
        <f>IFERROR(SUM((E206+E207+E208+E211+E229)-E138)/(E63*4),"")</f>
        <v/>
      </c>
      <c r="F330" s="82" t="str">
        <f>IFERROR(SUM((F206+F207+F208+F211+F229)-F138)/(F63*4),"")</f>
        <v/>
      </c>
      <c r="G330" s="82" t="str">
        <f>IFERROR(SUM((G206+G207+G208+G211+G229)-G138)/(G63*4),"")</f>
        <v/>
      </c>
      <c r="H330" s="262" t="str">
        <f>IFERROR(IF(AND(COUNT(H63)=1,(H63)&lt;&gt;0),((N(H206)+N(H207)+N(H208)+N(H211)+N(H229)+N(H232))-N(H138))/(H63),""),"")</f>
        <v/>
      </c>
      <c r="I330" s="262" t="str">
        <f>""</f>
        <v/>
      </c>
      <c r="J330" s="262" t="str">
        <f>""</f>
        <v/>
      </c>
      <c r="K330" s="262" t="str">
        <f>""</f>
        <v/>
      </c>
      <c r="L330" s="262">
        <f>IFERROR(IF(AND(COUNT(I63,J63,K63,L63)=4,(I63+J63+K63+L63)&lt;&gt;0),((N(L206)+N(L207)+N(L208)+N(L211)+N(L229)+N(L232))-N(L138))/(I63+J63+K63+L63),""),"")</f>
        <v>-1.87693449226203</v>
      </c>
      <c r="M330" s="262">
        <f>IFERROR(IF(AND(COUNT(I63,J63,K63,L63)=4,(I63+J63+K63+L63)&lt;&gt;0),((N(M206)+N(M207)+N(M208)+N(M211)+N(M229)+N(M232))-N(M138))/(I63+J63+K63+L63),""),"")</f>
        <v>-1.87693449226203</v>
      </c>
      <c r="N330" s="262">
        <f>IFERROR(IF(AND(COUNT(J63,K63,L63,N63)=4,(J63+K63+L63+N63)&lt;&gt;0),((N(N206)+N(N207)+N(N208)+N(N211)+N(N229)+N(N232))-N(N138))/(J63+K63+L63+N63),""),"")</f>
        <v>-1.41812313021571</v>
      </c>
      <c r="O330" s="262">
        <f>IFERROR(IF(AND(COUNT(K63,L63,N63,O63)=4,(K63+L63+N63+O63)&lt;&gt;0),((N(O206)+N(O207)+N(O208)+N(O211)+N(O229)+N(O232))-N(O138))/(K63+L63+N63+O63),""),"")</f>
        <v>-1.34196523589926</v>
      </c>
      <c r="P330" s="262">
        <f>IFERROR(IF(AND(COUNT(L63,N63,O63,P63)=4,(L63+N63+O63+P63)&lt;&gt;0),((N(P206)+N(P207)+N(P208)+N(P211)+N(P229)+N(P232))-N(P138))/(L63+N63+O63+P63),""),"")</f>
        <v>-1.32133466883686</v>
      </c>
      <c r="Q330" s="262">
        <f>IFERROR(IF(AND(COUNT(N63,O63,P63,Q63)=4,(N63+O63+P63+Q63)&lt;&gt;0),((N(Q206)+N(Q207)+N(Q208)+N(Q211)+N(Q229)+N(Q232))-N(Q138))/(N63+O63+P63+Q63),""),"")</f>
        <v>-1.27478021030857</v>
      </c>
      <c r="R330" s="262">
        <f>IFERROR(IF(AND(COUNT(N63,O63,P63,Q63)=4,(N63+O63+P63+Q63)&lt;&gt;0),((N(R206)+N(R207)+N(R208)+N(R211)+N(R229)+N(R232))-N(R138))/(N63+O63+P63+Q63),""),"")</f>
        <v>-1.27478021030857</v>
      </c>
      <c r="S330" s="262">
        <f>IFERROR(IF(AND(COUNT(O63,P63,Q63,S63)=4,(O63+P63+Q63+S63)&lt;&gt;0),((N(S206)+N(S207)+N(S208)+N(S211)+N(S229)+N(S232))-N(S138))/(O63+P63+Q63+S63),""),"")</f>
        <v>-1.34708358388455</v>
      </c>
      <c r="T330" s="262">
        <f>IFERROR(IF(AND(COUNT(P63,Q63,S63,T63)=4,(P63+Q63+S63+T63)&lt;&gt;0),((N(T206)+N(T207)+N(T208)+N(T211)+N(T229)+N(T232))-N(T138))/(P63+Q63+S63+T63),""),"")</f>
        <v>-1.37375721855093</v>
      </c>
      <c r="U330" s="262">
        <f>IFERROR(IF(AND(COUNT(Q63,S63,T63,U63)=4,(Q63+S63+T63+U63)&lt;&gt;0),((N(U206)+N(U207)+N(U208)+N(U211)+N(U229)+N(U232))-N(U138))/(Q63+S63+T63+U63),""),"")</f>
        <v>-1.72102692713833</v>
      </c>
      <c r="V330" s="262">
        <f>IFERROR(IF(AND(COUNT(S63,T63,U63,V63)=4,(S63+T63+U63+V63)&lt;&gt;0),((N(V206)+N(V207)+N(V208)+N(V211)+N(V229)+N(V232))-N(V138))/(S63+T63+U63+V63),""),"")</f>
        <v>-2.14589172444313</v>
      </c>
      <c r="W330" s="262">
        <f>IFERROR(IF(AND(COUNT(S63,T63,U63,V63)=4,(S63+T63+U63+V63)&lt;&gt;0),((N(W206)+N(W207)+N(W208)+N(W211)+N(W229)+N(W232))-N(W138))/(S63+T63+U63+V63),""),"")</f>
        <v>-2.14589172444313</v>
      </c>
      <c r="X330" s="262">
        <f>IFERROR(IF(AND(COUNT(T63,U63,V63,X63)=4,(T63+U63+V63+X63)&lt;&gt;0),((N(X206)+N(X207)+N(X208)+N(X211)+N(X229)+N(X232))-N(X138))/(T63+U63+V63+X63),""),"")</f>
        <v>-2.19021606196494</v>
      </c>
      <c r="Y330" s="262">
        <f>IFERROR(IF(AND(COUNT(U63,V63,X63,Y63)=4,(U63+V63+X63+Y63)&lt;&gt;0),((N(Y206)+N(Y207)+N(Y208)+N(Y211)+N(Y229)+N(Y232))-N(Y138))/(U63+V63+X63+Y63),""),"")</f>
        <v>-2.64941785252264</v>
      </c>
      <c r="Z330" s="262">
        <f>IFERROR(IF(AND(COUNT(V63,X63,Y63,Z63)=4,(V63+X63+Y63+Z63)&lt;&gt;0),((N(Z206)+N(Z207)+N(Z208)+N(Z211)+N(Z229)+N(Z232))-N(Z138))/(V63+X63+Y63+Z63),""),"")</f>
        <v>-2.65760998341363</v>
      </c>
      <c r="AA330" s="262">
        <f>IFERROR(IF(AND(COUNT(X63,Y63,Z63,AA63)=4,(X63+Y63+Z63+AA63)&lt;&gt;0),((N(AA206)+N(AA207)+N(AA208)+N(AA211)+N(AA229)+N(AA232))-N(AA138))/(X63+Y63+Z63+AA63),""),"")</f>
        <v>-2.9382031501125</v>
      </c>
      <c r="AB330" s="262">
        <f>IFERROR(IF(AND(COUNT(X63,Y63,Z63,AA63)=4,(X63+Y63+Z63+AA63)&lt;&gt;0),((N(AB206)+N(AB207)+N(AB208)+N(AB211)+N(AB229)+N(AB232))-N(AB138))/(X63+Y63+Z63+AA63),""),"")</f>
        <v>-2.9382031501125</v>
      </c>
      <c r="AC330" s="262">
        <f>IFERROR(IF(AND(COUNT(Y63,Z63,AA63,AC63)=4,(Y63+Z63+AA63+AC63)&lt;&gt;0),((N(AC206)+N(AC207)+N(AC208)+N(AC211)+N(AC229)+N(AC232))-N(AC138))/(Y63+Z63+AA63+AC63),""),"")</f>
        <v>-3.11597742777731</v>
      </c>
      <c r="AD330" s="262">
        <f>IFERROR(IF(AND(COUNT(Z63,AA63,AC63,AD63)=4,(Z63+AA63+AC63+AD63)&lt;&gt;0),((N(AD206)+N(AD207)+N(AD208)+N(AD211)+N(AD229)+N(AD232))-N(AD138))/(Z63+AA63+AC63+AD63),""),"")</f>
        <v>-3.24184734708267</v>
      </c>
      <c r="AE330" s="262">
        <f>IFERROR(IF(AND(COUNT(AA63,AC63,AD63,AE63)=4,(AA63+AC63+AD63+AE63)&lt;&gt;0),((N(AE206)+N(AE207)+N(AE208)+N(AE211)+N(AE229)+N(AE232))-N(AE138))/(AA63+AC63+AD63+AE63),""),"")</f>
        <v>-3.95508072174739</v>
      </c>
      <c r="AF330" s="262">
        <f>IFERROR(IF(AND(COUNT(AB63,AD63,AE63,AF63)=4,(AB63+AD63+AE63+AF63)&lt;&gt;0),((N(AF206)+N(AF207)+N(AF208)+N(AF211)+N(AF229)+N(AF232))-N(AF138))/(AB63+AD63+AE63+AF63),""),"")</f>
        <v>-2.08800530780532</v>
      </c>
      <c r="AG330" s="262">
        <f>IFERROR(IF(AND(COUNT(AC63,AD63,AE63,AF63)=4,(AC63+AD63+AE63+AF63)&lt;&gt;0),((N(AG206)+N(AG207)+N(AG208)+N(AG211)+N(AG229)+N(AG232))-N(AG138))/(AC63+AD63+AE63+AF63),""),"")</f>
        <v>-4.19489669618204</v>
      </c>
      <c r="AH330" s="262">
        <f>IFERROR(IF(AND(COUNT(AD63,AF63,AG63,AH63)=4,(AD63+AF63+AG63+AH63)&lt;&gt;0),((N(AH206)+N(AH207)+N(AH208)+N(AH211)+N(AH229)+N(AH232))-N(AH138))/(AD63+AF63+AG63+AH63),""),"")</f>
        <v>-2.42614683873766</v>
      </c>
      <c r="AI330" s="262">
        <f>IFERROR(IF(AND(COUNT(AE63,AG63,AH63,AI63)=4,(AE63+AG63+AH63+AI63)&lt;&gt;0),((N(AI206)+N(AI207)+N(AI208)+N(AI211)+N(AI229)+N(AI232))-N(AI138))/(AE63+AG63+AH63+AI63),""),"")</f>
        <v>-2.37836065573771</v>
      </c>
      <c r="AJ330" s="262">
        <f>IFERROR(IF(AND(COUNT(AF63,AH63,AI63,AJ63)=4,(AF63+AH63+AI63+AJ63)&lt;&gt;0),((N(AJ206)+N(AJ207)+N(AJ208)+N(AJ211)+N(AJ229)+N(AJ232))-N(AJ138))/(AF63+AH63+AI63+AJ63),""),"")</f>
        <v>-3.76696005393575</v>
      </c>
      <c r="AK330" s="262">
        <f>IFERROR(IF(AND(COUNT(AH63,AI63,AJ63,AK63)=4,(AH63+AI63+AJ63+AK63)&lt;&gt;0),((N(AK206)+N(AK207)+N(AK208)+N(AK211)+N(AK229)+N(AK232))-N(AK138))/(AH63+AI63+AJ63+AK63),""),"")</f>
        <v>-3.84820828789848</v>
      </c>
      <c r="AL330" s="262">
        <f>IFERROR(IF(AND(COUNT(AH63,AI63,AJ63,AK63)=4,(AH63+AI63+AJ63+AK63)&lt;&gt;0),((N(AL206)+N(AL207)+N(AL208)+N(AL211)+N(AL229)+N(AL232))-N(AL138))/(AH63+AI63+AJ63+AK63),""),"")</f>
        <v>-3.84820828789848</v>
      </c>
      <c r="AM330" s="262">
        <f>IFERROR(IF(AND(COUNT(AI63,AJ63,AK63,AM63)=4,(AI63+AJ63+AK63+AM63)&lt;&gt;0),((N(AM206)+N(AM207)+N(AM208)+N(AM211)+N(AM229)+N(AM232))-N(AM138))/(AI63+AJ63+AK63+AM63),""),"")</f>
        <v>-3.83000468361901</v>
      </c>
      <c r="AN330" s="262">
        <f>IFERROR(IF(AND(COUNT(AJ63,AK63,AM63,AN63)=4,(AJ63+AK63+AM63+AN63)&lt;&gt;0),((N(AN206)+N(AN207)+N(AN208)+N(AN211)+N(AN229)+N(AN232))-N(AN138))/(AJ63+AK63+AM63+AN63),""),"")</f>
        <v>-3.28604502174438</v>
      </c>
      <c r="AO330" s="262">
        <f>IFERROR(IF(AND(COUNT(AK63,AM63,AN63,AO63)=4,(AK63+AM63+AN63+AO63)&lt;&gt;0),((N(AO206)+N(AO207)+N(AO208)+N(AO211)+N(AO229)+N(AO232))-N(AO138))/(AK63+AM63+AN63+AO63),""),"")</f>
        <v>-3.12741951202868</v>
      </c>
      <c r="AP330" s="262">
        <f>IFERROR(IF(AND(COUNT(AM63,AN63,AO63,AP63)=4,(AM63+AN63+AO63+AP63)&lt;&gt;0),((N(AP206)+N(AP207)+N(AP208)+N(AP211)+N(AP229)+N(AP232))-N(AP138))/(AM63+AN63+AO63+AP63),""),"")</f>
        <v>-3.05106279809239</v>
      </c>
      <c r="AQ330" s="262">
        <f>IFERROR(IF(AND(COUNT(AM63,AN63,AO63,AP63)=4,(AM63+AN63+AO63+AP63)&lt;&gt;0),((N(AQ206)+N(AQ207)+N(AQ208)+N(AQ211)+N(AQ229)+N(AQ232))-N(AQ138))/(AM63+AN63+AO63+AP63),""),"")</f>
        <v>-3.05106279809239</v>
      </c>
      <c r="AR330" s="262">
        <f>IFERROR(IF(AND(COUNT(AN63,AO63,AP63,AR63)=4,(AN63+AO63+AP63+AR63)&lt;&gt;0),((N(AR206)+N(AR207)+N(AR208)+N(AR211)+N(AR229)+N(AR232))-N(AR138))/(AN63+AO63+AP63+AR63),""),"")</f>
        <v>-2.97979806025781</v>
      </c>
      <c r="AS330" s="262">
        <f>IFERROR(IF(AND(COUNT(AO63,AP63,AR63,AS63)=4,(AO63+AP63+AR63+AS63)&lt;&gt;0),((N(AS206)+N(AS207)+N(AS208)+N(AS211)+N(AS229)+N(AS232))-N(AS138))/(AO63+AP63+AR63+AS63),""),"")</f>
        <v>-2.75757149994084</v>
      </c>
      <c r="AT330" s="262">
        <f>IFERROR(IF(AND(COUNT(AP63,AR63,AS63,AT63)=4,(AP63+AR63+AS63+AT63)&lt;&gt;0),((N(AT206)+N(AT207)+N(AT208)+N(AT211)+N(AT229)+N(AT232))-N(AT138))/(AP63+AR63+AS63+AT63),""),"")</f>
        <v>-2.60942485945162</v>
      </c>
      <c r="AU330" s="262">
        <f>IFERROR(IF(AND(COUNT(AR63,AS63,AT63,AU63)=4,(AR63+AS63+AT63+AU63)&lt;&gt;0),((N(AU206)+N(AU207)+N(AU208)+N(AU211)+N(AU229)+N(AU232))-N(AU138))/(AR63+AS63+AT63+AU63),""),"")</f>
        <v>-2.54181947481024</v>
      </c>
      <c r="AV330" s="262">
        <f>IFERROR(IF(AND(COUNT(AR63,AS63,AT63,AU63)=4,(AR63+AS63+AT63+AU63)&lt;&gt;0),((N(AV206)+N(AV207)+N(AV208)+N(AV211)+N(AV229)+N(AV232))-N(AV138))/(AR63+AS63+AT63+AU63),""),"")</f>
        <v>-2.54181947481024</v>
      </c>
      <c r="AW330" s="262">
        <f>IFERROR(IF(AND(COUNT(AS63,AT63,AU63,AW63)=4,(AS63+AT63+AU63+AW63)&lt;&gt;0),((N(AW206)+N(AW207)+N(AW208)+N(AW211)+N(AW229)+N(AW232))-N(AW138))/(AS63+AT63+AU63+AW63),""),"")</f>
        <v>-2.47593464779617</v>
      </c>
      <c r="AX330" s="262">
        <f>IFERROR(IF(AND(COUNT(AT63,AU63,AW63,AX63)=4,(AT63+AU63+AW63+AX63)&lt;&gt;0),((N(AX206)+N(AX207)+N(AX208)+N(AX211)+N(AX229)+N(AX232))-N(AX138))/(AT63+AU63+AW63+AX63),""),"")</f>
        <v>-2.26674437319738</v>
      </c>
      <c r="AY330" s="262">
        <f>IFERROR(IF(AND(COUNT(AU63,AW63,AX63,AY63)=4,(AU63+AW63+AX63+AY63)&lt;&gt;0),((N(AY206)+N(AY207)+N(AY208)+N(AY211)+N(AY229)+N(AY232))-N(AY138))/(AU63+AW63+AX63+AY63),""),"")</f>
        <v>-2.12734412373487</v>
      </c>
      <c r="AZ330" s="262">
        <f>IFERROR(IF(AND(COUNT(AW63,AX63,AY63,AZ63)=4,(AW63+AX63+AY63+AZ63)&lt;&gt;0),((N(AZ206)+N(AZ207)+N(AZ208)+N(AZ211)+N(AZ229)+N(AZ232))-N(AZ138))/(AW63+AX63+AY63+AZ63),""),"")</f>
        <v>-2.06702550538859</v>
      </c>
      <c r="BA330" s="262">
        <f>IFERROR(IF(AND(COUNT(AW63,AX63,AY63,AZ63)=4,(AW63+AX63+AY63+AZ63)&lt;&gt;0),((N(BA206)+N(BA207)+N(BA208)+N(BA211)+N(BA229)+N(BA232))-N(BA138))/(AW63+AX63+AY63+AZ63),""),"")</f>
        <v>-2.06702550538859</v>
      </c>
      <c r="BB330" s="262">
        <f>IFERROR(IF(AND(COUNT(AX63,AY63,AZ63,BB63)=4,(AX63+AY63+AZ63+BB63)&lt;&gt;0),((N(BB206)+N(BB207)+N(BB208)+N(BB211)+N(BB229)+N(BB232))-N(BB138))/(AX63+AY63+AZ63+BB63),""),"")</f>
        <v>-2.00905886514832</v>
      </c>
      <c r="BC330" s="262">
        <f>IFERROR(IF(AND(COUNT(AY63,AZ63,BB63,BC63)=4,(AY63+AZ63+BB63+BC63)&lt;&gt;0),((N(BC206)+N(BC207)+N(BC208)+N(BC211)+N(BC229)+N(BC232))-N(BC138))/(AY63+AZ63+BB63+BC63),""),"")</f>
        <v>-1.80753042008825</v>
      </c>
      <c r="BD330" s="262">
        <f>IFERROR(IF(AND(COUNT(AZ63,BB63,BC63,BD63)=4,(AZ63+BB63+BC63+BD63)&lt;&gt;0),((N(BD206)+N(BD207)+N(BD208)+N(BD211)+N(BD229)+N(BD232))-N(BD138))/(AZ63+BB63+BC63+BD63),""),"")</f>
        <v>-1.67533144440391</v>
      </c>
      <c r="BE330" s="262">
        <f>IFERROR(IF(AND(COUNT(BB63,BC63,BD63,BE63)=4,(BB63+BC63+BD63+BE63)&lt;&gt;0),((N(BE206)+N(BE207)+N(BE208)+N(BE211)+N(BE229)+N(BE232))-N(BE138))/(BB63+BC63+BD63+BE63),""),"")</f>
        <v>-1.6209876902292</v>
      </c>
      <c r="BF330" s="262">
        <f>IFERROR(IF(AND(COUNT(BB63,BC63,BD63,BE63)=4,(BB63+BC63+BD63+BE63)&lt;&gt;0),((N(BF206)+N(BF207)+N(BF208)+N(BF211)+N(BF229)+N(BF232))-N(BF138))/(BB63+BC63+BD63+BE63),""),"")</f>
        <v>-1.6209876902292</v>
      </c>
      <c r="BG330" s="82" t="n"/>
      <c r="BH330" s="82" t="n"/>
      <c r="BI330" s="82" t="n"/>
      <c r="BJ330" s="82" t="n"/>
      <c r="BL330" s="82" t="n"/>
      <c r="BM330" s="82" t="n"/>
      <c r="BN330" s="82" t="n"/>
      <c r="BO330" s="82" t="n"/>
      <c r="BQ330" s="82" t="n"/>
      <c r="BR330" s="82" t="n"/>
      <c r="BS330" s="82" t="n"/>
      <c r="BT330" s="82" t="n"/>
      <c r="BV330" s="82" t="n"/>
      <c r="BW330" s="82" t="n"/>
      <c r="BX330" s="82" t="n"/>
      <c r="BY330" s="82" t="n"/>
      <c r="CA330" s="82" t="n"/>
      <c r="CB330" s="82" t="n"/>
      <c r="CC330" s="82" t="n"/>
      <c r="CD330" s="82" t="n"/>
      <c r="CF330" s="82" t="n"/>
      <c r="CG330" s="82" t="n"/>
      <c r="CH330" s="82" t="n"/>
      <c r="CI330" s="82" t="n"/>
      <c r="CK330" s="82" t="n"/>
      <c r="CL330" s="82" t="n"/>
      <c r="CM330" s="82" t="n"/>
      <c r="CN330" s="82" t="n"/>
      <c r="CP330" s="82" t="n"/>
      <c r="CQ330" s="82" t="n"/>
      <c r="CR330" s="82" t="n"/>
      <c r="CS330" s="82" t="n"/>
      <c r="CU330" s="82" t="n"/>
      <c r="CV330" s="82" t="n"/>
      <c r="CW330" s="82" t="n"/>
      <c r="CX330" s="82" t="n"/>
    </row>
    <row r="331" customFormat="1" s="77">
      <c r="A331" s="76" t="n"/>
      <c r="B331" s="76" t="n"/>
      <c r="C331" s="83" t="inlineStr">
        <is>
          <t>NET DEBT (EX IFRS 16.) / EBITDA (LTM)</t>
        </is>
      </c>
      <c r="D331" s="82" t="str">
        <f>IFERROR(SUM((D206+D207+D211)-D138)/(D63*4),"")</f>
        <v/>
      </c>
      <c r="E331" s="82" t="str">
        <f>IFERROR(SUM((E206+E207+E211)-E138)/(E63*4),"")</f>
        <v/>
      </c>
      <c r="F331" s="82" t="str">
        <f>IFERROR(SUM((F206+F207+F211)-F138)/(F63*4),"")</f>
        <v/>
      </c>
      <c r="G331" s="82" t="str">
        <f>IFERROR(SUM((G206+G207+G211)-G138)/(G63*4),"")</f>
        <v/>
      </c>
      <c r="H331" s="262" t="str">
        <f>IFERROR(IF(AND(COUNT(H63)=1,(H63)&lt;&gt;0),((N(H206)+N(H207)+N(H211)+N(H232))-N(H138))/(H63),""),"")</f>
        <v/>
      </c>
      <c r="I331" s="262" t="str">
        <f>""</f>
        <v/>
      </c>
      <c r="J331" s="262" t="str">
        <f>""</f>
        <v/>
      </c>
      <c r="K331" s="262" t="str">
        <f>""</f>
        <v/>
      </c>
      <c r="L331" s="262">
        <f>IFERROR(IF(AND(COUNT(I63,J63,K63,L63)=4,(I63+J63+K63+L63)&lt;&gt;0),((N(L206)+N(L207)+N(L211)+N(L232))-N(L138))/(I63+J63+K63+L63),""),"")</f>
        <v>-1.87693449226203</v>
      </c>
      <c r="M331" s="262">
        <f>IFERROR(IF(AND(COUNT(I63,J63,K63,L63)=4,(I63+J63+K63+L63)&lt;&gt;0),((N(M206)+N(M207)+N(M211)+N(M232))-N(M138))/(I63+J63+K63+L63),""),"")</f>
        <v>-1.87693449226203</v>
      </c>
      <c r="N331" s="262">
        <f>IFERROR(IF(AND(COUNT(J63,K63,L63,N63)=4,(J63+K63+L63+N63)&lt;&gt;0),((N(N206)+N(N207)+N(N211)+N(N232))-N(N138))/(J63+K63+L63+N63),""),"")</f>
        <v>-1.41812313021571</v>
      </c>
      <c r="O331" s="262">
        <f>IFERROR(IF(AND(COUNT(K63,L63,N63,O63)=4,(K63+L63+N63+O63)&lt;&gt;0),((N(O206)+N(O207)+N(O211)+N(O232))-N(O138))/(K63+L63+N63+O63),""),"")</f>
        <v>-1.34196523589926</v>
      </c>
      <c r="P331" s="262">
        <f>IFERROR(IF(AND(COUNT(L63,N63,O63,P63)=4,(L63+N63+O63+P63)&lt;&gt;0),((N(P206)+N(P207)+N(P211)+N(P232))-N(P138))/(L63+N63+O63+P63),""),"")</f>
        <v>-1.32133466883686</v>
      </c>
      <c r="Q331" s="262">
        <f>IFERROR(IF(AND(COUNT(N63,O63,P63,Q63)=4,(N63+O63+P63+Q63)&lt;&gt;0),((N(Q206)+N(Q207)+N(Q211)+N(Q232))-N(Q138))/(N63+O63+P63+Q63),""),"")</f>
        <v>-1.27478021030857</v>
      </c>
      <c r="R331" s="262">
        <f>IFERROR(IF(AND(COUNT(N63,O63,P63,Q63)=4,(N63+O63+P63+Q63)&lt;&gt;0),((N(R206)+N(R207)+N(R211)+N(R232))-N(R138))/(N63+O63+P63+Q63),""),"")</f>
        <v>-1.27478021030857</v>
      </c>
      <c r="S331" s="262">
        <f>IFERROR(IF(AND(COUNT(O63,P63,Q63,S63)=4,(O63+P63+Q63+S63)&lt;&gt;0),((N(S206)+N(S207)+N(S211)+N(S232))-N(S138))/(O63+P63+Q63+S63),""),"")</f>
        <v>-1.34708358388455</v>
      </c>
      <c r="T331" s="262">
        <f>IFERROR(IF(AND(COUNT(P63,Q63,S63,T63)=4,(P63+Q63+S63+T63)&lt;&gt;0),((N(T206)+N(T207)+N(T211)+N(T232))-N(T138))/(P63+Q63+S63+T63),""),"")</f>
        <v>-1.37375721855093</v>
      </c>
      <c r="U331" s="262">
        <f>IFERROR(IF(AND(COUNT(Q63,S63,T63,U63)=4,(Q63+S63+T63+U63)&lt;&gt;0),((N(U206)+N(U207)+N(U211)+N(U232))-N(U138))/(Q63+S63+T63+U63),""),"")</f>
        <v>-1.72102692713833</v>
      </c>
      <c r="V331" s="262">
        <f>IFERROR(IF(AND(COUNT(S63,T63,U63,V63)=4,(S63+T63+U63+V63)&lt;&gt;0),((N(V206)+N(V207)+N(V211)+N(V232))-N(V138))/(S63+T63+U63+V63),""),"")</f>
        <v>-2.14589172444313</v>
      </c>
      <c r="W331" s="262">
        <f>IFERROR(IF(AND(COUNT(S63,T63,U63,V63)=4,(S63+T63+U63+V63)&lt;&gt;0),((N(W206)+N(W207)+N(W211)+N(W232))-N(W138))/(S63+T63+U63+V63),""),"")</f>
        <v>-2.14589172444313</v>
      </c>
      <c r="X331" s="262">
        <f>IFERROR(IF(AND(COUNT(T63,U63,V63,X63)=4,(T63+U63+V63+X63)&lt;&gt;0),((N(X206)+N(X207)+N(X211)+N(X232))-N(X138))/(T63+U63+V63+X63),""),"")</f>
        <v>-2.19021606196494</v>
      </c>
      <c r="Y331" s="262">
        <f>IFERROR(IF(AND(COUNT(U63,V63,X63,Y63)=4,(U63+V63+X63+Y63)&lt;&gt;0),((N(Y206)+N(Y207)+N(Y211)+N(Y232))-N(Y138))/(U63+V63+X63+Y63),""),"")</f>
        <v>-2.64941785252264</v>
      </c>
      <c r="Z331" s="262">
        <f>IFERROR(IF(AND(COUNT(V63,X63,Y63,Z63)=4,(V63+X63+Y63+Z63)&lt;&gt;0),((N(Z206)+N(Z207)+N(Z211)+N(Z232))-N(Z138))/(V63+X63+Y63+Z63),""),"")</f>
        <v>-2.65760998341363</v>
      </c>
      <c r="AA331" s="262">
        <f>IFERROR(IF(AND(COUNT(X63,Y63,Z63,AA63)=4,(X63+Y63+Z63+AA63)&lt;&gt;0),((N(AA206)+N(AA207)+N(AA211)+N(AA232))-N(AA138))/(X63+Y63+Z63+AA63),""),"")</f>
        <v>-2.9382031501125</v>
      </c>
      <c r="AB331" s="262">
        <f>IFERROR(IF(AND(COUNT(X63,Y63,Z63,AA63)=4,(X63+Y63+Z63+AA63)&lt;&gt;0),((N(AB206)+N(AB207)+N(AB211)+N(AB232))-N(AB138))/(X63+Y63+Z63+AA63),""),"")</f>
        <v>-2.9382031501125</v>
      </c>
      <c r="AC331" s="262">
        <f>IFERROR(IF(AND(COUNT(Y63,Z63,AA63,AC63)=4,(Y63+Z63+AA63+AC63)&lt;&gt;0),((N(AC206)+N(AC207)+N(AC211)+N(AC232))-N(AC138))/(Y63+Z63+AA63+AC63),""),"")</f>
        <v>-3.11597742777731</v>
      </c>
      <c r="AD331" s="262">
        <f>IFERROR(IF(AND(COUNT(Z63,AA63,AC63,AD63)=4,(Z63+AA63+AC63+AD63)&lt;&gt;0),((N(AD206)+N(AD207)+N(AD211)+N(AD232))-N(AD138))/(Z63+AA63+AC63+AD63),""),"")</f>
        <v>-3.24184734708267</v>
      </c>
      <c r="AE331" s="262">
        <f>IFERROR(IF(AND(COUNT(AA63,AC63,AD63,AE63)=4,(AA63+AC63+AD63+AE63)&lt;&gt;0),((N(AE206)+N(AE207)+N(AE211)+N(AE232))-N(AE138))/(AA63+AC63+AD63+AE63),""),"")</f>
        <v>-3.95508072174739</v>
      </c>
      <c r="AF331" s="262">
        <f>IFERROR(IF(AND(COUNT(AB63,AD63,AE63,AF63)=4,(AB63+AD63+AE63+AF63)&lt;&gt;0),((N(AF206)+N(AF207)+N(AF211)+N(AF232))-N(AF138))/(AB63+AD63+AE63+AF63),""),"")</f>
        <v>-2.08800530780532</v>
      </c>
      <c r="AG331" s="262">
        <f>IFERROR(IF(AND(COUNT(AC63,AD63,AE63,AF63)=4,(AC63+AD63+AE63+AF63)&lt;&gt;0),((N(AG206)+N(AG207)+N(AG211)+N(AG232))-N(AG138))/(AC63+AD63+AE63+AF63),""),"")</f>
        <v>-4.19489669618204</v>
      </c>
      <c r="AH331" s="262">
        <f>IFERROR(IF(AND(COUNT(AD63,AF63,AG63,AH63)=4,(AD63+AF63+AG63+AH63)&lt;&gt;0),((N(AH206)+N(AH207)+N(AH211)+N(AH232))-N(AH138))/(AD63+AF63+AG63+AH63),""),"")</f>
        <v>-2.42614683873766</v>
      </c>
      <c r="AI331" s="262">
        <f>IFERROR(IF(AND(COUNT(AE63,AG63,AH63,AI63)=4,(AE63+AG63+AH63+AI63)&lt;&gt;0),((N(AI206)+N(AI207)+N(AI211)+N(AI232))-N(AI138))/(AE63+AG63+AH63+AI63),""),"")</f>
        <v>-2.37836065573771</v>
      </c>
      <c r="AJ331" s="262">
        <f>IFERROR(IF(AND(COUNT(AF63,AH63,AI63,AJ63)=4,(AF63+AH63+AI63+AJ63)&lt;&gt;0),((N(AJ206)+N(AJ207)+N(AJ211)+N(AJ232))-N(AJ138))/(AF63+AH63+AI63+AJ63),""),"")</f>
        <v>-3.76696005393575</v>
      </c>
      <c r="AK331" s="262">
        <f>IFERROR(IF(AND(COUNT(AH63,AI63,AJ63,AK63)=4,(AH63+AI63+AJ63+AK63)&lt;&gt;0),((N(AK206)+N(AK207)+N(AK211)+N(AK232))-N(AK138))/(AH63+AI63+AJ63+AK63),""),"")</f>
        <v>-3.84820828789848</v>
      </c>
      <c r="AL331" s="262">
        <f>IFERROR(IF(AND(COUNT(AH63,AI63,AJ63,AK63)=4,(AH63+AI63+AJ63+AK63)&lt;&gt;0),((N(AL206)+N(AL207)+N(AL211)+N(AL232))-N(AL138))/(AH63+AI63+AJ63+AK63),""),"")</f>
        <v>-3.84820828789848</v>
      </c>
      <c r="AM331" s="262">
        <f>IFERROR(IF(AND(COUNT(AI63,AJ63,AK63,AM63)=4,(AI63+AJ63+AK63+AM63)&lt;&gt;0),((N(AM206)+N(AM207)+N(AM211)+N(AM232))-N(AM138))/(AI63+AJ63+AK63+AM63),""),"")</f>
        <v>-3.83000468361901</v>
      </c>
      <c r="AN331" s="262">
        <f>IFERROR(IF(AND(COUNT(AJ63,AK63,AM63,AN63)=4,(AJ63+AK63+AM63+AN63)&lt;&gt;0),((N(AN206)+N(AN207)+N(AN211)+N(AN232))-N(AN138))/(AJ63+AK63+AM63+AN63),""),"")</f>
        <v>-3.28604502174438</v>
      </c>
      <c r="AO331" s="262">
        <f>IFERROR(IF(AND(COUNT(AK63,AM63,AN63,AO63)=4,(AK63+AM63+AN63+AO63)&lt;&gt;0),((N(AO206)+N(AO207)+N(AO211)+N(AO232))-N(AO138))/(AK63+AM63+AN63+AO63),""),"")</f>
        <v>-3.12741951202868</v>
      </c>
      <c r="AP331" s="262">
        <f>IFERROR(IF(AND(COUNT(AM63,AN63,AO63,AP63)=4,(AM63+AN63+AO63+AP63)&lt;&gt;0),((N(AP206)+N(AP207)+N(AP211)+N(AP232))-N(AP138))/(AM63+AN63+AO63+AP63),""),"")</f>
        <v>-3.05106279809239</v>
      </c>
      <c r="AQ331" s="262">
        <f>IFERROR(IF(AND(COUNT(AM63,AN63,AO63,AP63)=4,(AM63+AN63+AO63+AP63)&lt;&gt;0),((N(AQ206)+N(AQ207)+N(AQ211)+N(AQ232))-N(AQ138))/(AM63+AN63+AO63+AP63),""),"")</f>
        <v>-3.05106279809239</v>
      </c>
      <c r="AR331" s="262">
        <f>IFERROR(IF(AND(COUNT(AN63,AO63,AP63,AR63)=4,(AN63+AO63+AP63+AR63)&lt;&gt;0),((N(AR206)+N(AR207)+N(AR211)+N(AR232))-N(AR138))/(AN63+AO63+AP63+AR63),""),"")</f>
        <v>-2.97979806025781</v>
      </c>
      <c r="AS331" s="262">
        <f>IFERROR(IF(AND(COUNT(AO63,AP63,AR63,AS63)=4,(AO63+AP63+AR63+AS63)&lt;&gt;0),((N(AS206)+N(AS207)+N(AS211)+N(AS232))-N(AS138))/(AO63+AP63+AR63+AS63),""),"")</f>
        <v>-2.75757149994084</v>
      </c>
      <c r="AT331" s="262">
        <f>IFERROR(IF(AND(COUNT(AP63,AR63,AS63,AT63)=4,(AP63+AR63+AS63+AT63)&lt;&gt;0),((N(AT206)+N(AT207)+N(AT211)+N(AT232))-N(AT138))/(AP63+AR63+AS63+AT63),""),"")</f>
        <v>-2.60942485945162</v>
      </c>
      <c r="AU331" s="262">
        <f>IFERROR(IF(AND(COUNT(AR63,AS63,AT63,AU63)=4,(AR63+AS63+AT63+AU63)&lt;&gt;0),((N(AU206)+N(AU207)+N(AU211)+N(AU232))-N(AU138))/(AR63+AS63+AT63+AU63),""),"")</f>
        <v>-2.54181947481024</v>
      </c>
      <c r="AV331" s="262">
        <f>IFERROR(IF(AND(COUNT(AR63,AS63,AT63,AU63)=4,(AR63+AS63+AT63+AU63)&lt;&gt;0),((N(AV206)+N(AV207)+N(AV211)+N(AV232))-N(AV138))/(AR63+AS63+AT63+AU63),""),"")</f>
        <v>-2.54181947481024</v>
      </c>
      <c r="AW331" s="262">
        <f>IFERROR(IF(AND(COUNT(AS63,AT63,AU63,AW63)=4,(AS63+AT63+AU63+AW63)&lt;&gt;0),((N(AW206)+N(AW207)+N(AW211)+N(AW232))-N(AW138))/(AS63+AT63+AU63+AW63),""),"")</f>
        <v>-2.47593464779617</v>
      </c>
      <c r="AX331" s="262">
        <f>IFERROR(IF(AND(COUNT(AT63,AU63,AW63,AX63)=4,(AT63+AU63+AW63+AX63)&lt;&gt;0),((N(AX206)+N(AX207)+N(AX211)+N(AX232))-N(AX138))/(AT63+AU63+AW63+AX63),""),"")</f>
        <v>-2.26674437319738</v>
      </c>
      <c r="AY331" s="262">
        <f>IFERROR(IF(AND(COUNT(AU63,AW63,AX63,AY63)=4,(AU63+AW63+AX63+AY63)&lt;&gt;0),((N(AY206)+N(AY207)+N(AY211)+N(AY232))-N(AY138))/(AU63+AW63+AX63+AY63),""),"")</f>
        <v>-2.12734412373487</v>
      </c>
      <c r="AZ331" s="262">
        <f>IFERROR(IF(AND(COUNT(AW63,AX63,AY63,AZ63)=4,(AW63+AX63+AY63+AZ63)&lt;&gt;0),((N(AZ206)+N(AZ207)+N(AZ211)+N(AZ232))-N(AZ138))/(AW63+AX63+AY63+AZ63),""),"")</f>
        <v>-2.06702550538859</v>
      </c>
      <c r="BA331" s="262">
        <f>IFERROR(IF(AND(COUNT(AW63,AX63,AY63,AZ63)=4,(AW63+AX63+AY63+AZ63)&lt;&gt;0),((N(BA206)+N(BA207)+N(BA211)+N(BA232))-N(BA138))/(AW63+AX63+AY63+AZ63),""),"")</f>
        <v>-2.06702550538859</v>
      </c>
      <c r="BB331" s="262">
        <f>IFERROR(IF(AND(COUNT(AX63,AY63,AZ63,BB63)=4,(AX63+AY63+AZ63+BB63)&lt;&gt;0),((N(BB206)+N(BB207)+N(BB211)+N(BB232))-N(BB138))/(AX63+AY63+AZ63+BB63),""),"")</f>
        <v>-2.00905886514832</v>
      </c>
      <c r="BC331" s="262">
        <f>IFERROR(IF(AND(COUNT(AY63,AZ63,BB63,BC63)=4,(AY63+AZ63+BB63+BC63)&lt;&gt;0),((N(BC206)+N(BC207)+N(BC211)+N(BC232))-N(BC138))/(AY63+AZ63+BB63+BC63),""),"")</f>
        <v>-1.80753042008825</v>
      </c>
      <c r="BD331" s="262">
        <f>IFERROR(IF(AND(COUNT(AZ63,BB63,BC63,BD63)=4,(AZ63+BB63+BC63+BD63)&lt;&gt;0),((N(BD206)+N(BD207)+N(BD211)+N(BD232))-N(BD138))/(AZ63+BB63+BC63+BD63),""),"")</f>
        <v>-1.67533144440391</v>
      </c>
      <c r="BE331" s="262">
        <f>IFERROR(IF(AND(COUNT(BB63,BC63,BD63,BE63)=4,(BB63+BC63+BD63+BE63)&lt;&gt;0),((N(BE206)+N(BE207)+N(BE211)+N(BE232))-N(BE138))/(BB63+BC63+BD63+BE63),""),"")</f>
        <v>-1.6209876902292</v>
      </c>
      <c r="BF331" s="262">
        <f>IFERROR(IF(AND(COUNT(BB63,BC63,BD63,BE63)=4,(BB63+BC63+BD63+BE63)&lt;&gt;0),((N(BF206)+N(BF207)+N(BF211)+N(BF232))-N(BF138))/(BB63+BC63+BD63+BE63),""),"")</f>
        <v>-1.6209876902292</v>
      </c>
      <c r="BG331" s="82" t="n"/>
      <c r="BH331" s="82" t="n"/>
      <c r="BI331" s="82" t="n"/>
      <c r="BJ331" s="82" t="n"/>
      <c r="BL331" s="82" t="n"/>
      <c r="BM331" s="82" t="n"/>
      <c r="BN331" s="82" t="n"/>
      <c r="BO331" s="82" t="n"/>
      <c r="BQ331" s="82" t="n"/>
      <c r="BR331" s="82" t="n"/>
      <c r="BS331" s="82" t="n"/>
      <c r="BT331" s="82" t="n"/>
      <c r="BV331" s="82" t="n"/>
      <c r="BW331" s="82" t="n"/>
      <c r="BX331" s="82" t="n"/>
      <c r="BY331" s="82" t="n"/>
      <c r="CA331" s="82" t="n"/>
      <c r="CB331" s="82" t="n"/>
      <c r="CC331" s="82" t="n"/>
      <c r="CD331" s="82" t="n"/>
      <c r="CF331" s="82" t="n"/>
      <c r="CG331" s="82" t="n"/>
      <c r="CH331" s="82" t="n"/>
      <c r="CI331" s="82" t="n"/>
      <c r="CK331" s="82" t="n"/>
      <c r="CL331" s="82" t="n"/>
      <c r="CM331" s="82" t="n"/>
      <c r="CN331" s="82" t="n"/>
      <c r="CP331" s="82" t="n"/>
      <c r="CQ331" s="82" t="n"/>
      <c r="CR331" s="82" t="n"/>
      <c r="CS331" s="82" t="n"/>
      <c r="CU331" s="82" t="n"/>
      <c r="CV331" s="82" t="n"/>
      <c r="CW331" s="82" t="n"/>
      <c r="CX331" s="82" t="n"/>
    </row>
    <row r="332" customFormat="1" s="77">
      <c r="A332" s="76" t="n"/>
      <c r="B332" s="76" t="n"/>
      <c r="C332" s="77" t="inlineStr">
        <is>
          <t>INTEREST COVERAGE (EBIT / INTEREST, LTM)</t>
        </is>
      </c>
      <c r="D332" s="82" t="str">
        <f>IFERROR(D67/-D68,"")</f>
        <v/>
      </c>
      <c r="E332" s="82" t="str">
        <f>IFERROR(E67/-E68,"")</f>
        <v/>
      </c>
      <c r="F332" s="82" t="str">
        <f>IFERROR(F67/-F68,"")</f>
        <v/>
      </c>
      <c r="G332" s="82" t="str">
        <f>IFERROR(G67/-G68,"")</f>
        <v/>
      </c>
      <c r="H332" s="262" t="str">
        <f>IFERROR(IF(AND(COUNT(H67)=1,(H68)&lt;&gt;0),(H67)/-(H68),""),"")</f>
        <v/>
      </c>
      <c r="I332" s="262" t="str">
        <f>""</f>
        <v/>
      </c>
      <c r="J332" s="262" t="str">
        <f>""</f>
        <v/>
      </c>
      <c r="K332" s="262" t="str">
        <f>""</f>
        <v/>
      </c>
      <c r="L332" s="262">
        <f>IFERROR(IF(AND(COUNT(I67,J67,K67,L67)=4,(I68+J68+K68+L68)&lt;&gt;0),(I67+J67+K67+L67)/-(I68+J68+K68+L68),""),"")</f>
        <v>17.5822102425876</v>
      </c>
      <c r="M332" s="262">
        <f>IFERROR(IF(AND(COUNT(I67,J67,K67,L67)=4,(I68+J68+K68+L68)&lt;&gt;0),(I67+J67+K67+L67)/-(I68+J68+K68+L68),""),"")</f>
        <v>17.5822102425876</v>
      </c>
      <c r="N332" s="262">
        <f>IFERROR(IF(AND(COUNT(J67,K67,L67,N67)=4,(J68+K68+L68+N68)&lt;&gt;0),(J67+K67+L67+N67)/-(J68+K68+L68+N68),""),"")</f>
        <v>28.6246246246246</v>
      </c>
      <c r="O332" s="262">
        <f>IFERROR(IF(AND(COUNT(K67,L67,N67,O67)=4,(K68+L68+N68+O68)&lt;&gt;0),(K67+L67+N67+O67)/-(K68+L68+N68+O68),""),"")</f>
        <v>35.3774834437086</v>
      </c>
      <c r="P332" s="262">
        <f>IFERROR(IF(AND(COUNT(L67,N67,O67,P67)=4,(L68+N68+O68+P68)&lt;&gt;0),(L67+N67+O67+P67)/-(L68+N68+O68+P68),""),"")</f>
        <v>54.0087336244542</v>
      </c>
      <c r="Q332" s="262">
        <f>IFERROR(IF(AND(COUNT(N67,O67,P67,Q67)=4,(N68+O68+P68+Q68)&lt;&gt;0),(N67+O67+P67+Q67)/-(N68+O68+P68+Q68),""),"")</f>
        <v>71.4973821989529</v>
      </c>
      <c r="R332" s="262">
        <f>IFERROR(IF(AND(COUNT(N67,O67,P67,Q67)=4,(N68+O68+P68+Q68)&lt;&gt;0),(N67+O67+P67+Q67)/-(N68+O68+P68+Q68),""),"")</f>
        <v>71.4973821989529</v>
      </c>
      <c r="S332" s="262">
        <f>IFERROR(IF(AND(COUNT(O67,P67,Q67,S67)=4,(O68+P68+Q68+S68)&lt;&gt;0),(O67+P67+Q67+S67)/-(O68+P68+Q68+S68),""),"")</f>
        <v>79.9811320754717</v>
      </c>
      <c r="T332" s="262">
        <f>IFERROR(IF(AND(COUNT(P67,Q67,S67,T67)=4,(P68+Q68+S68+T68)&lt;&gt;0),(P67+Q67+S67+T67)/-(P68+Q68+S68+T68),""),"")</f>
        <v>88.4755244755245</v>
      </c>
      <c r="U332" s="262">
        <f>IFERROR(IF(AND(COUNT(Q67,S67,T67,U67)=4,(Q68+S68+T68+U68)&lt;&gt;0),(Q67+S67+T67+U67)/-(Q68+S68+T68+U68),""),"")</f>
        <v>83.8125</v>
      </c>
      <c r="V332" s="262">
        <f>IFERROR(IF(AND(COUNT(S67,T67,U67,V67)=4,(S68+T68+U68+V68)&lt;&gt;0),(S67+T67+U67+V67)/-(S68+T68+U68+V68),""),"")</f>
        <v>56.9935897435897</v>
      </c>
      <c r="W332" s="262">
        <f>IFERROR(IF(AND(COUNT(S67,T67,U67,V67)=4,(S68+T68+U68+V68)&lt;&gt;0),(S67+T67+U67+V67)/-(S68+T68+U68+V68),""),"")</f>
        <v>56.9935897435897</v>
      </c>
      <c r="X332" s="262">
        <f>IFERROR(IF(AND(COUNT(T67,U67,V67,X67)=4,(T68+U68+V68+X68)&lt;&gt;0),(T67+U67+V67+X67)/-(T68+U68+V68+X68),""),"")</f>
        <v>36.4433497536946</v>
      </c>
      <c r="Y332" s="262">
        <f>IFERROR(IF(AND(COUNT(U67,V67,X67,Y67)=4,(U68+V68+X68+Y68)&lt;&gt;0),(U67+V67+X67+Y67)/-(U68+V68+X68+Y68),""),"")</f>
        <v>25.3026819923372</v>
      </c>
      <c r="Z332" s="262">
        <f>IFERROR(IF(AND(COUNT(V67,X67,Y67,Z67)=4,(V68+X68+Y68+Z68)&lt;&gt;0),(V67+X67+Y67+Z67)/-(V68+X68+Y68+Z68),""),"")</f>
        <v>23.9904761904762</v>
      </c>
      <c r="AA332" s="262">
        <f>IFERROR(IF(AND(COUNT(X67,Y67,Z67,AA67)=4,(X68+Y68+Z68+AA68)&lt;&gt;0),(X67+Y67+Z67+AA67)/-(X68+Y68+Z68+AA68),""),"")</f>
        <v>20.2171428571429</v>
      </c>
      <c r="AB332" s="262">
        <f>IFERROR(IF(AND(COUNT(X67,Y67,Z67,AA67)=4,(X68+Y68+Z68+AA68)&lt;&gt;0),(X67+Y67+Z67+AA67)/-(X68+Y68+Z68+AA68),""),"")</f>
        <v>20.2171428571429</v>
      </c>
      <c r="AC332" s="262">
        <f>IFERROR(IF(AND(COUNT(Y67,Z67,AA67,AC67)=4,(Y68+Z68+AA68+AC68)&lt;&gt;0),(Y67+Z67+AA67+AC67)/-(Y68+Z68+AA68+AC68),""),"")</f>
        <v>17.2712328767123</v>
      </c>
      <c r="AD332" s="262">
        <f>IFERROR(IF(AND(COUNT(Z67,AA67,AC67,AD67)=4,(Z68+AA68+AC68+AD68)&lt;&gt;0),(Z67+AA67+AC67+AD67)/-(Z68+AA68+AC68+AD68),""),"")</f>
        <v>15.4027397260274</v>
      </c>
      <c r="AE332" s="262">
        <f>IFERROR(IF(AND(COUNT(AA67,AC67,AD67,AE67)=4,(AA68+AC68+AD68+AE68)&lt;&gt;0),(AA67+AC67+AD67+AE67)/-(AA68+AC68+AD68+AE68),""),"")</f>
        <v>12.9770773638968</v>
      </c>
      <c r="AF332" s="262">
        <f>IFERROR(IF(AND(COUNT(AB67,AD67,AE67,AF67)=4,(AB68+AD68+AE68+AF68)&lt;&gt;0),(AB67+AD67+AE67+AF67)/-(AB68+AD68+AE68+AF68),""),"")</f>
        <v>18.4790619765494</v>
      </c>
      <c r="AG332" s="262">
        <f>IFERROR(IF(AND(COUNT(AC67,AD67,AE67,AF67)=4,(AC68+AD68+AE68+AF68)&lt;&gt;0),(AC67+AD67+AE67+AF67)/-(AC68+AD68+AE68+AF68),""),"")</f>
        <v>12.8846153846154</v>
      </c>
      <c r="AH332" s="262">
        <f>IFERROR(IF(AND(COUNT(AD67,AF67,AG67,AH67)=4,(AD68+AF68+AG68+AH68)&lt;&gt;0),(AD67+AF67+AG67+AH67)/-(AD68+AF68+AG68+AH68),""),"")</f>
        <v>12.6921797004992</v>
      </c>
      <c r="AI332" s="262">
        <f>IFERROR(IF(AND(COUNT(AE67,AG67,AH67,AI67)=4,(AE68+AG68+AH68+AI68)&lt;&gt;0),(AE67+AG67+AH67+AI67)/-(AE68+AG68+AH68+AI68),""),"")</f>
        <v>12.4667802385009</v>
      </c>
      <c r="AJ332" s="262" t="str">
        <f>IFERROR(IF(AND(COUNT(AF67,AH67,AI67,AJ67)=4,(AF68+AH68+AI68+AJ68)&lt;&gt;0),(AF67+AH67+AI67+AJ67)/-(AF68+AH68+AI68+AJ68),""),"")</f>
        <v/>
      </c>
      <c r="AK332" s="262" t="str">
        <f>IFERROR(IF(AND(COUNT(AH67,AI67,AJ67,AK67)=4,(AH68+AI68+AJ68+AK68)&lt;&gt;0),(AH67+AI67+AJ67+AK67)/-(AH68+AI68+AJ68+AK68),""),"")</f>
        <v/>
      </c>
      <c r="AL332" s="262" t="str">
        <f>IFERROR(IF(AND(COUNT(AH67,AI67,AJ67,AK67)=4,(AH68+AI68+AJ68+AK68)&lt;&gt;0),(AH67+AI67+AJ67+AK67)/-(AH68+AI68+AJ68+AK68),""),"")</f>
        <v/>
      </c>
      <c r="AM332" s="262" t="str">
        <f>IFERROR(IF(AND(COUNT(AI67,AJ67,AK67,AM67)=4,(AI68+AJ68+AK68+AM68)&lt;&gt;0),(AI67+AJ67+AK67+AM67)/-(AI68+AJ68+AK68+AM68),""),"")</f>
        <v/>
      </c>
      <c r="AN332" s="262" t="str">
        <f>IFERROR(IF(AND(COUNT(AJ67,AK67,AM67,AN67)=4,(AJ68+AK68+AM68+AN68)&lt;&gt;0),(AJ67+AK67+AM67+AN67)/-(AJ68+AK68+AM68+AN68),""),"")</f>
        <v/>
      </c>
      <c r="AO332" s="262" t="str">
        <f>IFERROR(IF(AND(COUNT(AK67,AM67,AN67,AO67)=4,(AK68+AM68+AN68+AO68)&lt;&gt;0),(AK67+AM67+AN67+AO67)/-(AK68+AM68+AN68+AO68),""),"")</f>
        <v/>
      </c>
      <c r="AP332" s="262" t="str">
        <f>IFERROR(IF(AND(COUNT(AM67,AN67,AO67,AP67)=4,(AM68+AN68+AO68+AP68)&lt;&gt;0),(AM67+AN67+AO67+AP67)/-(AM68+AN68+AO68+AP68),""),"")</f>
        <v/>
      </c>
      <c r="AQ332" s="262" t="str">
        <f>IFERROR(IF(AND(COUNT(AM67,AN67,AO67,AP67)=4,(AM68+AN68+AO68+AP68)&lt;&gt;0),(AM67+AN67+AO67+AP67)/-(AM68+AN68+AO68+AP68),""),"")</f>
        <v/>
      </c>
      <c r="AR332" s="262" t="str">
        <f>IFERROR(IF(AND(COUNT(AN67,AO67,AP67,AR67)=4,(AN68+AO68+AP68+AR68)&lt;&gt;0),(AN67+AO67+AP67+AR67)/-(AN68+AO68+AP68+AR68),""),"")</f>
        <v/>
      </c>
      <c r="AS332" s="262" t="str">
        <f>IFERROR(IF(AND(COUNT(AO67,AP67,AR67,AS67)=4,(AO68+AP68+AR68+AS68)&lt;&gt;0),(AO67+AP67+AR67+AS67)/-(AO68+AP68+AR68+AS68),""),"")</f>
        <v/>
      </c>
      <c r="AT332" s="262" t="str">
        <f>IFERROR(IF(AND(COUNT(AP67,AR67,AS67,AT67)=4,(AP68+AR68+AS68+AT68)&lt;&gt;0),(AP67+AR67+AS67+AT67)/-(AP68+AR68+AS68+AT68),""),"")</f>
        <v/>
      </c>
      <c r="AU332" s="262" t="str">
        <f>IFERROR(IF(AND(COUNT(AR67,AS67,AT67,AU67)=4,(AR68+AS68+AT68+AU68)&lt;&gt;0),(AR67+AS67+AT67+AU67)/-(AR68+AS68+AT68+AU68),""),"")</f>
        <v/>
      </c>
      <c r="AV332" s="262" t="str">
        <f>IFERROR(IF(AND(COUNT(AR67,AS67,AT67,AU67)=4,(AR68+AS68+AT68+AU68)&lt;&gt;0),(AR67+AS67+AT67+AU67)/-(AR68+AS68+AT68+AU68),""),"")</f>
        <v/>
      </c>
      <c r="AW332" s="262" t="str">
        <f>IFERROR(IF(AND(COUNT(AS67,AT67,AU67,AW67)=4,(AS68+AT68+AU68+AW68)&lt;&gt;0),(AS67+AT67+AU67+AW67)/-(AS68+AT68+AU68+AW68),""),"")</f>
        <v/>
      </c>
      <c r="AX332" s="262" t="str">
        <f>IFERROR(IF(AND(COUNT(AT67,AU67,AW67,AX67)=4,(AT68+AU68+AW68+AX68)&lt;&gt;0),(AT67+AU67+AW67+AX67)/-(AT68+AU68+AW68+AX68),""),"")</f>
        <v/>
      </c>
      <c r="AY332" s="262" t="str">
        <f>IFERROR(IF(AND(COUNT(AU67,AW67,AX67,AY67)=4,(AU68+AW68+AX68+AY68)&lt;&gt;0),(AU67+AW67+AX67+AY67)/-(AU68+AW68+AX68+AY68),""),"")</f>
        <v/>
      </c>
      <c r="AZ332" s="262" t="str">
        <f>IFERROR(IF(AND(COUNT(AW67,AX67,AY67,AZ67)=4,(AW68+AX68+AY68+AZ68)&lt;&gt;0),(AW67+AX67+AY67+AZ67)/-(AW68+AX68+AY68+AZ68),""),"")</f>
        <v/>
      </c>
      <c r="BA332" s="262" t="str">
        <f>IFERROR(IF(AND(COUNT(AW67,AX67,AY67,AZ67)=4,(AW68+AX68+AY68+AZ68)&lt;&gt;0),(AW67+AX67+AY67+AZ67)/-(AW68+AX68+AY68+AZ68),""),"")</f>
        <v/>
      </c>
      <c r="BB332" s="262" t="str">
        <f>IFERROR(IF(AND(COUNT(AX67,AY67,AZ67,BB67)=4,(AX68+AY68+AZ68+BB68)&lt;&gt;0),(AX67+AY67+AZ67+BB67)/-(AX68+AY68+AZ68+BB68),""),"")</f>
        <v/>
      </c>
      <c r="BC332" s="262" t="str">
        <f>IFERROR(IF(AND(COUNT(AY67,AZ67,BB67,BC67)=4,(AY68+AZ68+BB68+BC68)&lt;&gt;0),(AY67+AZ67+BB67+BC67)/-(AY68+AZ68+BB68+BC68),""),"")</f>
        <v/>
      </c>
      <c r="BD332" s="262" t="str">
        <f>IFERROR(IF(AND(COUNT(AZ67,BB67,BC67,BD67)=4,(AZ68+BB68+BC68+BD68)&lt;&gt;0),(AZ67+BB67+BC67+BD67)/-(AZ68+BB68+BC68+BD68),""),"")</f>
        <v/>
      </c>
      <c r="BE332" s="262" t="str">
        <f>IFERROR(IF(AND(COUNT(BB67,BC67,BD67,BE67)=4,(BB68+BC68+BD68+BE68)&lt;&gt;0),(BB67+BC67+BD67+BE67)/-(BB68+BC68+BD68+BE68),""),"")</f>
        <v/>
      </c>
      <c r="BF332" s="262" t="str">
        <f>IFERROR(IF(AND(COUNT(BB67,BC67,BD67,BE67)=4,(BB68+BC68+BD68+BE68)&lt;&gt;0),(BB67+BC67+BD67+BE67)/-(BB68+BC68+BD68+BE68),""),"")</f>
        <v/>
      </c>
      <c r="BG332" s="82" t="n"/>
      <c r="BH332" s="82" t="n"/>
      <c r="BI332" s="82" t="n"/>
      <c r="BJ332" s="82" t="n"/>
      <c r="BL332" s="82" t="n"/>
      <c r="BM332" s="82" t="n"/>
      <c r="BN332" s="82" t="n"/>
      <c r="BO332" s="82" t="n"/>
      <c r="BQ332" s="82" t="n"/>
      <c r="BR332" s="82" t="n"/>
      <c r="BS332" s="82" t="n"/>
      <c r="BT332" s="82" t="n"/>
      <c r="BV332" s="82" t="n"/>
      <c r="BW332" s="82" t="n"/>
      <c r="BX332" s="82" t="n"/>
      <c r="BY332" s="82" t="n"/>
      <c r="CA332" s="82" t="n"/>
      <c r="CB332" s="82" t="n"/>
      <c r="CC332" s="82" t="n"/>
      <c r="CD332" s="82" t="n"/>
      <c r="CF332" s="82" t="n"/>
      <c r="CG332" s="82" t="n"/>
      <c r="CH332" s="82" t="n"/>
      <c r="CI332" s="82" t="n"/>
      <c r="CK332" s="82" t="n"/>
      <c r="CL332" s="82" t="n"/>
      <c r="CM332" s="82" t="n"/>
      <c r="CN332" s="82" t="n"/>
      <c r="CP332" s="82" t="n"/>
      <c r="CQ332" s="82" t="n"/>
      <c r="CR332" s="82" t="n"/>
      <c r="CS332" s="82" t="n"/>
      <c r="CU332" s="82" t="n"/>
      <c r="CV332" s="82" t="n"/>
      <c r="CW332" s="82" t="n"/>
      <c r="CX332" s="82" t="n"/>
    </row>
    <row r="333" customFormat="1" s="77">
      <c r="A333" s="76" t="n"/>
      <c r="B333" s="76" t="n"/>
    </row>
    <row r="334" customFormat="1" s="77">
      <c r="A334" s="76" t="n"/>
      <c r="B334" s="76" t="n"/>
      <c r="C334" s="74" t="inlineStr">
        <is>
          <t>INTERNAL LIQUIDITY</t>
        </is>
      </c>
    </row>
    <row r="335" customFormat="1" s="77">
      <c r="A335" s="76" t="n"/>
      <c r="B335" s="76" t="n"/>
      <c r="C335" s="77" t="inlineStr">
        <is>
          <t>CURRENT RATIO</t>
        </is>
      </c>
      <c r="D335" s="82" t="str">
        <f>IFERROR(SUM(D138,D139,D143,D147,D148,D149)/SUM(D192,D196,D198,D199),"")</f>
        <v/>
      </c>
      <c r="E335" s="82" t="str">
        <f>IFERROR(SUM(E138,E139,E143,E147,E148,E149)/SUM(E192,E196,E198,E199),"")</f>
        <v/>
      </c>
      <c r="F335" s="82" t="str">
        <f>IFERROR(SUM(F138,F139,F143,F147,F148,F149)/SUM(F192,F196,F198,F199),"")</f>
        <v/>
      </c>
      <c r="G335" s="82" t="str">
        <f>IFERROR(SUM(G138,G139,G143,G147,G148,G149)/SUM(G192,G196,G198,G199),"")</f>
        <v/>
      </c>
      <c r="H335" s="262" t="str">
        <f>IFERROR(IF((N(H192)+N(H196)+N(H198)+N(H199)+N(H206)+N(H207)+N(H208))&lt;&gt;0,(N(H138)+(N(H139)+N(H143)+N(H147)+N(H148)+N(H149)))/(N(H192)+N(H196)+N(H198)+N(H199)+N(H206)+N(H207)+N(H208)),""),"")</f>
        <v/>
      </c>
      <c r="I335" s="262">
        <f>IFERROR(IF((N(I192)+N(I196)+N(I198)+N(I199)+N(I206)+N(I207)+N(I208))&lt;&gt;0,(N(I138)+(N(I139)+N(I143)+N(I147)+N(I148)+N(I149)))/(N(I192)+N(I196)+N(I198)+N(I199)+N(I206)+N(I207)+N(I208)),""),"")</f>
        <v>1.66061705989111</v>
      </c>
      <c r="J335" s="262">
        <f>IFERROR(IF((N(J192)+N(J196)+N(J198)+N(J199)+N(J206)+N(J207)+N(J208))&lt;&gt;0,(N(J138)+(N(J139)+N(J143)+N(J147)+N(J148)+N(J149)))/(N(J192)+N(J196)+N(J198)+N(J199)+N(J206)+N(J207)+N(J208)),""),"")</f>
        <v>1.50833791460509</v>
      </c>
      <c r="K335" s="262">
        <f>IFERROR(IF((N(K192)+N(K196)+N(K198)+N(K199)+N(K206)+N(K207)+N(K208))&lt;&gt;0,(N(K138)+(N(K139)+N(K143)+N(K147)+N(K148)+N(K149)))/(N(K192)+N(K196)+N(K198)+N(K199)+N(K206)+N(K207)+N(K208)),""),"")</f>
        <v>1.38507561907928</v>
      </c>
      <c r="L335" s="262">
        <f>IFERROR(IF((N(L192)+N(L196)+N(L198)+N(L199)+N(L206)+N(L207)+N(L208))&lt;&gt;0,(N(L138)+(N(L139)+N(L143)+N(L147)+N(L148)+N(L149)))/(N(L192)+N(L196)+N(L198)+N(L199)+N(L206)+N(L207)+N(L208)),""),"")</f>
        <v>1.37528546054301</v>
      </c>
      <c r="M335" s="262">
        <f>IFERROR(IF((N(M192)+N(M196)+N(M198)+N(M199)+N(M206)+N(M207)+N(M208))&lt;&gt;0,(N(M138)+(N(M139)+N(M143)+N(M147)+N(M148)+N(M149)))/(N(M192)+N(M196)+N(M198)+N(M199)+N(M206)+N(M207)+N(M208)),""),"")</f>
        <v>1.37528546054301</v>
      </c>
      <c r="N335" s="262">
        <f>IFERROR(IF((N(N192)+N(N196)+N(N198)+N(N199)+N(N206)+N(N207)+N(N208))&lt;&gt;0,(N(N138)+(N(N139)+N(N143)+N(N147)+N(N148)+N(N149)))/(N(N192)+N(N196)+N(N198)+N(N199)+N(N206)+N(N207)+N(N208)),""),"")</f>
        <v>1.35399673735726</v>
      </c>
      <c r="O335" s="262">
        <f>IFERROR(IF((N(O192)+N(O196)+N(O198)+N(O199)+N(O206)+N(O207)+N(O208))&lt;&gt;0,(N(O138)+(N(O139)+N(O143)+N(O147)+N(O148)+N(O149)))/(N(O192)+N(O196)+N(O198)+N(O199)+N(O206)+N(O207)+N(O208)),""),"")</f>
        <v>1.43082351862884</v>
      </c>
      <c r="P335" s="262">
        <f>IFERROR(IF((N(P192)+N(P196)+N(P198)+N(P199)+N(P206)+N(P207)+N(P208))&lt;&gt;0,(N(P138)+(N(P139)+N(P143)+N(P147)+N(P148)+N(P149)))/(N(P192)+N(P196)+N(P198)+N(P199)+N(P206)+N(P207)+N(P208)),""),"")</f>
        <v>1.46235423184755</v>
      </c>
      <c r="Q335" s="262">
        <f>IFERROR(IF((N(Q192)+N(Q196)+N(Q198)+N(Q199)+N(Q206)+N(Q207)+N(Q208))&lt;&gt;0,(N(Q138)+(N(Q139)+N(Q143)+N(Q147)+N(Q148)+N(Q149)))/(N(Q192)+N(Q196)+N(Q198)+N(Q199)+N(Q206)+N(Q207)+N(Q208)),""),"")</f>
        <v>1.53195552061103</v>
      </c>
      <c r="R335" s="262">
        <f>IFERROR(IF((N(R192)+N(R196)+N(R198)+N(R199)+N(R206)+N(R207)+N(R208))&lt;&gt;0,(N(R138)+(N(R139)+N(R143)+N(R147)+N(R148)+N(R149)))/(N(R192)+N(R196)+N(R198)+N(R199)+N(R206)+N(R207)+N(R208)),""),"")</f>
        <v>1.53195552061103</v>
      </c>
      <c r="S335" s="262">
        <f>IFERROR(IF((N(S192)+N(S196)+N(S198)+N(S199)+N(S206)+N(S207)+N(S208))&lt;&gt;0,(N(S138)+(N(S139)+N(S143)+N(S147)+N(S148)+N(S149)))/(N(S192)+N(S196)+N(S198)+N(S199)+N(S206)+N(S207)+N(S208)),""),"")</f>
        <v>1.56717451523546</v>
      </c>
      <c r="T335" s="262">
        <f>IFERROR(IF((N(T192)+N(T196)+N(T198)+N(T199)+N(T206)+N(T207)+N(T208))&lt;&gt;0,(N(T138)+(N(T139)+N(T143)+N(T147)+N(T148)+N(T149)))/(N(T192)+N(T196)+N(T198)+N(T199)+N(T206)+N(T207)+N(T208)),""),"")</f>
        <v>1.59013482168745</v>
      </c>
      <c r="U335" s="262">
        <f>IFERROR(IF((N(U192)+N(U196)+N(U198)+N(U199)+N(U206)+N(U207)+N(U208))&lt;&gt;0,(N(U138)+(N(U139)+N(U143)+N(U147)+N(U148)+N(U149)))/(N(U192)+N(U196)+N(U198)+N(U199)+N(U206)+N(U207)+N(U208)),""),"")</f>
        <v>1.69016516516517</v>
      </c>
      <c r="V335" s="262">
        <f>IFERROR(IF((N(V192)+N(V196)+N(V198)+N(V199)+N(V206)+N(V207)+N(V208))&lt;&gt;0,(N(V138)+(N(V139)+N(V143)+N(V147)+N(V148)+N(V149)))/(N(V192)+N(V196)+N(V198)+N(V199)+N(V206)+N(V207)+N(V208)),""),"")</f>
        <v>1.96010157228329</v>
      </c>
      <c r="W335" s="262">
        <f>IFERROR(IF((N(W192)+N(W196)+N(W198)+N(W199)+N(W206)+N(W207)+N(W208))&lt;&gt;0,(N(W138)+(N(W139)+N(W143)+N(W147)+N(W148)+N(W149)))/(N(W192)+N(W196)+N(W198)+N(W199)+N(W206)+N(W207)+N(W208)),""),"")</f>
        <v>1.96010157228329</v>
      </c>
      <c r="X335" s="262">
        <f>IFERROR(IF((N(X192)+N(X196)+N(X198)+N(X199)+N(X206)+N(X207)+N(X208))&lt;&gt;0,(N(X138)+(N(X139)+N(X143)+N(X147)+N(X148)+N(X149)))/(N(X192)+N(X196)+N(X198)+N(X199)+N(X206)+N(X207)+N(X208)),""),"")</f>
        <v>1.94560825722337</v>
      </c>
      <c r="Y335" s="262">
        <f>IFERROR(IF((N(Y192)+N(Y196)+N(Y198)+N(Y199)+N(Y206)+N(Y207)+N(Y208))&lt;&gt;0,(N(Y138)+(N(Y139)+N(Y143)+N(Y147)+N(Y148)+N(Y149)))/(N(Y192)+N(Y196)+N(Y198)+N(Y199)+N(Y206)+N(Y207)+N(Y208)),""),"")</f>
        <v>2.15186267085001</v>
      </c>
      <c r="Z335" s="262">
        <f>IFERROR(IF((N(Z192)+N(Z196)+N(Z198)+N(Z199)+N(Z206)+N(Z207)+N(Z208))&lt;&gt;0,(N(Z138)+(N(Z139)+N(Z143)+N(Z147)+N(Z148)+N(Z149)))/(N(Z192)+N(Z196)+N(Z198)+N(Z199)+N(Z206)+N(Z207)+N(Z208)),""),"")</f>
        <v>2.05595709193184</v>
      </c>
      <c r="AA335" s="262">
        <f>IFERROR(IF((N(AA192)+N(AA196)+N(AA198)+N(AA199)+N(AA206)+N(AA207)+N(AA208))&lt;&gt;0,(N(AA138)+(N(AA139)+N(AA143)+N(AA147)+N(AA148)+N(AA149)))/(N(AA192)+N(AA196)+N(AA198)+N(AA199)+N(AA206)+N(AA207)+N(AA208)),""),"")</f>
        <v>2.25127511189758</v>
      </c>
      <c r="AB335" s="262">
        <f>IFERROR(IF((N(AB192)+N(AB196)+N(AB198)+N(AB199)+N(AB206)+N(AB207)+N(AB208))&lt;&gt;0,(N(AB138)+(N(AB139)+N(AB143)+N(AB147)+N(AB148)+N(AB149)))/(N(AB192)+N(AB196)+N(AB198)+N(AB199)+N(AB206)+N(AB207)+N(AB208)),""),"")</f>
        <v>2.25127511189758</v>
      </c>
      <c r="AC335" s="262">
        <f>IFERROR(IF((N(AC192)+N(AC196)+N(AC198)+N(AC199)+N(AC206)+N(AC207)+N(AC208))&lt;&gt;0,(N(AC138)+(N(AC139)+N(AC143)+N(AC147)+N(AC148)+N(AC149)))/(N(AC192)+N(AC196)+N(AC198)+N(AC199)+N(AC206)+N(AC207)+N(AC208)),""),"")</f>
        <v>2.22081806876618</v>
      </c>
      <c r="AD335" s="262">
        <f>IFERROR(IF((N(AD192)+N(AD196)+N(AD198)+N(AD199)+N(AD206)+N(AD207)+N(AD208))&lt;&gt;0,(N(AD138)+(N(AD139)+N(AD143)+N(AD147)+N(AD148)+N(AD149)))/(N(AD192)+N(AD196)+N(AD198)+N(AD199)+N(AD206)+N(AD207)+N(AD208)),""),"")</f>
        <v>2.26119701412957</v>
      </c>
      <c r="AE335" s="262">
        <f>IFERROR(IF((N(AE192)+N(AE196)+N(AE198)+N(AE199)+N(AE206)+N(AE207)+N(AE208))&lt;&gt;0,(N(AE138)+(N(AE139)+N(AE143)+N(AE147)+N(AE148)+N(AE149)))/(N(AE192)+N(AE196)+N(AE198)+N(AE199)+N(AE206)+N(AE207)+N(AE208)),""),"")</f>
        <v>2.27836369447108</v>
      </c>
      <c r="AF335" s="262">
        <f>IFERROR(IF((N(AF192)+N(AF196)+N(AF198)+N(AF199)+N(AF206)+N(AF207)+N(AF208))&lt;&gt;0,(N(AF138)+(N(AF139)+N(AF143)+N(AF147)+N(AF148)+N(AF149)))/(N(AF192)+N(AF196)+N(AF198)+N(AF199)+N(AF206)+N(AF207)+N(AF208)),""),"")</f>
        <v>2.38276470959198</v>
      </c>
      <c r="AG335" s="262">
        <f>IFERROR(IF((N(AG192)+N(AG196)+N(AG198)+N(AG199)+N(AG206)+N(AG207)+N(AG208))&lt;&gt;0,(N(AG138)+(N(AG139)+N(AG143)+N(AG147)+N(AG148)+N(AG149)))/(N(AG192)+N(AG196)+N(AG198)+N(AG199)+N(AG206)+N(AG207)+N(AG208)),""),"")</f>
        <v>2.38276470959198</v>
      </c>
      <c r="AH335" s="262">
        <f>IFERROR(IF((N(AH192)+N(AH196)+N(AH198)+N(AH199)+N(AH206)+N(AH207)+N(AH208))&lt;&gt;0,(N(AH138)+(N(AH139)+N(AH143)+N(AH147)+N(AH148)+N(AH149)))/(N(AH192)+N(AH196)+N(AH198)+N(AH199)+N(AH206)+N(AH207)+N(AH208)),""),"")</f>
        <v>2.24992676782471</v>
      </c>
      <c r="AI335" s="262">
        <f>IFERROR(IF((N(AI192)+N(AI196)+N(AI198)+N(AI199)+N(AI206)+N(AI207)+N(AI208))&lt;&gt;0,(N(AI138)+(N(AI139)+N(AI143)+N(AI147)+N(AI148)+N(AI149)))/(N(AI192)+N(AI196)+N(AI198)+N(AI199)+N(AI206)+N(AI207)+N(AI208)),""),"")</f>
        <v>2.14517995765702</v>
      </c>
      <c r="AJ335" s="262">
        <f>IFERROR(IF((N(AJ192)+N(AJ196)+N(AJ198)+N(AJ199)+N(AJ206)+N(AJ207)+N(AJ208))&lt;&gt;0,(N(AJ138)+(N(AJ139)+N(AJ143)+N(AJ147)+N(AJ148)+N(AJ149)))/(N(AJ192)+N(AJ196)+N(AJ198)+N(AJ199)+N(AJ206)+N(AJ207)+N(AJ208)),""),"")</f>
        <v>2.06712821094954</v>
      </c>
      <c r="AK335" s="262">
        <f>IFERROR(IF((N(AK192)+N(AK196)+N(AK198)+N(AK199)+N(AK206)+N(AK207)+N(AK208))&lt;&gt;0,(N(AK138)+(N(AK139)+N(AK143)+N(AK147)+N(AK148)+N(AK149)))/(N(AK192)+N(AK196)+N(AK198)+N(AK199)+N(AK206)+N(AK207)+N(AK208)),""),"")</f>
        <v>2.09704783435369</v>
      </c>
      <c r="AL335" s="262">
        <f>IFERROR(IF((N(AL192)+N(AL196)+N(AL198)+N(AL199)+N(AL206)+N(AL207)+N(AL208))&lt;&gt;0,(N(AL138)+(N(AL139)+N(AL143)+N(AL147)+N(AL148)+N(AL149)))/(N(AL192)+N(AL196)+N(AL198)+N(AL199)+N(AL206)+N(AL207)+N(AL208)),""),"")</f>
        <v>2.09704783435369</v>
      </c>
      <c r="AM335" s="262">
        <f>IFERROR(IF((N(AM192)+N(AM196)+N(AM198)+N(AM199)+N(AM206)+N(AM207)+N(AM208))&lt;&gt;0,(N(AM138)+(N(AM139)+N(AM143)+N(AM147)+N(AM148)+N(AM149)))/(N(AM192)+N(AM196)+N(AM198)+N(AM199)+N(AM206)+N(AM207)+N(AM208)),""),"")</f>
        <v>2.10979516543978</v>
      </c>
      <c r="AN335" s="262">
        <f>IFERROR(IF((N(AN192)+N(AN196)+N(AN198)+N(AN199)+N(AN206)+N(AN207)+N(AN208))&lt;&gt;0,(N(AN138)+(N(AN139)+N(AN143)+N(AN147)+N(AN148)+N(AN149)))/(N(AN192)+N(AN196)+N(AN198)+N(AN199)+N(AN206)+N(AN207)+N(AN208)),""),"")</f>
        <v>1.97815158263437</v>
      </c>
      <c r="AO335" s="262">
        <f>IFERROR(IF((N(AO192)+N(AO196)+N(AO198)+N(AO199)+N(AO206)+N(AO207)+N(AO208))&lt;&gt;0,(N(AO138)+(N(AO139)+N(AO143)+N(AO147)+N(AO148)+N(AO149)))/(N(AO192)+N(AO196)+N(AO198)+N(AO199)+N(AO206)+N(AO207)+N(AO208)),""),"")</f>
        <v>1.93305322192968</v>
      </c>
      <c r="AP335" s="262">
        <f>IFERROR(IF((N(AP192)+N(AP196)+N(AP198)+N(AP199)+N(AP206)+N(AP207)+N(AP208))&lt;&gt;0,(N(AP138)+(N(AP139)+N(AP143)+N(AP147)+N(AP148)+N(AP149)))/(N(AP192)+N(AP196)+N(AP198)+N(AP199)+N(AP206)+N(AP207)+N(AP208)),""),"")</f>
        <v>1.9562471599342</v>
      </c>
      <c r="AQ335" s="262">
        <f>IFERROR(IF((N(AQ192)+N(AQ196)+N(AQ198)+N(AQ199)+N(AQ206)+N(AQ207)+N(AQ208))&lt;&gt;0,(N(AQ138)+(N(AQ139)+N(AQ143)+N(AQ147)+N(AQ148)+N(AQ149)))/(N(AQ192)+N(AQ196)+N(AQ198)+N(AQ199)+N(AQ206)+N(AQ207)+N(AQ208)),""),"")</f>
        <v>1.9562471599342</v>
      </c>
      <c r="AR335" s="262">
        <f>IFERROR(IF((N(AR192)+N(AR196)+N(AR198)+N(AR199)+N(AR206)+N(AR207)+N(AR208))&lt;&gt;0,(N(AR138)+(N(AR139)+N(AR143)+N(AR147)+N(AR148)+N(AR149)))/(N(AR192)+N(AR196)+N(AR198)+N(AR199)+N(AR206)+N(AR207)+N(AR208)),""),"")</f>
        <v>1.97066517069323</v>
      </c>
      <c r="AS335" s="262">
        <f>IFERROR(IF((N(AS192)+N(AS196)+N(AS198)+N(AS199)+N(AS206)+N(AS207)+N(AS208))&lt;&gt;0,(N(AS138)+(N(AS139)+N(AS143)+N(AS147)+N(AS148)+N(AS149)))/(N(AS192)+N(AS196)+N(AS198)+N(AS199)+N(AS206)+N(AS207)+N(AS208)),""),"")</f>
        <v>1.8449949682429</v>
      </c>
      <c r="AT335" s="262">
        <f>IFERROR(IF((N(AT192)+N(AT196)+N(AT198)+N(AT199)+N(AT206)+N(AT207)+N(AT208))&lt;&gt;0,(N(AT138)+(N(AT139)+N(AT143)+N(AT147)+N(AT148)+N(AT149)))/(N(AT192)+N(AT196)+N(AT198)+N(AT199)+N(AT206)+N(AT207)+N(AT208)),""),"")</f>
        <v>1.80082097966254</v>
      </c>
      <c r="AU335" s="262">
        <f>IFERROR(IF((N(AU192)+N(AU196)+N(AU198)+N(AU199)+N(AU206)+N(AU207)+N(AU208))&lt;&gt;0,(N(AU138)+(N(AU139)+N(AU143)+N(AU147)+N(AU148)+N(AU149)))/(N(AU192)+N(AU196)+N(AU198)+N(AU199)+N(AU206)+N(AU207)+N(AU208)),""),"")</f>
        <v>1.81696058566197</v>
      </c>
      <c r="AV335" s="262">
        <f>IFERROR(IF((N(AV192)+N(AV196)+N(AV198)+N(AV199)+N(AV206)+N(AV207)+N(AV208))&lt;&gt;0,(N(AV138)+(N(AV139)+N(AV143)+N(AV147)+N(AV148)+N(AV149)))/(N(AV192)+N(AV196)+N(AV198)+N(AV199)+N(AV206)+N(AV207)+N(AV208)),""),"")</f>
        <v>1.81696058566197</v>
      </c>
      <c r="AW335" s="262">
        <f>IFERROR(IF((N(AW192)+N(AW196)+N(AW198)+N(AW199)+N(AW206)+N(AW207)+N(AW208))&lt;&gt;0,(N(AW138)+(N(AW139)+N(AW143)+N(AW147)+N(AW148)+N(AW149)))/(N(AW192)+N(AW196)+N(AW198)+N(AW199)+N(AW206)+N(AW207)+N(AW208)),""),"")</f>
        <v>1.82346041216022</v>
      </c>
      <c r="AX335" s="262">
        <f>IFERROR(IF((N(AX192)+N(AX196)+N(AX198)+N(AX199)+N(AX206)+N(AX207)+N(AX208))&lt;&gt;0,(N(AX138)+(N(AX139)+N(AX143)+N(AX147)+N(AX148)+N(AX149)))/(N(AX192)+N(AX196)+N(AX198)+N(AX199)+N(AX206)+N(AX207)+N(AX208)),""),"")</f>
        <v>1.71342723931344</v>
      </c>
      <c r="AY335" s="262">
        <f>IFERROR(IF((N(AY192)+N(AY196)+N(AY198)+N(AY199)+N(AY206)+N(AY207)+N(AY208))&lt;&gt;0,(N(AY138)+(N(AY139)+N(AY143)+N(AY147)+N(AY148)+N(AY149)))/(N(AY192)+N(AY196)+N(AY198)+N(AY199)+N(AY206)+N(AY207)+N(AY208)),""),"")</f>
        <v>1.67034306777754</v>
      </c>
      <c r="AZ335" s="262">
        <f>IFERROR(IF((N(AZ192)+N(AZ196)+N(AZ198)+N(AZ199)+N(AZ206)+N(AZ207)+N(AZ208))&lt;&gt;0,(N(AZ138)+(N(AZ139)+N(AZ143)+N(AZ147)+N(AZ148)+N(AZ149)))/(N(AZ192)+N(AZ196)+N(AZ198)+N(AZ199)+N(AZ206)+N(AZ207)+N(AZ208)),""),"")</f>
        <v>1.67915805059411</v>
      </c>
      <c r="BA335" s="262">
        <f>IFERROR(IF((N(BA192)+N(BA196)+N(BA198)+N(BA199)+N(BA206)+N(BA207)+N(BA208))&lt;&gt;0,(N(BA138)+(N(BA139)+N(BA143)+N(BA147)+N(BA148)+N(BA149)))/(N(BA192)+N(BA196)+N(BA198)+N(BA199)+N(BA206)+N(BA207)+N(BA208)),""),"")</f>
        <v>1.67915805059411</v>
      </c>
      <c r="BB335" s="262">
        <f>IFERROR(IF((N(BB192)+N(BB196)+N(BB198)+N(BB199)+N(BB206)+N(BB207)+N(BB208))&lt;&gt;0,(N(BB138)+(N(BB139)+N(BB143)+N(BB147)+N(BB148)+N(BB149)))/(N(BB192)+N(BB196)+N(BB198)+N(BB199)+N(BB206)+N(BB207)+N(BB208)),""),"")</f>
        <v>1.68145906184079</v>
      </c>
      <c r="BC335" s="262">
        <f>IFERROR(IF((N(BC192)+N(BC196)+N(BC198)+N(BC199)+N(BC206)+N(BC207)+N(BC208))&lt;&gt;0,(N(BC138)+(N(BC139)+N(BC143)+N(BC147)+N(BC148)+N(BC149)))/(N(BC192)+N(BC196)+N(BC198)+N(BC199)+N(BC206)+N(BC207)+N(BC208)),""),"")</f>
        <v>1.58331548585538</v>
      </c>
      <c r="BD335" s="262">
        <f>IFERROR(IF((N(BD192)+N(BD196)+N(BD198)+N(BD199)+N(BD206)+N(BD207)+N(BD208))&lt;&gt;0,(N(BD138)+(N(BD139)+N(BD143)+N(BD147)+N(BD148)+N(BD149)))/(N(BD192)+N(BD196)+N(BD198)+N(BD199)+N(BD206)+N(BD207)+N(BD208)),""),"")</f>
        <v>1.54147450312895</v>
      </c>
      <c r="BE335" s="262">
        <f>IFERROR(IF((N(BE192)+N(BE196)+N(BE198)+N(BE199)+N(BE206)+N(BE207)+N(BE208))&lt;&gt;0,(N(BE138)+(N(BE139)+N(BE143)+N(BE147)+N(BE148)+N(BE149)))/(N(BE192)+N(BE196)+N(BE198)+N(BE199)+N(BE206)+N(BE207)+N(BE208)),""),"")</f>
        <v>1.54274970133738</v>
      </c>
      <c r="BF335" s="262">
        <f>IFERROR(IF((N(BF192)+N(BF196)+N(BF198)+N(BF199)+N(BF206)+N(BF207)+N(BF208))&lt;&gt;0,(N(BF138)+(N(BF139)+N(BF143)+N(BF147)+N(BF148)+N(BF149)))/(N(BF192)+N(BF196)+N(BF198)+N(BF199)+N(BF206)+N(BF207)+N(BF208)),""),"")</f>
        <v>1.54274970133738</v>
      </c>
      <c r="BG335" s="82" t="n"/>
      <c r="BH335" s="82" t="n"/>
      <c r="BI335" s="82" t="n"/>
      <c r="BJ335" s="82" t="n"/>
      <c r="BL335" s="82" t="n"/>
      <c r="BM335" s="82" t="n"/>
      <c r="BN335" s="82" t="n"/>
      <c r="BO335" s="82" t="n"/>
      <c r="BQ335" s="82" t="n"/>
      <c r="BR335" s="82" t="n"/>
      <c r="BS335" s="82" t="n"/>
      <c r="BT335" s="82" t="n"/>
      <c r="BV335" s="82" t="n"/>
      <c r="BW335" s="82" t="n"/>
      <c r="BX335" s="82" t="n"/>
      <c r="BY335" s="82" t="n"/>
      <c r="CA335" s="82" t="n"/>
      <c r="CB335" s="82" t="n"/>
      <c r="CC335" s="82" t="n"/>
      <c r="CD335" s="82" t="n"/>
      <c r="CF335" s="82" t="n"/>
      <c r="CG335" s="82" t="n"/>
      <c r="CH335" s="82" t="n"/>
      <c r="CI335" s="82" t="n"/>
      <c r="CK335" s="82" t="n"/>
      <c r="CL335" s="82" t="n"/>
      <c r="CM335" s="82" t="n"/>
      <c r="CN335" s="82" t="n"/>
      <c r="CP335" s="82" t="n"/>
      <c r="CQ335" s="82" t="n"/>
      <c r="CR335" s="82" t="n"/>
      <c r="CS335" s="82" t="n"/>
      <c r="CU335" s="82" t="n"/>
      <c r="CV335" s="82" t="n"/>
      <c r="CW335" s="82" t="n"/>
      <c r="CX335" s="82" t="n"/>
    </row>
    <row r="336" customFormat="1" s="77">
      <c r="A336" s="76" t="n"/>
      <c r="B336" s="76" t="n"/>
      <c r="C336" s="77" t="inlineStr">
        <is>
          <t>CASH RATIO</t>
        </is>
      </c>
      <c r="D336" s="82" t="str">
        <f>IFERROR(SUM(D138)/SUM(D192,D196,D198,D199),"")</f>
        <v/>
      </c>
      <c r="E336" s="82" t="str">
        <f>IFERROR(SUM(E138)/SUM(E192,E196,E198,E199),"")</f>
        <v/>
      </c>
      <c r="F336" s="82" t="str">
        <f>IFERROR(SUM(F138)/SUM(F192,F196,F198,F199),"")</f>
        <v/>
      </c>
      <c r="G336" s="82" t="str">
        <f>IFERROR(SUM(G138)/SUM(G192,G196,G198,G199),"")</f>
        <v/>
      </c>
      <c r="H336" s="262" t="str">
        <f>IFERROR(IF((N(H192)+N(H196)+N(H198)+N(H199)+N(H206)+N(H207)+N(H208))&lt;&gt;0,N(H138)/(N(H192)+N(H196)+N(H198)+N(H199)+N(H206)+N(H207)+N(H208)),""),"")</f>
        <v/>
      </c>
      <c r="I336" s="262">
        <f>IFERROR(IF((N(I192)+N(I196)+N(I198)+N(I199)+N(I206)+N(I207)+N(I208))&lt;&gt;0,N(I138)/(N(I192)+N(I196)+N(I198)+N(I199)+N(I206)+N(I207)+N(I208)),""),"")</f>
        <v>1.15218121933185</v>
      </c>
      <c r="J336" s="262">
        <f>IFERROR(IF((N(J192)+N(J196)+N(J198)+N(J199)+N(J206)+N(J207)+N(J208))&lt;&gt;0,N(J138)/(N(J192)+N(J196)+N(J198)+N(J199)+N(J206)+N(J207)+N(J208)),""),"")</f>
        <v>0.991326125465763</v>
      </c>
      <c r="K336" s="262">
        <f>IFERROR(IF((N(K192)+N(K196)+N(K198)+N(K199)+N(K206)+N(K207)+N(K208))&lt;&gt;0,N(K138)/(N(K192)+N(K196)+N(K198)+N(K199)+N(K206)+N(K207)+N(K208)),""),"")</f>
        <v>0.891640352335051</v>
      </c>
      <c r="L336" s="262">
        <f>IFERROR(IF((N(L192)+N(L196)+N(L198)+N(L199)+N(L206)+N(L207)+N(L208))&lt;&gt;0,N(L138)/(N(L192)+N(L196)+N(L198)+N(L199)+N(L206)+N(L207)+N(L208)),""),"")</f>
        <v>0.898604415123065</v>
      </c>
      <c r="M336" s="262">
        <f>IFERROR(IF((N(M192)+N(M196)+N(M198)+N(M199)+N(M206)+N(M207)+N(M208))&lt;&gt;0,N(M138)/(N(M192)+N(M196)+N(M198)+N(M199)+N(M206)+N(M207)+N(M208)),""),"")</f>
        <v>0.898604415123065</v>
      </c>
      <c r="N336" s="262">
        <f>IFERROR(IF((N(N192)+N(N196)+N(N198)+N(N199)+N(N206)+N(N207)+N(N208))&lt;&gt;0,N(N138)/(N(N192)+N(N196)+N(N198)+N(N199)+N(N206)+N(N207)+N(N208)),""),"")</f>
        <v>0.839571195525519</v>
      </c>
      <c r="O336" s="262">
        <f>IFERROR(IF((N(O192)+N(O196)+N(O198)+N(O199)+N(O206)+N(O207)+N(O208))&lt;&gt;0,N(O138)/(N(O192)+N(O196)+N(O198)+N(O199)+N(O206)+N(O207)+N(O208)),""),"")</f>
        <v>0.866825535035058</v>
      </c>
      <c r="P336" s="262">
        <f>IFERROR(IF((N(P192)+N(P196)+N(P198)+N(P199)+N(P206)+N(P207)+N(P208))&lt;&gt;0,N(P138)/(N(P192)+N(P196)+N(P198)+N(P199)+N(P206)+N(P207)+N(P208)),""),"")</f>
        <v>0.857624639388891</v>
      </c>
      <c r="Q336" s="262">
        <f>IFERROR(IF((N(Q192)+N(Q196)+N(Q198)+N(Q199)+N(Q206)+N(Q207)+N(Q208))&lt;&gt;0,N(Q138)/(N(Q192)+N(Q196)+N(Q198)+N(Q199)+N(Q206)+N(Q207)+N(Q208)),""),"")</f>
        <v>0.830618892508143</v>
      </c>
      <c r="R336" s="262">
        <f>IFERROR(IF((N(R192)+N(R196)+N(R198)+N(R199)+N(R206)+N(R207)+N(R208))&lt;&gt;0,N(R138)/(N(R192)+N(R196)+N(R198)+N(R199)+N(R206)+N(R207)+N(R208)),""),"")</f>
        <v>0.830618892508143</v>
      </c>
      <c r="S336" s="262">
        <f>IFERROR(IF((N(S192)+N(S196)+N(S198)+N(S199)+N(S206)+N(S207)+N(S208))&lt;&gt;0,N(S138)/(N(S192)+N(S196)+N(S198)+N(S199)+N(S206)+N(S207)+N(S208)),""),"")</f>
        <v>0.816518442921709</v>
      </c>
      <c r="T336" s="262">
        <f>IFERROR(IF((N(T192)+N(T196)+N(T198)+N(T199)+N(T206)+N(T207)+N(T208))&lt;&gt;0,N(T138)/(N(T192)+N(T196)+N(T198)+N(T199)+N(T206)+N(T207)+N(T208)),""),"")</f>
        <v>0.836293128443027</v>
      </c>
      <c r="U336" s="262">
        <f>IFERROR(IF((N(U192)+N(U196)+N(U198)+N(U199)+N(U206)+N(U207)+N(U208))&lt;&gt;0,N(U138)/(N(U192)+N(U196)+N(U198)+N(U199)+N(U206)+N(U207)+N(U208)),""),"")</f>
        <v>0.978866366366366</v>
      </c>
      <c r="V336" s="262">
        <f>IFERROR(IF((N(V192)+N(V196)+N(V198)+N(V199)+N(V206)+N(V207)+N(V208))&lt;&gt;0,N(V138)/(N(V192)+N(V196)+N(V198)+N(V199)+N(V206)+N(V207)+N(V208)),""),"")</f>
        <v>1.01203561986921</v>
      </c>
      <c r="W336" s="262">
        <f>IFERROR(IF((N(W192)+N(W196)+N(W198)+N(W199)+N(W206)+N(W207)+N(W208))&lt;&gt;0,N(W138)/(N(W192)+N(W196)+N(W198)+N(W199)+N(W206)+N(W207)+N(W208)),""),"")</f>
        <v>1.01203561986921</v>
      </c>
      <c r="X336" s="262">
        <f>IFERROR(IF((N(X192)+N(X196)+N(X198)+N(X199)+N(X206)+N(X207)+N(X208))&lt;&gt;0,N(X138)/(N(X192)+N(X196)+N(X198)+N(X199)+N(X206)+N(X207)+N(X208)),""),"")</f>
        <v>0.912063287271246</v>
      </c>
      <c r="Y336" s="262">
        <f>IFERROR(IF((N(Y192)+N(Y196)+N(Y198)+N(Y199)+N(Y206)+N(Y207)+N(Y208))&lt;&gt;0,N(Y138)/(N(Y192)+N(Y196)+N(Y198)+N(Y199)+N(Y206)+N(Y207)+N(Y208)),""),"")</f>
        <v>1.10786541166288</v>
      </c>
      <c r="Z336" s="262">
        <f>IFERROR(IF((N(Z192)+N(Z196)+N(Z198)+N(Z199)+N(Z206)+N(Z207)+N(Z208))&lt;&gt;0,N(Z138)/(N(Z192)+N(Z196)+N(Z198)+N(Z199)+N(Z206)+N(Z207)+N(Z208)),""),"")</f>
        <v>1.1004349674592</v>
      </c>
      <c r="AA336" s="262">
        <f>IFERROR(IF((N(AA192)+N(AA196)+N(AA198)+N(AA199)+N(AA206)+N(AA207)+N(AA208))&lt;&gt;0,N(AA138)/(N(AA192)+N(AA196)+N(AA198)+N(AA199)+N(AA206)+N(AA207)+N(AA208)),""),"")</f>
        <v>1.26862357308907</v>
      </c>
      <c r="AB336" s="262">
        <f>IFERROR(IF((N(AB192)+N(AB196)+N(AB198)+N(AB199)+N(AB206)+N(AB207)+N(AB208))&lt;&gt;0,N(AB138)/(N(AB192)+N(AB196)+N(AB198)+N(AB199)+N(AB206)+N(AB207)+N(AB208)),""),"")</f>
        <v>1.26862357308907</v>
      </c>
      <c r="AC336" s="262">
        <f>IFERROR(IF((N(AC192)+N(AC196)+N(AC198)+N(AC199)+N(AC206)+N(AC207)+N(AC208))&lt;&gt;0,N(AC138)/(N(AC192)+N(AC196)+N(AC198)+N(AC199)+N(AC206)+N(AC207)+N(AC208)),""),"")</f>
        <v>1.24343763654085</v>
      </c>
      <c r="AD336" s="262">
        <f>IFERROR(IF((N(AD192)+N(AD196)+N(AD198)+N(AD199)+N(AD206)+N(AD207)+N(AD208))&lt;&gt;0,N(AD138)/(N(AD192)+N(AD196)+N(AD198)+N(AD199)+N(AD206)+N(AD207)+N(AD208)),""),"")</f>
        <v>1.22573980271928</v>
      </c>
      <c r="AE336" s="262">
        <f>IFERROR(IF((N(AE192)+N(AE196)+N(AE198)+N(AE199)+N(AE206)+N(AE207)+N(AE208))&lt;&gt;0,N(AE138)/(N(AE192)+N(AE196)+N(AE198)+N(AE199)+N(AE206)+N(AE207)+N(AE208)),""),"")</f>
        <v>1.33100031959092</v>
      </c>
      <c r="AF336" s="262">
        <f>IFERROR(IF((N(AF192)+N(AF196)+N(AF198)+N(AF199)+N(AF206)+N(AF207)+N(AF208))&lt;&gt;0,N(AF138)/(N(AF192)+N(AF196)+N(AF198)+N(AF199)+N(AF206)+N(AF207)+N(AF208)),""),"")</f>
        <v>1.38926026360598</v>
      </c>
      <c r="AG336" s="262">
        <f>IFERROR(IF((N(AG192)+N(AG196)+N(AG198)+N(AG199)+N(AG206)+N(AG207)+N(AG208))&lt;&gt;0,N(AG138)/(N(AG192)+N(AG196)+N(AG198)+N(AG199)+N(AG206)+N(AG207)+N(AG208)),""),"")</f>
        <v>1.38926026360598</v>
      </c>
      <c r="AH336" s="262">
        <f>IFERROR(IF((N(AH192)+N(AH196)+N(AH198)+N(AH199)+N(AH206)+N(AH207)+N(AH208))&lt;&gt;0,N(AH138)/(N(AH192)+N(AH196)+N(AH198)+N(AH199)+N(AH206)+N(AH207)+N(AH208)),""),"")</f>
        <v>1.31065088757396</v>
      </c>
      <c r="AI336" s="262">
        <f>IFERROR(IF((N(AI192)+N(AI196)+N(AI198)+N(AI199)+N(AI206)+N(AI207)+N(AI208))&lt;&gt;0,N(AI138)/(N(AI192)+N(AI196)+N(AI198)+N(AI199)+N(AI206)+N(AI207)+N(AI208)),""),"")</f>
        <v>1.22862385321101</v>
      </c>
      <c r="AJ336" s="262">
        <f>IFERROR(IF((N(AJ192)+N(AJ196)+N(AJ198)+N(AJ199)+N(AJ206)+N(AJ207)+N(AJ208))&lt;&gt;0,N(AJ138)/(N(AJ192)+N(AJ196)+N(AJ198)+N(AJ199)+N(AJ206)+N(AJ207)+N(AJ208)),""),"")</f>
        <v>1.08603962380509</v>
      </c>
      <c r="AK336" s="262">
        <f>IFERROR(IF((N(AK192)+N(AK196)+N(AK198)+N(AK199)+N(AK206)+N(AK207)+N(AK208))&lt;&gt;0,N(AK138)/(N(AK192)+N(AK196)+N(AK198)+N(AK199)+N(AK206)+N(AK207)+N(AK208)),""),"")</f>
        <v>1.13247391868314</v>
      </c>
      <c r="AL336" s="262">
        <f>IFERROR(IF((N(AL192)+N(AL196)+N(AL198)+N(AL199)+N(AL206)+N(AL207)+N(AL208))&lt;&gt;0,N(AL138)/(N(AL192)+N(AL196)+N(AL198)+N(AL199)+N(AL206)+N(AL207)+N(AL208)),""),"")</f>
        <v>1.13247391868314</v>
      </c>
      <c r="AM336" s="262">
        <f>IFERROR(IF((N(AM192)+N(AM196)+N(AM198)+N(AM199)+N(AM206)+N(AM207)+N(AM208))&lt;&gt;0,N(AM138)/(N(AM192)+N(AM196)+N(AM198)+N(AM199)+N(AM206)+N(AM207)+N(AM208)),""),"")</f>
        <v>1.1566112957304</v>
      </c>
      <c r="AN336" s="262">
        <f>IFERROR(IF((N(AN192)+N(AN196)+N(AN198)+N(AN199)+N(AN206)+N(AN207)+N(AN208))&lt;&gt;0,N(AN138)/(N(AN192)+N(AN196)+N(AN198)+N(AN199)+N(AN206)+N(AN207)+N(AN208)),""),"")</f>
        <v>0.994866711916952</v>
      </c>
      <c r="AO336" s="262">
        <f>IFERROR(IF((N(AO192)+N(AO196)+N(AO198)+N(AO199)+N(AO206)+N(AO207)+N(AO208))&lt;&gt;0,N(AO138)/(N(AO192)+N(AO196)+N(AO198)+N(AO199)+N(AO206)+N(AO207)+N(AO208)),""),"")</f>
        <v>0.945512071183874</v>
      </c>
      <c r="AP336" s="262">
        <f>IFERROR(IF((N(AP192)+N(AP196)+N(AP198)+N(AP199)+N(AP206)+N(AP207)+N(AP208))&lt;&gt;0,N(AP138)/(N(AP192)+N(AP196)+N(AP198)+N(AP199)+N(AP206)+N(AP207)+N(AP208)),""),"")</f>
        <v>0.985302637725542</v>
      </c>
      <c r="AQ336" s="262">
        <f>IFERROR(IF((N(AQ192)+N(AQ196)+N(AQ198)+N(AQ199)+N(AQ206)+N(AQ207)+N(AQ208))&lt;&gt;0,N(AQ138)/(N(AQ192)+N(AQ196)+N(AQ198)+N(AQ199)+N(AQ206)+N(AQ207)+N(AQ208)),""),"")</f>
        <v>0.985302637725542</v>
      </c>
      <c r="AR336" s="262">
        <f>IFERROR(IF((N(AR192)+N(AR196)+N(AR198)+N(AR199)+N(AR206)+N(AR207)+N(AR208))&lt;&gt;0,N(AR138)/(N(AR192)+N(AR196)+N(AR198)+N(AR199)+N(AR206)+N(AR207)+N(AR208)),""),"")</f>
        <v>1.01332876042393</v>
      </c>
      <c r="AS336" s="262">
        <f>IFERROR(IF((N(AS192)+N(AS196)+N(AS198)+N(AS199)+N(AS206)+N(AS207)+N(AS208))&lt;&gt;0,N(AS138)/(N(AS192)+N(AS196)+N(AS198)+N(AS199)+N(AS206)+N(AS207)+N(AS208)),""),"")</f>
        <v>0.855911786171172</v>
      </c>
      <c r="AT336" s="262">
        <f>IFERROR(IF((N(AT192)+N(AT196)+N(AT198)+N(AT199)+N(AT206)+N(AT207)+N(AT208))&lt;&gt;0,N(AT138)/(N(AT192)+N(AT196)+N(AT198)+N(AT199)+N(AT206)+N(AT207)+N(AT208)),""),"")</f>
        <v>0.807470491473711</v>
      </c>
      <c r="AU336" s="262">
        <f>IFERROR(IF((N(AU192)+N(AU196)+N(AU198)+N(AU199)+N(AU206)+N(AU207)+N(AU208))&lt;&gt;0,N(AU138)/(N(AU192)+N(AU196)+N(AU198)+N(AU199)+N(AU206)+N(AU207)+N(AU208)),""),"")</f>
        <v>0.840265284154496</v>
      </c>
      <c r="AV336" s="262">
        <f>IFERROR(IF((N(AV192)+N(AV196)+N(AV198)+N(AV199)+N(AV206)+N(AV207)+N(AV208))&lt;&gt;0,N(AV138)/(N(AV192)+N(AV196)+N(AV198)+N(AV199)+N(AV206)+N(AV207)+N(AV208)),""),"")</f>
        <v>0.840265284154496</v>
      </c>
      <c r="AW336" s="262">
        <f>IFERROR(IF((N(AW192)+N(AW196)+N(AW198)+N(AW199)+N(AW206)+N(AW207)+N(AW208))&lt;&gt;0,N(AW138)/(N(AW192)+N(AW196)+N(AW198)+N(AW199)+N(AW206)+N(AW207)+N(AW208)),""),"")</f>
        <v>0.859605722842528</v>
      </c>
      <c r="AX336" s="262">
        <f>IFERROR(IF((N(AX192)+N(AX196)+N(AX198)+N(AX199)+N(AX206)+N(AX207)+N(AX208))&lt;&gt;0,N(AX138)/(N(AX192)+N(AX196)+N(AX198)+N(AX199)+N(AX206)+N(AX207)+N(AX208)),""),"")</f>
        <v>0.719197448618784</v>
      </c>
      <c r="AY336" s="262">
        <f>IFERROR(IF((N(AY192)+N(AY196)+N(AY198)+N(AY199)+N(AY206)+N(AY207)+N(AY208))&lt;&gt;0,N(AY138)/(N(AY192)+N(AY196)+N(AY198)+N(AY199)+N(AY206)+N(AY207)+N(AY208)),""),"")</f>
        <v>0.671839319337334</v>
      </c>
      <c r="AZ336" s="262">
        <f>IFERROR(IF((N(AZ192)+N(AZ196)+N(AZ198)+N(AZ199)+N(AZ206)+N(AZ207)+N(AZ208))&lt;&gt;0,N(AZ138)/(N(AZ192)+N(AZ196)+N(AZ198)+N(AZ199)+N(AZ206)+N(AZ207)+N(AZ208)),""),"")</f>
        <v>0.697349310470237</v>
      </c>
      <c r="BA336" s="262">
        <f>IFERROR(IF((N(BA192)+N(BA196)+N(BA198)+N(BA199)+N(BA206)+N(BA207)+N(BA208))&lt;&gt;0,N(BA138)/(N(BA192)+N(BA196)+N(BA198)+N(BA199)+N(BA206)+N(BA207)+N(BA208)),""),"")</f>
        <v>0.697349310470237</v>
      </c>
      <c r="BB336" s="262">
        <f>IFERROR(IF((N(BB192)+N(BB196)+N(BB198)+N(BB199)+N(BB206)+N(BB207)+N(BB208))&lt;&gt;0,N(BB138)/(N(BB192)+N(BB196)+N(BB198)+N(BB199)+N(BB206)+N(BB207)+N(BB208)),""),"")</f>
        <v>0.713205604055783</v>
      </c>
      <c r="BC336" s="262">
        <f>IFERROR(IF((N(BC192)+N(BC196)+N(BC198)+N(BC199)+N(BC206)+N(BC207)+N(BC208))&lt;&gt;0,N(BC138)/(N(BC192)+N(BC196)+N(BC198)+N(BC199)+N(BC206)+N(BC207)+N(BC208)),""),"")</f>
        <v>0.584601301914613</v>
      </c>
      <c r="BD336" s="262">
        <f>IFERROR(IF((N(BD192)+N(BD196)+N(BD198)+N(BD199)+N(BD206)+N(BD207)+N(BD208))&lt;&gt;0,N(BD138)/(N(BD192)+N(BD196)+N(BD198)+N(BD199)+N(BD206)+N(BD207)+N(BD208)),""),"")</f>
        <v>0.53848296745186</v>
      </c>
      <c r="BE336" s="262">
        <f>IFERROR(IF((N(BE192)+N(BE196)+N(BE198)+N(BE199)+N(BE206)+N(BE207)+N(BE208))&lt;&gt;0,N(BE138)/(N(BE192)+N(BE196)+N(BE198)+N(BE199)+N(BE206)+N(BE207)+N(BE208)),""),"")</f>
        <v>0.556478537105688</v>
      </c>
      <c r="BF336" s="262">
        <f>IFERROR(IF((N(BF192)+N(BF196)+N(BF198)+N(BF199)+N(BF206)+N(BF207)+N(BF208))&lt;&gt;0,N(BF138)/(N(BF192)+N(BF196)+N(BF198)+N(BF199)+N(BF206)+N(BF207)+N(BF208)),""),"")</f>
        <v>0.556478537105688</v>
      </c>
      <c r="BG336" s="82" t="n"/>
      <c r="BH336" s="82" t="n"/>
      <c r="BI336" s="82" t="n"/>
      <c r="BJ336" s="82" t="n"/>
      <c r="BL336" s="82" t="n"/>
      <c r="BM336" s="82" t="n"/>
      <c r="BN336" s="82" t="n"/>
      <c r="BO336" s="82" t="n"/>
      <c r="BQ336" s="82" t="n"/>
      <c r="BR336" s="82" t="n"/>
      <c r="BS336" s="82" t="n"/>
      <c r="BT336" s="82" t="n"/>
      <c r="BV336" s="82" t="n"/>
      <c r="BW336" s="82" t="n"/>
      <c r="BX336" s="82" t="n"/>
      <c r="BY336" s="82" t="n"/>
      <c r="CA336" s="82" t="n"/>
      <c r="CB336" s="82" t="n"/>
      <c r="CC336" s="82" t="n"/>
      <c r="CD336" s="82" t="n"/>
      <c r="CF336" s="82" t="n"/>
      <c r="CG336" s="82" t="n"/>
      <c r="CH336" s="82" t="n"/>
      <c r="CI336" s="82" t="n"/>
      <c r="CK336" s="82" t="n"/>
      <c r="CL336" s="82" t="n"/>
      <c r="CM336" s="82" t="n"/>
      <c r="CN336" s="82" t="n"/>
      <c r="CP336" s="82" t="n"/>
      <c r="CQ336" s="82" t="n"/>
      <c r="CR336" s="82" t="n"/>
      <c r="CS336" s="82" t="n"/>
      <c r="CU336" s="82" t="n"/>
      <c r="CV336" s="82" t="n"/>
      <c r="CW336" s="82" t="n"/>
      <c r="CX336" s="82" t="n"/>
    </row>
    <row r="337" customFormat="1" s="77">
      <c r="A337" s="76" t="n"/>
      <c r="B337" s="76" t="n"/>
    </row>
    <row r="338" customFormat="1" s="77">
      <c r="A338" s="76" t="n"/>
      <c r="B338" s="76" t="n"/>
      <c r="C338" s="74" t="inlineStr">
        <is>
          <t>OPERATING EFFICIENCY</t>
        </is>
      </c>
    </row>
    <row r="339" customFormat="1" s="84">
      <c r="A339" s="81" t="n"/>
      <c r="B339" s="81" t="n"/>
      <c r="C339" s="84" t="inlineStr">
        <is>
          <t>RETURN ON CAPITAL (ROIC) - LTM</t>
        </is>
      </c>
      <c r="D339" t="str">
        <f>IFERROR(D341/D344,"")</f>
        <v/>
      </c>
      <c r="E339" t="str">
        <f>IFERROR(E341/E344,"")</f>
        <v/>
      </c>
      <c r="F339" t="str">
        <f>IFERROR(F341/F344,"")</f>
        <v/>
      </c>
      <c r="G339" t="str">
        <f>IFERROR(G341/G344,"")</f>
        <v/>
      </c>
      <c r="H339" s="257" t="str">
        <f>IFERROR(IF(AND(COUNT(H341)=1,N(H344)&lt;&gt;0),(H341)/H344,""),"")</f>
        <v/>
      </c>
      <c r="I339" s="257" t="str">
        <f>""</f>
        <v/>
      </c>
      <c r="J339" s="257" t="str">
        <f>""</f>
        <v/>
      </c>
      <c r="K339" s="257" t="str">
        <f>""</f>
        <v/>
      </c>
      <c r="L339" s="257">
        <f>IFERROR(IF(AND(COUNT(I341,J341,K341,L341)=4,N(L344)&lt;&gt;0),(I341+J341+K341+L341)/L344,""),"")</f>
        <v>0.418160519865515</v>
      </c>
      <c r="M339" s="257">
        <f>IFERROR(IF(AND(COUNT(I341,J341,K341,L341)=4,N(M344)&lt;&gt;0),(I341+J341+K341+L341)/M344,""),"")</f>
        <v>0.418160519865515</v>
      </c>
      <c r="N339" s="257">
        <f>IFERROR(IF(AND(COUNT(J341,K341,L341,N341)=4,N(N344)&lt;&gt;0),(J341+K341+L341+N341)/N344,""),"")</f>
        <v>0.491260098261912</v>
      </c>
      <c r="O339" s="257">
        <f>IFERROR(IF(AND(COUNT(K341,L341,N341,O341)=4,N(O344)&lt;&gt;0),(K341+L341+N341+O341)/O344,""),"")</f>
        <v>0.512671684106895</v>
      </c>
      <c r="P339" s="257">
        <f>IFERROR(IF(AND(COUNT(L341,N341,O341,P341)=4,N(P344)&lt;&gt;0),(L341+N341+O341+P341)/P344,""),"")</f>
        <v>0.560578475146265</v>
      </c>
      <c r="Q339" s="257">
        <f>IFERROR(IF(AND(COUNT(N341,O341,P341,Q341)=4,N(Q344)&lt;&gt;0),(N341+O341+P341+Q341)/Q344,""),"")</f>
        <v>0.528332287583708</v>
      </c>
      <c r="R339" s="257">
        <f>IFERROR(IF(AND(COUNT(N341,O341,P341,Q341)=4,N(R344)&lt;&gt;0),(N341+O341+P341+Q341)/R344,""),"")</f>
        <v>0.528332287583708</v>
      </c>
      <c r="S339" s="257">
        <f>IFERROR(IF(AND(COUNT(O341,P341,Q341,S341)=4,N(S344)&lt;&gt;0),(O341+P341+Q341+S341)/S344,""),"")</f>
        <v>0.435464762546887</v>
      </c>
      <c r="T339" s="257">
        <f>IFERROR(IF(AND(COUNT(P341,Q341,S341,T341)=4,N(T344)&lt;&gt;0),(P341+Q341+S341+T341)/T344,""),"")</f>
        <v>0.39716097616344</v>
      </c>
      <c r="U339" s="257">
        <f>IFERROR(IF(AND(COUNT(Q341,S341,T341,U341)=4,N(U344)&lt;&gt;0),(Q341+S341+T341+U341)/U344,""),"")</f>
        <v>0.344903710945419</v>
      </c>
      <c r="V339" s="257">
        <f>IFERROR(IF(AND(COUNT(S341,T341,U341,V341)=4,N(V344)&lt;&gt;0),(S341+T341+U341+V341)/V344,""),"")</f>
        <v>0.238585875952864</v>
      </c>
      <c r="W339" s="257">
        <f>IFERROR(IF(AND(COUNT(S341,T341,U341,V341)=4,N(W344)&lt;&gt;0),(S341+T341+U341+V341)/W344,""),"")</f>
        <v>0.238585875952864</v>
      </c>
      <c r="X339" s="257">
        <f>IFERROR(IF(AND(COUNT(T341,U341,V341,X341)=4,N(X344)&lt;&gt;0),(T341+U341+V341+X341)/X344,""),"")</f>
        <v>0.174610272257657</v>
      </c>
      <c r="Y339" s="257">
        <f>IFERROR(IF(AND(COUNT(U341,V341,X341,Y341)=4,N(Y344)&lt;&gt;0),(U341+V341+X341+Y341)/Y344,""),"")</f>
        <v>0.159460354634872</v>
      </c>
      <c r="Z339" s="257">
        <f>IFERROR(IF(AND(COUNT(V341,X341,Y341,Z341)=4,N(Z344)&lt;&gt;0),(V341+X341+Y341+Z341)/Z344,""),"")</f>
        <v>0.171015429694839</v>
      </c>
      <c r="AA339" s="257">
        <f>IFERROR(IF(AND(COUNT(X341,Y341,Z341,AA341)=4,N(AA344)&lt;&gt;0),(X341+Y341+Z341+AA341)/AA344,""),"")</f>
        <v>0.151365105626967</v>
      </c>
      <c r="AB339" s="257">
        <f>IFERROR(IF(AND(COUNT(X341,Y341,Z341,AA341)=4,N(AB344)&lt;&gt;0),(X341+Y341+Z341+AA341)/AB344,""),"")</f>
        <v>0.151365105626967</v>
      </c>
      <c r="AC339" s="257">
        <f>IFERROR(IF(AND(COUNT(Y341,Z341,AA341,AC341)=4,N(AC344)&lt;&gt;0),(Y341+Z341+AA341+AC341)/AC344,""),"")</f>
        <v>0.130948605438232</v>
      </c>
      <c r="AD339" s="257">
        <f>IFERROR(IF(AND(COUNT(Z341,AA341,AC341,AD341)=4,N(AD344)&lt;&gt;0),(Z341+AA341+AC341+AD341)/AD344,""),"")</f>
        <v>0.108224884547481</v>
      </c>
      <c r="AE339" s="257">
        <f>IFERROR(IF(AND(COUNT(AA341,AC341,AD341,AE341)=4,N(AE344)&lt;&gt;0),(AA341+AC341+AD341+AE341)/AE344,""),"")</f>
        <v>0.0893065443033101</v>
      </c>
      <c r="AF339" s="257">
        <f>IFERROR(IF(AND(COUNT(AB341,AD341,AE341,AF341)=4,N(AF344)&lt;&gt;0),(AB341+AD341+AE341+AF341)/AF344,""),"")</f>
        <v>0.219345365876143</v>
      </c>
      <c r="AG339" s="257">
        <f>IFERROR(IF(AND(COUNT(AC341,AD341,AE341,AF341)=4,N(AG344)&lt;&gt;0),(AC341+AD341+AE341+AF341)/AG344,""),"")</f>
        <v>0.0815938043450856</v>
      </c>
      <c r="AH339" s="257">
        <f>IFERROR(IF(AND(COUNT(AD341,AF341,AG341,AH341)=4,N(AH344)&lt;&gt;0),(AD341+AF341+AG341+AH341)/AH344,""),"")</f>
        <v>0.138018375349833</v>
      </c>
      <c r="AI339" s="257">
        <f>IFERROR(IF(AND(COUNT(AE341,AG341,AH341,AI341)=4,N(AI344)&lt;&gt;0),(AE341+AG341+AH341+AI341)/AI344,""),"")</f>
        <v>0.120191324606329</v>
      </c>
      <c r="AJ339" s="257">
        <f>IFERROR(IF(AND(COUNT(AF341,AH341,AI341,AJ341)=4,N(AJ344)&lt;&gt;0),(AF341+AH341+AI341+AJ341)/AJ344,""),"")</f>
        <v>0.0580150573574837</v>
      </c>
      <c r="AK339" s="257">
        <f>IFERROR(IF(AND(COUNT(AH341,AI341,AJ341,AK341)=4,N(AK344)&lt;&gt;0),(AH341+AI341+AJ341+AK341)/AK344,""),"")</f>
        <v>0.0507478100190041</v>
      </c>
      <c r="AL339" s="257">
        <f>IFERROR(IF(AND(COUNT(AH341,AI341,AJ341,AK341)=4,N(AL344)&lt;&gt;0),(AH341+AI341+AJ341+AK341)/AL344,""),"")</f>
        <v>0.0507478100190041</v>
      </c>
      <c r="AM339" s="257">
        <f>IFERROR(IF(AND(COUNT(AI341,AJ341,AK341,AM341)=4,N(AM344)&lt;&gt;0),(AI341+AJ341+AK341+AM341)/AM344,""),"")</f>
        <v>0.0502809434241046</v>
      </c>
      <c r="AN339" s="257">
        <f>IFERROR(IF(AND(COUNT(AJ341,AK341,AM341,AN341)=4,N(AN344)&lt;&gt;0),(AJ341+AK341+AM341+AN341)/AN344,""),"")</f>
        <v>0.0565206584152762</v>
      </c>
      <c r="AO339" s="257">
        <f>IFERROR(IF(AND(COUNT(AK341,AM341,AN341,AO341)=4,N(AO344)&lt;&gt;0),(AK341+AM341+AN341+AO341)/AO344,""),"")</f>
        <v>0.0547076853349264</v>
      </c>
      <c r="AP339" s="257">
        <f>IFERROR(IF(AND(COUNT(AM341,AN341,AO341,AP341)=4,N(AP344)&lt;&gt;0),(AM341+AN341+AO341+AP341)/AP344,""),"")</f>
        <v>0.0538661579226947</v>
      </c>
      <c r="AQ339" s="257">
        <f>IFERROR(IF(AND(COUNT(AM341,AN341,AO341,AP341)=4,N(AQ344)&lt;&gt;0),(AM341+AN341+AO341+AP341)/AQ344,""),"")</f>
        <v>0.0538661579226947</v>
      </c>
      <c r="AR339" s="257">
        <f>IFERROR(IF(AND(COUNT(AN341,AO341,AP341,AR341)=4,N(AR344)&lt;&gt;0),(AN341+AO341+AP341+AR341)/AR344,""),"")</f>
        <v>0.0530216454441587</v>
      </c>
      <c r="AS339" s="257">
        <f>IFERROR(IF(AND(COUNT(AO341,AP341,AR341,AS341)=4,N(AS344)&lt;&gt;0),(AO341+AP341+AR341+AS341)/AS344,""),"")</f>
        <v>0.0507248935674301</v>
      </c>
      <c r="AT339" s="257">
        <f>IFERROR(IF(AND(COUNT(AP341,AR341,AS341,AT341)=4,N(AT344)&lt;&gt;0),(AP341+AR341+AS341+AT341)/AT344,""),"")</f>
        <v>0.0492629315331945</v>
      </c>
      <c r="AU339" s="257">
        <f>IFERROR(IF(AND(COUNT(AR341,AS341,AT341,AU341)=4,N(AU344)&lt;&gt;0),(AR341+AS341+AT341+AU341)/AU344,""),"")</f>
        <v>0.0485791898080068</v>
      </c>
      <c r="AV339" s="257">
        <f>IFERROR(IF(AND(COUNT(AR341,AS341,AT341,AU341)=4,N(AV344)&lt;&gt;0),(AR341+AS341+AT341+AU341)/AV344,""),"")</f>
        <v>0.0485791898080068</v>
      </c>
      <c r="AW339" s="257">
        <f>IFERROR(IF(AND(COUNT(AS341,AT341,AU341,AW341)=4,N(AW344)&lt;&gt;0),(AS341+AT341+AU341+AW341)/AW344,""),"")</f>
        <v>0.0478712593225004</v>
      </c>
      <c r="AX339" s="257">
        <f>IFERROR(IF(AND(COUNT(AT341,AU341,AW341,AX341)=4,N(AX344)&lt;&gt;0),(AT341+AU341+AW341+AX341)/AX344,""),"")</f>
        <v>0.0460171312002322</v>
      </c>
      <c r="AY339" s="257">
        <f>IFERROR(IF(AND(COUNT(AU341,AW341,AX341,AY341)=4,N(AY344)&lt;&gt;0),(AU341+AW341+AX341+AY341)/AY344,""),"")</f>
        <v>0.0448022456668602</v>
      </c>
      <c r="AZ339" s="257">
        <f>IFERROR(IF(AND(COUNT(AW341,AX341,AY341,AZ341)=4,N(AZ344)&lt;&gt;0),(AW341+AX341+AY341+AZ341)/AZ344,""),"")</f>
        <v>0.0442263806086059</v>
      </c>
      <c r="BA339" s="257">
        <f>IFERROR(IF(AND(COUNT(AW341,AX341,AY341,AZ341)=4,N(BA344)&lt;&gt;0),(AW341+AX341+AY341+AZ341)/BA344,""),"")</f>
        <v>0.0442263806086059</v>
      </c>
      <c r="BB339" s="257">
        <f>IFERROR(IF(AND(COUNT(AX341,AY341,AZ341,BB341)=4,N(BB344)&lt;&gt;0),(AX341+AY341+AZ341+BB341)/BB344,""),"")</f>
        <v>0.0436407948326473</v>
      </c>
      <c r="BC339" s="257">
        <f>IFERROR(IF(AND(COUNT(AY341,AZ341,BB341,BC341)=4,N(BC344)&lt;&gt;0),(AY341+AZ341+BB341+BC341)/BC344,""),"")</f>
        <v>0.0420824930366968</v>
      </c>
      <c r="BD339" s="257">
        <f>IFERROR(IF(AND(COUNT(AZ341,BB341,BC341,BD341)=4,N(BD344)&lt;&gt;0),(AZ341+BB341+BC341+BD341)/BD344,""),"")</f>
        <v>0.0410480402637761</v>
      </c>
      <c r="BE339" s="257">
        <f>IFERROR(IF(AND(COUNT(BB341,BC341,BD341,BE341)=4,N(BE344)&lt;&gt;0),(BB341+BC341+BD341+BE341)/BE344,""),"")</f>
        <v>0.0405482961680156</v>
      </c>
      <c r="BF339" s="257">
        <f>IFERROR(IF(AND(COUNT(BB341,BC341,BD341,BE341)=4,N(BF344)&lt;&gt;0),(BB341+BC341+BD341+BE341)/BF344,""),"")</f>
        <v>0.0405482961680156</v>
      </c>
      <c r="BG339" s="81" t="n"/>
      <c r="BH339" s="81" t="n"/>
      <c r="BI339" s="81" t="n"/>
      <c r="BJ339" s="81" t="n"/>
      <c r="BL339" s="81" t="n"/>
      <c r="BM339" s="81" t="n"/>
      <c r="BN339" s="81" t="n"/>
      <c r="BO339" s="81" t="n"/>
      <c r="BQ339" s="81" t="n"/>
      <c r="BR339" s="81" t="n"/>
      <c r="BS339" s="81" t="n"/>
      <c r="BT339" s="81" t="n"/>
      <c r="BV339" s="81" t="n"/>
      <c r="BW339" s="81" t="n"/>
      <c r="BX339" s="81" t="n"/>
      <c r="BY339" s="81" t="n"/>
      <c r="CA339" s="81" t="n"/>
      <c r="CB339" s="81" t="n"/>
      <c r="CC339" s="81" t="n"/>
      <c r="CD339" s="81" t="n"/>
      <c r="CF339" s="81" t="n"/>
      <c r="CG339" s="81" t="n"/>
      <c r="CH339" s="81" t="n"/>
      <c r="CI339" s="81" t="n"/>
      <c r="CK339" s="81" t="n"/>
      <c r="CL339" s="81" t="n"/>
      <c r="CM339" s="81" t="n"/>
      <c r="CN339" s="81" t="n"/>
      <c r="CP339" s="81" t="n"/>
      <c r="CQ339" s="81" t="n"/>
      <c r="CR339" s="81" t="n"/>
      <c r="CS339" s="81" t="n"/>
      <c r="CU339" s="81" t="n"/>
      <c r="CV339" s="81" t="n"/>
      <c r="CW339" s="81" t="n"/>
      <c r="CX339" s="81" t="n"/>
    </row>
    <row r="340" customFormat="1" s="84">
      <c r="A340" s="81" t="n"/>
      <c r="B340" s="81" t="n"/>
      <c r="C340" s="84" t="inlineStr">
        <is>
          <t>RETURN ON CAPITAL (ROIC) - EX GOODWILL - LTM</t>
        </is>
      </c>
      <c r="D340" t="str">
        <f>IFERROR(D341/D345,"")</f>
        <v/>
      </c>
      <c r="E340" t="str">
        <f>IFERROR(E341/E345,"")</f>
        <v/>
      </c>
      <c r="F340" t="str">
        <f>IFERROR(F341/F345,"")</f>
        <v/>
      </c>
      <c r="G340" t="str">
        <f>IFERROR(G341/G345,"")</f>
        <v/>
      </c>
      <c r="H340" s="257" t="str">
        <f>IFERROR(IF(AND(COUNT(H341)=1,N(H345)&lt;&gt;0),(H341)/H345,""),"")</f>
        <v/>
      </c>
      <c r="I340" s="257" t="str">
        <f>""</f>
        <v/>
      </c>
      <c r="J340" s="257" t="str">
        <f>""</f>
        <v/>
      </c>
      <c r="K340" s="257" t="str">
        <f>""</f>
        <v/>
      </c>
      <c r="L340" s="257">
        <f>IFERROR(IF(AND(COUNT(I341,J341,K341,L341)=4,N(L345)&lt;&gt;0),(I341+J341+K341+L341)/L345,""),"")</f>
        <v>0.424275765841904</v>
      </c>
      <c r="M340" s="257">
        <f>IFERROR(IF(AND(COUNT(I341,J341,K341,L341)=4,N(M345)&lt;&gt;0),(I341+J341+K341+L341)/M345,""),"")</f>
        <v>0.424275765841904</v>
      </c>
      <c r="N340" s="257">
        <f>IFERROR(IF(AND(COUNT(J341,K341,L341,N341)=4,N(N345)&lt;&gt;0),(J341+K341+L341+N341)/N345,""),"")</f>
        <v>0.496974750716538</v>
      </c>
      <c r="O340" s="257">
        <f>IFERROR(IF(AND(COUNT(K341,L341,N341,O341)=4,N(O345)&lt;&gt;0),(K341+L341+N341+O341)/O345,""),"")</f>
        <v>0.518089468658842</v>
      </c>
      <c r="P340" s="257">
        <f>IFERROR(IF(AND(COUNT(L341,N341,O341,P341)=4,N(P345)&lt;&gt;0),(L341+N341+O341+P341)/P345,""),"")</f>
        <v>0.565978984011036</v>
      </c>
      <c r="Q340" s="257">
        <f>IFERROR(IF(AND(COUNT(N341,O341,P341,Q341)=4,N(Q345)&lt;&gt;0),(N341+O341+P341+Q341)/Q345,""),"")</f>
        <v>0.532690315722287</v>
      </c>
      <c r="R340" s="257">
        <f>IFERROR(IF(AND(COUNT(N341,O341,P341,Q341)=4,N(R345)&lt;&gt;0),(N341+O341+P341+Q341)/R345,""),"")</f>
        <v>0.532690315722287</v>
      </c>
      <c r="S340" s="257">
        <f>IFERROR(IF(AND(COUNT(O341,P341,Q341,S341)=4,N(S345)&lt;&gt;0),(O341+P341+Q341+S341)/S345,""),"")</f>
        <v>0.438652525468152</v>
      </c>
      <c r="T340" s="257">
        <f>IFERROR(IF(AND(COUNT(P341,Q341,S341,T341)=4,N(T345)&lt;&gt;0),(P341+Q341+S341+T341)/T345,""),"")</f>
        <v>0.400782295561962</v>
      </c>
      <c r="U340" s="257">
        <f>IFERROR(IF(AND(COUNT(Q341,S341,T341,U341)=4,N(U345)&lt;&gt;0),(Q341+S341+T341+U341)/U345,""),"")</f>
        <v>0.347964841580762</v>
      </c>
      <c r="V340" s="257">
        <f>IFERROR(IF(AND(COUNT(S341,T341,U341,V341)=4,N(V345)&lt;&gt;0),(S341+T341+U341+V341)/V345,""),"")</f>
        <v>0.24034765946276</v>
      </c>
      <c r="W340" s="257">
        <f>IFERROR(IF(AND(COUNT(S341,T341,U341,V341)=4,N(W345)&lt;&gt;0),(S341+T341+U341+V341)/W345,""),"")</f>
        <v>0.24034765946276</v>
      </c>
      <c r="X340" s="257">
        <f>IFERROR(IF(AND(COUNT(T341,U341,V341,X341)=4,N(X345)&lt;&gt;0),(T341+U341+V341+X341)/X345,""),"")</f>
        <v>0.175757002182905</v>
      </c>
      <c r="Y340" s="257">
        <f>IFERROR(IF(AND(COUNT(U341,V341,X341,Y341)=4,N(Y345)&lt;&gt;0),(U341+V341+X341+Y341)/Y345,""),"")</f>
        <v>0.160554354422829</v>
      </c>
      <c r="Z340" s="257">
        <f>IFERROR(IF(AND(COUNT(V341,X341,Y341,Z341)=4,N(Z345)&lt;&gt;0),(V341+X341+Y341+Z341)/Z345,""),"")</f>
        <v>0.17219087330137</v>
      </c>
      <c r="AA340" s="257">
        <f>IFERROR(IF(AND(COUNT(X341,Y341,Z341,AA341)=4,N(AA345)&lt;&gt;0),(X341+Y341+Z341+AA341)/AA345,""),"")</f>
        <v>0.15236673516004</v>
      </c>
      <c r="AB340" s="257">
        <f>IFERROR(IF(AND(COUNT(X341,Y341,Z341,AA341)=4,N(AB345)&lt;&gt;0),(X341+Y341+Z341+AA341)/AB345,""),"")</f>
        <v>0.15236673516004</v>
      </c>
      <c r="AC340" s="257">
        <f>IFERROR(IF(AND(COUNT(Y341,Z341,AA341,AC341)=4,N(AC345)&lt;&gt;0),(Y341+Z341+AA341+AC341)/AC345,""),"")</f>
        <v>0.131799322003136</v>
      </c>
      <c r="AD340" s="257">
        <f>IFERROR(IF(AND(COUNT(Z341,AA341,AC341,AD341)=4,N(AD345)&lt;&gt;0),(Z341+AA341+AC341+AD341)/AD345,""),"")</f>
        <v>0.108905378313646</v>
      </c>
      <c r="AE340" s="257">
        <f>IFERROR(IF(AND(COUNT(AA341,AC341,AD341,AE341)=4,N(AE345)&lt;&gt;0),(AA341+AC341+AD341+AE341)/AE345,""),"")</f>
        <v>0.0898979021793781</v>
      </c>
      <c r="AF340" s="257">
        <f>IFERROR(IF(AND(COUNT(AB341,AD341,AE341,AF341)=4,N(AF345)&lt;&gt;0),(AB341+AD341+AE341+AF341)/AF345,""),"")</f>
        <v>0.219345365876143</v>
      </c>
      <c r="AG340" s="257">
        <f>IFERROR(IF(AND(COUNT(AC341,AD341,AE341,AF341)=4,N(AG345)&lt;&gt;0),(AC341+AD341+AE341+AF341)/AG345,""),"")</f>
        <v>0.0815938043450856</v>
      </c>
      <c r="AH340" s="257">
        <f>IFERROR(IF(AND(COUNT(AD341,AF341,AG341,AH341)=4,N(AH345)&lt;&gt;0),(AD341+AF341+AG341+AH341)/AH345,""),"")</f>
        <v>0.138018375349833</v>
      </c>
      <c r="AI340" s="257">
        <f>IFERROR(IF(AND(COUNT(AE341,AG341,AH341,AI341)=4,N(AI345)&lt;&gt;0),(AE341+AG341+AH341+AI341)/AI345,""),"")</f>
        <v>0.120191324606329</v>
      </c>
      <c r="AJ340" s="257">
        <f>IFERROR(IF(AND(COUNT(AF341,AH341,AI341,AJ341)=4,N(AJ345)&lt;&gt;0),(AF341+AH341+AI341+AJ341)/AJ345,""),"")</f>
        <v>0.0580150573574837</v>
      </c>
      <c r="AK340" s="257">
        <f>IFERROR(IF(AND(COUNT(AH341,AI341,AJ341,AK341)=4,N(AK345)&lt;&gt;0),(AH341+AI341+AJ341+AK341)/AK345,""),"")</f>
        <v>0.0507478100190041</v>
      </c>
      <c r="AL340" s="257">
        <f>IFERROR(IF(AND(COUNT(AH341,AI341,AJ341,AK341)=4,N(AL345)&lt;&gt;0),(AH341+AI341+AJ341+AK341)/AL345,""),"")</f>
        <v>0.0507478100190041</v>
      </c>
      <c r="AM340" s="257">
        <f>IFERROR(IF(AND(COUNT(AI341,AJ341,AK341,AM341)=4,N(AM345)&lt;&gt;0),(AI341+AJ341+AK341+AM341)/AM345,""),"")</f>
        <v>0.0502809434241046</v>
      </c>
      <c r="AN340" s="257">
        <f>IFERROR(IF(AND(COUNT(AJ341,AK341,AM341,AN341)=4,N(AN345)&lt;&gt;0),(AJ341+AK341+AM341+AN341)/AN345,""),"")</f>
        <v>0.0565206584152762</v>
      </c>
      <c r="AO340" s="257">
        <f>IFERROR(IF(AND(COUNT(AK341,AM341,AN341,AO341)=4,N(AO345)&lt;&gt;0),(AK341+AM341+AN341+AO341)/AO345,""),"")</f>
        <v>0.0547076853349264</v>
      </c>
      <c r="AP340" s="257">
        <f>IFERROR(IF(AND(COUNT(AM341,AN341,AO341,AP341)=4,N(AP345)&lt;&gt;0),(AM341+AN341+AO341+AP341)/AP345,""),"")</f>
        <v>0.0538661579226947</v>
      </c>
      <c r="AQ340" s="257">
        <f>IFERROR(IF(AND(COUNT(AM341,AN341,AO341,AP341)=4,N(AQ345)&lt;&gt;0),(AM341+AN341+AO341+AP341)/AQ345,""),"")</f>
        <v>0.0538661579226947</v>
      </c>
      <c r="AR340" s="257">
        <f>IFERROR(IF(AND(COUNT(AN341,AO341,AP341,AR341)=4,N(AR345)&lt;&gt;0),(AN341+AO341+AP341+AR341)/AR345,""),"")</f>
        <v>0.0530216454441587</v>
      </c>
      <c r="AS340" s="257">
        <f>IFERROR(IF(AND(COUNT(AO341,AP341,AR341,AS341)=4,N(AS345)&lt;&gt;0),(AO341+AP341+AR341+AS341)/AS345,""),"")</f>
        <v>0.0507248935674301</v>
      </c>
      <c r="AT340" s="257">
        <f>IFERROR(IF(AND(COUNT(AP341,AR341,AS341,AT341)=4,N(AT345)&lt;&gt;0),(AP341+AR341+AS341+AT341)/AT345,""),"")</f>
        <v>0.0492629315331945</v>
      </c>
      <c r="AU340" s="257">
        <f>IFERROR(IF(AND(COUNT(AR341,AS341,AT341,AU341)=4,N(AU345)&lt;&gt;0),(AR341+AS341+AT341+AU341)/AU345,""),"")</f>
        <v>0.0485791898080068</v>
      </c>
      <c r="AV340" s="257">
        <f>IFERROR(IF(AND(COUNT(AR341,AS341,AT341,AU341)=4,N(AV345)&lt;&gt;0),(AR341+AS341+AT341+AU341)/AV345,""),"")</f>
        <v>0.0485791898080068</v>
      </c>
      <c r="AW340" s="257">
        <f>IFERROR(IF(AND(COUNT(AS341,AT341,AU341,AW341)=4,N(AW345)&lt;&gt;0),(AS341+AT341+AU341+AW341)/AW345,""),"")</f>
        <v>0.0478712593225004</v>
      </c>
      <c r="AX340" s="257">
        <f>IFERROR(IF(AND(COUNT(AT341,AU341,AW341,AX341)=4,N(AX345)&lt;&gt;0),(AT341+AU341+AW341+AX341)/AX345,""),"")</f>
        <v>0.0460171312002322</v>
      </c>
      <c r="AY340" s="257">
        <f>IFERROR(IF(AND(COUNT(AU341,AW341,AX341,AY341)=4,N(AY345)&lt;&gt;0),(AU341+AW341+AX341+AY341)/AY345,""),"")</f>
        <v>0.0448022456668602</v>
      </c>
      <c r="AZ340" s="257">
        <f>IFERROR(IF(AND(COUNT(AW341,AX341,AY341,AZ341)=4,N(AZ345)&lt;&gt;0),(AW341+AX341+AY341+AZ341)/AZ345,""),"")</f>
        <v>0.0442263806086059</v>
      </c>
      <c r="BA340" s="257">
        <f>IFERROR(IF(AND(COUNT(AW341,AX341,AY341,AZ341)=4,N(BA345)&lt;&gt;0),(AW341+AX341+AY341+AZ341)/BA345,""),"")</f>
        <v>0.0442263806086059</v>
      </c>
      <c r="BB340" s="257">
        <f>IFERROR(IF(AND(COUNT(AX341,AY341,AZ341,BB341)=4,N(BB345)&lt;&gt;0),(AX341+AY341+AZ341+BB341)/BB345,""),"")</f>
        <v>0.0436407948326473</v>
      </c>
      <c r="BC340" s="257">
        <f>IFERROR(IF(AND(COUNT(AY341,AZ341,BB341,BC341)=4,N(BC345)&lt;&gt;0),(AY341+AZ341+BB341+BC341)/BC345,""),"")</f>
        <v>0.0420824930366968</v>
      </c>
      <c r="BD340" s="257">
        <f>IFERROR(IF(AND(COUNT(AZ341,BB341,BC341,BD341)=4,N(BD345)&lt;&gt;0),(AZ341+BB341+BC341+BD341)/BD345,""),"")</f>
        <v>0.0410480402637761</v>
      </c>
      <c r="BE340" s="257">
        <f>IFERROR(IF(AND(COUNT(BB341,BC341,BD341,BE341)=4,N(BE345)&lt;&gt;0),(BB341+BC341+BD341+BE341)/BE345,""),"")</f>
        <v>0.0405482961680156</v>
      </c>
      <c r="BF340" s="257">
        <f>IFERROR(IF(AND(COUNT(BB341,BC341,BD341,BE341)=4,N(BF345)&lt;&gt;0),(BB341+BC341+BD341+BE341)/BF345,""),"")</f>
        <v>0.0405482961680156</v>
      </c>
      <c r="BG340" s="81" t="n"/>
      <c r="BH340" s="81" t="n"/>
      <c r="BI340" s="81" t="n"/>
      <c r="BJ340" s="81" t="n"/>
      <c r="BL340" s="81" t="n"/>
      <c r="BM340" s="81" t="n"/>
      <c r="BN340" s="81" t="n"/>
      <c r="BO340" s="81" t="n"/>
      <c r="BQ340" s="81" t="n"/>
      <c r="BR340" s="81" t="n"/>
      <c r="BS340" s="81" t="n"/>
      <c r="BT340" s="81" t="n"/>
      <c r="BV340" s="81" t="n"/>
      <c r="BW340" s="81" t="n"/>
      <c r="BX340" s="81" t="n"/>
      <c r="BY340" s="81" t="n"/>
      <c r="CA340" s="81" t="n"/>
      <c r="CB340" s="81" t="n"/>
      <c r="CC340" s="81" t="n"/>
      <c r="CD340" s="81" t="n"/>
      <c r="CF340" s="81" t="n"/>
      <c r="CG340" s="81" t="n"/>
      <c r="CH340" s="81" t="n"/>
      <c r="CI340" s="81" t="n"/>
      <c r="CK340" s="81" t="n"/>
      <c r="CL340" s="81" t="n"/>
      <c r="CM340" s="81" t="n"/>
      <c r="CN340" s="81" t="n"/>
      <c r="CP340" s="81" t="n"/>
      <c r="CQ340" s="81" t="n"/>
      <c r="CR340" s="81" t="n"/>
      <c r="CS340" s="81" t="n"/>
      <c r="CU340" s="81" t="n"/>
      <c r="CV340" s="81" t="n"/>
      <c r="CW340" s="81" t="n"/>
      <c r="CX340" s="81" t="n"/>
    </row>
    <row r="341" customFormat="1" s="77">
      <c r="A341" s="76" t="n"/>
      <c r="B341" s="76" t="n"/>
      <c r="C341" s="77" t="inlineStr">
        <is>
          <t>NOPLAT</t>
        </is>
      </c>
      <c r="D341">
        <f>IFERROR(D342*(1-D343),"")</f>
        <v>0</v>
      </c>
      <c r="E341">
        <f>IFERROR(E342*(1-E343),"")</f>
        <v>0</v>
      </c>
      <c r="F341">
        <f>IFERROR(F342*(1-F343),"")</f>
        <v>0</v>
      </c>
      <c r="G341">
        <f>IFERROR(G342*(1-G343),"")</f>
        <v>0</v>
      </c>
      <c r="H341" s="263">
        <f>IFERROR(H342*(1-N(H343)),0)</f>
        <v>0</v>
      </c>
      <c r="I341" s="263">
        <f>IFERROR(I342*(1-N(I343)),0)</f>
        <v>517.103189493433</v>
      </c>
      <c r="J341" s="263">
        <f>IFERROR(J342*(1-N(J343)),0)</f>
        <v>1195.31013147718</v>
      </c>
      <c r="K341" s="263">
        <f>IFERROR(K342*(1-N(K343)),0)</f>
        <v>1766.54410201913</v>
      </c>
      <c r="L341" s="263">
        <f>IFERROR(L342*(1-N(L343)),0)</f>
        <v>2323.43795066414</v>
      </c>
      <c r="M341" s="263">
        <f>IFERROR(M342*(1-N(M343)),0)</f>
        <v>5804.16396027117</v>
      </c>
      <c r="N341" s="263">
        <f>IFERROR(N342*(1-N(N343)),0)</f>
        <v>3259.19470490899</v>
      </c>
      <c r="O341" s="263">
        <f>IFERROR(O342*(1-N(O343)),0)</f>
        <v>2259.82861762328</v>
      </c>
      <c r="P341" s="263">
        <f>IFERROR(P342*(1-N(P343)),0)</f>
        <v>3378.63806380638</v>
      </c>
      <c r="Q341" s="263">
        <f>IFERROR(Q342*(1-N(Q343)),0)</f>
        <v>3630.68214913382</v>
      </c>
      <c r="R341" s="263">
        <f>IFERROR(R342*(1-N(R343)),0)</f>
        <v>12529.1983380713</v>
      </c>
      <c r="S341" s="263">
        <f>IFERROR(S342*(1-N(S343)),0)</f>
        <v>2415.67714285714</v>
      </c>
      <c r="T341" s="263">
        <f>IFERROR(T342*(1-N(T343)),0)</f>
        <v>2135.1671773919</v>
      </c>
      <c r="U341" s="263">
        <f>IFERROR(U342*(1-N(U343)),0)</f>
        <v>1619.94718826406</v>
      </c>
      <c r="V341" s="263">
        <f>IFERROR(V342*(1-N(V343)),0)</f>
        <v>2064</v>
      </c>
      <c r="W341" s="263">
        <f>IFERROR(W342*(1-N(W343)),0)</f>
        <v>8891</v>
      </c>
      <c r="X341" s="263">
        <f>IFERROR(X342*(1-N(X343)),0)</f>
        <v>871.427436440678</v>
      </c>
      <c r="Y341" s="263">
        <f>IFERROR(Y342*(1-N(Y343)),0)</f>
        <v>1271.7851147174</v>
      </c>
      <c r="Z341" s="263">
        <f>IFERROR(Z342*(1-N(Z343)),0)</f>
        <v>2130.96130419205</v>
      </c>
      <c r="AA341" s="263">
        <f>IFERROR(AA342*(1-N(AA343)),0)</f>
        <v>1344.04477020602</v>
      </c>
      <c r="AB341" s="263">
        <f>IFERROR(AB342*(1-N(AB343)),0)</f>
        <v>5630.10322580645</v>
      </c>
      <c r="AC341" s="263">
        <f>IFERROR(AC342*(1-N(AC343)),0)</f>
        <v>284.516129032258</v>
      </c>
      <c r="AD341" s="263">
        <f>IFERROR(AD342*(1-N(AD343)),0)</f>
        <v>709.083279535184</v>
      </c>
      <c r="AE341" s="263">
        <f>IFERROR(AE342*(1-N(AE343)),0)</f>
        <v>1151.47320061256</v>
      </c>
      <c r="AF341" s="263">
        <f>IFERROR(AF342*(1-N(AF343)),0)</f>
        <v>1021.25656223539</v>
      </c>
      <c r="AG341" s="263">
        <f>IFERROR(AG342*(1-N(AG343)),0)</f>
        <v>3180.84975369458</v>
      </c>
      <c r="AH341" s="263">
        <f>IFERROR(AH342*(1-N(AH343)),0)</f>
        <v>617.688502673797</v>
      </c>
      <c r="AI341" s="263">
        <f>IFERROR(AI342*(1-N(AI343)),0)</f>
        <v>337.805869074492</v>
      </c>
      <c r="AJ341" s="263">
        <f>IFERROR(AJ342*(1-N(AJ343)),0)</f>
        <v>839.302878871605</v>
      </c>
      <c r="AK341" s="263">
        <f>IFERROR(AK342*(1-N(AK343)),0)</f>
        <v>743.886135852707</v>
      </c>
      <c r="AL341" s="263">
        <f>IFERROR(AL342*(1-N(AL343)),0)</f>
        <v>2630.94877248702</v>
      </c>
      <c r="AM341" s="263">
        <f>IFERROR(AM342*(1-N(AM343)),0)</f>
        <v>668.783539750795</v>
      </c>
      <c r="AN341" s="263">
        <f>IFERROR(AN342*(1-N(AN343)),0)</f>
        <v>843.515076982333</v>
      </c>
      <c r="AO341" s="263">
        <f>IFERROR(AO342*(1-N(AO343)),0)</f>
        <v>879.481624403287</v>
      </c>
      <c r="AP341" s="263">
        <f>IFERROR(AP342*(1-N(AP343)),0)</f>
        <v>779.497132203818</v>
      </c>
      <c r="AQ341" s="263">
        <f>IFERROR(AQ342*(1-N(AQ343)),0)</f>
        <v>3171.27737334023</v>
      </c>
      <c r="AR341" s="263">
        <f>IFERROR(AR342*(1-N(AR343)),0)</f>
        <v>697.455339304857</v>
      </c>
      <c r="AS341" s="263">
        <f>IFERROR(AS342*(1-N(AS343)),0)</f>
        <v>879.677891660871</v>
      </c>
      <c r="AT341" s="263">
        <f>IFERROR(AT342*(1-N(AT343)),0)</f>
        <v>917.186381395016</v>
      </c>
      <c r="AU341" s="263">
        <f>IFERROR(AU342*(1-N(AU343)),0)</f>
        <v>812.91539715669</v>
      </c>
      <c r="AV341" s="263">
        <f>IFERROR(AV342*(1-N(AV343)),0)</f>
        <v>3307.23500951743</v>
      </c>
      <c r="AW341" s="263">
        <f>IFERROR(AW342*(1-N(AW343)),0)</f>
        <v>723.869067190335</v>
      </c>
      <c r="AX341" s="263">
        <f>IFERROR(AX342*(1-N(AX343)),0)</f>
        <v>912.992673479535</v>
      </c>
      <c r="AY341" s="263">
        <f>IFERROR(AY342*(1-N(AY343)),0)</f>
        <v>951.921668564201</v>
      </c>
      <c r="AZ341" s="263">
        <f>IFERROR(AZ342*(1-N(AZ343)),0)</f>
        <v>843.701778569751</v>
      </c>
      <c r="BA341" s="263">
        <f>IFERROR(BA342*(1-N(BA343)),0)</f>
        <v>3432.48518780382</v>
      </c>
      <c r="BB341" s="263">
        <f>IFERROR(BB342*(1-N(BB343)),0)</f>
        <v>747.663779053428</v>
      </c>
      <c r="BC341" s="263">
        <f>IFERROR(BC342*(1-N(BC343)),0)</f>
        <v>943.004174983366</v>
      </c>
      <c r="BD341" s="263">
        <f>IFERROR(BD342*(1-N(BD343)),0)</f>
        <v>983.212827209281</v>
      </c>
      <c r="BE341" s="263">
        <f>IFERROR(BE342*(1-N(BE343)),0)</f>
        <v>871.435579652546</v>
      </c>
      <c r="BF341" s="263">
        <f>IFERROR(BF342*(1-N(BF343)),0)</f>
        <v>3545.31636089862</v>
      </c>
      <c r="BG341" s="85" t="n"/>
      <c r="BH341" s="76" t="n"/>
      <c r="BI341" s="76" t="n"/>
      <c r="BJ341" s="76" t="n"/>
      <c r="BL341" s="85" t="n"/>
      <c r="BM341" s="76" t="n"/>
      <c r="BN341" s="76" t="n"/>
      <c r="BO341" s="76" t="n"/>
      <c r="BQ341" s="85" t="n"/>
      <c r="BR341" s="76" t="n"/>
      <c r="BS341" s="76" t="n"/>
      <c r="BT341" s="76" t="n"/>
      <c r="BV341" s="85" t="n"/>
      <c r="BW341" s="76" t="n"/>
      <c r="BX341" s="76" t="n"/>
      <c r="BY341" s="76" t="n"/>
      <c r="CA341" s="85" t="n"/>
      <c r="CB341" s="76" t="n"/>
      <c r="CC341" s="76" t="n"/>
      <c r="CD341" s="76" t="n"/>
      <c r="CF341" s="85" t="n"/>
      <c r="CG341" s="76" t="n"/>
      <c r="CH341" s="76" t="n"/>
      <c r="CI341" s="76" t="n"/>
      <c r="CK341" s="85" t="n"/>
      <c r="CL341" s="76" t="n"/>
      <c r="CM341" s="76" t="n"/>
      <c r="CN341" s="76" t="n"/>
      <c r="CP341" s="85" t="n"/>
      <c r="CQ341" s="76" t="n"/>
      <c r="CR341" s="76" t="n"/>
      <c r="CS341" s="76" t="n"/>
      <c r="CU341" s="85" t="n"/>
      <c r="CV341" s="76" t="n"/>
      <c r="CW341" s="76" t="n"/>
      <c r="CX341" s="76" t="n"/>
    </row>
    <row r="342" customFormat="1" s="77">
      <c r="A342" s="76" t="n"/>
      <c r="B342" s="76" t="n"/>
      <c r="C342" s="77" t="inlineStr">
        <is>
          <t>EBIT</t>
        </is>
      </c>
      <c r="D342" s="86">
        <f>IFERROR(D124,"")</f>
        <v>0</v>
      </c>
      <c r="E342" s="86">
        <f>IFERROR(E124,"")</f>
        <v>0</v>
      </c>
      <c r="F342" s="86">
        <f>IFERROR(F124,"")</f>
        <v>0</v>
      </c>
      <c r="G342" s="86">
        <f>IFERROR(G124,"")</f>
        <v>0</v>
      </c>
      <c r="H342" s="263">
        <f>IFERROR(H67,0)</f>
        <v>0</v>
      </c>
      <c r="I342" s="263">
        <f>IFERROR(I67,0)</f>
        <v>594</v>
      </c>
      <c r="J342" s="263">
        <f>IFERROR(J67,0)</f>
        <v>1312</v>
      </c>
      <c r="K342" s="263">
        <f>IFERROR(K67,0)</f>
        <v>2004</v>
      </c>
      <c r="L342" s="263">
        <f>IFERROR(L67,0)</f>
        <v>2613</v>
      </c>
      <c r="M342" s="263">
        <f>IFERROR(M67,0)</f>
        <v>6523</v>
      </c>
      <c r="N342" s="263">
        <f>IFERROR(N67,0)</f>
        <v>3603</v>
      </c>
      <c r="O342" s="263">
        <f>IFERROR(O67,0)</f>
        <v>2464</v>
      </c>
      <c r="P342" s="263">
        <f>IFERROR(P67,0)</f>
        <v>3688</v>
      </c>
      <c r="Q342" s="263">
        <f>IFERROR(Q67,0)</f>
        <v>3901</v>
      </c>
      <c r="R342" s="263">
        <f>IFERROR(R67,0)</f>
        <v>13656</v>
      </c>
      <c r="S342" s="263">
        <f>IFERROR(S67,0)</f>
        <v>2664</v>
      </c>
      <c r="T342" s="263">
        <f>IFERROR(T67,0)</f>
        <v>2399</v>
      </c>
      <c r="U342" s="263">
        <f>IFERROR(U67,0)</f>
        <v>1764</v>
      </c>
      <c r="V342" s="263">
        <f>IFERROR(V67,0)</f>
        <v>2064</v>
      </c>
      <c r="W342" s="263">
        <f>IFERROR(W67,0)</f>
        <v>8891</v>
      </c>
      <c r="X342" s="263">
        <f>IFERROR(X67,0)</f>
        <v>1171</v>
      </c>
      <c r="Y342" s="263">
        <f>IFERROR(Y67,0)</f>
        <v>1605</v>
      </c>
      <c r="Z342" s="263">
        <f>IFERROR(Z67,0)</f>
        <v>2717</v>
      </c>
      <c r="AA342" s="263">
        <f>IFERROR(AA67,0)</f>
        <v>1583</v>
      </c>
      <c r="AB342" s="263">
        <f>IFERROR(AB67,0)</f>
        <v>7076</v>
      </c>
      <c r="AC342" s="263">
        <f>IFERROR(AC67,0)</f>
        <v>399</v>
      </c>
      <c r="AD342" s="263">
        <f>IFERROR(AD67,0)</f>
        <v>923</v>
      </c>
      <c r="AE342" s="263">
        <f>IFERROR(AE67,0)</f>
        <v>1624</v>
      </c>
      <c r="AF342" s="263">
        <f>IFERROR(AF67,0)</f>
        <v>1409</v>
      </c>
      <c r="AG342" s="263">
        <f>IFERROR(AG67,0)</f>
        <v>4355</v>
      </c>
      <c r="AH342" s="263">
        <f>IFERROR(AH67,0)</f>
        <v>941</v>
      </c>
      <c r="AI342" s="263">
        <f>IFERROR(AI67,0)</f>
        <v>398</v>
      </c>
      <c r="AJ342" s="263">
        <f>IFERROR(AJ67,0)</f>
        <v>1139.23989675689</v>
      </c>
      <c r="AK342" s="263">
        <f>IFERROR(AK67,0)</f>
        <v>1009.72460114409</v>
      </c>
      <c r="AL342" s="263">
        <f>IFERROR(AL67,0)</f>
        <v>3487.96449790098</v>
      </c>
      <c r="AM342" s="263">
        <f>IFERROR(AM67,0)</f>
        <v>907.7830065384</v>
      </c>
      <c r="AN342" s="263">
        <f>IFERROR(AN67,0)</f>
        <v>1144.95738475983</v>
      </c>
      <c r="AO342" s="263">
        <f>IFERROR(AO67,0)</f>
        <v>1193.7770978837</v>
      </c>
      <c r="AP342" s="263">
        <f>IFERROR(AP67,0)</f>
        <v>1058.06170188297</v>
      </c>
      <c r="AQ342" s="263">
        <f>IFERROR(AQ67,0)</f>
        <v>4304.5791910649</v>
      </c>
      <c r="AR342" s="263">
        <f>IFERROR(AR67,0)</f>
        <v>946.701088182203</v>
      </c>
      <c r="AS342" s="263">
        <f>IFERROR(AS67,0)</f>
        <v>1194.04350408329</v>
      </c>
      <c r="AT342" s="263">
        <f>IFERROR(AT67,0)</f>
        <v>1244.95619489842</v>
      </c>
      <c r="AU342" s="263">
        <f>IFERROR(AU67,0)</f>
        <v>1103.4224669573</v>
      </c>
      <c r="AV342" s="263">
        <f>IFERROR(AV67,0)</f>
        <v>4489.12325412121</v>
      </c>
      <c r="AW342" s="263">
        <f>IFERROR(AW67,0)</f>
        <v>982.554143600854</v>
      </c>
      <c r="AX342" s="263">
        <f>IFERROR(AX67,0)</f>
        <v>1239.26380482931</v>
      </c>
      <c r="AY342" s="263">
        <f>IFERROR(AY67,0)</f>
        <v>1292.10463911875</v>
      </c>
      <c r="AZ342" s="263">
        <f>IFERROR(AZ67,0)</f>
        <v>1145.21080685873</v>
      </c>
      <c r="BA342" s="263">
        <f>IFERROR(BA67,0)</f>
        <v>4659.13339440764</v>
      </c>
      <c r="BB342" s="263">
        <f>IFERROR(BB67,0)</f>
        <v>1014.85223975741</v>
      </c>
      <c r="BC342" s="263">
        <f>IFERROR(BC67,0)</f>
        <v>1280.00035028321</v>
      </c>
      <c r="BD342" s="263">
        <f>IFERROR(BD67,0)</f>
        <v>1334.57814569382</v>
      </c>
      <c r="BE342" s="263">
        <f>IFERROR(BE67,0)</f>
        <v>1182.85568271656</v>
      </c>
      <c r="BF342" s="263">
        <f>IFERROR(BF67,0)</f>
        <v>4812.28641845099</v>
      </c>
      <c r="BG342" s="63" t="n"/>
      <c r="BH342" s="63" t="n"/>
      <c r="BI342" s="63" t="n"/>
      <c r="BJ342" s="63" t="n"/>
      <c r="BL342" s="63" t="n"/>
      <c r="BM342" s="63" t="n"/>
      <c r="BN342" s="63" t="n"/>
      <c r="BO342" s="63" t="n"/>
      <c r="BQ342" s="63" t="n"/>
      <c r="BR342" s="63" t="n"/>
      <c r="BS342" s="63" t="n"/>
      <c r="BT342" s="63" t="n"/>
      <c r="BV342" s="63" t="n"/>
      <c r="BW342" s="63" t="n"/>
      <c r="BX342" s="63" t="n"/>
      <c r="BY342" s="63" t="n"/>
      <c r="CA342" s="63" t="n"/>
      <c r="CB342" s="63" t="n"/>
      <c r="CC342" s="63" t="n"/>
      <c r="CD342" s="63" t="n"/>
      <c r="CF342" s="63" t="n"/>
      <c r="CG342" s="63" t="n"/>
      <c r="CH342" s="63" t="n"/>
      <c r="CI342" s="63" t="n"/>
      <c r="CK342" s="63" t="n"/>
      <c r="CL342" s="63" t="n"/>
      <c r="CM342" s="63" t="n"/>
      <c r="CN342" s="63" t="n"/>
      <c r="CP342" s="63" t="n"/>
      <c r="CQ342" s="63" t="n"/>
      <c r="CR342" s="63" t="n"/>
      <c r="CS342" s="63" t="n"/>
      <c r="CU342" s="63" t="n"/>
      <c r="CV342" s="63" t="n"/>
      <c r="CW342" s="63" t="n"/>
      <c r="CX342" s="63" t="n"/>
    </row>
    <row r="343" customFormat="1" s="77">
      <c r="A343" s="76" t="n"/>
      <c r="B343" s="76" t="n"/>
      <c r="C343" s="77" t="inlineStr">
        <is>
          <t>ETR (LIMITED TO 0%-100%)</t>
        </is>
      </c>
      <c r="D343" s="87">
        <f>IFERROR(D126,"")</f>
        <v>0</v>
      </c>
      <c r="E343" s="87">
        <f>IFERROR(E126,"")</f>
        <v>0</v>
      </c>
      <c r="F343" s="87">
        <f>IFERROR(F126,"")</f>
        <v>0</v>
      </c>
      <c r="G343" s="87">
        <f>IFERROR(G126,"")</f>
        <v>0</v>
      </c>
      <c r="H343" s="258" t="str">
        <f>IFERROR(IF(N(H124)&lt;&gt;0,MAX(0,MIN(1,-H125/H124)),""),"")</f>
        <v/>
      </c>
      <c r="I343" s="258">
        <f>IFERROR(IF(N(I124)&lt;&gt;0,MAX(0,MIN(1,-I125/I124)),""),"")</f>
        <v>0.129455909943715</v>
      </c>
      <c r="J343" s="258">
        <f>IFERROR(IF(N(J124)&lt;&gt;0,MAX(0,MIN(1,-J125/J124)),""),"")</f>
        <v>0.0889404485692189</v>
      </c>
      <c r="K343" s="258">
        <f>IFERROR(IF(N(K124)&lt;&gt;0,MAX(0,MIN(1,-K125/K124)),""),"")</f>
        <v>0.118490967056323</v>
      </c>
      <c r="L343" s="258">
        <f>IFERROR(IF(N(L124)&lt;&gt;0,MAX(0,MIN(1,-L125/L124)),""),"")</f>
        <v>0.110815939278937</v>
      </c>
      <c r="M343" s="258">
        <f>IFERROR(IF(N(M124)&lt;&gt;0,MAX(0,MIN(1,-M125/M124)),""),"")</f>
        <v>0.11020022071575</v>
      </c>
      <c r="N343" s="258">
        <f>IFERROR(IF(N(N124)&lt;&gt;0,MAX(0,MIN(1,-N125/N124)),""),"")</f>
        <v>0.0954219525648097</v>
      </c>
      <c r="O343" s="258">
        <f>IFERROR(IF(N(O124)&lt;&gt;0,MAX(0,MIN(1,-O125/O124)),""),"")</f>
        <v>0.0828617623282134</v>
      </c>
      <c r="P343" s="258">
        <f>IFERROR(IF(N(P124)&lt;&gt;0,MAX(0,MIN(1,-P125/P124)),""),"")</f>
        <v>0.0838833883388339</v>
      </c>
      <c r="Q343" s="258">
        <f>IFERROR(IF(N(Q124)&lt;&gt;0,MAX(0,MIN(1,-Q125/Q124)),""),"")</f>
        <v>0.0692945016319357</v>
      </c>
      <c r="R343" s="258">
        <f>IFERROR(IF(N(R124)&lt;&gt;0,MAX(0,MIN(1,-R125/R124)),""),"")</f>
        <v>0.0825133027188571</v>
      </c>
      <c r="S343" s="258">
        <f>IFERROR(IF(N(S124)&lt;&gt;0,MAX(0,MIN(1,-S125/S124)),""),"")</f>
        <v>0.0932142857142857</v>
      </c>
      <c r="T343" s="258">
        <f>IFERROR(IF(N(T124)&lt;&gt;0,MAX(0,MIN(1,-T125/T124)),""),"")</f>
        <v>0.109976166155941</v>
      </c>
      <c r="U343" s="258">
        <f>IFERROR(IF(N(U124)&lt;&gt;0,MAX(0,MIN(1,-U125/U124)),""),"")</f>
        <v>0.0816625916870416</v>
      </c>
      <c r="V343" s="258">
        <f>IFERROR(IF(N(V124)&lt;&gt;0,MAX(0,MIN(1,-V125/V124)),""),"")</f>
        <v>0</v>
      </c>
      <c r="W343" s="258">
        <f>IFERROR(IF(N(W124)&lt;&gt;0,MAX(0,MIN(1,-W125/W124)),""),"")</f>
        <v>0</v>
      </c>
      <c r="X343" s="258">
        <f>IFERROR(IF(N(X124)&lt;&gt;0,MAX(0,MIN(1,-X125/X124)),""),"")</f>
        <v>0.255826271186441</v>
      </c>
      <c r="Y343" s="258">
        <f>IFERROR(IF(N(Y124)&lt;&gt;0,MAX(0,MIN(1,-Y125/Y124)),""),"")</f>
        <v>0.207610520425294</v>
      </c>
      <c r="Z343" s="258">
        <f>IFERROR(IF(N(Z124)&lt;&gt;0,MAX(0,MIN(1,-Z125/Z124)),""),"")</f>
        <v>0.215693299892512</v>
      </c>
      <c r="AA343" s="258">
        <f>IFERROR(IF(N(AA124)&lt;&gt;0,MAX(0,MIN(1,-AA125/AA124)),""),"")</f>
        <v>0.15095087163233</v>
      </c>
      <c r="AB343" s="258">
        <f>IFERROR(IF(N(AB124)&lt;&gt;0,MAX(0,MIN(1,-AB125/AB124)),""),"")</f>
        <v>0.204338153503893</v>
      </c>
      <c r="AC343" s="258">
        <f>IFERROR(IF(N(AC124)&lt;&gt;0,MAX(0,MIN(1,-AC125/AC124)),""),"")</f>
        <v>0.286926994906621</v>
      </c>
      <c r="AD343" s="258">
        <f>IFERROR(IF(N(AD124)&lt;&gt;0,MAX(0,MIN(1,-AD125/AD124)),""),"")</f>
        <v>0.231762427372498</v>
      </c>
      <c r="AE343" s="258">
        <f>IFERROR(IF(N(AE124)&lt;&gt;0,MAX(0,MIN(1,-AE125/AE124)),""),"")</f>
        <v>0.290964777947933</v>
      </c>
      <c r="AF343" s="258">
        <f>IFERROR(IF(N(AF124)&lt;&gt;0,MAX(0,MIN(1,-AF125/AF124)),""),"")</f>
        <v>0.275190516511431</v>
      </c>
      <c r="AG343" s="258">
        <f>IFERROR(IF(N(AG124)&lt;&gt;0,MAX(0,MIN(1,-AG125/AG124)),""),"")</f>
        <v>0.269609700644183</v>
      </c>
      <c r="AH343" s="258">
        <f>IFERROR(IF(N(AH124)&lt;&gt;0,MAX(0,MIN(1,-AH125/AH124)),""),"")</f>
        <v>0.343582887700535</v>
      </c>
      <c r="AI343" s="258">
        <f>IFERROR(IF(N(AI124)&lt;&gt;0,MAX(0,MIN(1,-AI125/AI124)),""),"")</f>
        <v>0.151241534988713</v>
      </c>
      <c r="AJ343" s="258">
        <f>IFERROR(IF(N(AJ124)&lt;&gt;0,MAX(0,MIN(1,-AJ125/AJ124)),""),"")</f>
        <v>0.263278189904622</v>
      </c>
      <c r="AK343" s="258">
        <f>IFERROR(IF(N(AK124)&lt;&gt;0,MAX(0,MIN(1,-AK125/AK124)),""),"")</f>
        <v>0.263278189904622</v>
      </c>
      <c r="AL343" s="258">
        <f>IFERROR(IF(N(AL124)&lt;&gt;0,MAX(0,MIN(1,-AL125/AL124)),""),"")</f>
        <v>0.245706550605576</v>
      </c>
      <c r="AM343" s="258">
        <f>IFERROR(IF(N(AM124)&lt;&gt;0,MAX(0,MIN(1,-AM125/AM124)),""),"")</f>
        <v>0.263278189904622</v>
      </c>
      <c r="AN343" s="258">
        <f>IFERROR(IF(N(AN124)&lt;&gt;0,MAX(0,MIN(1,-AN125/AN124)),""),"")</f>
        <v>0.263278189904622</v>
      </c>
      <c r="AO343" s="258">
        <f>IFERROR(IF(N(AO124)&lt;&gt;0,MAX(0,MIN(1,-AO125/AO124)),""),"")</f>
        <v>0.263278189904622</v>
      </c>
      <c r="AP343" s="258">
        <f>IFERROR(IF(N(AP124)&lt;&gt;0,MAX(0,MIN(1,-AP125/AP124)),""),"")</f>
        <v>0.263278189904622</v>
      </c>
      <c r="AQ343" s="258">
        <f>IFERROR(IF(N(AQ124)&lt;&gt;0,MAX(0,MIN(1,-AQ125/AQ124)),""),"")</f>
        <v>0.263278189904622</v>
      </c>
      <c r="AR343" s="258">
        <f>IFERROR(IF(N(AR124)&lt;&gt;0,MAX(0,MIN(1,-AR125/AR124)),""),"")</f>
        <v>0.263278189904622</v>
      </c>
      <c r="AS343" s="258">
        <f>IFERROR(IF(N(AS124)&lt;&gt;0,MAX(0,MIN(1,-AS125/AS124)),""),"")</f>
        <v>0.263278189904622</v>
      </c>
      <c r="AT343" s="258">
        <f>IFERROR(IF(N(AT124)&lt;&gt;0,MAX(0,MIN(1,-AT125/AT124)),""),"")</f>
        <v>0.263278189904622</v>
      </c>
      <c r="AU343" s="258">
        <f>IFERROR(IF(N(AU124)&lt;&gt;0,MAX(0,MIN(1,-AU125/AU124)),""),"")</f>
        <v>0.263278189904622</v>
      </c>
      <c r="AV343" s="258">
        <f>IFERROR(IF(N(AV124)&lt;&gt;0,MAX(0,MIN(1,-AV125/AV124)),""),"")</f>
        <v>0.263278189904622</v>
      </c>
      <c r="AW343" s="258">
        <f>IFERROR(IF(N(AW124)&lt;&gt;0,MAX(0,MIN(1,-AW125/AW124)),""),"")</f>
        <v>0.263278189904622</v>
      </c>
      <c r="AX343" s="258">
        <f>IFERROR(IF(N(AX124)&lt;&gt;0,MAX(0,MIN(1,-AX125/AX124)),""),"")</f>
        <v>0.263278189904622</v>
      </c>
      <c r="AY343" s="258">
        <f>IFERROR(IF(N(AY124)&lt;&gt;0,MAX(0,MIN(1,-AY125/AY124)),""),"")</f>
        <v>0.263278189904622</v>
      </c>
      <c r="AZ343" s="258">
        <f>IFERROR(IF(N(AZ124)&lt;&gt;0,MAX(0,MIN(1,-AZ125/AZ124)),""),"")</f>
        <v>0.263278189904622</v>
      </c>
      <c r="BA343" s="258">
        <f>IFERROR(IF(N(BA124)&lt;&gt;0,MAX(0,MIN(1,-BA125/BA124)),""),"")</f>
        <v>0.263278189904622</v>
      </c>
      <c r="BB343" s="258">
        <f>IFERROR(IF(N(BB124)&lt;&gt;0,MAX(0,MIN(1,-BB125/BB124)),""),"")</f>
        <v>0.263278189904622</v>
      </c>
      <c r="BC343" s="258">
        <f>IFERROR(IF(N(BC124)&lt;&gt;0,MAX(0,MIN(1,-BC125/BC124)),""),"")</f>
        <v>0.263278189904622</v>
      </c>
      <c r="BD343" s="258">
        <f>IFERROR(IF(N(BD124)&lt;&gt;0,MAX(0,MIN(1,-BD125/BD124)),""),"")</f>
        <v>0.263278189904622</v>
      </c>
      <c r="BE343" s="258">
        <f>IFERROR(IF(N(BE124)&lt;&gt;0,MAX(0,MIN(1,-BE125/BE124)),""),"")</f>
        <v>0.263278189904622</v>
      </c>
      <c r="BF343" s="258">
        <f>IFERROR(IF(N(BF124)&lt;&gt;0,MAX(0,MIN(1,-BF125/BF124)),""),"")</f>
        <v>0.263278189904622</v>
      </c>
      <c r="BG343" s="88" t="n"/>
      <c r="BH343" s="88" t="n"/>
      <c r="BI343" s="88" t="n"/>
      <c r="BJ343" s="88" t="n"/>
      <c r="BL343" s="88" t="n"/>
      <c r="BM343" s="88" t="n"/>
      <c r="BN343" s="88" t="n"/>
      <c r="BO343" s="88" t="n"/>
      <c r="BQ343" s="88" t="n"/>
      <c r="BR343" s="88" t="n"/>
      <c r="BS343" s="88" t="n"/>
      <c r="BT343" s="88" t="n"/>
      <c r="BV343" s="88" t="n"/>
      <c r="BW343" s="88" t="n"/>
      <c r="BX343" s="88" t="n"/>
      <c r="BY343" s="88" t="n"/>
      <c r="CA343" s="88" t="n"/>
      <c r="CB343" s="88" t="n"/>
      <c r="CC343" s="88" t="n"/>
      <c r="CD343" s="88" t="n"/>
      <c r="CF343" s="88" t="n"/>
      <c r="CG343" s="88" t="n"/>
      <c r="CH343" s="88" t="n"/>
      <c r="CI343" s="88" t="n"/>
      <c r="CK343" s="88" t="n"/>
      <c r="CL343" s="88" t="n"/>
      <c r="CM343" s="88" t="n"/>
      <c r="CN343" s="88" t="n"/>
      <c r="CP343" s="88" t="n"/>
      <c r="CQ343" s="88" t="n"/>
      <c r="CR343" s="88" t="n"/>
      <c r="CS343" s="88" t="n"/>
      <c r="CU343" s="88" t="n"/>
      <c r="CV343" s="88" t="n"/>
      <c r="CW343" s="88" t="n"/>
      <c r="CX343" s="88" t="n"/>
    </row>
    <row r="344" customFormat="1" s="77">
      <c r="A344" s="76" t="n"/>
      <c r="B344" s="76" t="n"/>
      <c r="C344" s="77" t="inlineStr">
        <is>
          <t>INVESTED CAPITAL</t>
        </is>
      </c>
      <c r="D344" s="86">
        <f>IFERROR(D347-D348+D349,"")</f>
        <v>0</v>
      </c>
      <c r="E344" s="86">
        <f>IFERROR(E347-E348+E349,"")</f>
        <v>0</v>
      </c>
      <c r="F344" s="86">
        <f>IFERROR(F347-F348+F349,"")</f>
        <v>0</v>
      </c>
      <c r="G344" s="86">
        <f>IFERROR(G347-G348+G349,"")</f>
        <v>0</v>
      </c>
      <c r="H344" s="263">
        <f>IFERROR(H346+H349,0)</f>
        <v>0</v>
      </c>
      <c r="I344" s="263">
        <f>IFERROR(I346+I349,0)</f>
        <v>7324</v>
      </c>
      <c r="J344" s="263">
        <f>IFERROR(J346+J349,0)</f>
        <v>10021</v>
      </c>
      <c r="K344" s="263">
        <f>IFERROR(K346+K349,0)</f>
        <v>12399</v>
      </c>
      <c r="L344" s="263">
        <f>IFERROR(L346+L349,0)</f>
        <v>13876</v>
      </c>
      <c r="M344" s="263">
        <f>IFERROR(M346+M349,0)</f>
        <v>13876</v>
      </c>
      <c r="N344" s="263">
        <f>IFERROR(N346+N349,0)</f>
        <v>17393</v>
      </c>
      <c r="O344" s="263">
        <f>IFERROR(O346+O349,0)</f>
        <v>18743</v>
      </c>
      <c r="P344" s="263">
        <f>IFERROR(P346+P349,0)</f>
        <v>20017</v>
      </c>
      <c r="Q344" s="263">
        <f>IFERROR(Q346+Q349,0)</f>
        <v>23713</v>
      </c>
      <c r="R344" s="263">
        <f>IFERROR(R346+R349,0)</f>
        <v>23713</v>
      </c>
      <c r="S344" s="263">
        <f>IFERROR(S346+S349,0)</f>
        <v>26833</v>
      </c>
      <c r="T344" s="263">
        <f>IFERROR(T346+T349,0)</f>
        <v>29107</v>
      </c>
      <c r="U344" s="263">
        <f>IFERROR(U346+U349,0)</f>
        <v>28418</v>
      </c>
      <c r="V344" s="263">
        <f>IFERROR(V346+V349,0)</f>
        <v>34515</v>
      </c>
      <c r="W344" s="263">
        <f>IFERROR(W346+W349,0)</f>
        <v>34515</v>
      </c>
      <c r="X344" s="263">
        <f>IFERROR(X346+X349,0)</f>
        <v>38317</v>
      </c>
      <c r="Y344" s="263">
        <f>IFERROR(Y346+Y349,0)</f>
        <v>36543</v>
      </c>
      <c r="Z344" s="263">
        <f>IFERROR(Z346+Z349,0)</f>
        <v>37062</v>
      </c>
      <c r="AA344" s="263">
        <f>IFERROR(AA346+AA349,0)</f>
        <v>37117</v>
      </c>
      <c r="AB344" s="263">
        <f>IFERROR(AB346+AB349,0)</f>
        <v>37117</v>
      </c>
      <c r="AC344" s="263">
        <f>IFERROR(AC346+AC349,0)</f>
        <v>38422</v>
      </c>
      <c r="AD344" s="263">
        <f>IFERROR(AD346+AD349,0)</f>
        <v>41290</v>
      </c>
      <c r="AE344" s="263">
        <f>IFERROR(AE346+AE349,0)</f>
        <v>39069</v>
      </c>
      <c r="AF344" s="263">
        <f>IFERROR(AF346+AF349,0)</f>
        <v>38806</v>
      </c>
      <c r="AG344" s="263">
        <f>IFERROR(AG346+AG349,0)</f>
        <v>38806</v>
      </c>
      <c r="AH344" s="263">
        <f>IFERROR(AH346+AH349,0)</f>
        <v>40059</v>
      </c>
      <c r="AI344" s="263">
        <f>IFERROR(AI346+AI349,0)</f>
        <v>43995</v>
      </c>
      <c r="AJ344" s="263">
        <f>IFERROR(AJ346+AJ349,0)</f>
        <v>48540.050482119</v>
      </c>
      <c r="AK344" s="263">
        <f>IFERROR(AK346+AK349,0)</f>
        <v>50025.4766761741</v>
      </c>
      <c r="AL344" s="263">
        <f>IFERROR(AL346+AL349,0)</f>
        <v>50025.4766761741</v>
      </c>
      <c r="AM344" s="263">
        <f>IFERROR(AM346+AM349,0)</f>
        <v>51506.1621200223</v>
      </c>
      <c r="AN344" s="263">
        <f>IFERROR(AN346+AN349,0)</f>
        <v>54767.3668044321</v>
      </c>
      <c r="AO344" s="263">
        <f>IFERROR(AO346+AO349,0)</f>
        <v>57316.7436675895</v>
      </c>
      <c r="AP344" s="263">
        <f>IFERROR(AP346+AP349,0)</f>
        <v>58873.2795439291</v>
      </c>
      <c r="AQ344" s="263">
        <f>IFERROR(AQ346+AQ349,0)</f>
        <v>58873.2795439291</v>
      </c>
      <c r="AR344" s="263">
        <f>IFERROR(AR346+AR349,0)</f>
        <v>60351.7515552099</v>
      </c>
      <c r="AS344" s="263">
        <f>IFERROR(AS346+AS349,0)</f>
        <v>63797.314493543</v>
      </c>
      <c r="AT344" s="263">
        <f>IFERROR(AT346+AT349,0)</f>
        <v>66455.9871423525</v>
      </c>
      <c r="AU344" s="263">
        <f>IFERROR(AU346+AU349,0)</f>
        <v>68079.2541536445</v>
      </c>
      <c r="AV344" s="263">
        <f>IFERROR(AV346+AV349,0)</f>
        <v>68079.2541536445</v>
      </c>
      <c r="AW344" s="263">
        <f>IFERROR(AW346+AW349,0)</f>
        <v>69637.7907032839</v>
      </c>
      <c r="AX344" s="263">
        <f>IFERROR(AX346+AX349,0)</f>
        <v>73167.6102226161</v>
      </c>
      <c r="AY344" s="263">
        <f>IFERROR(AY346+AY349,0)</f>
        <v>75926.9709756305</v>
      </c>
      <c r="AZ344" s="263">
        <f>IFERROR(AZ346+AZ349,0)</f>
        <v>77611.7136552635</v>
      </c>
      <c r="BA344" s="263">
        <f>IFERROR(BA346+BA349,0)</f>
        <v>77611.7136552635</v>
      </c>
      <c r="BB344" s="263">
        <f>IFERROR(BB346+BB349,0)</f>
        <v>79198.3719114415</v>
      </c>
      <c r="BC344" s="263">
        <f>IFERROR(BC346+BC349,0)</f>
        <v>82844.2221360466</v>
      </c>
      <c r="BD344" s="263">
        <f>IFERROR(BD346+BD349,0)</f>
        <v>85694.2874059692</v>
      </c>
      <c r="BE344" s="263">
        <f>IFERROR(BE346+BE349,0)</f>
        <v>87434.4102205497</v>
      </c>
      <c r="BF344" s="263">
        <f>IFERROR(BF346+BF349,0)</f>
        <v>87434.4102205497</v>
      </c>
      <c r="BG344" s="63" t="n"/>
      <c r="BH344" s="63" t="n"/>
      <c r="BI344" s="63" t="n"/>
      <c r="BJ344" s="63" t="n"/>
      <c r="BL344" s="63" t="n"/>
      <c r="BM344" s="63" t="n"/>
      <c r="BN344" s="63" t="n"/>
      <c r="BO344" s="63" t="n"/>
      <c r="BQ344" s="63" t="n"/>
      <c r="BR344" s="63" t="n"/>
      <c r="BS344" s="63" t="n"/>
      <c r="BT344" s="63" t="n"/>
      <c r="BV344" s="63" t="n"/>
      <c r="BW344" s="63" t="n"/>
      <c r="BX344" s="63" t="n"/>
      <c r="BY344" s="63" t="n"/>
      <c r="CA344" s="63" t="n"/>
      <c r="CB344" s="63" t="n"/>
      <c r="CC344" s="63" t="n"/>
      <c r="CD344" s="63" t="n"/>
      <c r="CF344" s="63" t="n"/>
      <c r="CG344" s="63" t="n"/>
      <c r="CH344" s="63" t="n"/>
      <c r="CI344" s="63" t="n"/>
      <c r="CK344" s="63" t="n"/>
      <c r="CL344" s="63" t="n"/>
      <c r="CM344" s="63" t="n"/>
      <c r="CN344" s="63" t="n"/>
      <c r="CP344" s="63" t="n"/>
      <c r="CQ344" s="63" t="n"/>
      <c r="CR344" s="63" t="n"/>
      <c r="CS344" s="63" t="n"/>
      <c r="CU344" s="63" t="n"/>
      <c r="CV344" s="63" t="n"/>
      <c r="CW344" s="63" t="n"/>
      <c r="CX344" s="63" t="n"/>
    </row>
    <row r="345" customFormat="1" s="77">
      <c r="A345" s="76" t="n"/>
      <c r="B345" s="76" t="n"/>
      <c r="C345" s="77" t="inlineStr">
        <is>
          <t>INVESTED CAPITAL - EX GOODWILL</t>
        </is>
      </c>
      <c r="D345" s="89">
        <f>IFERROR(D344-D173,"")</f>
        <v>0</v>
      </c>
      <c r="E345" s="89">
        <f>IFERROR(E344-E173,"")</f>
        <v>0</v>
      </c>
      <c r="F345" s="89">
        <f>IFERROR(F344-F173,"")</f>
        <v>0</v>
      </c>
      <c r="G345" s="89">
        <f>IFERROR(G344-G173,"")</f>
        <v>0</v>
      </c>
      <c r="H345" s="263">
        <f>IFERROR(H344-N(H173),0)</f>
        <v>0</v>
      </c>
      <c r="I345" s="263">
        <f>IFERROR(I344-N(I173),0)</f>
        <v>7118</v>
      </c>
      <c r="J345" s="263">
        <f>IFERROR(J344-N(J173),0)</f>
        <v>9818</v>
      </c>
      <c r="K345" s="263">
        <f>IFERROR(K344-N(K173),0)</f>
        <v>12198</v>
      </c>
      <c r="L345" s="263">
        <f>IFERROR(L344-N(L173),0)</f>
        <v>13676</v>
      </c>
      <c r="M345" s="263">
        <f>IFERROR(M344-N(M173),0)</f>
        <v>13676</v>
      </c>
      <c r="N345" s="263">
        <f>IFERROR(N344-N(N173),0)</f>
        <v>17193</v>
      </c>
      <c r="O345" s="263">
        <f>IFERROR(O344-N(O173),0)</f>
        <v>18547</v>
      </c>
      <c r="P345" s="263">
        <f>IFERROR(P344-N(P173),0)</f>
        <v>19826</v>
      </c>
      <c r="Q345" s="263">
        <f>IFERROR(Q344-N(Q173),0)</f>
        <v>23519</v>
      </c>
      <c r="R345" s="263">
        <f>IFERROR(R344-N(R173),0)</f>
        <v>23519</v>
      </c>
      <c r="S345" s="263">
        <f>IFERROR(S344-N(S173),0)</f>
        <v>26638</v>
      </c>
      <c r="T345" s="263">
        <f>IFERROR(T344-N(T173),0)</f>
        <v>28844</v>
      </c>
      <c r="U345" s="263">
        <f>IFERROR(U344-N(U173),0)</f>
        <v>28168</v>
      </c>
      <c r="V345" s="263">
        <f>IFERROR(V344-N(V173),0)</f>
        <v>34262</v>
      </c>
      <c r="W345" s="263">
        <f>IFERROR(W344-N(W173),0)</f>
        <v>34262</v>
      </c>
      <c r="X345" s="263">
        <f>IFERROR(X344-N(X173),0)</f>
        <v>38067</v>
      </c>
      <c r="Y345" s="263">
        <f>IFERROR(Y344-N(Y173),0)</f>
        <v>36294</v>
      </c>
      <c r="Z345" s="263">
        <f>IFERROR(Z344-N(Z173),0)</f>
        <v>36809</v>
      </c>
      <c r="AA345" s="263">
        <f>IFERROR(AA344-N(AA173),0)</f>
        <v>36873</v>
      </c>
      <c r="AB345" s="263">
        <f>IFERROR(AB344-N(AB173),0)</f>
        <v>36873</v>
      </c>
      <c r="AC345" s="263">
        <f>IFERROR(AC344-N(AC173),0)</f>
        <v>38174</v>
      </c>
      <c r="AD345" s="263">
        <f>IFERROR(AD344-N(AD173),0)</f>
        <v>41032</v>
      </c>
      <c r="AE345" s="263">
        <f>IFERROR(AE344-N(AE173),0)</f>
        <v>38812</v>
      </c>
      <c r="AF345" s="263">
        <f>IFERROR(AF344-N(AF173),0)</f>
        <v>38806</v>
      </c>
      <c r="AG345" s="263">
        <f>IFERROR(AG344-N(AG173),0)</f>
        <v>38806</v>
      </c>
      <c r="AH345" s="263">
        <f>IFERROR(AH344-N(AH173),0)</f>
        <v>40059</v>
      </c>
      <c r="AI345" s="263">
        <f>IFERROR(AI344-N(AI173),0)</f>
        <v>43995</v>
      </c>
      <c r="AJ345" s="263">
        <f>IFERROR(AJ344-N(AJ173),0)</f>
        <v>48540.050482119</v>
      </c>
      <c r="AK345" s="263">
        <f>IFERROR(AK344-N(AK173),0)</f>
        <v>50025.4766761741</v>
      </c>
      <c r="AL345" s="263">
        <f>IFERROR(AL344-N(AL173),0)</f>
        <v>50025.4766761741</v>
      </c>
      <c r="AM345" s="263">
        <f>IFERROR(AM344-N(AM173),0)</f>
        <v>51506.1621200223</v>
      </c>
      <c r="AN345" s="263">
        <f>IFERROR(AN344-N(AN173),0)</f>
        <v>54767.3668044321</v>
      </c>
      <c r="AO345" s="263">
        <f>IFERROR(AO344-N(AO173),0)</f>
        <v>57316.7436675895</v>
      </c>
      <c r="AP345" s="263">
        <f>IFERROR(AP344-N(AP173),0)</f>
        <v>58873.2795439291</v>
      </c>
      <c r="AQ345" s="263">
        <f>IFERROR(AQ344-N(AQ173),0)</f>
        <v>58873.2795439291</v>
      </c>
      <c r="AR345" s="263">
        <f>IFERROR(AR344-N(AR173),0)</f>
        <v>60351.7515552099</v>
      </c>
      <c r="AS345" s="263">
        <f>IFERROR(AS344-N(AS173),0)</f>
        <v>63797.314493543</v>
      </c>
      <c r="AT345" s="263">
        <f>IFERROR(AT344-N(AT173),0)</f>
        <v>66455.9871423525</v>
      </c>
      <c r="AU345" s="263">
        <f>IFERROR(AU344-N(AU173),0)</f>
        <v>68079.2541536445</v>
      </c>
      <c r="AV345" s="263">
        <f>IFERROR(AV344-N(AV173),0)</f>
        <v>68079.2541536445</v>
      </c>
      <c r="AW345" s="263">
        <f>IFERROR(AW344-N(AW173),0)</f>
        <v>69637.7907032839</v>
      </c>
      <c r="AX345" s="263">
        <f>IFERROR(AX344-N(AX173),0)</f>
        <v>73167.6102226161</v>
      </c>
      <c r="AY345" s="263">
        <f>IFERROR(AY344-N(AY173),0)</f>
        <v>75926.9709756305</v>
      </c>
      <c r="AZ345" s="263">
        <f>IFERROR(AZ344-N(AZ173),0)</f>
        <v>77611.7136552635</v>
      </c>
      <c r="BA345" s="263">
        <f>IFERROR(BA344-N(BA173),0)</f>
        <v>77611.7136552635</v>
      </c>
      <c r="BB345" s="263">
        <f>IFERROR(BB344-N(BB173),0)</f>
        <v>79198.3719114415</v>
      </c>
      <c r="BC345" s="263">
        <f>IFERROR(BC344-N(BC173),0)</f>
        <v>82844.2221360466</v>
      </c>
      <c r="BD345" s="263">
        <f>IFERROR(BD344-N(BD173),0)</f>
        <v>85694.2874059692</v>
      </c>
      <c r="BE345" s="263">
        <f>IFERROR(BE344-N(BE173),0)</f>
        <v>87434.4102205497</v>
      </c>
      <c r="BF345" s="263">
        <f>IFERROR(BF344-N(BF173),0)</f>
        <v>87434.4102205497</v>
      </c>
      <c r="BG345" s="90" t="n"/>
      <c r="BH345" s="90" t="n"/>
      <c r="BI345" s="90" t="n"/>
      <c r="BJ345" s="90" t="n"/>
      <c r="BL345" s="90" t="n"/>
      <c r="BM345" s="90" t="n"/>
      <c r="BN345" s="90" t="n"/>
      <c r="BO345" s="90" t="n"/>
      <c r="BQ345" s="90" t="n"/>
      <c r="BR345" s="90" t="n"/>
      <c r="BS345" s="90" t="n"/>
      <c r="BT345" s="90" t="n"/>
      <c r="BV345" s="90" t="n"/>
      <c r="BW345" s="90" t="n"/>
      <c r="BX345" s="90" t="n"/>
      <c r="BY345" s="90" t="n"/>
      <c r="CA345" s="90" t="n"/>
      <c r="CB345" s="90" t="n"/>
      <c r="CC345" s="90" t="n"/>
      <c r="CD345" s="90" t="n"/>
      <c r="CF345" s="90" t="n"/>
      <c r="CG345" s="90" t="n"/>
      <c r="CH345" s="90" t="n"/>
      <c r="CI345" s="90" t="n"/>
      <c r="CK345" s="90" t="n"/>
      <c r="CL345" s="90" t="n"/>
      <c r="CM345" s="90" t="n"/>
      <c r="CN345" s="90" t="n"/>
      <c r="CP345" s="90" t="n"/>
      <c r="CQ345" s="90" t="n"/>
      <c r="CR345" s="90" t="n"/>
      <c r="CS345" s="90" t="n"/>
      <c r="CU345" s="90" t="n"/>
      <c r="CV345" s="90" t="n"/>
      <c r="CW345" s="90" t="n"/>
      <c r="CX345" s="90" t="n"/>
    </row>
    <row r="346" customFormat="1" s="77">
      <c r="A346" s="76" t="n"/>
      <c r="B346" s="76" t="n"/>
      <c r="C346" s="77" t="inlineStr">
        <is>
          <t>OPERATING WORKING CAPITAL</t>
        </is>
      </c>
      <c r="D346" s="91">
        <f>IFERROR(D347-D348,"")</f>
        <v>0</v>
      </c>
      <c r="E346" s="91">
        <f>IFERROR(E347-E348,"")</f>
        <v>0</v>
      </c>
      <c r="F346" s="91">
        <f>IFERROR(F347-F348,"")</f>
        <v>0</v>
      </c>
      <c r="G346" s="91">
        <f>IFERROR(G347-G348,"")</f>
        <v>0</v>
      </c>
      <c r="H346" s="263">
        <f>IFERROR(H347-H348,0)</f>
        <v>0</v>
      </c>
      <c r="I346" s="263">
        <f>IFERROR(I347-I348,0)</f>
        <v>-7313</v>
      </c>
      <c r="J346" s="263">
        <f>IFERROR(J347-J348,0)</f>
        <v>-7907</v>
      </c>
      <c r="K346" s="263">
        <f>IFERROR(K347-K348,0)</f>
        <v>-9144</v>
      </c>
      <c r="L346" s="263">
        <f>IFERROR(L347-L348,0)</f>
        <v>-10312</v>
      </c>
      <c r="M346" s="263">
        <f>IFERROR(M347-M348,0)</f>
        <v>-10312</v>
      </c>
      <c r="N346" s="263">
        <f>IFERROR(N347-N348,0)</f>
        <v>-10418</v>
      </c>
      <c r="O346" s="263">
        <f>IFERROR(O347-O348,0)</f>
        <v>-9514</v>
      </c>
      <c r="P346" s="263">
        <f>IFERROR(P347-P348,0)</f>
        <v>-9728</v>
      </c>
      <c r="Q346" s="263">
        <f>IFERROR(Q347-Q348,0)</f>
        <v>-7977</v>
      </c>
      <c r="R346" s="263">
        <f>IFERROR(R347-R348,0)</f>
        <v>-7977</v>
      </c>
      <c r="S346" s="263">
        <f>IFERROR(S347-S348,0)</f>
        <v>-6841</v>
      </c>
      <c r="T346" s="263">
        <f>IFERROR(T347-T348,0)</f>
        <v>-6792</v>
      </c>
      <c r="U346" s="263">
        <f>IFERROR(U347-U348,0)</f>
        <v>-7691</v>
      </c>
      <c r="V346" s="263">
        <f>IFERROR(V347-V348,0)</f>
        <v>-1493</v>
      </c>
      <c r="W346" s="263">
        <f>IFERROR(W347-W348,0)</f>
        <v>-1493</v>
      </c>
      <c r="X346" s="263">
        <f>IFERROR(X347-X348,0)</f>
        <v>988</v>
      </c>
      <c r="Y346" s="263">
        <f>IFERROR(Y347-Y348,0)</f>
        <v>1220</v>
      </c>
      <c r="Z346" s="263">
        <f>IFERROR(Z347-Z348,0)</f>
        <v>-1360</v>
      </c>
      <c r="AA346" s="263">
        <f>IFERROR(AA347-AA348,0)</f>
        <v>-500</v>
      </c>
      <c r="AB346" s="263">
        <f>IFERROR(AB347-AB348,0)</f>
        <v>-500</v>
      </c>
      <c r="AC346" s="263">
        <f>IFERROR(AC347-AC348,0)</f>
        <v>-673</v>
      </c>
      <c r="AD346" s="263">
        <f>IFERROR(AD347-AD348,0)</f>
        <v>1064</v>
      </c>
      <c r="AE346" s="263">
        <f>IFERROR(AE347-AE348,0)</f>
        <v>-1647</v>
      </c>
      <c r="AF346" s="263">
        <f>IFERROR(AF347-AF348,0)</f>
        <v>-206</v>
      </c>
      <c r="AG346" s="263">
        <f>IFERROR(AG347-AG348,0)</f>
        <v>-206</v>
      </c>
      <c r="AH346" s="263">
        <f>IFERROR(AH347-AH348,0)</f>
        <v>-2073</v>
      </c>
      <c r="AI346" s="263">
        <f>IFERROR(AI347-AI348,0)</f>
        <v>-2956</v>
      </c>
      <c r="AJ346" s="263">
        <f>IFERROR(AJ347-AJ348,0)</f>
        <v>-699.002557990069</v>
      </c>
      <c r="AK346" s="263">
        <f>IFERROR(AK347-AK348,0)</f>
        <v>-1241.51047148996</v>
      </c>
      <c r="AL346" s="263">
        <f>IFERROR(AL347-AL348,0)</f>
        <v>-1241.51047148996</v>
      </c>
      <c r="AM346" s="263">
        <f>IFERROR(AM347-AM348,0)</f>
        <v>-1584.0193116397</v>
      </c>
      <c r="AN346" s="263">
        <f>IFERROR(AN347-AN348,0)</f>
        <v>-622.350688469254</v>
      </c>
      <c r="AO346" s="263">
        <f>IFERROR(AO347-AO348,0)</f>
        <v>-470.559554007828</v>
      </c>
      <c r="AP346" s="263">
        <f>IFERROR(AP347-AP348,0)</f>
        <v>-1039.03817242743</v>
      </c>
      <c r="AQ346" s="263">
        <f>IFERROR(AQ347-AQ348,0)</f>
        <v>-1039.03817242743</v>
      </c>
      <c r="AR346" s="263">
        <f>IFERROR(AR347-AR348,0)</f>
        <v>-1461.92364437398</v>
      </c>
      <c r="AS346" s="263">
        <f>IFERROR(AS347-AS348,0)</f>
        <v>-414.481485797282</v>
      </c>
      <c r="AT346" s="263">
        <f>IFERROR(AT347-AT348,0)</f>
        <v>-256.182827267621</v>
      </c>
      <c r="AU346" s="263">
        <f>IFERROR(AU347-AU348,0)</f>
        <v>-849.033015902875</v>
      </c>
      <c r="AV346" s="263">
        <f>IFERROR(AV347-AV348,0)</f>
        <v>-849.033015902875</v>
      </c>
      <c r="AW346" s="263">
        <f>IFERROR(AW347-AW348,0)</f>
        <v>-1263.86134027961</v>
      </c>
      <c r="AX346" s="263">
        <f>IFERROR(AX347-AX348,0)</f>
        <v>-222.983196867172</v>
      </c>
      <c r="AY346" s="263">
        <f>IFERROR(AY347-AY348,0)</f>
        <v>-58.6895197959748</v>
      </c>
      <c r="AZ346" s="263">
        <f>IFERROR(AZ347-AZ348,0)</f>
        <v>-673.991875153566</v>
      </c>
      <c r="BA346" s="263">
        <f>IFERROR(BA347-BA348,0)</f>
        <v>-673.991875153566</v>
      </c>
      <c r="BB346" s="263">
        <f>IFERROR(BB347-BB348,0)</f>
        <v>-1125.56609226647</v>
      </c>
      <c r="BC346" s="263">
        <f>IFERROR(BC347-BC348,0)</f>
        <v>-50.4726513234782</v>
      </c>
      <c r="BD346" s="263">
        <f>IFERROR(BD347-BD348,0)</f>
        <v>119.221616661234</v>
      </c>
      <c r="BE346" s="263">
        <f>IFERROR(BE347-BE348,0)</f>
        <v>-516.306692419239</v>
      </c>
      <c r="BF346" s="263">
        <f>IFERROR(BF347-BF348,0)</f>
        <v>-516.306692419239</v>
      </c>
      <c r="BG346" s="63" t="n"/>
      <c r="BH346" s="63" t="n"/>
      <c r="BI346" s="63" t="n"/>
      <c r="BJ346" s="63" t="n"/>
      <c r="BL346" s="63" t="n"/>
      <c r="BM346" s="63" t="n"/>
      <c r="BN346" s="63" t="n"/>
      <c r="BO346" s="63" t="n"/>
      <c r="BQ346" s="63" t="n"/>
      <c r="BR346" s="63" t="n"/>
      <c r="BS346" s="63" t="n"/>
      <c r="BT346" s="63" t="n"/>
      <c r="BV346" s="63" t="n"/>
      <c r="BW346" s="63" t="n"/>
      <c r="BX346" s="63" t="n"/>
      <c r="BY346" s="63" t="n"/>
      <c r="CA346" s="63" t="n"/>
      <c r="CB346" s="63" t="n"/>
      <c r="CC346" s="63" t="n"/>
      <c r="CD346" s="63" t="n"/>
      <c r="CF346" s="63" t="n"/>
      <c r="CG346" s="63" t="n"/>
      <c r="CH346" s="63" t="n"/>
      <c r="CI346" s="63" t="n"/>
      <c r="CK346" s="63" t="n"/>
      <c r="CL346" s="63" t="n"/>
      <c r="CM346" s="63" t="n"/>
      <c r="CN346" s="63" t="n"/>
      <c r="CP346" s="63" t="n"/>
      <c r="CQ346" s="63" t="n"/>
      <c r="CR346" s="63" t="n"/>
      <c r="CS346" s="63" t="n"/>
      <c r="CU346" s="63" t="n"/>
      <c r="CV346" s="63" t="n"/>
      <c r="CW346" s="63" t="n"/>
      <c r="CX346" s="63" t="n"/>
    </row>
    <row r="347" customFormat="1" s="77">
      <c r="A347" s="76" t="n"/>
      <c r="B347" s="76" t="n"/>
      <c r="C347" s="77" t="inlineStr">
        <is>
          <t>CURRENT ASSETS (OPERATING, EX CASH)</t>
        </is>
      </c>
      <c r="D347" s="89">
        <f>IFERROR(D139+D143+D147+D148+D149,"")</f>
        <v>0</v>
      </c>
      <c r="E347" s="89">
        <f>IFERROR(E139+E143+E147+E148+E149,"")</f>
        <v>0</v>
      </c>
      <c r="F347" s="89">
        <f>IFERROR(F139+F143+F147+F148+F149,"")</f>
        <v>0</v>
      </c>
      <c r="G347" s="89">
        <f>IFERROR(G139+G143+G147+G148+G149,"")</f>
        <v>0</v>
      </c>
      <c r="H347" s="263">
        <f>IFERROR((N(H139)+N(H143)+N(H147)+N(H148)+N(H149)),0)</f>
        <v>0</v>
      </c>
      <c r="I347" s="263">
        <f>IFERROR((N(I139)+N(I143)+N(I147)+N(I148)+N(I149)),0)</f>
        <v>7564</v>
      </c>
      <c r="J347" s="263">
        <f>IFERROR((N(J139)+N(J143)+N(J147)+N(J148)+N(J149)),0)</f>
        <v>8464</v>
      </c>
      <c r="K347" s="263">
        <f>IFERROR((N(K139)+N(K143)+N(K147)+N(K148)+N(K149)),0)</f>
        <v>8907</v>
      </c>
      <c r="L347" s="263">
        <f>IFERROR((N(L139)+N(L143)+N(L147)+N(L148)+N(L149)),0)</f>
        <v>9393</v>
      </c>
      <c r="M347" s="263">
        <f>IFERROR((N(M139)+N(M143)+N(M147)+N(M148)+N(M149)),0)</f>
        <v>9393</v>
      </c>
      <c r="N347" s="263">
        <f>IFERROR((N(N139)+N(N143)+N(N147)+N(N148)+N(N149)),0)</f>
        <v>11037</v>
      </c>
      <c r="O347" s="263">
        <f>IFERROR((N(O139)+N(O143)+N(O147)+N(O148)+N(O149)),0)</f>
        <v>12307</v>
      </c>
      <c r="P347" s="263">
        <f>IFERROR((N(P139)+N(P143)+N(P147)+N(P148)+N(P149)),0)</f>
        <v>14883</v>
      </c>
      <c r="Q347" s="263">
        <f>IFERROR((N(Q139)+N(Q143)+N(Q147)+N(Q148)+N(Q149)),0)</f>
        <v>18732</v>
      </c>
      <c r="R347" s="263">
        <f>IFERROR((N(R139)+N(R143)+N(R147)+N(R148)+N(R149)),0)</f>
        <v>18732</v>
      </c>
      <c r="S347" s="263">
        <f>IFERROR((N(S139)+N(S143)+N(S147)+N(S148)+N(S149)),0)</f>
        <v>20595</v>
      </c>
      <c r="T347" s="263">
        <f>IFERROR((N(T139)+N(T143)+N(T147)+N(T148)+N(T149)),0)</f>
        <v>20800</v>
      </c>
      <c r="U347" s="263">
        <f>IFERROR((N(U139)+N(U143)+N(U147)+N(U148)+N(U149)),0)</f>
        <v>18949</v>
      </c>
      <c r="V347" s="263">
        <f>IFERROR((N(V139)+N(V143)+N(V147)+N(V148)+N(V149)),0)</f>
        <v>27255</v>
      </c>
      <c r="W347" s="263">
        <f>IFERROR((N(W139)+N(W143)+N(W147)+N(W148)+N(W149)),0)</f>
        <v>27255</v>
      </c>
      <c r="X347" s="263">
        <f>IFERROR((N(X139)+N(X143)+N(X147)+N(X148)+N(X149)),0)</f>
        <v>30441</v>
      </c>
      <c r="Y347" s="263">
        <f>IFERROR((N(Y139)+N(Y143)+N(Y147)+N(Y148)+N(Y149)),0)</f>
        <v>28949</v>
      </c>
      <c r="Z347" s="263">
        <f>IFERROR((N(Z139)+N(Z143)+N(Z147)+N(Z148)+N(Z149)),0)</f>
        <v>29217</v>
      </c>
      <c r="AA347" s="263">
        <f>IFERROR((N(AA139)+N(AA143)+N(AA147)+N(AA148)+N(AA149)),0)</f>
        <v>28321</v>
      </c>
      <c r="AB347" s="263">
        <f>IFERROR((N(AB139)+N(AB143)+N(AB147)+N(AB148)+N(AB149)),0)</f>
        <v>28321</v>
      </c>
      <c r="AC347" s="263">
        <f>IFERROR((N(AC139)+N(AC143)+N(AC147)+N(AC148)+N(AC149)),0)</f>
        <v>29080</v>
      </c>
      <c r="AD347" s="263">
        <f>IFERROR((N(AD139)+N(AD143)+N(AD147)+N(AD148)+N(AD149)),0)</f>
        <v>31072</v>
      </c>
      <c r="AE347" s="263">
        <f>IFERROR((N(AE139)+N(AE143)+N(AE147)+N(AE148)+N(AE149)),0)</f>
        <v>29643</v>
      </c>
      <c r="AF347" s="263">
        <f>IFERROR((N(AF139)+N(AF143)+N(AF147)+N(AF148)+N(AF149)),0)</f>
        <v>31508</v>
      </c>
      <c r="AG347" s="263">
        <f>IFERROR((N(AG139)+N(AG143)+N(AG147)+N(AG148)+N(AG149)),0)</f>
        <v>31508</v>
      </c>
      <c r="AH347" s="263">
        <f>IFERROR((N(AH139)+N(AH143)+N(AH147)+N(AH148)+N(AH149)),0)</f>
        <v>32065</v>
      </c>
      <c r="AI347" s="263">
        <f>IFERROR((N(AI139)+N(AI143)+N(AI147)+N(AI148)+N(AI149)),0)</f>
        <v>32469</v>
      </c>
      <c r="AJ347" s="263">
        <f>IFERROR((N(AJ139)+N(AJ143)+N(AJ147)+N(AJ148)+N(AJ149)),0)</f>
        <v>36262.9401233564</v>
      </c>
      <c r="AK347" s="263">
        <f>IFERROR((N(AK139)+N(AK143)+N(AK147)+N(AK148)+N(AK149)),0)</f>
        <v>33803.5839833314</v>
      </c>
      <c r="AL347" s="263">
        <f>IFERROR((N(AL139)+N(AL143)+N(AL147)+N(AL148)+N(AL149)),0)</f>
        <v>33803.5839833314</v>
      </c>
      <c r="AM347" s="263">
        <f>IFERROR((N(AM139)+N(AM143)+N(AM147)+N(AM148)+N(AM149)),0)</f>
        <v>32250.8854916159</v>
      </c>
      <c r="AN347" s="263">
        <f>IFERROR((N(AN139)+N(AN143)+N(AN147)+N(AN148)+N(AN149)),0)</f>
        <v>36610.4267521397</v>
      </c>
      <c r="AO347" s="263">
        <f>IFERROR((N(AO139)+N(AO143)+N(AO147)+N(AO148)+N(AO149)),0)</f>
        <v>37298.5429053783</v>
      </c>
      <c r="AP347" s="263">
        <f>IFERROR((N(AP139)+N(AP143)+N(AP147)+N(AP148)+N(AP149)),0)</f>
        <v>34721.4535286288</v>
      </c>
      <c r="AQ347" s="263">
        <f>IFERROR((N(AQ139)+N(AQ143)+N(AQ147)+N(AQ148)+N(AQ149)),0)</f>
        <v>34721.4535286288</v>
      </c>
      <c r="AR347" s="263">
        <f>IFERROR((N(AR139)+N(AR143)+N(AR147)+N(AR148)+N(AR149)),0)</f>
        <v>32804.3829088668</v>
      </c>
      <c r="AS347" s="263">
        <f>IFERROR((N(AS139)+N(AS143)+N(AS147)+N(AS148)+N(AS149)),0)</f>
        <v>37552.7621304669</v>
      </c>
      <c r="AT347" s="263">
        <f>IFERROR((N(AT139)+N(AT143)+N(AT147)+N(AT148)+N(AT149)),0)</f>
        <v>38270.3789027293</v>
      </c>
      <c r="AU347" s="263">
        <f>IFERROR((N(AU139)+N(AU143)+N(AU147)+N(AU148)+N(AU149)),0)</f>
        <v>35582.8056613939</v>
      </c>
      <c r="AV347" s="263">
        <f>IFERROR((N(AV139)+N(AV143)+N(AV147)+N(AV148)+N(AV149)),0)</f>
        <v>35582.8056613939</v>
      </c>
      <c r="AW347" s="263">
        <f>IFERROR((N(AW139)+N(AW143)+N(AW147)+N(AW148)+N(AW149)),0)</f>
        <v>33702.2605832024</v>
      </c>
      <c r="AX347" s="263">
        <f>IFERROR((N(AX139)+N(AX143)+N(AX147)+N(AX148)+N(AX149)),0)</f>
        <v>38420.8830941708</v>
      </c>
      <c r="AY347" s="263">
        <f>IFERROR((N(AY139)+N(AY143)+N(AY147)+N(AY148)+N(AY149)),0)</f>
        <v>39165.6771394145</v>
      </c>
      <c r="AZ347" s="263">
        <f>IFERROR((N(AZ139)+N(AZ143)+N(AZ147)+N(AZ148)+N(AZ149)),0)</f>
        <v>36376.3212830953</v>
      </c>
      <c r="BA347" s="263">
        <f>IFERROR((N(BA139)+N(BA143)+N(BA147)+N(BA148)+N(BA149)),0)</f>
        <v>36376.3212830953</v>
      </c>
      <c r="BB347" s="263">
        <f>IFERROR((N(BB139)+N(BB143)+N(BB147)+N(BB148)+N(BB149)),0)</f>
        <v>34329.1957096288</v>
      </c>
      <c r="BC347" s="263">
        <f>IFERROR((N(BC139)+N(BC143)+N(BC147)+N(BC148)+N(BC149)),0)</f>
        <v>39202.9267452299</v>
      </c>
      <c r="BD347" s="263">
        <f>IFERROR((N(BD139)+N(BD143)+N(BD147)+N(BD148)+N(BD149)),0)</f>
        <v>39972.203339193</v>
      </c>
      <c r="BE347" s="263">
        <f>IFERROR((N(BE139)+N(BE143)+N(BE147)+N(BE148)+N(BE149)),0)</f>
        <v>37091.1569798628</v>
      </c>
      <c r="BF347" s="263">
        <f>IFERROR((N(BF139)+N(BF143)+N(BF147)+N(BF148)+N(BF149)),0)</f>
        <v>37091.1569798628</v>
      </c>
      <c r="BG347" s="90" t="n"/>
      <c r="BH347" s="90" t="n"/>
      <c r="BI347" s="90" t="n"/>
      <c r="BJ347" s="90" t="n"/>
      <c r="BL347" s="90" t="n"/>
      <c r="BM347" s="90" t="n"/>
      <c r="BN347" s="90" t="n"/>
      <c r="BO347" s="90" t="n"/>
      <c r="BQ347" s="90" t="n"/>
      <c r="BR347" s="90" t="n"/>
      <c r="BS347" s="90" t="n"/>
      <c r="BT347" s="90" t="n"/>
      <c r="BV347" s="90" t="n"/>
      <c r="BW347" s="90" t="n"/>
      <c r="BX347" s="90" t="n"/>
      <c r="BY347" s="90" t="n"/>
      <c r="CA347" s="90" t="n"/>
      <c r="CB347" s="90" t="n"/>
      <c r="CC347" s="90" t="n"/>
      <c r="CD347" s="90" t="n"/>
      <c r="CF347" s="90" t="n"/>
      <c r="CG347" s="90" t="n"/>
      <c r="CH347" s="90" t="n"/>
      <c r="CI347" s="90" t="n"/>
      <c r="CK347" s="90" t="n"/>
      <c r="CL347" s="90" t="n"/>
      <c r="CM347" s="90" t="n"/>
      <c r="CN347" s="90" t="n"/>
      <c r="CP347" s="90" t="n"/>
      <c r="CQ347" s="90" t="n"/>
      <c r="CR347" s="90" t="n"/>
      <c r="CS347" s="90" t="n"/>
      <c r="CU347" s="90" t="n"/>
      <c r="CV347" s="90" t="n"/>
      <c r="CW347" s="90" t="n"/>
      <c r="CX347" s="90" t="n"/>
    </row>
    <row r="348" customFormat="1" s="77">
      <c r="A348" s="76" t="n"/>
      <c r="B348" s="76" t="n"/>
      <c r="C348" s="77" t="inlineStr">
        <is>
          <t>CURRENT LIABILITIES (OPERATING, EX DEBT)</t>
        </is>
      </c>
      <c r="D348" s="89">
        <f>IFERROR(D192+D196+D198+D199,"")</f>
        <v>0</v>
      </c>
      <c r="E348" s="89">
        <f>IFERROR(E192+E196+E198+E199,"")</f>
        <v>0</v>
      </c>
      <c r="F348" s="89">
        <f>IFERROR(F192+F196+F198+F199,"")</f>
        <v>0</v>
      </c>
      <c r="G348" s="89">
        <f>IFERROR(G192+G196+G198+G199,"")</f>
        <v>0</v>
      </c>
      <c r="H348" s="263">
        <f>IFERROR((N(H192)+N(H196)+N(H198)+N(H199)),0)</f>
        <v>0</v>
      </c>
      <c r="I348" s="263">
        <f>IFERROR((N(I192)+N(I196)+N(I198)+N(I199)),0)</f>
        <v>14877</v>
      </c>
      <c r="J348" s="263">
        <f>IFERROR((N(J192)+N(J196)+N(J198)+N(J199)),0)</f>
        <v>16371</v>
      </c>
      <c r="K348" s="263">
        <f>IFERROR((N(K192)+N(K196)+N(K198)+N(K199)),0)</f>
        <v>18051</v>
      </c>
      <c r="L348" s="263">
        <f>IFERROR((N(L192)+N(L196)+N(L198)+N(L199)),0)</f>
        <v>19705</v>
      </c>
      <c r="M348" s="263">
        <f>IFERROR((N(M192)+N(M196)+N(M198)+N(M199)),0)</f>
        <v>19705</v>
      </c>
      <c r="N348" s="263">
        <f>IFERROR((N(N192)+N(N196)+N(N198)+N(N199)),0)</f>
        <v>21455</v>
      </c>
      <c r="O348" s="263">
        <f>IFERROR((N(O192)+N(O196)+N(O198)+N(O199)),0)</f>
        <v>21821</v>
      </c>
      <c r="P348" s="263">
        <f>IFERROR((N(P192)+N(P196)+N(P198)+N(P199)),0)</f>
        <v>24611</v>
      </c>
      <c r="Q348" s="263">
        <f>IFERROR((N(Q192)+N(Q196)+N(Q198)+N(Q199)),0)</f>
        <v>26709</v>
      </c>
      <c r="R348" s="263">
        <f>IFERROR((N(R192)+N(R196)+N(R198)+N(R199)),0)</f>
        <v>26709</v>
      </c>
      <c r="S348" s="263">
        <f>IFERROR((N(S192)+N(S196)+N(S198)+N(S199)),0)</f>
        <v>27436</v>
      </c>
      <c r="T348" s="263">
        <f>IFERROR((N(T192)+N(T196)+N(T198)+N(T199)),0)</f>
        <v>27592</v>
      </c>
      <c r="U348" s="263">
        <f>IFERROR((N(U192)+N(U196)+N(U198)+N(U199)),0)</f>
        <v>26640</v>
      </c>
      <c r="V348" s="263">
        <f>IFERROR((N(V192)+N(V196)+N(V198)+N(V199)),0)</f>
        <v>28748</v>
      </c>
      <c r="W348" s="263">
        <f>IFERROR((N(W192)+N(W196)+N(W198)+N(W199)),0)</f>
        <v>28748</v>
      </c>
      <c r="X348" s="263">
        <f>IFERROR((N(X192)+N(X196)+N(X198)+N(X199)),0)</f>
        <v>29453</v>
      </c>
      <c r="Y348" s="263">
        <f>IFERROR((N(Y192)+N(Y196)+N(Y198)+N(Y199)),0)</f>
        <v>27729</v>
      </c>
      <c r="Z348" s="263">
        <f>IFERROR((N(Z192)+N(Z196)+N(Z198)+N(Z199)),0)</f>
        <v>30577</v>
      </c>
      <c r="AA348" s="263">
        <f>IFERROR((N(AA192)+N(AA196)+N(AA198)+N(AA199)),0)</f>
        <v>28821</v>
      </c>
      <c r="AB348" s="263">
        <f>IFERROR((N(AB192)+N(AB196)+N(AB198)+N(AB199)),0)</f>
        <v>28821</v>
      </c>
      <c r="AC348" s="263">
        <f>IFERROR((N(AC192)+N(AC196)+N(AC198)+N(AC199)),0)</f>
        <v>29753</v>
      </c>
      <c r="AD348" s="263">
        <f>IFERROR((N(AD192)+N(AD196)+N(AD198)+N(AD199)),0)</f>
        <v>30008</v>
      </c>
      <c r="AE348" s="263">
        <f>IFERROR((N(AE192)+N(AE196)+N(AE198)+N(AE199)),0)</f>
        <v>31290</v>
      </c>
      <c r="AF348" s="263">
        <f>IFERROR((N(AF192)+N(AF196)+N(AF198)+N(AF199)),0)</f>
        <v>31714</v>
      </c>
      <c r="AG348" s="263">
        <f>IFERROR((N(AG192)+N(AG196)+N(AG198)+N(AG199)),0)</f>
        <v>31714</v>
      </c>
      <c r="AH348" s="263">
        <f>IFERROR((N(AH192)+N(AH196)+N(AH198)+N(AH199)),0)</f>
        <v>34138</v>
      </c>
      <c r="AI348" s="263">
        <f>IFERROR((N(AI192)+N(AI196)+N(AI198)+N(AI199)),0)</f>
        <v>35425</v>
      </c>
      <c r="AJ348" s="263">
        <f>IFERROR((N(AJ192)+N(AJ196)+N(AJ198)+N(AJ199)),0)</f>
        <v>36961.9426813464</v>
      </c>
      <c r="AK348" s="263">
        <f>IFERROR((N(AK192)+N(AK196)+N(AK198)+N(AK199)),0)</f>
        <v>35045.0944548214</v>
      </c>
      <c r="AL348" s="263">
        <f>IFERROR((N(AL192)+N(AL196)+N(AL198)+N(AL199)),0)</f>
        <v>35045.0944548214</v>
      </c>
      <c r="AM348" s="263">
        <f>IFERROR((N(AM192)+N(AM196)+N(AM198)+N(AM199)),0)</f>
        <v>33834.9048032555</v>
      </c>
      <c r="AN348" s="263">
        <f>IFERROR((N(AN192)+N(AN196)+N(AN198)+N(AN199)),0)</f>
        <v>37232.777440609</v>
      </c>
      <c r="AO348" s="263">
        <f>IFERROR((N(AO192)+N(AO196)+N(AO198)+N(AO199)),0)</f>
        <v>37769.1024593862</v>
      </c>
      <c r="AP348" s="263">
        <f>IFERROR((N(AP192)+N(AP196)+N(AP198)+N(AP199)),0)</f>
        <v>35760.4917010562</v>
      </c>
      <c r="AQ348" s="263">
        <f>IFERROR((N(AQ192)+N(AQ196)+N(AQ198)+N(AQ199)),0)</f>
        <v>35760.4917010562</v>
      </c>
      <c r="AR348" s="263">
        <f>IFERROR((N(AR192)+N(AR196)+N(AR198)+N(AR199)),0)</f>
        <v>34266.3065532408</v>
      </c>
      <c r="AS348" s="263">
        <f>IFERROR((N(AS192)+N(AS196)+N(AS198)+N(AS199)),0)</f>
        <v>37967.2436162642</v>
      </c>
      <c r="AT348" s="263">
        <f>IFERROR((N(AT192)+N(AT196)+N(AT198)+N(AT199)),0)</f>
        <v>38526.5617299969</v>
      </c>
      <c r="AU348" s="263">
        <f>IFERROR((N(AU192)+N(AU196)+N(AU198)+N(AU199)),0)</f>
        <v>36431.8386772968</v>
      </c>
      <c r="AV348" s="263">
        <f>IFERROR((N(AV192)+N(AV196)+N(AV198)+N(AV199)),0)</f>
        <v>36431.8386772968</v>
      </c>
      <c r="AW348" s="263">
        <f>IFERROR((N(AW192)+N(AW196)+N(AW198)+N(AW199)),0)</f>
        <v>34966.121923482</v>
      </c>
      <c r="AX348" s="263">
        <f>IFERROR((N(AX192)+N(AX196)+N(AX198)+N(AX199)),0)</f>
        <v>38643.866291038</v>
      </c>
      <c r="AY348" s="263">
        <f>IFERROR((N(AY192)+N(AY196)+N(AY198)+N(AY199)),0)</f>
        <v>39224.3666592105</v>
      </c>
      <c r="AZ348" s="263">
        <f>IFERROR((N(AZ192)+N(AZ196)+N(AZ198)+N(AZ199)),0)</f>
        <v>37050.3131582488</v>
      </c>
      <c r="BA348" s="263">
        <f>IFERROR((N(BA192)+N(BA196)+N(BA198)+N(BA199)),0)</f>
        <v>37050.3131582488</v>
      </c>
      <c r="BB348" s="263">
        <f>IFERROR((N(BB192)+N(BB196)+N(BB198)+N(BB199)),0)</f>
        <v>35454.7618018953</v>
      </c>
      <c r="BC348" s="263">
        <f>IFERROR((N(BC192)+N(BC196)+N(BC198)+N(BC199)),0)</f>
        <v>39253.3993965534</v>
      </c>
      <c r="BD348" s="263">
        <f>IFERROR((N(BD192)+N(BD196)+N(BD198)+N(BD199)),0)</f>
        <v>39852.9817225318</v>
      </c>
      <c r="BE348" s="263">
        <f>IFERROR((N(BE192)+N(BE196)+N(BE198)+N(BE199)),0)</f>
        <v>37607.4636722821</v>
      </c>
      <c r="BF348" s="263">
        <f>IFERROR((N(BF192)+N(BF196)+N(BF198)+N(BF199)),0)</f>
        <v>37607.4636722821</v>
      </c>
      <c r="BG348" s="90" t="n"/>
      <c r="BH348" s="90" t="n"/>
      <c r="BI348" s="90" t="n"/>
      <c r="BJ348" s="90" t="n"/>
      <c r="BL348" s="90" t="n"/>
      <c r="BM348" s="90" t="n"/>
      <c r="BN348" s="90" t="n"/>
      <c r="BO348" s="90" t="n"/>
      <c r="BQ348" s="90" t="n"/>
      <c r="BR348" s="90" t="n"/>
      <c r="BS348" s="90" t="n"/>
      <c r="BT348" s="90" t="n"/>
      <c r="BV348" s="90" t="n"/>
      <c r="BW348" s="90" t="n"/>
      <c r="BX348" s="90" t="n"/>
      <c r="BY348" s="90" t="n"/>
      <c r="CA348" s="90" t="n"/>
      <c r="CB348" s="90" t="n"/>
      <c r="CC348" s="90" t="n"/>
      <c r="CD348" s="90" t="n"/>
      <c r="CF348" s="90" t="n"/>
      <c r="CG348" s="90" t="n"/>
      <c r="CH348" s="90" t="n"/>
      <c r="CI348" s="90" t="n"/>
      <c r="CK348" s="90" t="n"/>
      <c r="CL348" s="90" t="n"/>
      <c r="CM348" s="90" t="n"/>
      <c r="CN348" s="90" t="n"/>
      <c r="CP348" s="90" t="n"/>
      <c r="CQ348" s="90" t="n"/>
      <c r="CR348" s="90" t="n"/>
      <c r="CS348" s="90" t="n"/>
      <c r="CU348" s="90" t="n"/>
      <c r="CV348" s="90" t="n"/>
      <c r="CW348" s="90" t="n"/>
      <c r="CX348" s="90" t="n"/>
    </row>
    <row r="349" customFormat="1" s="77">
      <c r="A349" s="76" t="n"/>
      <c r="B349" s="76" t="n"/>
      <c r="C349" s="77" t="inlineStr">
        <is>
          <t>FIXED ASSETS</t>
        </is>
      </c>
      <c r="D349" s="89">
        <f>IFERROR(D160+D170+D173+D174+D183-D234,"")</f>
        <v>0</v>
      </c>
      <c r="E349" s="89">
        <f>IFERROR(E160+E170+E173+E174+E183-E234,"")</f>
        <v>0</v>
      </c>
      <c r="F349" s="89">
        <f>IFERROR(F160+F170+F173+F174+F183-F234,"")</f>
        <v>0</v>
      </c>
      <c r="G349" s="89">
        <f>IFERROR(G160+G170+G173+G174+G183-G234,"")</f>
        <v>0</v>
      </c>
      <c r="H349" s="263">
        <f>IFERROR((N(H160)+N(H170)+N(H173)+N(H174)+N(H183))-N(H234),0)</f>
        <v>0</v>
      </c>
      <c r="I349" s="263">
        <f>IFERROR((N(I160)+N(I170)+N(I173)+N(I174)+N(I183))-N(I234),0)</f>
        <v>14637</v>
      </c>
      <c r="J349" s="263">
        <f>IFERROR((N(J160)+N(J170)+N(J173)+N(J174)+N(J183))-N(J234),0)</f>
        <v>17928</v>
      </c>
      <c r="K349" s="263">
        <f>IFERROR((N(K160)+N(K170)+N(K173)+N(K174)+N(K183))-N(K234),0)</f>
        <v>21543</v>
      </c>
      <c r="L349" s="263">
        <f>IFERROR((N(L160)+N(L170)+N(L173)+N(L174)+N(L183))-N(L234),0)</f>
        <v>24188</v>
      </c>
      <c r="M349" s="263">
        <f>IFERROR((N(M160)+N(M170)+N(M173)+N(M174)+N(M183))-N(M234),0)</f>
        <v>24188</v>
      </c>
      <c r="N349" s="263">
        <f>IFERROR((N(N160)+N(N170)+N(N173)+N(N174)+N(N183))-N(N234),0)</f>
        <v>27811</v>
      </c>
      <c r="O349" s="263">
        <f>IFERROR((N(O160)+N(O170)+N(O173)+N(O174)+N(O183))-N(O234),0)</f>
        <v>28257</v>
      </c>
      <c r="P349" s="263">
        <f>IFERROR((N(P160)+N(P170)+N(P173)+N(P174)+N(P183))-N(P234),0)</f>
        <v>29745</v>
      </c>
      <c r="Q349" s="263">
        <f>IFERROR((N(Q160)+N(Q170)+N(Q173)+N(Q174)+N(Q183))-N(Q234),0)</f>
        <v>31690</v>
      </c>
      <c r="R349" s="263">
        <f>IFERROR((N(R160)+N(R170)+N(R173)+N(R174)+N(R183))-N(R234),0)</f>
        <v>31690</v>
      </c>
      <c r="S349" s="263">
        <f>IFERROR((N(S160)+N(S170)+N(S173)+N(S174)+N(S183))-N(S234),0)</f>
        <v>33674</v>
      </c>
      <c r="T349" s="263">
        <f>IFERROR((N(T160)+N(T170)+N(T173)+N(T174)+N(T183))-N(T234),0)</f>
        <v>35899</v>
      </c>
      <c r="U349" s="263">
        <f>IFERROR((N(U160)+N(U170)+N(U173)+N(U174)+N(U183))-N(U234),0)</f>
        <v>36109</v>
      </c>
      <c r="V349" s="263">
        <f>IFERROR((N(V160)+N(V170)+N(V173)+N(V174)+N(V183))-N(V234),0)</f>
        <v>36008</v>
      </c>
      <c r="W349" s="263">
        <f>IFERROR((N(W160)+N(W170)+N(W173)+N(W174)+N(W183))-N(W234),0)</f>
        <v>36008</v>
      </c>
      <c r="X349" s="263">
        <f>IFERROR((N(X160)+N(X170)+N(X173)+N(X174)+N(X183))-N(X234),0)</f>
        <v>37329</v>
      </c>
      <c r="Y349" s="263">
        <f>IFERROR((N(Y160)+N(Y170)+N(Y173)+N(Y174)+N(Y183))-N(Y234),0)</f>
        <v>35323</v>
      </c>
      <c r="Z349" s="263">
        <f>IFERROR((N(Z160)+N(Z170)+N(Z173)+N(Z174)+N(Z183))-N(Z234),0)</f>
        <v>38422</v>
      </c>
      <c r="AA349" s="263">
        <f>IFERROR((N(AA160)+N(AA170)+N(AA173)+N(AA174)+N(AA183))-N(AA234),0)</f>
        <v>37617</v>
      </c>
      <c r="AB349" s="263">
        <f>IFERROR((N(AB160)+N(AB170)+N(AB173)+N(AB174)+N(AB183))-N(AB234),0)</f>
        <v>37617</v>
      </c>
      <c r="AC349" s="263">
        <f>IFERROR((N(AC160)+N(AC170)+N(AC173)+N(AC174)+N(AC183))-N(AC234),0)</f>
        <v>39095</v>
      </c>
      <c r="AD349" s="263">
        <f>IFERROR((N(AD160)+N(AD170)+N(AD173)+N(AD174)+N(AD183))-N(AD234),0)</f>
        <v>40226</v>
      </c>
      <c r="AE349" s="263">
        <f>IFERROR((N(AE160)+N(AE170)+N(AE173)+N(AE174)+N(AE183))-N(AE234),0)</f>
        <v>40716</v>
      </c>
      <c r="AF349" s="263">
        <f>IFERROR((N(AF160)+N(AF170)+N(AF173)+N(AF174)+N(AF183))-N(AF234),0)</f>
        <v>39012</v>
      </c>
      <c r="AG349" s="263">
        <f>IFERROR((N(AG160)+N(AG170)+N(AG173)+N(AG174)+N(AG183))-N(AG234),0)</f>
        <v>39012</v>
      </c>
      <c r="AH349" s="263">
        <f>IFERROR((N(AH160)+N(AH170)+N(AH173)+N(AH174)+N(AH183))-N(AH234),0)</f>
        <v>42132</v>
      </c>
      <c r="AI349" s="263">
        <f>IFERROR((N(AI160)+N(AI170)+N(AI173)+N(AI174)+N(AI183))-N(AI234),0)</f>
        <v>46951</v>
      </c>
      <c r="AJ349" s="263">
        <f>IFERROR((N(AJ160)+N(AJ170)+N(AJ173)+N(AJ174)+N(AJ183))-N(AJ234),0)</f>
        <v>49239.0530401091</v>
      </c>
      <c r="AK349" s="263">
        <f>IFERROR((N(AK160)+N(AK170)+N(AK173)+N(AK174)+N(AK183))-N(AK234),0)</f>
        <v>51266.987147664</v>
      </c>
      <c r="AL349" s="263">
        <f>IFERROR((N(AL160)+N(AL170)+N(AL173)+N(AL174)+N(AL183))-N(AL234),0)</f>
        <v>51266.987147664</v>
      </c>
      <c r="AM349" s="263">
        <f>IFERROR((N(AM160)+N(AM170)+N(AM173)+N(AM174)+N(AM183))-N(AM234),0)</f>
        <v>53090.181431662</v>
      </c>
      <c r="AN349" s="263">
        <f>IFERROR((N(AN160)+N(AN170)+N(AN173)+N(AN174)+N(AN183))-N(AN234),0)</f>
        <v>55389.7174929013</v>
      </c>
      <c r="AO349" s="263">
        <f>IFERROR((N(AO160)+N(AO170)+N(AO173)+N(AO174)+N(AO183))-N(AO234),0)</f>
        <v>57787.3032215973</v>
      </c>
      <c r="AP349" s="263">
        <f>IFERROR((N(AP160)+N(AP170)+N(AP173)+N(AP174)+N(AP183))-N(AP234),0)</f>
        <v>59912.3177163565</v>
      </c>
      <c r="AQ349" s="263">
        <f>IFERROR((N(AQ160)+N(AQ170)+N(AQ173)+N(AQ174)+N(AQ183))-N(AQ234),0)</f>
        <v>59912.3177163565</v>
      </c>
      <c r="AR349" s="263">
        <f>IFERROR((N(AR160)+N(AR170)+N(AR173)+N(AR174)+N(AR183))-N(AR234),0)</f>
        <v>61813.6751995839</v>
      </c>
      <c r="AS349" s="263">
        <f>IFERROR((N(AS160)+N(AS170)+N(AS173)+N(AS174)+N(AS183))-N(AS234),0)</f>
        <v>64211.7959793403</v>
      </c>
      <c r="AT349" s="263">
        <f>IFERROR((N(AT160)+N(AT170)+N(AT173)+N(AT174)+N(AT183))-N(AT234),0)</f>
        <v>66712.1699696201</v>
      </c>
      <c r="AU349" s="263">
        <f>IFERROR((N(AU160)+N(AU170)+N(AU173)+N(AU174)+N(AU183))-N(AU234),0)</f>
        <v>68928.2871695474</v>
      </c>
      <c r="AV349" s="263">
        <f>IFERROR((N(AV160)+N(AV170)+N(AV173)+N(AV174)+N(AV183))-N(AV234),0)</f>
        <v>68928.2871695474</v>
      </c>
      <c r="AW349" s="263">
        <f>IFERROR((N(AW160)+N(AW170)+N(AW173)+N(AW174)+N(AW183))-N(AW234),0)</f>
        <v>70901.6520435635</v>
      </c>
      <c r="AX349" s="263">
        <f>IFERROR((N(AX160)+N(AX170)+N(AX173)+N(AX174)+N(AX183))-N(AX234),0)</f>
        <v>73390.5934194833</v>
      </c>
      <c r="AY349" s="263">
        <f>IFERROR((N(AY160)+N(AY170)+N(AY173)+N(AY174)+N(AY183))-N(AY234),0)</f>
        <v>75985.6604954265</v>
      </c>
      <c r="AZ349" s="263">
        <f>IFERROR((N(AZ160)+N(AZ170)+N(AZ173)+N(AZ174)+N(AZ183))-N(AZ234),0)</f>
        <v>78285.7055304171</v>
      </c>
      <c r="BA349" s="263">
        <f>IFERROR((N(BA160)+N(BA170)+N(BA173)+N(BA174)+N(BA183))-N(BA234),0)</f>
        <v>78285.7055304171</v>
      </c>
      <c r="BB349" s="263">
        <f>IFERROR((N(BB160)+N(BB170)+N(BB173)+N(BB174)+N(BB183))-N(BB234),0)</f>
        <v>80323.938003708</v>
      </c>
      <c r="BC349" s="263">
        <f>IFERROR((N(BC160)+N(BC170)+N(BC173)+N(BC174)+N(BC183))-N(BC234),0)</f>
        <v>82894.69478737</v>
      </c>
      <c r="BD349" s="263">
        <f>IFERROR((N(BD160)+N(BD170)+N(BD173)+N(BD174)+N(BD183))-N(BD234),0)</f>
        <v>85575.0657893079</v>
      </c>
      <c r="BE349" s="263">
        <f>IFERROR((N(BE160)+N(BE170)+N(BE173)+N(BE174)+N(BE183))-N(BE234),0)</f>
        <v>87950.7169129689</v>
      </c>
      <c r="BF349" s="263">
        <f>IFERROR((N(BF160)+N(BF170)+N(BF173)+N(BF174)+N(BF183))-N(BF234),0)</f>
        <v>87950.7169129689</v>
      </c>
      <c r="BG349" s="90" t="n"/>
      <c r="BH349" s="90" t="n"/>
      <c r="BI349" s="90" t="n"/>
      <c r="BJ349" s="90" t="n"/>
      <c r="BL349" s="90" t="n"/>
      <c r="BM349" s="90" t="n"/>
      <c r="BN349" s="90" t="n"/>
      <c r="BO349" s="90" t="n"/>
      <c r="BQ349" s="90" t="n"/>
      <c r="BR349" s="90" t="n"/>
      <c r="BS349" s="90" t="n"/>
      <c r="BT349" s="90" t="n"/>
      <c r="BV349" s="90" t="n"/>
      <c r="BW349" s="90" t="n"/>
      <c r="BX349" s="90" t="n"/>
      <c r="BY349" s="90" t="n"/>
      <c r="CA349" s="90" t="n"/>
      <c r="CB349" s="90" t="n"/>
      <c r="CC349" s="90" t="n"/>
      <c r="CD349" s="90" t="n"/>
      <c r="CF349" s="90" t="n"/>
      <c r="CG349" s="90" t="n"/>
      <c r="CH349" s="90" t="n"/>
      <c r="CI349" s="90" t="n"/>
      <c r="CK349" s="90" t="n"/>
      <c r="CL349" s="90" t="n"/>
      <c r="CM349" s="90" t="n"/>
      <c r="CN349" s="90" t="n"/>
      <c r="CP349" s="90" t="n"/>
      <c r="CQ349" s="90" t="n"/>
      <c r="CR349" s="90" t="n"/>
      <c r="CS349" s="90" t="n"/>
      <c r="CU349" s="90" t="n"/>
      <c r="CV349" s="90" t="n"/>
      <c r="CW349" s="90" t="n"/>
      <c r="CX349" s="90" t="n"/>
    </row>
    <row r="350" customFormat="1" s="77">
      <c r="A350" s="76" t="n"/>
      <c r="B350" s="76" t="n"/>
    </row>
    <row r="351" customFormat="1" s="77">
      <c r="A351" s="76" t="n"/>
      <c r="B351" s="76" t="n"/>
    </row>
    <row r="352" customFormat="1" s="77">
      <c r="A352" s="76" t="n"/>
      <c r="B352" s="76" t="n"/>
    </row>
    <row r="353" customFormat="1" s="77">
      <c r="A353" s="76" t="n"/>
      <c r="B353" s="76" t="n"/>
    </row>
    <row r="354" customFormat="1" s="77">
      <c r="A354" s="76" t="n"/>
      <c r="B354" s="76" t="n"/>
    </row>
    <row r="355" customFormat="1" s="77">
      <c r="A355" s="76" t="n"/>
      <c r="B355" s="76" t="n"/>
    </row>
    <row r="356" customFormat="1" s="77">
      <c r="A356" s="76" t="n"/>
      <c r="B356" s="76" t="n"/>
    </row>
    <row r="357" customFormat="1" s="77">
      <c r="A357" s="76" t="n"/>
      <c r="B357" s="76" t="n"/>
      <c r="C357" s="74" t="inlineStr">
        <is>
          <t>DUPONT ANALYSIS</t>
        </is>
      </c>
    </row>
    <row r="358" customFormat="1" s="77">
      <c r="A358" s="76" t="n"/>
      <c r="B358" s="76" t="n"/>
      <c r="C358" s="77" t="inlineStr">
        <is>
          <t>NET PROFIT MARGIN (LTM)</t>
        </is>
      </c>
      <c r="D358" s="84" t="str">
        <f>IFERROR(D131/D15,"")</f>
        <v/>
      </c>
      <c r="E358" s="84" t="str">
        <f>IFERROR(E131/E15,"")</f>
        <v/>
      </c>
      <c r="F358" s="84" t="str">
        <f>IFERROR(F131/F15,"")</f>
        <v/>
      </c>
      <c r="G358" s="84" t="str">
        <f>IFERROR(G131/G15,"")</f>
        <v/>
      </c>
      <c r="H358" s="258" t="str">
        <f>IFERROR(IF(AND(COUNT(H131)=1,(H15)&lt;&gt;0),(H131)/(H15),""),"")</f>
        <v/>
      </c>
      <c r="I358" s="257" t="str">
        <f>""</f>
        <v/>
      </c>
      <c r="J358" s="257" t="str">
        <f>""</f>
        <v/>
      </c>
      <c r="K358" s="257" t="str">
        <f>""</f>
        <v/>
      </c>
      <c r="L358" s="257">
        <f>IFERROR(IF(AND(COUNT(I131,J131,K131,L131)=4,(I15+J15+K15+L15)&lt;&gt;0),(I131+J131+K131+L131)/(I15+J15+K15+L15),""),"")</f>
        <v>0.102539806402467</v>
      </c>
      <c r="M358" s="258">
        <f>IFERROR(IF(AND(COUNT(I131,J131,K131,L131)=4,(I15+J15+K15+L15)&lt;&gt;0),(I131+J131+K131+L131)/(I15+J15+K15+L15),""),"")</f>
        <v>0.102539806402467</v>
      </c>
      <c r="N358" s="257">
        <f>IFERROR(IF(AND(COUNT(J131,K131,L131,N131)=4,(J15+K15+L15+N15)&lt;&gt;0),(J131+K131+L131+N131)/(J15+K15+L15+N15),""),"")</f>
        <v>0.135053867181219</v>
      </c>
      <c r="O358" s="257">
        <f>IFERROR(IF(AND(COUNT(K131,L131,N131,O131)=4,(K15+L15+N15+O15)&lt;&gt;0),(K131+L131+N131+O131)/(K15+L15+N15+O15),""),"")</f>
        <v>0.141678825596284</v>
      </c>
      <c r="P358" s="257">
        <f>IFERROR(IF(AND(COUNT(L131,N131,O131,P131)=4,(L15+N15+O15+P15)&lt;&gt;0),(L131+N131+O131+P131)/(L15+N15+O15+P15),""),"")</f>
        <v>0.149473037415011</v>
      </c>
      <c r="Q358" s="257">
        <f>IFERROR(IF(AND(COUNT(N131,O131,P131,Q131)=4,(N15+O15+P15+Q15)&lt;&gt;0),(N131+O131+P131+Q131)/(N15+O15+P15+Q15),""),"")</f>
        <v>0.154133215486976</v>
      </c>
      <c r="R358" s="258">
        <f>IFERROR(IF(AND(COUNT(N131,O131,P131,Q131)=4,(N15+O15+P15+Q15)&lt;&gt;0),(N131+O131+P131+Q131)/(N15+O15+P15+Q15),""),"")</f>
        <v>0.154133215486976</v>
      </c>
      <c r="S358" s="257">
        <f>IFERROR(IF(AND(COUNT(O131,P131,Q131,S131)=4,(O15+P15+Q15+S15)&lt;&gt;0),(O131+P131+Q131+S131)/(O15+P15+Q15+S15),""),"")</f>
        <v>0.136583948393096</v>
      </c>
      <c r="T358" s="257">
        <f>IFERROR(IF(AND(COUNT(P131,Q131,S131,T131)=4,(P15+Q15+S15+T15)&lt;&gt;0),(P131+Q131+S131+T131)/(P15+Q15+S15+T15),""),"")</f>
        <v>0.129695409877909</v>
      </c>
      <c r="U358" s="257">
        <f>IFERROR(IF(AND(COUNT(Q131,S131,T131,U131)=4,(Q15+S15+T15+U15)&lt;&gt;0),(Q131+S131+T131+U131)/(Q15+S15+T15+U15),""),"")</f>
        <v>0.112130436595638</v>
      </c>
      <c r="V358" s="257">
        <f>IFERROR(IF(AND(COUNT(S131,T131,U131,V131)=4,(S15+T15+U15+V15)&lt;&gt;0),(S131+T131+U131+V131)/(S15+T15+U15+V15),""),"")</f>
        <v>0.154970911307906</v>
      </c>
      <c r="W358" s="258">
        <f>IFERROR(IF(AND(COUNT(S131,T131,U131,V131)=4,(S15+T15+U15+V15)&lt;&gt;0),(S131+T131+U131+V131)/(S15+T15+U15+V15),""),"")</f>
        <v>0.154970911307906</v>
      </c>
      <c r="X358" s="257">
        <f>IFERROR(IF(AND(COUNT(T131,U131,V131,X131)=4,(T15+U15+V15+X15)&lt;&gt;0),(T131+U131+V131+X131)/(T15+U15+V15+X15),""),"")</f>
        <v>0.146435168082748</v>
      </c>
      <c r="Y358" s="257">
        <f>IFERROR(IF(AND(COUNT(U131,V131,X131,Y131)=4,(U15+V15+X15+Y15)&lt;&gt;0),(U131+V131+X131+Y131)/(U15+V15+X15+Y15),""),"")</f>
        <v>0.131884848612015</v>
      </c>
      <c r="Z358" s="257">
        <f>IFERROR(IF(AND(COUNT(V131,X131,Y131,Z131)=4,(V15+X15+Y15+Z15)&lt;&gt;0),(V131+X131+Y131+Z131)/(V15+X15+Y15+Z15),""),"")</f>
        <v>0.13269171384457</v>
      </c>
      <c r="AA358" s="257">
        <f>IFERROR(IF(AND(COUNT(X131,Y131,Z131,AA131)=4,(X15+Y15+Z15+AA15)&lt;&gt;0),(X131+Y131+Z131+AA131)/(X15+Y15+Z15+AA15),""),"")</f>
        <v>0.0725867540178115</v>
      </c>
      <c r="AB358" s="258">
        <f>IFERROR(IF(AND(COUNT(X131,Y131,Z131,AA131)=4,(X15+Y15+Z15+AA15)&lt;&gt;0),(X131+Y131+Z131+AA131)/(X15+Y15+Z15+AA15),""),"")</f>
        <v>0.0725867540178115</v>
      </c>
      <c r="AC358" s="257">
        <f>IFERROR(IF(AND(COUNT(Y131,Z131,AA131,AC131)=4,(Y15+Z15+AA15+AC15)&lt;&gt;0),(Y131+Z131+AA131+AC131)/(Y15+Z15+AA15+AC15),""),"")</f>
        <v>0.0638293426935774</v>
      </c>
      <c r="AD358" s="257">
        <f>IFERROR(IF(AND(COUNT(Z131,AA131,AC131,AD131)=4,(Z15+AA15+AC15+AD15)&lt;&gt;0),(Z131+AA131+AC131+AD131)/(Z15+AA15+AC15+AD15),""),"")</f>
        <v>0.0634383088869715</v>
      </c>
      <c r="AE358" s="257">
        <f>IFERROR(IF(AND(COUNT(AA131,AC131,AD131,AE131)=4,(AA15+AC15+AD15+AE15)&lt;&gt;0),(AA131+AC131+AD131+AE131)/(AA15+AC15+AD15+AE15),""),"")</f>
        <v>0.053140652285299</v>
      </c>
      <c r="AF358" s="257">
        <f>IFERROR(IF(AND(COUNT(AB131,AD131,AE131,AF131)=4,(AB15+AD15+AE15+AF15)&lt;&gt;0),(AB131+AD131+AE131+AF131)/(AB15+AD15+AE15+AF15),""),"")</f>
        <v>0.0604912750747768</v>
      </c>
      <c r="AG358" s="258">
        <f>IFERROR(IF(AND(COUNT(AC131,AD131,AE131,AF131)=4,(AC15+AD15+AE15+AF15)&lt;&gt;0),(AC131+AD131+AE131+AF131)/(AC15+AD15+AE15+AF15),""),"")</f>
        <v>0.0400097018781571</v>
      </c>
      <c r="AH358" s="257">
        <f>IFERROR(IF(AND(COUNT(AD131,AF131,AG131,AH131)=4,(AD15+AF15+AG15+AH15)&lt;&gt;0),(AD131+AF131+AG131+AH131)/(AD15+AF15+AG15+AH15),""),"")</f>
        <v>0.0381687736542515</v>
      </c>
      <c r="AI358" s="257">
        <f>IFERROR(IF(AND(COUNT(AE131,AG131,AH131,AI131)=4,(AE15+AG15+AH15+AI15)&lt;&gt;0),(AE131+AG131+AH131+AI131)/(AE15+AG15+AH15+AI15),""),"")</f>
        <v>0.0389409086980322</v>
      </c>
      <c r="AJ358" s="257">
        <f>IFERROR(IF(AND(COUNT(AF131,AH131,AI131,AJ131)=4,(AF15+AH15+AI15+AJ15)&lt;&gt;0),(AF131+AH131+AI131+AJ131)/(AF15+AH15+AI15+AJ15),""),"")</f>
        <v>0.0342420873811082</v>
      </c>
      <c r="AK358" s="257">
        <f>IFERROR(IF(AND(COUNT(AH131,AI131,AJ131,AK131)=4,(AH15+AI15+AJ15+AK15)&lt;&gt;0),(AH131+AI131+AJ131+AK131)/(AH15+AI15+AJ15+AK15),""),"")</f>
        <v>0.0356563177286577</v>
      </c>
      <c r="AL358" s="258">
        <f>IFERROR(IF(AND(COUNT(AH131,AI131,AJ131,AK131)=4,(AH15+AI15+AJ15+AK15)&lt;&gt;0),(AH131+AI131+AJ131+AK131)/(AH15+AI15+AJ15+AK15),""),"")</f>
        <v>0.0356563177286577</v>
      </c>
      <c r="AM358" s="257">
        <f>IFERROR(IF(AND(COUNT(AI131,AJ131,AK131,AM131)=4,(AI15+AJ15+AK15+AM15)&lt;&gt;0),(AI131+AJ131+AK131+AM131)/(AI15+AJ15+AK15+AM15),""),"")</f>
        <v>0.0394953459578636</v>
      </c>
      <c r="AN358" s="257">
        <f>IFERROR(IF(AND(COUNT(AJ131,AK131,AM131,AN131)=4,(AJ15+AK15+AM15+AN15)&lt;&gt;0),(AJ131+AK131+AM131+AN131)/(AJ15+AK15+AM15+AN15),""),"")</f>
        <v>0.0395104182810186</v>
      </c>
      <c r="AO358" s="257">
        <f>IFERROR(IF(AND(COUNT(AK131,AM131,AN131,AO131)=4,(AK15+AM15+AN15+AO15)&lt;&gt;0),(AK131+AM131+AN131+AO131)/(AK15+AM15+AN15+AO15),""),"")</f>
        <v>0.0395104182810186</v>
      </c>
      <c r="AP358" s="257">
        <f>IFERROR(IF(AND(COUNT(AM131,AN131,AO131,AP131)=4,(AM15+AN15+AO15+AP15)&lt;&gt;0),(AM131+AN131+AO131+AP131)/(AM15+AN15+AO15+AP15),""),"")</f>
        <v>0.0395104182810186</v>
      </c>
      <c r="AQ358" s="258">
        <f>IFERROR(IF(AND(COUNT(AM131,AN131,AO131,AP131)=4,(AM15+AN15+AO15+AP15)&lt;&gt;0),(AM131+AN131+AO131+AP131)/(AM15+AN15+AO15+AP15),""),"")</f>
        <v>0.0395104182810186</v>
      </c>
      <c r="AR358" s="257">
        <f>IFERROR(IF(AND(COUNT(AN131,AO131,AP131,AR131)=4,(AN15+AO15+AP15+AR15)&lt;&gt;0),(AN131+AO131+AP131+AR131)/(AN15+AO15+AP15+AR15),""),"")</f>
        <v>0.0395104182810186</v>
      </c>
      <c r="AS358" s="257">
        <f>IFERROR(IF(AND(COUNT(AO131,AP131,AR131,AS131)=4,(AO15+AP15+AR15+AS15)&lt;&gt;0),(AO131+AP131+AR131+AS131)/(AO15+AP15+AR15+AS15),""),"")</f>
        <v>0.0395104182810186</v>
      </c>
      <c r="AT358" s="257">
        <f>IFERROR(IF(AND(COUNT(AP131,AR131,AS131,AT131)=4,(AP15+AR15+AS15+AT15)&lt;&gt;0),(AP131+AR131+AS131+AT131)/(AP15+AR15+AS15+AT15),""),"")</f>
        <v>0.0395104182810186</v>
      </c>
      <c r="AU358" s="257">
        <f>IFERROR(IF(AND(COUNT(AR131,AS131,AT131,AU131)=4,(AR15+AS15+AT15+AU15)&lt;&gt;0),(AR131+AS131+AT131+AU131)/(AR15+AS15+AT15+AU15),""),"")</f>
        <v>0.0395104182810186</v>
      </c>
      <c r="AV358" s="258">
        <f>IFERROR(IF(AND(COUNT(AR131,AS131,AT131,AU131)=4,(AR15+AS15+AT15+AU15)&lt;&gt;0),(AR131+AS131+AT131+AU131)/(AR15+AS15+AT15+AU15),""),"")</f>
        <v>0.0395104182810186</v>
      </c>
      <c r="AW358" s="257">
        <f>IFERROR(IF(AND(COUNT(AS131,AT131,AU131,AW131)=4,(AS15+AT15+AU15+AW15)&lt;&gt;0),(AS131+AT131+AU131+AW131)/(AS15+AT15+AU15+AW15),""),"")</f>
        <v>0.0395104182810186</v>
      </c>
      <c r="AX358" s="257">
        <f>IFERROR(IF(AND(COUNT(AT131,AU131,AW131,AX131)=4,(AT15+AU15+AW15+AX15)&lt;&gt;0),(AT131+AU131+AW131+AX131)/(AT15+AU15+AW15+AX15),""),"")</f>
        <v>0.0395104182810186</v>
      </c>
      <c r="AY358" s="257">
        <f>IFERROR(IF(AND(COUNT(AU131,AW131,AX131,AY131)=4,(AU15+AW15+AX15+AY15)&lt;&gt;0),(AU131+AW131+AX131+AY131)/(AU15+AW15+AX15+AY15),""),"")</f>
        <v>0.0395104182810186</v>
      </c>
      <c r="AZ358" s="257">
        <f>IFERROR(IF(AND(COUNT(AW131,AX131,AY131,AZ131)=4,(AW15+AX15+AY15+AZ15)&lt;&gt;0),(AW131+AX131+AY131+AZ131)/(AW15+AX15+AY15+AZ15),""),"")</f>
        <v>0.0395104182810186</v>
      </c>
      <c r="BA358" s="258">
        <f>IFERROR(IF(AND(COUNT(AW131,AX131,AY131,AZ131)=4,(AW15+AX15+AY15+AZ15)&lt;&gt;0),(AW131+AX131+AY131+AZ131)/(AW15+AX15+AY15+AZ15),""),"")</f>
        <v>0.0395104182810186</v>
      </c>
      <c r="BB358" s="257">
        <f>IFERROR(IF(AND(COUNT(AX131,AY131,AZ131,BB131)=4,(AX15+AY15+AZ15+BB15)&lt;&gt;0),(AX131+AY131+AZ131+BB131)/(AX15+AY15+AZ15+BB15),""),"")</f>
        <v>0.0395104182810186</v>
      </c>
      <c r="BC358" s="257">
        <f>IFERROR(IF(AND(COUNT(AY131,AZ131,BB131,BC131)=4,(AY15+AZ15+BB15+BC15)&lt;&gt;0),(AY131+AZ131+BB131+BC131)/(AY15+AZ15+BB15+BC15),""),"")</f>
        <v>0.0395104182810186</v>
      </c>
      <c r="BD358" s="257">
        <f>IFERROR(IF(AND(COUNT(AZ131,BB131,BC131,BD131)=4,(AZ15+BB15+BC15+BD15)&lt;&gt;0),(AZ131+BB131+BC131+BD131)/(AZ15+BB15+BC15+BD15),""),"")</f>
        <v>0.0395104182810186</v>
      </c>
      <c r="BE358" s="257">
        <f>IFERROR(IF(AND(COUNT(BB131,BC131,BD131,BE131)=4,(BB15+BC15+BD15+BE15)&lt;&gt;0),(BB131+BC131+BD131+BE131)/(BB15+BC15+BD15+BE15),""),"")</f>
        <v>0.0395104182810186</v>
      </c>
      <c r="BF358" s="258">
        <f>IFERROR(IF(AND(COUNT(BB131,BC131,BD131,BE131)=4,(BB15+BC15+BD15+BE15)&lt;&gt;0),(BB131+BC131+BD131+BE131)/(BB15+BC15+BD15+BE15),""),"")</f>
        <v>0.0395104182810186</v>
      </c>
      <c r="BG358" s="81" t="n"/>
      <c r="BH358" s="81" t="n"/>
      <c r="BI358" s="81" t="n"/>
      <c r="BJ358" s="81" t="n"/>
      <c r="BL358" s="81" t="n"/>
      <c r="BM358" s="81" t="n"/>
      <c r="BN358" s="81" t="n"/>
      <c r="BO358" s="81" t="n"/>
      <c r="BQ358" s="81" t="n"/>
      <c r="BR358" s="81" t="n"/>
      <c r="BS358" s="81" t="n"/>
      <c r="BT358" s="81" t="n"/>
      <c r="BV358" s="81" t="n"/>
      <c r="BW358" s="81" t="n"/>
      <c r="BX358" s="81" t="n"/>
      <c r="BY358" s="81" t="n"/>
      <c r="CA358" s="81" t="n"/>
      <c r="CB358" s="81" t="n"/>
      <c r="CC358" s="81" t="n"/>
      <c r="CD358" s="81" t="n"/>
      <c r="CF358" s="81" t="n"/>
      <c r="CG358" s="81" t="n"/>
      <c r="CH358" s="81" t="n"/>
      <c r="CI358" s="81" t="n"/>
      <c r="CK358" s="81" t="n"/>
      <c r="CL358" s="81" t="n"/>
      <c r="CM358" s="81" t="n"/>
      <c r="CN358" s="81" t="n"/>
      <c r="CP358" s="81" t="n"/>
      <c r="CQ358" s="81" t="n"/>
      <c r="CR358" s="81" t="n"/>
      <c r="CS358" s="81" t="n"/>
      <c r="CU358" s="81" t="n"/>
      <c r="CV358" s="81" t="n"/>
      <c r="CW358" s="81" t="n"/>
      <c r="CX358" s="81" t="n"/>
    </row>
    <row r="359" customFormat="1" s="77">
      <c r="A359" s="76" t="n"/>
      <c r="B359" s="76" t="n"/>
      <c r="C359" s="77" t="inlineStr">
        <is>
          <t>ASSET TURNOVER (LTM REVENUE / ASSETS)</t>
        </is>
      </c>
      <c r="D359" s="84" t="str">
        <f>IFERROR(D15/D191,"")</f>
        <v/>
      </c>
      <c r="E359" s="84" t="str">
        <f>IFERROR(E15/E191,"")</f>
        <v/>
      </c>
      <c r="F359" s="84" t="str">
        <f>IFERROR(F15/F191,"")</f>
        <v/>
      </c>
      <c r="G359" s="84" t="str">
        <f>IFERROR(G15/G191,"")</f>
        <v/>
      </c>
      <c r="H359" s="262" t="str">
        <f>IFERROR(IF(AND(COUNT(H15)=1,N(H191)&lt;&gt;0),(H15)/H191,""),"")</f>
        <v/>
      </c>
      <c r="I359" s="264" t="str">
        <f>""</f>
        <v/>
      </c>
      <c r="J359" s="264" t="str">
        <f>""</f>
        <v/>
      </c>
      <c r="K359" s="264" t="str">
        <f>""</f>
        <v/>
      </c>
      <c r="L359" s="264">
        <f>IFERROR(IF(AND(COUNT(I15,J15,K15,L15)=4,N(L191)&lt;&gt;0),(I15+J15+K15+L15)/L191,""),"")</f>
        <v>0.866282532069337</v>
      </c>
      <c r="M359" s="262">
        <f>IFERROR(IF(AND(COUNT(I15,J15,K15,L15)=4,N(M191)&lt;&gt;0),(I15+J15+K15+L15)/M191,""),"")</f>
        <v>0.866282532069337</v>
      </c>
      <c r="N359" s="264">
        <f>IFERROR(IF(AND(COUNT(J15,K15,L15,N15)=4,N(N191)&lt;&gt;0),(J15+K15+L15+N15)/N191,""),"")</f>
        <v>0.941730518792211</v>
      </c>
      <c r="O359" s="264">
        <f>IFERROR(IF(AND(COUNT(K15,L15,N15,O15)=4,N(O191)&lt;&gt;0),(K15+L15+N15+O15)/O191,""),"")</f>
        <v>0.980339497613592</v>
      </c>
      <c r="P359" s="264">
        <f>IFERROR(IF(AND(COUNT(L15,N15,O15,P15)=4,N(P191)&lt;&gt;0),(L15+N15+O15+P15)/P191,""),"")</f>
        <v>1.00587160400935</v>
      </c>
      <c r="Q359" s="264">
        <f>IFERROR(IF(AND(COUNT(N15,O15,P15,Q15)=4,N(Q191)&lt;&gt;0),(N15+O15+P15+Q15)/Q191,""),"")</f>
        <v>0.989360926911025</v>
      </c>
      <c r="R359" s="262">
        <f>IFERROR(IF(AND(COUNT(N15,O15,P15,Q15)=4,N(R191)&lt;&gt;0),(N15+O15+P15+Q15)/R191,""),"")</f>
        <v>0.989360926911025</v>
      </c>
      <c r="S359" s="264">
        <f>IFERROR(IF(AND(COUNT(O15,P15,Q15,S15)=4,N(S191)&lt;&gt;0),(O15+P15+Q15+S15)/S191,""),"")</f>
        <v>0.990809945527622</v>
      </c>
      <c r="T359" s="264">
        <f>IFERROR(IF(AND(COUNT(P15,Q15,S15,T15)=4,N(T191)&lt;&gt;0),(P15+Q15+S15+T15)/T191,""),"")</f>
        <v>1.03793975118941</v>
      </c>
      <c r="U359" s="264">
        <f>IFERROR(IF(AND(COUNT(Q15,S15,T15,U15)=4,N(U191)&lt;&gt;0),(Q15+S15+T15+U15)/U191,""),"")</f>
        <v>1.02110899394301</v>
      </c>
      <c r="V359" s="264">
        <f>IFERROR(IF(AND(COUNT(S15,T15,U15,V15)=4,N(V191)&lt;&gt;0),(S15+T15+U15+V15)/V191,""),"")</f>
        <v>0.907660995329119</v>
      </c>
      <c r="W359" s="262">
        <f>IFERROR(IF(AND(COUNT(S15,T15,U15,V15)=4,N(W191)&lt;&gt;0),(S15+T15+U15+V15)/W191,""),"")</f>
        <v>0.907660995329119</v>
      </c>
      <c r="X359" s="264">
        <f>IFERROR(IF(AND(COUNT(T15,U15,V15,X15)=4,N(X191)&lt;&gt;0),(T15+U15+V15+X15)/X191,""),"")</f>
        <v>0.867421676157691</v>
      </c>
      <c r="Y359" s="264">
        <f>IFERROR(IF(AND(COUNT(U15,V15,X15,Y15)=4,N(Y191)&lt;&gt;0),(U15+V15+X15+Y15)/Y191,""),"")</f>
        <v>0.844778077141237</v>
      </c>
      <c r="Z359" s="264">
        <f>IFERROR(IF(AND(COUNT(V15,X15,Y15,Z15)=4,N(Z191)&lt;&gt;0),(V15+X15+Y15+Z15)/Z191,""),"")</f>
        <v>0.810583052431332</v>
      </c>
      <c r="AA359" s="264">
        <f>IFERROR(IF(AND(COUNT(X15,Y15,Z15,AA15)=4,N(AA191)&lt;&gt;0),(X15+Y15+Z15+AA15)/AA191,""),"")</f>
        <v>0.800278528713034</v>
      </c>
      <c r="AB359" s="262">
        <f>IFERROR(IF(AND(COUNT(X15,Y15,Z15,AA15)=4,N(AB191)&lt;&gt;0),(X15+Y15+Z15+AA15)/AB191,""),"")</f>
        <v>0.800278528713034</v>
      </c>
      <c r="AC359" s="264">
        <f>IFERROR(IF(AND(COUNT(Y15,Z15,AA15,AC15)=4,N(AC191)&lt;&gt;0),(Y15+Z15+AA15+AC15)/AC191,""),"")</f>
        <v>0.765112580028934</v>
      </c>
      <c r="AD359" s="264">
        <f>IFERROR(IF(AND(COUNT(Z15,AA15,AC15,AD15)=4,N(AD191)&lt;&gt;0),(Z15+AA15+AC15+AD15)/AD191,""),"")</f>
        <v>0.721180396213647</v>
      </c>
      <c r="AE359" s="264">
        <f>IFERROR(IF(AND(COUNT(AA15,AC15,AD15,AE15)=4,N(AE191)&lt;&gt;0),(AA15+AC15+AD15+AE15)/AE191,""),"")</f>
        <v>0.715093281489513</v>
      </c>
      <c r="AF359" s="264">
        <f>IFERROR(IF(AND(COUNT(AB15,AD15,AE15,AF15)=4,N(AF191)&lt;&gt;0),(AB15+AD15+AE15+AF15)/AF191,""),"")</f>
        <v>1.25670870644239</v>
      </c>
      <c r="AG359" s="262">
        <f>IFERROR(IF(AND(COUNT(AC15,AD15,AE15,AF15)=4,N(AG191)&lt;&gt;0),(AC15+AD15+AE15+AF15)/AG191,""),"")</f>
        <v>0.688119530354266</v>
      </c>
      <c r="AH359" s="264">
        <f>IFERROR(IF(AND(COUNT(AD15,AF15,AG15,AH15)=4,N(AH191)&lt;&gt;0),(AD15+AF15+AG15+AH15)/AH191,""),"")</f>
        <v>1.14532715482452</v>
      </c>
      <c r="AI359" s="264">
        <f>IFERROR(IF(AND(COUNT(AE15,AG15,AH15,AI15)=4,N(AI191)&lt;&gt;0),(AE15+AG15+AH15+AI15)/AI191,""),"")</f>
        <v>1.16846435592901</v>
      </c>
      <c r="AJ359" s="264">
        <f>IFERROR(IF(AND(COUNT(AF15,AH15,AI15,AJ15)=4,N(AJ191)&lt;&gt;0),(AF15+AH15+AI15+AJ15)/AJ191,""),"")</f>
        <v>0.694095270837917</v>
      </c>
      <c r="AK359" s="264">
        <f>IFERROR(IF(AND(COUNT(AH15,AI15,AJ15,AK15)=4,N(AK191)&lt;&gt;0),(AH15+AI15+AJ15+AK15)/AK191,""),"")</f>
        <v>0.706114499799611</v>
      </c>
      <c r="AL359" s="262">
        <f>IFERROR(IF(AND(COUNT(AH15,AI15,AJ15,AK15)=4,N(AL191)&lt;&gt;0),(AH15+AI15+AJ15+AK15)/AL191,""),"")</f>
        <v>0.706114499799611</v>
      </c>
      <c r="AM359" s="264">
        <f>IFERROR(IF(AND(COUNT(AI15,AJ15,AK15,AM15)=4,N(AM191)&lt;&gt;0),(AI15+AJ15+AK15+AM15)/AM191,""),"")</f>
        <v>0.714589809906885</v>
      </c>
      <c r="AN359" s="264">
        <f>IFERROR(IF(AND(COUNT(AJ15,AK15,AM15,AN15)=4,N(AN191)&lt;&gt;0),(AJ15+AK15+AM15+AN15)/AN191,""),"")</f>
        <v>0.70222573739284</v>
      </c>
      <c r="AO359" s="264">
        <f>IFERROR(IF(AND(COUNT(AK15,AM15,AN15,AO15)=4,N(AO191)&lt;&gt;0),(AK15+AM15+AN15+AO15)/AO191,""),"")</f>
        <v>0.703356305020903</v>
      </c>
      <c r="AP359" s="264">
        <f>IFERROR(IF(AND(COUNT(AM15,AN15,AO15,AP15)=4,N(AP191)&lt;&gt;0),(AM15+AN15+AO15+AP15)/AP191,""),"")</f>
        <v>0.715592164569892</v>
      </c>
      <c r="AQ359" s="262">
        <f>IFERROR(IF(AND(COUNT(AM15,AN15,AO15,AP15)=4,N(AQ191)&lt;&gt;0),(AM15+AN15+AO15+AP15)/AQ191,""),"")</f>
        <v>0.715592164569892</v>
      </c>
      <c r="AR359" s="264">
        <f>IFERROR(IF(AND(COUNT(AN15,AO15,AP15,AR15)=4,N(AR191)&lt;&gt;0),(AN15+AO15+AP15+AR15)/AR191,""),"")</f>
        <v>0.724520888800519</v>
      </c>
      <c r="AS359" s="264">
        <f>IFERROR(IF(AND(COUNT(AO15,AP15,AR15,AS15)=4,N(AS191)&lt;&gt;0),(AO15+AP15+AR15+AS15)/AS191,""),"")</f>
        <v>0.710155205404369</v>
      </c>
      <c r="AT359" s="264">
        <f>IFERROR(IF(AND(COUNT(AP15,AR15,AS15,AT15)=4,N(AT191)&lt;&gt;0),(AP15+AR15+AS15+AT15)/AT191,""),"")</f>
        <v>0.71029536635161</v>
      </c>
      <c r="AU359" s="264">
        <f>IFERROR(IF(AND(COUNT(AR15,AS15,AT15,AU15)=4,N(AU191)&lt;&gt;0),(AR15+AS15+AT15+AU15)/AU191,""),"")</f>
        <v>0.721868508639969</v>
      </c>
      <c r="AV359" s="262">
        <f>IFERROR(IF(AND(COUNT(AR15,AS15,AT15,AU15)=4,N(AV191)&lt;&gt;0),(AR15+AS15+AT15+AU15)/AV191,""),"")</f>
        <v>0.721868508639969</v>
      </c>
      <c r="AW359" s="264">
        <f>IFERROR(IF(AND(COUNT(AS15,AT15,AU15,AW15)=4,N(AW191)&lt;&gt;0),(AS15+AT15+AU15+AW15)/AW191,""),"")</f>
        <v>0.729734022723744</v>
      </c>
      <c r="AX359" s="264">
        <f>IFERROR(IF(AND(COUNT(AT15,AU15,AW15,AX15)=4,N(AX191)&lt;&gt;0),(AT15+AU15+AW15+AX15)/AX191,""),"")</f>
        <v>0.714971434611203</v>
      </c>
      <c r="AY359" s="264">
        <f>IFERROR(IF(AND(COUNT(AU15,AW15,AX15,AY15)=4,N(AY191)&lt;&gt;0),(AU15+AW15+AX15+AY15)/AY191,""),"")</f>
        <v>0.714134262425818</v>
      </c>
      <c r="AZ359" s="264">
        <f>IFERROR(IF(AND(COUNT(AW15,AX15,AY15,AZ15)=4,N(AZ191)&lt;&gt;0),(AW15+AX15+AY15+AZ15)/AZ191,""),"")</f>
        <v>0.724956977600431</v>
      </c>
      <c r="BA359" s="262">
        <f>IFERROR(IF(AND(COUNT(AW15,AX15,AY15,AZ15)=4,N(BA191)&lt;&gt;0),(AW15+AX15+AY15+AZ15)/BA191,""),"")</f>
        <v>0.724956977600431</v>
      </c>
      <c r="BB359" s="264">
        <f>IFERROR(IF(AND(COUNT(AX15,AY15,AZ15,BB15)=4,N(BB191)&lt;&gt;0),(AX15+AY15+AZ15+BB15)/BB191,""),"")</f>
        <v>0.732449485900068</v>
      </c>
      <c r="BC359" s="264">
        <f>IFERROR(IF(AND(COUNT(AY15,AZ15,BB15,BC15)=4,N(BC191)&lt;&gt;0),(AY15+AZ15+BB15+BC15)/BC191,""),"")</f>
        <v>0.716702413206344</v>
      </c>
      <c r="BD359" s="264">
        <f>IFERROR(IF(AND(COUNT(AZ15,BB15,BC15,BD15)=4,N(BD191)&lt;&gt;0),(AZ15+BB15+BC15+BD15)/BD191,""),"")</f>
        <v>0.71491357079225</v>
      </c>
      <c r="BE359" s="264">
        <f>IFERROR(IF(AND(COUNT(BB15,BC15,BD15,BE15)=4,N(BE191)&lt;&gt;0),(BB15+BC15+BD15+BE15)/BE191,""),"")</f>
        <v>0.724909205073009</v>
      </c>
      <c r="BF359" s="262">
        <f>IFERROR(IF(AND(COUNT(BB15,BC15,BD15,BE15)=4,N(BF191)&lt;&gt;0),(BB15+BC15+BD15+BE15)/BF191,""),"")</f>
        <v>0.724909205073009</v>
      </c>
      <c r="BG359" s="81" t="n"/>
      <c r="BH359" s="81" t="n"/>
      <c r="BI359" s="81" t="n"/>
      <c r="BJ359" s="81" t="n"/>
      <c r="BL359" s="81" t="n"/>
      <c r="BM359" s="81" t="n"/>
      <c r="BN359" s="81" t="n"/>
      <c r="BO359" s="81" t="n"/>
      <c r="BQ359" s="81" t="n"/>
      <c r="BR359" s="81" t="n"/>
      <c r="BS359" s="81" t="n"/>
      <c r="BT359" s="81" t="n"/>
      <c r="BV359" s="81" t="n"/>
      <c r="BW359" s="81" t="n"/>
      <c r="BX359" s="81" t="n"/>
      <c r="BY359" s="81" t="n"/>
      <c r="CA359" s="81" t="n"/>
      <c r="CB359" s="81" t="n"/>
      <c r="CC359" s="81" t="n"/>
      <c r="CD359" s="81" t="n"/>
      <c r="CF359" s="81" t="n"/>
      <c r="CG359" s="81" t="n"/>
      <c r="CH359" s="81" t="n"/>
      <c r="CI359" s="81" t="n"/>
      <c r="CK359" s="81" t="n"/>
      <c r="CL359" s="81" t="n"/>
      <c r="CM359" s="81" t="n"/>
      <c r="CN359" s="81" t="n"/>
      <c r="CP359" s="81" t="n"/>
      <c r="CQ359" s="81" t="n"/>
      <c r="CR359" s="81" t="n"/>
      <c r="CS359" s="81" t="n"/>
      <c r="CU359" s="81" t="n"/>
      <c r="CV359" s="81" t="n"/>
      <c r="CW359" s="81" t="n"/>
      <c r="CX359" s="81" t="n"/>
    </row>
    <row r="360" customFormat="1" s="77">
      <c r="A360" s="76" t="n"/>
      <c r="B360" s="76" t="n"/>
      <c r="C360" s="77" t="inlineStr">
        <is>
          <t>EQUITY MULTIPLIER (ASSETS / EQUITY)</t>
        </is>
      </c>
      <c r="D360" s="84" t="str">
        <f>IFERROR(D191/D265,"")</f>
        <v/>
      </c>
      <c r="E360" s="84" t="str">
        <f>IFERROR(E191/E265,"")</f>
        <v/>
      </c>
      <c r="F360" s="84" t="str">
        <f>IFERROR(F191/F265,"")</f>
        <v/>
      </c>
      <c r="G360" s="84" t="str">
        <f>IFERROR(G191/G265,"")</f>
        <v/>
      </c>
      <c r="H360" s="262" t="str">
        <f>IFERROR(IF(N(H265)&lt;&gt;0,H191/H265,""),"")</f>
        <v/>
      </c>
      <c r="I360" s="264">
        <f>IFERROR(IF(N(I265)&lt;&gt;0,I191/I265,""),"")</f>
        <v>2.16521561414265</v>
      </c>
      <c r="J360" s="264">
        <f>IFERROR(IF(N(J265)&lt;&gt;0,J191/J265,""),"")</f>
        <v>2.1008</v>
      </c>
      <c r="K360" s="264">
        <f>IFERROR(IF(N(K265)&lt;&gt;0,K191/K265,""),"")</f>
        <v>2.02969046114972</v>
      </c>
      <c r="L360" s="264">
        <f>IFERROR(IF(N(L265)&lt;&gt;0,L191/L265,""),"")</f>
        <v>1.96722920558528</v>
      </c>
      <c r="M360" s="262">
        <f>IFERROR(IF(N(M265)&lt;&gt;0,M191/M265,""),"")</f>
        <v>1.96722920558528</v>
      </c>
      <c r="N360" s="264">
        <f>IFERROR(IF(N(N265)&lt;&gt;0,N191/N265,""),"")</f>
        <v>1.86516409648082</v>
      </c>
      <c r="O360" s="264">
        <f>IFERROR(IF(N(O265)&lt;&gt;0,O191/O265,""),"")</f>
        <v>1.8193478145414</v>
      </c>
      <c r="P360" s="264">
        <f>IFERROR(IF(N(P265)&lt;&gt;0,P191/P265,""),"")</f>
        <v>1.80979476704601</v>
      </c>
      <c r="Q360" s="264">
        <f>IFERROR(IF(N(Q265)&lt;&gt;0,Q191/Q265,""),"")</f>
        <v>1.79393437622554</v>
      </c>
      <c r="R360" s="262">
        <f>IFERROR(IF(N(R265)&lt;&gt;0,R191/R265,""),"")</f>
        <v>1.79393437622554</v>
      </c>
      <c r="S360" s="264">
        <f>IFERROR(IF(N(S265)&lt;&gt;0,S191/S265,""),"")</f>
        <v>1.76364374936529</v>
      </c>
      <c r="T360" s="264">
        <f>IFERROR(IF(N(T265)&lt;&gt;0,T191/T265,""),"")</f>
        <v>1.7360584109463</v>
      </c>
      <c r="U360" s="264">
        <f>IFERROR(IF(N(U265)&lt;&gt;0,U191/U265,""),"")</f>
        <v>1.72384622442426</v>
      </c>
      <c r="V360" s="264">
        <f>IFERROR(IF(N(V265)&lt;&gt;0,V191/V265,""),"")</f>
        <v>1.67614645726234</v>
      </c>
      <c r="W360" s="262">
        <f>IFERROR(IF(N(W265)&lt;&gt;0,W191/W265,""),"")</f>
        <v>1.67614645726234</v>
      </c>
      <c r="X360" s="264">
        <f>IFERROR(IF(N(X265)&lt;&gt;0,X191/X265,""),"")</f>
        <v>1.67575943540963</v>
      </c>
      <c r="Y360" s="264">
        <f>IFERROR(IF(N(Y265)&lt;&gt;0,Y191/Y265,""),"")</f>
        <v>1.67747498624801</v>
      </c>
      <c r="Z360" s="264">
        <f>IFERROR(IF(N(Z265)&lt;&gt;0,Z191/Z265,""),"")</f>
        <v>1.69497949370669</v>
      </c>
      <c r="AA360" s="264">
        <f>IFERROR(IF(N(AA265)&lt;&gt;0,AA191/AA265,""),"")</f>
        <v>1.65675895765472</v>
      </c>
      <c r="AB360" s="262">
        <f>IFERROR(IF(N(AB265)&lt;&gt;0,AB191/AB265,""),"")</f>
        <v>1.65675895765472</v>
      </c>
      <c r="AC360" s="264">
        <f>IFERROR(IF(N(AC265)&lt;&gt;0,AC191/AC265,""),"")</f>
        <v>1.65890105810284</v>
      </c>
      <c r="AD360" s="264">
        <f>IFERROR(IF(N(AD265)&lt;&gt;0,AD191/AD265,""),"")</f>
        <v>1.64677477200533</v>
      </c>
      <c r="AE360" s="264">
        <f>IFERROR(IF(N(AE265)&lt;&gt;0,AE191/AE265,""),"")</f>
        <v>1.65685861539224</v>
      </c>
      <c r="AF360" s="264">
        <f>IFERROR(IF(N(AF265)&lt;&gt;0,AF191/AF265,""),"")</f>
        <v>1.66301816207084</v>
      </c>
      <c r="AG360" s="262">
        <f>IFERROR(IF(N(AG265)&lt;&gt;0,AG191/AG265,""),"")</f>
        <v>1.66301816207084</v>
      </c>
      <c r="AH360" s="264">
        <f>IFERROR(IF(N(AH265)&lt;&gt;0,AH191/AH265,""),"")</f>
        <v>1.69481851843117</v>
      </c>
      <c r="AI360" s="264">
        <f>IFERROR(IF(N(AI265)&lt;&gt;0,AI191/AI265,""),"")</f>
        <v>1.69704864086655</v>
      </c>
      <c r="AJ360" s="264">
        <f>IFERROR(IF(N(AJ265)&lt;&gt;0,AJ191/AJ265,""),"")</f>
        <v>1.70523682763958</v>
      </c>
      <c r="AK360" s="264">
        <f>IFERROR(IF(N(AK265)&lt;&gt;0,AK191/AK265,""),"")</f>
        <v>1.67576611159886</v>
      </c>
      <c r="AL360" s="262">
        <f>IFERROR(IF(N(AL265)&lt;&gt;0,AL191/AL265,""),"")</f>
        <v>1.67576611159886</v>
      </c>
      <c r="AM360" s="264">
        <f>IFERROR(IF(N(AM265)&lt;&gt;0,AM191/AM265,""),"")</f>
        <v>1.65550428007631</v>
      </c>
      <c r="AN360" s="264">
        <f>IFERROR(IF(N(AN265)&lt;&gt;0,AN191/AN265,""),"")</f>
        <v>1.68416784138576</v>
      </c>
      <c r="AO360" s="264">
        <f>IFERROR(IF(N(AO265)&lt;&gt;0,AO191/AO265,""),"")</f>
        <v>1.68096895683661</v>
      </c>
      <c r="AP360" s="264">
        <f>IFERROR(IF(N(AP265)&lt;&gt;0,AP191/AP265,""),"")</f>
        <v>1.6518082441549</v>
      </c>
      <c r="AQ360" s="262">
        <f>IFERROR(IF(N(AQ265)&lt;&gt;0,AQ191/AQ265,""),"")</f>
        <v>1.6518082441549</v>
      </c>
      <c r="AR360" s="264">
        <f>IFERROR(IF(N(AR265)&lt;&gt;0,AR191/AR265,""),"")</f>
        <v>1.62946559636256</v>
      </c>
      <c r="AS360" s="264">
        <f>IFERROR(IF(N(AS265)&lt;&gt;0,AS191/AS265,""),"")</f>
        <v>1.65992992904641</v>
      </c>
      <c r="AT360" s="264">
        <f>IFERROR(IF(N(AT265)&lt;&gt;0,AT191/AT265,""),"")</f>
        <v>1.65706482462425</v>
      </c>
      <c r="AU360" s="264">
        <f>IFERROR(IF(N(AU265)&lt;&gt;0,AU191/AU265,""),"")</f>
        <v>1.62833917800934</v>
      </c>
      <c r="AV360" s="262">
        <f>IFERROR(IF(N(AV265)&lt;&gt;0,AV191/AV265,""),"")</f>
        <v>1.62833917800934</v>
      </c>
      <c r="AW360" s="264">
        <f>IFERROR(IF(N(AW265)&lt;&gt;0,AW191/AW265,""),"")</f>
        <v>1.6073143221977</v>
      </c>
      <c r="AX360" s="264">
        <f>IFERROR(IF(N(AX265)&lt;&gt;0,AX191/AX265,""),"")</f>
        <v>1.63613066184277</v>
      </c>
      <c r="AY360" s="264">
        <f>IFERROR(IF(N(AY265)&lt;&gt;0,AY191/AY265,""),"")</f>
        <v>1.63360109228195</v>
      </c>
      <c r="AZ360" s="264">
        <f>IFERROR(IF(N(AZ265)&lt;&gt;0,AZ191/AZ265,""),"")</f>
        <v>1.60542373789922</v>
      </c>
      <c r="BA360" s="262">
        <f>IFERROR(IF(N(BA265)&lt;&gt;0,BA191/BA265,""),"")</f>
        <v>1.60542373789922</v>
      </c>
      <c r="BB360" s="264">
        <f>IFERROR(IF(N(BB265)&lt;&gt;0,BB191/BB265,""),"")</f>
        <v>1.58414907682343</v>
      </c>
      <c r="BC360" s="264">
        <f>IFERROR(IF(N(BC265)&lt;&gt;0,BC191/BC265,""),"")</f>
        <v>1.61283949176282</v>
      </c>
      <c r="BD360" s="264">
        <f>IFERROR(IF(N(BD265)&lt;&gt;0,BD191/BD265,""),"")</f>
        <v>1.61064181914359</v>
      </c>
      <c r="BE360" s="264">
        <f>IFERROR(IF(N(BE265)&lt;&gt;0,BE191/BE265,""),"")</f>
        <v>1.58311375171178</v>
      </c>
      <c r="BF360" s="262">
        <f>IFERROR(IF(N(BF265)&lt;&gt;0,BF191/BF265,""),"")</f>
        <v>1.58311375171178</v>
      </c>
      <c r="BG360" s="81" t="n"/>
      <c r="BH360" s="81" t="n"/>
      <c r="BI360" s="81" t="n"/>
      <c r="BJ360" s="81" t="n"/>
      <c r="BL360" s="81" t="n"/>
      <c r="BM360" s="81" t="n"/>
      <c r="BN360" s="81" t="n"/>
      <c r="BO360" s="81" t="n"/>
      <c r="BQ360" s="81" t="n"/>
      <c r="BR360" s="81" t="n"/>
      <c r="BS360" s="81" t="n"/>
      <c r="BT360" s="81" t="n"/>
      <c r="BV360" s="81" t="n"/>
      <c r="BW360" s="81" t="n"/>
      <c r="BX360" s="81" t="n"/>
      <c r="BY360" s="81" t="n"/>
      <c r="CA360" s="81" t="n"/>
      <c r="CB360" s="81" t="n"/>
      <c r="CC360" s="81" t="n"/>
      <c r="CD360" s="81" t="n"/>
      <c r="CF360" s="81" t="n"/>
      <c r="CG360" s="81" t="n"/>
      <c r="CH360" s="81" t="n"/>
      <c r="CI360" s="81" t="n"/>
      <c r="CK360" s="81" t="n"/>
      <c r="CL360" s="81" t="n"/>
      <c r="CM360" s="81" t="n"/>
      <c r="CN360" s="81" t="n"/>
      <c r="CP360" s="81" t="n"/>
      <c r="CQ360" s="81" t="n"/>
      <c r="CR360" s="81" t="n"/>
      <c r="CS360" s="81" t="n"/>
      <c r="CU360" s="81" t="n"/>
      <c r="CV360" s="81" t="n"/>
      <c r="CW360" s="81" t="n"/>
      <c r="CX360" s="81" t="n"/>
    </row>
    <row r="361" customFormat="1" s="77">
      <c r="A361" s="76" t="n"/>
      <c r="B361" s="76" t="n"/>
      <c r="C361" s="77" t="inlineStr">
        <is>
          <t>ROE - DUPONT</t>
        </is>
      </c>
      <c r="D361" s="84">
        <f>IFERROR(PRODUCT(D358:D360),"")</f>
        <v>0</v>
      </c>
      <c r="E361" s="84">
        <f>IFERROR(PRODUCT(E358:E360),"")</f>
        <v>0</v>
      </c>
      <c r="F361" s="84">
        <f>IFERROR(PRODUCT(F358:F360),"")</f>
        <v>0</v>
      </c>
      <c r="G361" s="84">
        <f>IFERROR(PRODUCT(G358:G360),"")</f>
        <v>0</v>
      </c>
      <c r="H361" s="258" t="str">
        <f>IFERROR(IF(COUNT(H358,H359,H360)=3,H358*H359*H360,""),"")</f>
        <v/>
      </c>
      <c r="I361" s="257" t="str">
        <f>IFERROR(IF(COUNT(I358,I359,I360)=3,I358*I359*I360,""),"")</f>
        <v/>
      </c>
      <c r="J361" s="257" t="str">
        <f>IFERROR(IF(COUNT(J358,J359,J360)=3,J358*J359*J360,""),"")</f>
        <v/>
      </c>
      <c r="K361" s="257" t="str">
        <f>IFERROR(IF(COUNT(K358,K359,K360)=3,K358*K359*K360,""),"")</f>
        <v/>
      </c>
      <c r="L361" s="257">
        <f>IFERROR(IF(COUNT(L358,L359,L360)=3,L358*L359*L360,""),"")</f>
        <v>0.174745907608524</v>
      </c>
      <c r="M361" s="258">
        <f>IFERROR(IF(COUNT(M358,M359,M360)=3,M358*M359*M360,""),"")</f>
        <v>0.174745907608524</v>
      </c>
      <c r="N361" s="257">
        <f>IFERROR(IF(COUNT(N358,N359,N360)=3,N358*N359*N360,""),"")</f>
        <v>0.237219680280179</v>
      </c>
      <c r="O361" s="257">
        <f>IFERROR(IF(COUNT(O358,O359,O360)=3,O358*O359*O360,""),"")</f>
        <v>0.252695310425408</v>
      </c>
      <c r="P361" s="257">
        <f>IFERROR(IF(COUNT(P358,P359,P360)=3,P358*P359*P360,""),"")</f>
        <v>0.272103880945433</v>
      </c>
      <c r="Q361" s="257">
        <f>IFERROR(IF(COUNT(Q358,Q359,Q360)=3,Q358*Q359*Q360,""),"")</f>
        <v>0.273563118218659</v>
      </c>
      <c r="R361" s="258">
        <f>IFERROR(IF(COUNT(R358,R359,R360)=3,R358*R359*R360,""),"")</f>
        <v>0.273563118218659</v>
      </c>
      <c r="S361" s="257">
        <f>IFERROR(IF(COUNT(S358,S359,S360)=3,S358*S359*S360,""),"")</f>
        <v>0.238671676652788</v>
      </c>
      <c r="T361" s="257">
        <f>IFERROR(IF(COUNT(T358,T359,T360)=3,T358*T359*T360,""),"")</f>
        <v>0.233701276302173</v>
      </c>
      <c r="U361" s="257">
        <f>IFERROR(IF(COUNT(U358,U359,U360)=3,U358*U359*U360,""),"")</f>
        <v>0.197375906046426</v>
      </c>
      <c r="V361" s="257">
        <f>IFERROR(IF(COUNT(V358,V359,V360)=3,V358*V359*V360,""),"")</f>
        <v>0.235768523322171</v>
      </c>
      <c r="W361" s="258">
        <f>IFERROR(IF(COUNT(W358,W359,W360)=3,W358*W359*W360,""),"")</f>
        <v>0.235768523322171</v>
      </c>
      <c r="X361" s="257">
        <f>IFERROR(IF(COUNT(X358,X359,X360)=3,X358*X359*X360,""),"")</f>
        <v>0.212856704510586</v>
      </c>
      <c r="Y361" s="257">
        <f>IFERROR(IF(COUNT(Y358,Y359,Y360)=3,Y358*Y359*Y360,""),"")</f>
        <v>0.186893239968482</v>
      </c>
      <c r="Z361" s="257">
        <f>IFERROR(IF(COUNT(Z358,Z359,Z360)=3,Z358*Z359*Z360,""),"")</f>
        <v>0.182308018667798</v>
      </c>
      <c r="AA361" s="257">
        <f>IFERROR(IF(COUNT(AA358,AA359,AA360)=3,AA358*AA359*AA360,""),"")</f>
        <v>0.0962404994571118</v>
      </c>
      <c r="AB361" s="258">
        <f>IFERROR(IF(COUNT(AB358,AB359,AB360)=3,AB358*AB359*AB360,""),"")</f>
        <v>0.0962404994571118</v>
      </c>
      <c r="AC361" s="257">
        <f>IFERROR(IF(COUNT(AC358,AC359,AC360)=3,AC358*AC359*AC360,""),"")</f>
        <v>0.0810151422737278</v>
      </c>
      <c r="AD361" s="257">
        <f>IFERROR(IF(COUNT(AD358,AD359,AD360)=3,AD358*AD359*AD360,""),"")</f>
        <v>0.0753407111384363</v>
      </c>
      <c r="AE361" s="257">
        <f>IFERROR(IF(COUNT(AE358,AE359,AE360)=3,AE358*AE359*AE360,""),"")</f>
        <v>0.0629614946231231</v>
      </c>
      <c r="AF361" s="257">
        <f>IFERROR(IF(COUNT(AF358,AF359,AF360)=3,AF358*AF359*AF360,""),"")</f>
        <v>0.126422494418633</v>
      </c>
      <c r="AG361" s="258">
        <f>IFERROR(IF(COUNT(AG358,AG359,AG360)=3,AG358*AG359*AG360,""),"")</f>
        <v>0.0457853134616545</v>
      </c>
      <c r="AH361" s="257">
        <f>IFERROR(IF(COUNT(AH358,AH359,AH360)=3,AH358*AH359*AH360,""),"")</f>
        <v>0.0740902337209028</v>
      </c>
      <c r="AI361" s="257">
        <f>IFERROR(IF(COUNT(AI358,AI359,AI360)=3,AI358*AI359*AI360,""),"")</f>
        <v>0.0772175184817011</v>
      </c>
      <c r="AJ361" s="257">
        <f>IFERROR(IF(COUNT(AJ358,AJ359,AJ360)=3,AJ358*AJ359*AJ360,""),"")</f>
        <v>0.0405288256564823</v>
      </c>
      <c r="AK361" s="257">
        <f>IFERROR(IF(COUNT(AK358,AK359,AK360)=3,AK358*AK359*AK360,""),"")</f>
        <v>0.0421915056851719</v>
      </c>
      <c r="AL361" s="258">
        <f>IFERROR(IF(COUNT(AL358,AL359,AL360)=3,AL358*AL359*AL360,""),"")</f>
        <v>0.0421915056851719</v>
      </c>
      <c r="AM361" s="257">
        <f>IFERROR(IF(COUNT(AM358,AM359,AM360)=3,AM358*AM359*AM360,""),"")</f>
        <v>0.0467232505455441</v>
      </c>
      <c r="AN361" s="257">
        <f>IFERROR(IF(COUNT(AN358,AN359,AN360)=3,AN358*AN359*AN360,""),"")</f>
        <v>0.0467276285170457</v>
      </c>
      <c r="AO361" s="257">
        <f>IFERROR(IF(COUNT(AO358,AO359,AO360)=3,AO358*AO359*AO360,""),"")</f>
        <v>0.0467139622594548</v>
      </c>
      <c r="AP361" s="257">
        <f>IFERROR(IF(COUNT(AP358,AP359,AP360)=3,AP358*AP359*AP360,""),"")</f>
        <v>0.0467021455844555</v>
      </c>
      <c r="AQ361" s="258">
        <f>IFERROR(IF(COUNT(AQ358,AQ359,AQ360)=3,AQ358*AQ359*AQ360,""),"")</f>
        <v>0.0467021455844555</v>
      </c>
      <c r="AR361" s="257">
        <f>IFERROR(IF(COUNT(AR358,AR359,AR360)=3,AR358*AR359*AR360,""),"")</f>
        <v>0.0466452831883908</v>
      </c>
      <c r="AS361" s="257">
        <f>IFERROR(IF(COUNT(AS358,AS359,AS360)=3,AS358*AS359*AS360,""),"")</f>
        <v>0.0465751924006509</v>
      </c>
      <c r="AT361" s="257">
        <f>IFERROR(IF(COUNT(AT358,AT359,AT360)=3,AT358*AT359*AT360,""),"")</f>
        <v>0.0465039783073687</v>
      </c>
      <c r="AU361" s="257">
        <f>IFERROR(IF(COUNT(AU358,AU359,AU360)=3,AU358*AU359*AU360,""),"")</f>
        <v>0.0464423937074045</v>
      </c>
      <c r="AV361" s="258">
        <f>IFERROR(IF(COUNT(AV358,AV359,AV360)=3,AV358*AV359*AV360,""),"")</f>
        <v>0.0464423937074045</v>
      </c>
      <c r="AW361" s="257">
        <f>IFERROR(IF(COUNT(AW358,AW359,AW360)=3,AW358*AW359*AW360,""),"")</f>
        <v>0.0463422415979579</v>
      </c>
      <c r="AX361" s="257">
        <f>IFERROR(IF(COUNT(AX358,AX359,AX360)=3,AX358*AX359*AX360,""),"")</f>
        <v>0.0462187612835415</v>
      </c>
      <c r="AY361" s="257">
        <f>IFERROR(IF(COUNT(AY358,AY359,AY360)=3,AY358*AY359*AY360,""),"")</f>
        <v>0.046093269265968</v>
      </c>
      <c r="AZ361" s="257">
        <f>IFERROR(IF(COUNT(AZ358,AZ359,AZ360)=3,AZ358*AZ359*AZ360,""),"")</f>
        <v>0.0459847195146864</v>
      </c>
      <c r="BA361" s="258">
        <f>IFERROR(IF(COUNT(BA358,BA359,BA360)=3,BA358*BA359*BA360,""),"")</f>
        <v>0.0459847195146864</v>
      </c>
      <c r="BB361" s="257">
        <f>IFERROR(IF(COUNT(BB358,BB359,BB360)=3,BB358*BB359*BB360,""),"")</f>
        <v>0.0458443009149547</v>
      </c>
      <c r="BC361" s="257">
        <f>IFERROR(IF(COUNT(BC358,BC359,BC360)=3,BC358*BC359*BC360,""),"")</f>
        <v>0.0456711180179506</v>
      </c>
      <c r="BD361" s="257">
        <f>IFERROR(IF(COUNT(BD358,BD359,BD360)=3,BD358*BD359*BD360,""),"")</f>
        <v>0.0454950492554135</v>
      </c>
      <c r="BE361" s="257">
        <f>IFERROR(IF(COUNT(BE358,BE359,BE360)=3,BE358*BE359*BE360,""),"")</f>
        <v>0.0453426985484479</v>
      </c>
      <c r="BF361" s="258">
        <f>IFERROR(IF(COUNT(BF358,BF359,BF360)=3,BF358*BF359*BF360,""),"")</f>
        <v>0.0453426985484479</v>
      </c>
      <c r="BG361" s="81" t="n"/>
      <c r="BH361" s="81" t="n"/>
      <c r="BI361" s="81" t="n"/>
      <c r="BJ361" s="81" t="n"/>
      <c r="BL361" s="81" t="n"/>
      <c r="BM361" s="81" t="n"/>
      <c r="BN361" s="81" t="n"/>
      <c r="BO361" s="81" t="n"/>
      <c r="BQ361" s="81" t="n"/>
      <c r="BR361" s="81" t="n"/>
      <c r="BS361" s="81" t="n"/>
      <c r="BT361" s="81" t="n"/>
      <c r="BV361" s="81" t="n"/>
      <c r="BW361" s="81" t="n"/>
      <c r="BX361" s="81" t="n"/>
      <c r="BY361" s="81" t="n"/>
      <c r="CA361" s="81" t="n"/>
      <c r="CB361" s="81" t="n"/>
      <c r="CC361" s="81" t="n"/>
      <c r="CD361" s="81" t="n"/>
      <c r="CF361" s="81" t="n"/>
      <c r="CG361" s="81" t="n"/>
      <c r="CH361" s="81" t="n"/>
      <c r="CI361" s="81" t="n"/>
      <c r="CK361" s="81" t="n"/>
      <c r="CL361" s="81" t="n"/>
      <c r="CM361" s="81" t="n"/>
      <c r="CN361" s="81" t="n"/>
      <c r="CP361" s="81" t="n"/>
      <c r="CQ361" s="81" t="n"/>
      <c r="CR361" s="81" t="n"/>
      <c r="CS361" s="81" t="n"/>
      <c r="CU361" s="81" t="n"/>
      <c r="CV361" s="81" t="n"/>
      <c r="CW361" s="81" t="n"/>
      <c r="CX361" s="81" t="n"/>
    </row>
    <row r="362" customFormat="1" s="77">
      <c r="A362" s="76" t="n"/>
      <c r="B362" s="76" t="n"/>
      <c r="C362" s="77" t="inlineStr">
        <is>
          <t>ROE (LTM)</t>
        </is>
      </c>
      <c r="D362" s="84" t="str">
        <f>IFERROR(D131/D265,"")</f>
        <v/>
      </c>
      <c r="E362" s="84" t="str">
        <f>IFERROR(E131/E265,"")</f>
        <v/>
      </c>
      <c r="F362" s="84" t="str">
        <f>IFERROR(F131/F265,"")</f>
        <v/>
      </c>
      <c r="G362" s="84" t="str">
        <f>IFERROR(G131/G265,"")</f>
        <v/>
      </c>
      <c r="H362" s="258" t="str">
        <f>IFERROR(IF(AND(COUNT(H131)=1,N(H265)&lt;&gt;0),(H131)/H265,""),"")</f>
        <v/>
      </c>
      <c r="I362" s="257" t="str">
        <f>""</f>
        <v/>
      </c>
      <c r="J362" s="257" t="str">
        <f>""</f>
        <v/>
      </c>
      <c r="K362" s="257" t="str">
        <f>""</f>
        <v/>
      </c>
      <c r="L362" s="257">
        <f>IFERROR(IF(AND(COUNT(I131,J131,K131,L131)=4,N(L265)&lt;&gt;0),(I131+J131+K131+L131)/L265,""),"")</f>
        <v>0.174745907608524</v>
      </c>
      <c r="M362" s="258">
        <f>IFERROR(IF(AND(COUNT(I131,J131,K131,L131)=4,N(M265)&lt;&gt;0),(I131+J131+K131+L131)/M265,""),"")</f>
        <v>0.174745907608524</v>
      </c>
      <c r="N362" s="257">
        <f>IFERROR(IF(AND(COUNT(J131,K131,L131,N131)=4,N(N265)&lt;&gt;0),(J131+K131+L131+N131)/N265,""),"")</f>
        <v>0.237219680280179</v>
      </c>
      <c r="O362" s="257">
        <f>IFERROR(IF(AND(COUNT(K131,L131,N131,O131)=4,N(O265)&lt;&gt;0),(K131+L131+N131+O131)/O265,""),"")</f>
        <v>0.252695310425408</v>
      </c>
      <c r="P362" s="257">
        <f>IFERROR(IF(AND(COUNT(L131,N131,O131,P131)=4,N(P265)&lt;&gt;0),(L131+N131+O131+P131)/P265,""),"")</f>
        <v>0.272103880945433</v>
      </c>
      <c r="Q362" s="257">
        <f>IFERROR(IF(AND(COUNT(N131,O131,P131,Q131)=4,N(Q265)&lt;&gt;0),(N131+O131+P131+Q131)/Q265,""),"")</f>
        <v>0.273563118218659</v>
      </c>
      <c r="R362" s="258">
        <f>IFERROR(IF(AND(COUNT(N131,O131,P131,Q131)=4,N(R265)&lt;&gt;0),(N131+O131+P131+Q131)/R265,""),"")</f>
        <v>0.273563118218659</v>
      </c>
      <c r="S362" s="257">
        <f>IFERROR(IF(AND(COUNT(O131,P131,Q131,S131)=4,N(S265)&lt;&gt;0),(O131+P131+Q131+S131)/S265,""),"")</f>
        <v>0.238671676652788</v>
      </c>
      <c r="T362" s="257">
        <f>IFERROR(IF(AND(COUNT(P131,Q131,S131,T131)=4,N(T265)&lt;&gt;0),(P131+Q131+S131+T131)/T265,""),"")</f>
        <v>0.233701276302173</v>
      </c>
      <c r="U362" s="257">
        <f>IFERROR(IF(AND(COUNT(Q131,S131,T131,U131)=4,N(U265)&lt;&gt;0),(Q131+S131+T131+U131)/U265,""),"")</f>
        <v>0.197375906046426</v>
      </c>
      <c r="V362" s="257">
        <f>IFERROR(IF(AND(COUNT(S131,T131,U131,V131)=4,N(V265)&lt;&gt;0),(S131+T131+U131+V131)/V265,""),"")</f>
        <v>0.235768523322171</v>
      </c>
      <c r="W362" s="258">
        <f>IFERROR(IF(AND(COUNT(S131,T131,U131,V131)=4,N(W265)&lt;&gt;0),(S131+T131+U131+V131)/W265,""),"")</f>
        <v>0.235768523322171</v>
      </c>
      <c r="X362" s="257">
        <f>IFERROR(IF(AND(COUNT(T131,U131,V131,X131)=4,N(X265)&lt;&gt;0),(T131+U131+V131+X131)/X265,""),"")</f>
        <v>0.212856704510586</v>
      </c>
      <c r="Y362" s="257">
        <f>IFERROR(IF(AND(COUNT(U131,V131,X131,Y131)=4,N(Y265)&lt;&gt;0),(U131+V131+X131+Y131)/Y265,""),"")</f>
        <v>0.186893239968482</v>
      </c>
      <c r="Z362" s="257">
        <f>IFERROR(IF(AND(COUNT(V131,X131,Y131,Z131)=4,N(Z265)&lt;&gt;0),(V131+X131+Y131+Z131)/Z265,""),"")</f>
        <v>0.182308018667798</v>
      </c>
      <c r="AA362" s="257">
        <f>IFERROR(IF(AND(COUNT(X131,Y131,Z131,AA131)=4,N(AA265)&lt;&gt;0),(X131+Y131+Z131+AA131)/AA265,""),"")</f>
        <v>0.0962404994571118</v>
      </c>
      <c r="AB362" s="258">
        <f>IFERROR(IF(AND(COUNT(X131,Y131,Z131,AA131)=4,N(AB265)&lt;&gt;0),(X131+Y131+Z131+AA131)/AB265,""),"")</f>
        <v>0.0962404994571118</v>
      </c>
      <c r="AC362" s="257">
        <f>IFERROR(IF(AND(COUNT(Y131,Z131,AA131,AC131)=4,N(AC265)&lt;&gt;0),(Y131+Z131+AA131+AC131)/AC265,""),"")</f>
        <v>0.0810151422737278</v>
      </c>
      <c r="AD362" s="257">
        <f>IFERROR(IF(AND(COUNT(Z131,AA131,AC131,AD131)=4,N(AD265)&lt;&gt;0),(Z131+AA131+AC131+AD131)/AD265,""),"")</f>
        <v>0.0753407111384363</v>
      </c>
      <c r="AE362" s="257">
        <f>IFERROR(IF(AND(COUNT(AA131,AC131,AD131,AE131)=4,N(AE265)&lt;&gt;0),(AA131+AC131+AD131+AE131)/AE265,""),"")</f>
        <v>0.0629614946231231</v>
      </c>
      <c r="AF362" s="257">
        <f>IFERROR(IF(AND(COUNT(AB131,AD131,AE131,AF131)=4,N(AF265)&lt;&gt;0),(AB131+AD131+AE131+AF131)/AF265,""),"")</f>
        <v>0.126422494418633</v>
      </c>
      <c r="AG362" s="258">
        <f>IFERROR(IF(AND(COUNT(AC131,AD131,AE131,AF131)=4,N(AG265)&lt;&gt;0),(AC131+AD131+AE131+AF131)/AG265,""),"")</f>
        <v>0.0457853134616545</v>
      </c>
      <c r="AH362" s="257">
        <f>IFERROR(IF(AND(COUNT(AD131,AF131,AG131,AH131)=4,N(AH265)&lt;&gt;0),(AD131+AF131+AG131+AH131)/AH265,""),"")</f>
        <v>0.0740902337209028</v>
      </c>
      <c r="AI362" s="257">
        <f>IFERROR(IF(AND(COUNT(AE131,AG131,AH131,AI131)=4,N(AI265)&lt;&gt;0),(AE131+AG131+AH131+AI131)/AI265,""),"")</f>
        <v>0.0772175184817011</v>
      </c>
      <c r="AJ362" s="257">
        <f>IFERROR(IF(AND(COUNT(AF131,AH131,AI131,AJ131)=4,N(AJ265)&lt;&gt;0),(AF131+AH131+AI131+AJ131)/AJ265,""),"")</f>
        <v>0.0405288256564823</v>
      </c>
      <c r="AK362" s="257">
        <f>IFERROR(IF(AND(COUNT(AH131,AI131,AJ131,AK131)=4,N(AK265)&lt;&gt;0),(AH131+AI131+AJ131+AK131)/AK265,""),"")</f>
        <v>0.0421915056851719</v>
      </c>
      <c r="AL362" s="258">
        <f>IFERROR(IF(AND(COUNT(AH131,AI131,AJ131,AK131)=4,N(AL265)&lt;&gt;0),(AH131+AI131+AJ131+AK131)/AL265,""),"")</f>
        <v>0.0421915056851719</v>
      </c>
      <c r="AM362" s="257">
        <f>IFERROR(IF(AND(COUNT(AI131,AJ131,AK131,AM131)=4,N(AM265)&lt;&gt;0),(AI131+AJ131+AK131+AM131)/AM265,""),"")</f>
        <v>0.0467232505455441</v>
      </c>
      <c r="AN362" s="257">
        <f>IFERROR(IF(AND(COUNT(AJ131,AK131,AM131,AN131)=4,N(AN265)&lt;&gt;0),(AJ131+AK131+AM131+AN131)/AN265,""),"")</f>
        <v>0.0467276285170457</v>
      </c>
      <c r="AO362" s="257">
        <f>IFERROR(IF(AND(COUNT(AK131,AM131,AN131,AO131)=4,N(AO265)&lt;&gt;0),(AK131+AM131+AN131+AO131)/AO265,""),"")</f>
        <v>0.0467139622594548</v>
      </c>
      <c r="AP362" s="257">
        <f>IFERROR(IF(AND(COUNT(AM131,AN131,AO131,AP131)=4,N(AP265)&lt;&gt;0),(AM131+AN131+AO131+AP131)/AP265,""),"")</f>
        <v>0.0467021455844555</v>
      </c>
      <c r="AQ362" s="258">
        <f>IFERROR(IF(AND(COUNT(AM131,AN131,AO131,AP131)=4,N(AQ265)&lt;&gt;0),(AM131+AN131+AO131+AP131)/AQ265,""),"")</f>
        <v>0.0467021455844555</v>
      </c>
      <c r="AR362" s="257">
        <f>IFERROR(IF(AND(COUNT(AN131,AO131,AP131,AR131)=4,N(AR265)&lt;&gt;0),(AN131+AO131+AP131+AR131)/AR265,""),"")</f>
        <v>0.0466452831883908</v>
      </c>
      <c r="AS362" s="257">
        <f>IFERROR(IF(AND(COUNT(AO131,AP131,AR131,AS131)=4,N(AS265)&lt;&gt;0),(AO131+AP131+AR131+AS131)/AS265,""),"")</f>
        <v>0.0465751924006509</v>
      </c>
      <c r="AT362" s="257">
        <f>IFERROR(IF(AND(COUNT(AP131,AR131,AS131,AT131)=4,N(AT265)&lt;&gt;0),(AP131+AR131+AS131+AT131)/AT265,""),"")</f>
        <v>0.0465039783073687</v>
      </c>
      <c r="AU362" s="257">
        <f>IFERROR(IF(AND(COUNT(AR131,AS131,AT131,AU131)=4,N(AU265)&lt;&gt;0),(AR131+AS131+AT131+AU131)/AU265,""),"")</f>
        <v>0.0464423937074045</v>
      </c>
      <c r="AV362" s="258">
        <f>IFERROR(IF(AND(COUNT(AR131,AS131,AT131,AU131)=4,N(AV265)&lt;&gt;0),(AR131+AS131+AT131+AU131)/AV265,""),"")</f>
        <v>0.0464423937074045</v>
      </c>
      <c r="AW362" s="257">
        <f>IFERROR(IF(AND(COUNT(AS131,AT131,AU131,AW131)=4,N(AW265)&lt;&gt;0),(AS131+AT131+AU131+AW131)/AW265,""),"")</f>
        <v>0.0463422415979579</v>
      </c>
      <c r="AX362" s="257">
        <f>IFERROR(IF(AND(COUNT(AT131,AU131,AW131,AX131)=4,N(AX265)&lt;&gt;0),(AT131+AU131+AW131+AX131)/AX265,""),"")</f>
        <v>0.0462187612835415</v>
      </c>
      <c r="AY362" s="257">
        <f>IFERROR(IF(AND(COUNT(AU131,AW131,AX131,AY131)=4,N(AY265)&lt;&gt;0),(AU131+AW131+AX131+AY131)/AY265,""),"")</f>
        <v>0.046093269265968</v>
      </c>
      <c r="AZ362" s="257">
        <f>IFERROR(IF(AND(COUNT(AW131,AX131,AY131,AZ131)=4,N(AZ265)&lt;&gt;0),(AW131+AX131+AY131+AZ131)/AZ265,""),"")</f>
        <v>0.0459847195146864</v>
      </c>
      <c r="BA362" s="258">
        <f>IFERROR(IF(AND(COUNT(AW131,AX131,AY131,AZ131)=4,N(BA265)&lt;&gt;0),(AW131+AX131+AY131+AZ131)/BA265,""),"")</f>
        <v>0.0459847195146864</v>
      </c>
      <c r="BB362" s="257">
        <f>IFERROR(IF(AND(COUNT(AX131,AY131,AZ131,BB131)=4,N(BB265)&lt;&gt;0),(AX131+AY131+AZ131+BB131)/BB265,""),"")</f>
        <v>0.0458443009149547</v>
      </c>
      <c r="BC362" s="257">
        <f>IFERROR(IF(AND(COUNT(AY131,AZ131,BB131,BC131)=4,N(BC265)&lt;&gt;0),(AY131+AZ131+BB131+BC131)/BC265,""),"")</f>
        <v>0.0456711180179506</v>
      </c>
      <c r="BD362" s="257">
        <f>IFERROR(IF(AND(COUNT(AZ131,BB131,BC131,BD131)=4,N(BD265)&lt;&gt;0),(AZ131+BB131+BC131+BD131)/BD265,""),"")</f>
        <v>0.0454950492554135</v>
      </c>
      <c r="BE362" s="257">
        <f>IFERROR(IF(AND(COUNT(BB131,BC131,BD131,BE131)=4,N(BE265)&lt;&gt;0),(BB131+BC131+BD131+BE131)/BE265,""),"")</f>
        <v>0.0453426985484479</v>
      </c>
      <c r="BF362" s="258">
        <f>IFERROR(IF(AND(COUNT(BB131,BC131,BD131,BE131)=4,N(BF265)&lt;&gt;0),(BB131+BC131+BD131+BE131)/BF265,""),"")</f>
        <v>0.0453426985484479</v>
      </c>
      <c r="BG362" s="81" t="n"/>
      <c r="BH362" s="81" t="n"/>
      <c r="BI362" s="81" t="n"/>
      <c r="BJ362" s="81" t="n"/>
      <c r="BL362" s="81" t="n"/>
      <c r="BM362" s="81" t="n"/>
      <c r="BN362" s="81" t="n"/>
      <c r="BO362" s="81" t="n"/>
      <c r="BQ362" s="81" t="n"/>
      <c r="BR362" s="81" t="n"/>
      <c r="BS362" s="81" t="n"/>
      <c r="BT362" s="81" t="n"/>
      <c r="BV362" s="81" t="n"/>
      <c r="BW362" s="81" t="n"/>
      <c r="BX362" s="81" t="n"/>
      <c r="BY362" s="81" t="n"/>
      <c r="CA362" s="81" t="n"/>
      <c r="CB362" s="81" t="n"/>
      <c r="CC362" s="81" t="n"/>
      <c r="CD362" s="81" t="n"/>
      <c r="CF362" s="81" t="n"/>
      <c r="CG362" s="81" t="n"/>
      <c r="CH362" s="81" t="n"/>
      <c r="CI362" s="81" t="n"/>
      <c r="CK362" s="81" t="n"/>
      <c r="CL362" s="81" t="n"/>
      <c r="CM362" s="81" t="n"/>
      <c r="CN362" s="81" t="n"/>
      <c r="CP362" s="81" t="n"/>
      <c r="CQ362" s="81" t="n"/>
      <c r="CR362" s="81" t="n"/>
      <c r="CS362" s="81" t="n"/>
      <c r="CU362" s="81" t="n"/>
      <c r="CV362" s="81" t="n"/>
      <c r="CW362" s="81" t="n"/>
      <c r="CX362" s="81" t="n"/>
    </row>
    <row r="363"/>
    <row r="364">
      <c r="C364" s="73" t="inlineStr">
        <is>
          <t>Scenario Analysis</t>
        </is>
      </c>
      <c r="D364" s="73" t="n"/>
      <c r="E364" s="73" t="n"/>
      <c r="F364" s="73" t="n"/>
      <c r="G364" s="73" t="n"/>
      <c r="H364" s="73" t="n"/>
      <c r="I364" s="73" t="n"/>
      <c r="J364" s="73" t="n"/>
      <c r="K364" s="73" t="n"/>
      <c r="L364" s="73" t="n"/>
      <c r="M364" s="73" t="n"/>
      <c r="N364" s="73" t="n"/>
      <c r="O364" s="73" t="n"/>
      <c r="P364" s="73" t="n"/>
      <c r="Q364" s="73" t="n"/>
      <c r="R364" s="73" t="n"/>
      <c r="S364" s="73" t="n"/>
      <c r="T364" s="73" t="n"/>
      <c r="U364" s="73" t="n"/>
      <c r="V364" s="73" t="n"/>
      <c r="W364" s="73" t="n"/>
      <c r="X364" s="73" t="n"/>
      <c r="Y364" s="73" t="n"/>
      <c r="Z364" s="73" t="n"/>
      <c r="AA364" s="73" t="n"/>
      <c r="AB364" s="73" t="n"/>
      <c r="AC364" s="73" t="n"/>
      <c r="AD364" s="73" t="n"/>
      <c r="AE364" s="73" t="n"/>
      <c r="AF364" s="73" t="n"/>
      <c r="AG364" s="73" t="n"/>
      <c r="AH364" s="73" t="n"/>
      <c r="AI364" s="73" t="n"/>
      <c r="AJ364" s="73" t="n"/>
      <c r="AK364" s="73" t="n"/>
      <c r="AL364" s="73" t="n"/>
      <c r="AM364" s="73" t="n"/>
      <c r="AN364" s="73" t="n"/>
      <c r="AO364" s="73" t="n"/>
      <c r="AP364" s="73" t="n"/>
      <c r="AQ364" s="73" t="n"/>
      <c r="AR364" s="73" t="n"/>
      <c r="AS364" s="73" t="n"/>
      <c r="AT364" s="73" t="n"/>
      <c r="AU364" s="73" t="n"/>
      <c r="AV364" s="73" t="n"/>
      <c r="AW364" s="73" t="n"/>
      <c r="AX364" s="73" t="n"/>
      <c r="AY364" s="73" t="n"/>
      <c r="AZ364" s="73" t="n"/>
      <c r="BA364" s="73" t="n"/>
      <c r="BB364" s="73" t="n"/>
      <c r="BC364" s="73" t="n"/>
      <c r="BD364" s="73" t="n"/>
      <c r="BE364" s="73" t="n"/>
      <c r="BF364" s="73" t="n"/>
      <c r="BG364" s="73" t="n"/>
      <c r="BH364" s="73" t="n"/>
      <c r="BI364" s="73" t="n"/>
      <c r="BJ364" s="73" t="n"/>
      <c r="BK364" s="73" t="n"/>
      <c r="BL364" s="73" t="n"/>
      <c r="BM364" s="73" t="n"/>
      <c r="BN364" s="73" t="n"/>
      <c r="BO364" s="73" t="n"/>
      <c r="BP364" s="73" t="n"/>
      <c r="BQ364" s="73" t="n"/>
      <c r="BR364" s="73" t="n"/>
      <c r="BS364" s="73" t="n"/>
      <c r="BT364" s="73" t="n"/>
      <c r="BU364" s="73" t="n"/>
      <c r="BV364" s="73" t="n"/>
      <c r="BW364" s="73" t="n"/>
      <c r="BX364" s="73" t="n"/>
      <c r="BY364" s="73" t="n"/>
      <c r="BZ364" s="73" t="n"/>
      <c r="CA364" s="73" t="n"/>
      <c r="CB364" s="73" t="n"/>
      <c r="CC364" s="73" t="n"/>
      <c r="CD364" s="73" t="n"/>
      <c r="CE364" s="73" t="n"/>
      <c r="CF364" s="73" t="n"/>
      <c r="CG364" s="73" t="n"/>
      <c r="CH364" s="73" t="n"/>
      <c r="CI364" s="73" t="n"/>
      <c r="CJ364" s="73" t="n"/>
      <c r="CK364" s="73" t="n"/>
      <c r="CL364" s="73" t="n"/>
      <c r="CM364" s="73" t="n"/>
      <c r="CN364" s="73" t="n"/>
      <c r="CO364" s="73" t="n"/>
      <c r="CP364" s="73" t="n"/>
      <c r="CQ364" s="73" t="n"/>
      <c r="CR364" s="73" t="n"/>
      <c r="CS364" s="73" t="n"/>
      <c r="CT364" s="73" t="n"/>
      <c r="CU364" s="73" t="n"/>
      <c r="CV364" s="73" t="n"/>
      <c r="CW364" s="73" t="n"/>
      <c r="CX364" s="73" t="n"/>
      <c r="CY364" s="73" t="n"/>
    </row>
    <row r="365"/>
    <row r="366"/>
    <row r="367">
      <c r="C367" s="4" t="inlineStr">
        <is>
          <t>Bull case</t>
        </is>
      </c>
    </row>
    <row r="368">
      <c r="C368" s="4" t="inlineStr">
        <is>
          <t>Base case</t>
        </is>
      </c>
    </row>
    <row r="369">
      <c r="C369" s="4" t="inlineStr">
        <is>
          <t>Bear case</t>
        </is>
      </c>
    </row>
    <row r="370"/>
    <row r="371"/>
    <row r="372">
      <c r="C372" s="4" t="inlineStr">
        <is>
          <t>Bull case</t>
        </is>
      </c>
    </row>
    <row r="373">
      <c r="C373" s="4" t="inlineStr">
        <is>
          <t>Base case</t>
        </is>
      </c>
    </row>
    <row r="374">
      <c r="C374" s="4" t="inlineStr">
        <is>
          <t>Bear case</t>
        </is>
      </c>
    </row>
    <row r="375"/>
    <row r="376"/>
    <row r="377">
      <c r="C377" s="4" t="inlineStr">
        <is>
          <t>% Gross Margin</t>
        </is>
      </c>
    </row>
    <row r="378">
      <c r="C378" s="4" t="inlineStr">
        <is>
          <t>Bull case</t>
        </is>
      </c>
    </row>
    <row r="379">
      <c r="C379" s="4" t="inlineStr">
        <is>
          <t>Base case</t>
        </is>
      </c>
    </row>
    <row r="380">
      <c r="C380" s="4" t="inlineStr">
        <is>
          <t>Bear case</t>
        </is>
      </c>
    </row>
    <row r="381"/>
    <row r="382"/>
    <row r="383">
      <c r="C383" s="4" t="inlineStr">
        <is>
          <t>Capital expenditures</t>
        </is>
      </c>
    </row>
    <row r="384">
      <c r="C384" s="4" t="inlineStr">
        <is>
          <t>Bull case</t>
        </is>
      </c>
    </row>
    <row r="385">
      <c r="C385" s="4" t="inlineStr">
        <is>
          <t>Base case</t>
        </is>
      </c>
    </row>
    <row r="386">
      <c r="C386" s="4" t="inlineStr">
        <is>
          <t>Bear case</t>
        </is>
      </c>
    </row>
  </sheetData>
  <conditionalFormatting sqref="B1:B4 B13:B1048576">
    <cfRule type="expression" priority="25" dxfId="23">
      <formula>B1&lt;&gt;""</formula>
    </cfRule>
  </conditionalFormatting>
  <conditionalFormatting sqref="D1:CY3">
    <cfRule type="cellIs" priority="18" operator="greaterThan" dxfId="22">
      <formula>1</formula>
    </cfRule>
  </conditionalFormatting>
  <conditionalFormatting sqref="E309:G309">
    <cfRule type="cellIs" priority="16" operator="notEqual" dxfId="0">
      <formula>0</formula>
    </cfRule>
  </conditionalFormatting>
  <conditionalFormatting sqref="E5:H5">
    <cfRule type="cellIs" priority="17" operator="greaterThan" dxfId="18">
      <formula>$B$5</formula>
    </cfRule>
  </conditionalFormatting>
  <conditionalFormatting sqref="I309:L309">
    <cfRule type="cellIs" priority="23" operator="notEqual" dxfId="0">
      <formula>0</formula>
    </cfRule>
  </conditionalFormatting>
  <conditionalFormatting sqref="J5:CY5">
    <cfRule type="cellIs" priority="24" operator="greaterThan" dxfId="18">
      <formula>$B$5</formula>
    </cfRule>
  </conditionalFormatting>
  <conditionalFormatting sqref="N309:Q309">
    <cfRule type="cellIs" priority="22" operator="notEqual" dxfId="0">
      <formula>0</formula>
    </cfRule>
  </conditionalFormatting>
  <conditionalFormatting sqref="S309:V309">
    <cfRule type="cellIs" priority="21" operator="notEqual" dxfId="0">
      <formula>0</formula>
    </cfRule>
  </conditionalFormatting>
  <conditionalFormatting sqref="X309:AA309">
    <cfRule type="cellIs" priority="20" operator="notEqual" dxfId="0">
      <formula>0</formula>
    </cfRule>
  </conditionalFormatting>
  <conditionalFormatting sqref="AC309:AF309">
    <cfRule type="cellIs" priority="19" operator="notEqual" dxfId="0">
      <formula>0</formula>
    </cfRule>
  </conditionalFormatting>
  <conditionalFormatting sqref="AH309:AK309">
    <cfRule type="cellIs" priority="15" operator="notEqual" dxfId="0">
      <formula>0</formula>
    </cfRule>
  </conditionalFormatting>
  <conditionalFormatting sqref="AM309:AP309">
    <cfRule type="cellIs" priority="14" operator="notEqual" dxfId="0">
      <formula>0</formula>
    </cfRule>
  </conditionalFormatting>
  <conditionalFormatting sqref="AR309:AU309">
    <cfRule type="cellIs" priority="13" operator="notEqual" dxfId="0">
      <formula>0</formula>
    </cfRule>
  </conditionalFormatting>
  <conditionalFormatting sqref="AW309:AZ309">
    <cfRule type="cellIs" priority="12" operator="notEqual" dxfId="0">
      <formula>0</formula>
    </cfRule>
  </conditionalFormatting>
  <conditionalFormatting sqref="BB309:BE309">
    <cfRule type="cellIs" priority="11" operator="notEqual" dxfId="0">
      <formula>0</formula>
    </cfRule>
  </conditionalFormatting>
  <conditionalFormatting sqref="BG309:BJ309">
    <cfRule type="cellIs" priority="10" operator="notEqual" dxfId="0">
      <formula>0</formula>
    </cfRule>
  </conditionalFormatting>
  <conditionalFormatting sqref="BL309:BO309">
    <cfRule type="cellIs" priority="9" operator="notEqual" dxfId="0">
      <formula>0</formula>
    </cfRule>
  </conditionalFormatting>
  <conditionalFormatting sqref="BQ309:BT309">
    <cfRule type="cellIs" priority="8" operator="notEqual" dxfId="0">
      <formula>0</formula>
    </cfRule>
  </conditionalFormatting>
  <conditionalFormatting sqref="BV309:BY309">
    <cfRule type="cellIs" priority="7" operator="notEqual" dxfId="0">
      <formula>0</formula>
    </cfRule>
  </conditionalFormatting>
  <conditionalFormatting sqref="CA309:CD309">
    <cfRule type="cellIs" priority="6" operator="notEqual" dxfId="0">
      <formula>0</formula>
    </cfRule>
  </conditionalFormatting>
  <conditionalFormatting sqref="CF309:CI309">
    <cfRule type="cellIs" priority="5" operator="notEqual" dxfId="0">
      <formula>0</formula>
    </cfRule>
  </conditionalFormatting>
  <conditionalFormatting sqref="CK309:CN309">
    <cfRule type="cellIs" priority="4" operator="notEqual" dxfId="0">
      <formula>0</formula>
    </cfRule>
  </conditionalFormatting>
  <conditionalFormatting sqref="CP309:CS309">
    <cfRule type="cellIs" priority="3" operator="notEqual" dxfId="0">
      <formula>0</formula>
    </cfRule>
  </conditionalFormatting>
  <conditionalFormatting sqref="CU309:CX309">
    <cfRule type="cellIs" priority="2" operator="notEqual" dxfId="0">
      <formula>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2"/>
  <sheetViews>
    <sheetView zoomScaleNormal="100" workbookViewId="0">
      <selection activeCell="A1" sqref="A1"/>
    </sheetView>
  </sheetViews>
  <sheetFormatPr baseColWidth="8" defaultColWidth="10.42578125" defaultRowHeight="12.75"/>
  <cols>
    <col width="2.28515625" customWidth="1" style="251" min="1" max="1"/>
    <col width="4.85546875" customWidth="1" style="251" min="2" max="2"/>
    <col width="62" customWidth="1" style="251" min="3" max="3"/>
    <col width="14.5703125" customWidth="1" style="251" min="4" max="4"/>
    <col width="12.85546875" customWidth="1" style="251" min="5" max="6"/>
    <col width="13.42578125" customWidth="1" style="251" min="7" max="7"/>
    <col width="16" customWidth="1" style="251" min="8" max="8"/>
    <col width="15.5703125" customWidth="1" style="251" min="9" max="9"/>
    <col width="12.85546875" customWidth="1" style="251" min="10" max="12"/>
    <col width="13.28515625" customWidth="1" style="251" min="13" max="13"/>
    <col width="13.140625" customWidth="1" style="251" min="14" max="14"/>
    <col width="13.28515625" customWidth="1" style="251" min="15" max="15"/>
    <col width="12.28515625" customWidth="1" style="251" min="16" max="20"/>
    <col width="13.28515625" customWidth="1" style="251" min="21" max="22"/>
    <col width="10.5703125" customWidth="1" style="251" min="23" max="23"/>
    <col width="13" customWidth="1" style="251" min="24" max="25"/>
    <col width="11.28515625" customWidth="1" style="251" min="26" max="26"/>
    <col width="10.42578125" customWidth="1" style="251" min="27" max="27"/>
    <col width="21.5703125" customWidth="1" style="251" min="28" max="28"/>
    <col width="10.42578125" customWidth="1" style="251" min="29" max="31"/>
    <col width="9.140625" customWidth="1" style="251" min="32" max="32"/>
    <col width="10.42578125" customWidth="1" style="251" min="33" max="261"/>
    <col width="2.28515625" customWidth="1" style="251" min="262" max="263"/>
    <col width="35.42578125" customWidth="1" style="251" min="264" max="264"/>
    <col width="14.7109375" customWidth="1" style="251" min="265" max="265"/>
    <col width="12.85546875" customWidth="1" style="251" min="266" max="268"/>
    <col width="15.5703125" customWidth="1" style="251" min="269" max="269"/>
    <col width="12.85546875" customWidth="1" style="251" min="270" max="273"/>
    <col width="10.42578125" customWidth="1" style="251" min="274" max="275"/>
    <col width="12.28515625" customWidth="1" style="251" min="276" max="276"/>
    <col width="10.42578125" customWidth="1" style="251" min="277" max="517"/>
    <col width="2.28515625" customWidth="1" style="251" min="518" max="519"/>
    <col width="35.42578125" customWidth="1" style="251" min="520" max="520"/>
    <col width="14.7109375" customWidth="1" style="251" min="521" max="521"/>
    <col width="12.85546875" customWidth="1" style="251" min="522" max="524"/>
    <col width="15.5703125" customWidth="1" style="251" min="525" max="525"/>
    <col width="12.85546875" customWidth="1" style="251" min="526" max="529"/>
    <col width="10.42578125" customWidth="1" style="251" min="530" max="531"/>
    <col width="12.28515625" customWidth="1" style="251" min="532" max="532"/>
    <col width="10.42578125" customWidth="1" style="251" min="533" max="773"/>
    <col width="2.28515625" customWidth="1" style="251" min="774" max="775"/>
    <col width="35.42578125" customWidth="1" style="251" min="776" max="776"/>
    <col width="14.7109375" customWidth="1" style="251" min="777" max="777"/>
    <col width="12.85546875" customWidth="1" style="251" min="778" max="780"/>
    <col width="15.5703125" customWidth="1" style="251" min="781" max="781"/>
    <col width="12.85546875" customWidth="1" style="251" min="782" max="785"/>
    <col width="10.42578125" customWidth="1" style="251" min="786" max="787"/>
    <col width="12.28515625" customWidth="1" style="251" min="788" max="788"/>
    <col width="10.42578125" customWidth="1" style="251" min="789" max="1029"/>
    <col width="2.28515625" customWidth="1" style="251" min="1030" max="1031"/>
    <col width="35.42578125" customWidth="1" style="251" min="1032" max="1032"/>
    <col width="14.7109375" customWidth="1" style="251" min="1033" max="1033"/>
    <col width="12.85546875" customWidth="1" style="251" min="1034" max="1036"/>
    <col width="15.5703125" customWidth="1" style="251" min="1037" max="1037"/>
    <col width="12.85546875" customWidth="1" style="251" min="1038" max="1041"/>
    <col width="10.42578125" customWidth="1" style="251" min="1042" max="1043"/>
    <col width="12.28515625" customWidth="1" style="251" min="1044" max="1044"/>
    <col width="10.42578125" customWidth="1" style="251" min="1045" max="1285"/>
    <col width="2.28515625" customWidth="1" style="251" min="1286" max="1287"/>
    <col width="35.42578125" customWidth="1" style="251" min="1288" max="1288"/>
    <col width="14.7109375" customWidth="1" style="251" min="1289" max="1289"/>
    <col width="12.85546875" customWidth="1" style="251" min="1290" max="1292"/>
    <col width="15.5703125" customWidth="1" style="251" min="1293" max="1293"/>
    <col width="12.85546875" customWidth="1" style="251" min="1294" max="1297"/>
    <col width="10.42578125" customWidth="1" style="251" min="1298" max="1299"/>
    <col width="12.28515625" customWidth="1" style="251" min="1300" max="1300"/>
    <col width="10.42578125" customWidth="1" style="251" min="1301" max="1541"/>
    <col width="2.28515625" customWidth="1" style="251" min="1542" max="1543"/>
    <col width="35.42578125" customWidth="1" style="251" min="1544" max="1544"/>
    <col width="14.7109375" customWidth="1" style="251" min="1545" max="1545"/>
    <col width="12.85546875" customWidth="1" style="251" min="1546" max="1548"/>
    <col width="15.5703125" customWidth="1" style="251" min="1549" max="1549"/>
    <col width="12.85546875" customWidth="1" style="251" min="1550" max="1553"/>
    <col width="10.42578125" customWidth="1" style="251" min="1554" max="1555"/>
    <col width="12.28515625" customWidth="1" style="251" min="1556" max="1556"/>
    <col width="10.42578125" customWidth="1" style="251" min="1557" max="1797"/>
    <col width="2.28515625" customWidth="1" style="251" min="1798" max="1799"/>
    <col width="35.42578125" customWidth="1" style="251" min="1800" max="1800"/>
    <col width="14.7109375" customWidth="1" style="251" min="1801" max="1801"/>
    <col width="12.85546875" customWidth="1" style="251" min="1802" max="1804"/>
    <col width="15.5703125" customWidth="1" style="251" min="1805" max="1805"/>
    <col width="12.85546875" customWidth="1" style="251" min="1806" max="1809"/>
    <col width="10.42578125" customWidth="1" style="251" min="1810" max="1811"/>
    <col width="12.28515625" customWidth="1" style="251" min="1812" max="1812"/>
    <col width="10.42578125" customWidth="1" style="251" min="1813" max="2053"/>
    <col width="2.28515625" customWidth="1" style="251" min="2054" max="2055"/>
    <col width="35.42578125" customWidth="1" style="251" min="2056" max="2056"/>
    <col width="14.7109375" customWidth="1" style="251" min="2057" max="2057"/>
    <col width="12.85546875" customWidth="1" style="251" min="2058" max="2060"/>
    <col width="15.5703125" customWidth="1" style="251" min="2061" max="2061"/>
    <col width="12.85546875" customWidth="1" style="251" min="2062" max="2065"/>
    <col width="10.42578125" customWidth="1" style="251" min="2066" max="2067"/>
    <col width="12.28515625" customWidth="1" style="251" min="2068" max="2068"/>
    <col width="10.42578125" customWidth="1" style="251" min="2069" max="2309"/>
    <col width="2.28515625" customWidth="1" style="251" min="2310" max="2311"/>
    <col width="35.42578125" customWidth="1" style="251" min="2312" max="2312"/>
    <col width="14.7109375" customWidth="1" style="251" min="2313" max="2313"/>
    <col width="12.85546875" customWidth="1" style="251" min="2314" max="2316"/>
    <col width="15.5703125" customWidth="1" style="251" min="2317" max="2317"/>
    <col width="12.85546875" customWidth="1" style="251" min="2318" max="2321"/>
    <col width="10.42578125" customWidth="1" style="251" min="2322" max="2323"/>
    <col width="12.28515625" customWidth="1" style="251" min="2324" max="2324"/>
    <col width="10.42578125" customWidth="1" style="251" min="2325" max="2565"/>
    <col width="2.28515625" customWidth="1" style="251" min="2566" max="2567"/>
    <col width="35.42578125" customWidth="1" style="251" min="2568" max="2568"/>
    <col width="14.7109375" customWidth="1" style="251" min="2569" max="2569"/>
    <col width="12.85546875" customWidth="1" style="251" min="2570" max="2572"/>
    <col width="15.5703125" customWidth="1" style="251" min="2573" max="2573"/>
    <col width="12.85546875" customWidth="1" style="251" min="2574" max="2577"/>
    <col width="10.42578125" customWidth="1" style="251" min="2578" max="2579"/>
    <col width="12.28515625" customWidth="1" style="251" min="2580" max="2580"/>
    <col width="10.42578125" customWidth="1" style="251" min="2581" max="2821"/>
    <col width="2.28515625" customWidth="1" style="251" min="2822" max="2823"/>
    <col width="35.42578125" customWidth="1" style="251" min="2824" max="2824"/>
    <col width="14.7109375" customWidth="1" style="251" min="2825" max="2825"/>
    <col width="12.85546875" customWidth="1" style="251" min="2826" max="2828"/>
    <col width="15.5703125" customWidth="1" style="251" min="2829" max="2829"/>
    <col width="12.85546875" customWidth="1" style="251" min="2830" max="2833"/>
    <col width="10.42578125" customWidth="1" style="251" min="2834" max="2835"/>
    <col width="12.28515625" customWidth="1" style="251" min="2836" max="2836"/>
    <col width="10.42578125" customWidth="1" style="251" min="2837" max="3077"/>
    <col width="2.28515625" customWidth="1" style="251" min="3078" max="3079"/>
    <col width="35.42578125" customWidth="1" style="251" min="3080" max="3080"/>
    <col width="14.7109375" customWidth="1" style="251" min="3081" max="3081"/>
    <col width="12.85546875" customWidth="1" style="251" min="3082" max="3084"/>
    <col width="15.5703125" customWidth="1" style="251" min="3085" max="3085"/>
    <col width="12.85546875" customWidth="1" style="251" min="3086" max="3089"/>
    <col width="10.42578125" customWidth="1" style="251" min="3090" max="3091"/>
    <col width="12.28515625" customWidth="1" style="251" min="3092" max="3092"/>
    <col width="10.42578125" customWidth="1" style="251" min="3093" max="3333"/>
    <col width="2.28515625" customWidth="1" style="251" min="3334" max="3335"/>
    <col width="35.42578125" customWidth="1" style="251" min="3336" max="3336"/>
    <col width="14.7109375" customWidth="1" style="251" min="3337" max="3337"/>
    <col width="12.85546875" customWidth="1" style="251" min="3338" max="3340"/>
    <col width="15.5703125" customWidth="1" style="251" min="3341" max="3341"/>
    <col width="12.85546875" customWidth="1" style="251" min="3342" max="3345"/>
    <col width="10.42578125" customWidth="1" style="251" min="3346" max="3347"/>
    <col width="12.28515625" customWidth="1" style="251" min="3348" max="3348"/>
    <col width="10.42578125" customWidth="1" style="251" min="3349" max="3589"/>
    <col width="2.28515625" customWidth="1" style="251" min="3590" max="3591"/>
    <col width="35.42578125" customWidth="1" style="251" min="3592" max="3592"/>
    <col width="14.7109375" customWidth="1" style="251" min="3593" max="3593"/>
    <col width="12.85546875" customWidth="1" style="251" min="3594" max="3596"/>
    <col width="15.5703125" customWidth="1" style="251" min="3597" max="3597"/>
    <col width="12.85546875" customWidth="1" style="251" min="3598" max="3601"/>
    <col width="10.42578125" customWidth="1" style="251" min="3602" max="3603"/>
    <col width="12.28515625" customWidth="1" style="251" min="3604" max="3604"/>
    <col width="10.42578125" customWidth="1" style="251" min="3605" max="3845"/>
    <col width="2.28515625" customWidth="1" style="251" min="3846" max="3847"/>
    <col width="35.42578125" customWidth="1" style="251" min="3848" max="3848"/>
    <col width="14.7109375" customWidth="1" style="251" min="3849" max="3849"/>
    <col width="12.85546875" customWidth="1" style="251" min="3850" max="3852"/>
    <col width="15.5703125" customWidth="1" style="251" min="3853" max="3853"/>
    <col width="12.85546875" customWidth="1" style="251" min="3854" max="3857"/>
    <col width="10.42578125" customWidth="1" style="251" min="3858" max="3859"/>
    <col width="12.28515625" customWidth="1" style="251" min="3860" max="3860"/>
    <col width="10.42578125" customWidth="1" style="251" min="3861" max="4101"/>
    <col width="2.28515625" customWidth="1" style="251" min="4102" max="4103"/>
    <col width="35.42578125" customWidth="1" style="251" min="4104" max="4104"/>
    <col width="14.7109375" customWidth="1" style="251" min="4105" max="4105"/>
    <col width="12.85546875" customWidth="1" style="251" min="4106" max="4108"/>
    <col width="15.5703125" customWidth="1" style="251" min="4109" max="4109"/>
    <col width="12.85546875" customWidth="1" style="251" min="4110" max="4113"/>
    <col width="10.42578125" customWidth="1" style="251" min="4114" max="4115"/>
    <col width="12.28515625" customWidth="1" style="251" min="4116" max="4116"/>
    <col width="10.42578125" customWidth="1" style="251" min="4117" max="4357"/>
    <col width="2.28515625" customWidth="1" style="251" min="4358" max="4359"/>
    <col width="35.42578125" customWidth="1" style="251" min="4360" max="4360"/>
    <col width="14.7109375" customWidth="1" style="251" min="4361" max="4361"/>
    <col width="12.85546875" customWidth="1" style="251" min="4362" max="4364"/>
    <col width="15.5703125" customWidth="1" style="251" min="4365" max="4365"/>
    <col width="12.85546875" customWidth="1" style="251" min="4366" max="4369"/>
    <col width="10.42578125" customWidth="1" style="251" min="4370" max="4371"/>
    <col width="12.28515625" customWidth="1" style="251" min="4372" max="4372"/>
    <col width="10.42578125" customWidth="1" style="251" min="4373" max="4613"/>
    <col width="2.28515625" customWidth="1" style="251" min="4614" max="4615"/>
    <col width="35.42578125" customWidth="1" style="251" min="4616" max="4616"/>
    <col width="14.7109375" customWidth="1" style="251" min="4617" max="4617"/>
    <col width="12.85546875" customWidth="1" style="251" min="4618" max="4620"/>
    <col width="15.5703125" customWidth="1" style="251" min="4621" max="4621"/>
    <col width="12.85546875" customWidth="1" style="251" min="4622" max="4625"/>
    <col width="10.42578125" customWidth="1" style="251" min="4626" max="4627"/>
    <col width="12.28515625" customWidth="1" style="251" min="4628" max="4628"/>
    <col width="10.42578125" customWidth="1" style="251" min="4629" max="4869"/>
    <col width="2.28515625" customWidth="1" style="251" min="4870" max="4871"/>
    <col width="35.42578125" customWidth="1" style="251" min="4872" max="4872"/>
    <col width="14.7109375" customWidth="1" style="251" min="4873" max="4873"/>
    <col width="12.85546875" customWidth="1" style="251" min="4874" max="4876"/>
    <col width="15.5703125" customWidth="1" style="251" min="4877" max="4877"/>
    <col width="12.85546875" customWidth="1" style="251" min="4878" max="4881"/>
    <col width="10.42578125" customWidth="1" style="251" min="4882" max="4883"/>
    <col width="12.28515625" customWidth="1" style="251" min="4884" max="4884"/>
    <col width="10.42578125" customWidth="1" style="251" min="4885" max="5125"/>
    <col width="2.28515625" customWidth="1" style="251" min="5126" max="5127"/>
    <col width="35.42578125" customWidth="1" style="251" min="5128" max="5128"/>
    <col width="14.7109375" customWidth="1" style="251" min="5129" max="5129"/>
    <col width="12.85546875" customWidth="1" style="251" min="5130" max="5132"/>
    <col width="15.5703125" customWidth="1" style="251" min="5133" max="5133"/>
    <col width="12.85546875" customWidth="1" style="251" min="5134" max="5137"/>
    <col width="10.42578125" customWidth="1" style="251" min="5138" max="5139"/>
    <col width="12.28515625" customWidth="1" style="251" min="5140" max="5140"/>
    <col width="10.42578125" customWidth="1" style="251" min="5141" max="5381"/>
    <col width="2.28515625" customWidth="1" style="251" min="5382" max="5383"/>
    <col width="35.42578125" customWidth="1" style="251" min="5384" max="5384"/>
    <col width="14.7109375" customWidth="1" style="251" min="5385" max="5385"/>
    <col width="12.85546875" customWidth="1" style="251" min="5386" max="5388"/>
    <col width="15.5703125" customWidth="1" style="251" min="5389" max="5389"/>
    <col width="12.85546875" customWidth="1" style="251" min="5390" max="5393"/>
    <col width="10.42578125" customWidth="1" style="251" min="5394" max="5395"/>
    <col width="12.28515625" customWidth="1" style="251" min="5396" max="5396"/>
    <col width="10.42578125" customWidth="1" style="251" min="5397" max="5637"/>
    <col width="2.28515625" customWidth="1" style="251" min="5638" max="5639"/>
    <col width="35.42578125" customWidth="1" style="251" min="5640" max="5640"/>
    <col width="14.7109375" customWidth="1" style="251" min="5641" max="5641"/>
    <col width="12.85546875" customWidth="1" style="251" min="5642" max="5644"/>
    <col width="15.5703125" customWidth="1" style="251" min="5645" max="5645"/>
    <col width="12.85546875" customWidth="1" style="251" min="5646" max="5649"/>
    <col width="10.42578125" customWidth="1" style="251" min="5650" max="5651"/>
    <col width="12.28515625" customWidth="1" style="251" min="5652" max="5652"/>
    <col width="10.42578125" customWidth="1" style="251" min="5653" max="5893"/>
    <col width="2.28515625" customWidth="1" style="251" min="5894" max="5895"/>
    <col width="35.42578125" customWidth="1" style="251" min="5896" max="5896"/>
    <col width="14.7109375" customWidth="1" style="251" min="5897" max="5897"/>
    <col width="12.85546875" customWidth="1" style="251" min="5898" max="5900"/>
    <col width="15.5703125" customWidth="1" style="251" min="5901" max="5901"/>
    <col width="12.85546875" customWidth="1" style="251" min="5902" max="5905"/>
    <col width="10.42578125" customWidth="1" style="251" min="5906" max="5907"/>
    <col width="12.28515625" customWidth="1" style="251" min="5908" max="5908"/>
    <col width="10.42578125" customWidth="1" style="251" min="5909" max="6149"/>
    <col width="2.28515625" customWidth="1" style="251" min="6150" max="6151"/>
    <col width="35.42578125" customWidth="1" style="251" min="6152" max="6152"/>
    <col width="14.7109375" customWidth="1" style="251" min="6153" max="6153"/>
    <col width="12.85546875" customWidth="1" style="251" min="6154" max="6156"/>
    <col width="15.5703125" customWidth="1" style="251" min="6157" max="6157"/>
    <col width="12.85546875" customWidth="1" style="251" min="6158" max="6161"/>
    <col width="10.42578125" customWidth="1" style="251" min="6162" max="6163"/>
    <col width="12.28515625" customWidth="1" style="251" min="6164" max="6164"/>
    <col width="10.42578125" customWidth="1" style="251" min="6165" max="6405"/>
    <col width="2.28515625" customWidth="1" style="251" min="6406" max="6407"/>
    <col width="35.42578125" customWidth="1" style="251" min="6408" max="6408"/>
    <col width="14.7109375" customWidth="1" style="251" min="6409" max="6409"/>
    <col width="12.85546875" customWidth="1" style="251" min="6410" max="6412"/>
    <col width="15.5703125" customWidth="1" style="251" min="6413" max="6413"/>
    <col width="12.85546875" customWidth="1" style="251" min="6414" max="6417"/>
    <col width="10.42578125" customWidth="1" style="251" min="6418" max="6419"/>
    <col width="12.28515625" customWidth="1" style="251" min="6420" max="6420"/>
    <col width="10.42578125" customWidth="1" style="251" min="6421" max="6661"/>
    <col width="2.28515625" customWidth="1" style="251" min="6662" max="6663"/>
    <col width="35.42578125" customWidth="1" style="251" min="6664" max="6664"/>
    <col width="14.7109375" customWidth="1" style="251" min="6665" max="6665"/>
    <col width="12.85546875" customWidth="1" style="251" min="6666" max="6668"/>
    <col width="15.5703125" customWidth="1" style="251" min="6669" max="6669"/>
    <col width="12.85546875" customWidth="1" style="251" min="6670" max="6673"/>
    <col width="10.42578125" customWidth="1" style="251" min="6674" max="6675"/>
    <col width="12.28515625" customWidth="1" style="251" min="6676" max="6676"/>
    <col width="10.42578125" customWidth="1" style="251" min="6677" max="6917"/>
    <col width="2.28515625" customWidth="1" style="251" min="6918" max="6919"/>
    <col width="35.42578125" customWidth="1" style="251" min="6920" max="6920"/>
    <col width="14.7109375" customWidth="1" style="251" min="6921" max="6921"/>
    <col width="12.85546875" customWidth="1" style="251" min="6922" max="6924"/>
    <col width="15.5703125" customWidth="1" style="251" min="6925" max="6925"/>
    <col width="12.85546875" customWidth="1" style="251" min="6926" max="6929"/>
    <col width="10.42578125" customWidth="1" style="251" min="6930" max="6931"/>
    <col width="12.28515625" customWidth="1" style="251" min="6932" max="6932"/>
    <col width="10.42578125" customWidth="1" style="251" min="6933" max="7173"/>
    <col width="2.28515625" customWidth="1" style="251" min="7174" max="7175"/>
    <col width="35.42578125" customWidth="1" style="251" min="7176" max="7176"/>
    <col width="14.7109375" customWidth="1" style="251" min="7177" max="7177"/>
    <col width="12.85546875" customWidth="1" style="251" min="7178" max="7180"/>
    <col width="15.5703125" customWidth="1" style="251" min="7181" max="7181"/>
    <col width="12.85546875" customWidth="1" style="251" min="7182" max="7185"/>
    <col width="10.42578125" customWidth="1" style="251" min="7186" max="7187"/>
    <col width="12.28515625" customWidth="1" style="251" min="7188" max="7188"/>
    <col width="10.42578125" customWidth="1" style="251" min="7189" max="7429"/>
    <col width="2.28515625" customWidth="1" style="251" min="7430" max="7431"/>
    <col width="35.42578125" customWidth="1" style="251" min="7432" max="7432"/>
    <col width="14.7109375" customWidth="1" style="251" min="7433" max="7433"/>
    <col width="12.85546875" customWidth="1" style="251" min="7434" max="7436"/>
    <col width="15.5703125" customWidth="1" style="251" min="7437" max="7437"/>
    <col width="12.85546875" customWidth="1" style="251" min="7438" max="7441"/>
    <col width="10.42578125" customWidth="1" style="251" min="7442" max="7443"/>
    <col width="12.28515625" customWidth="1" style="251" min="7444" max="7444"/>
    <col width="10.42578125" customWidth="1" style="251" min="7445" max="7685"/>
    <col width="2.28515625" customWidth="1" style="251" min="7686" max="7687"/>
    <col width="35.42578125" customWidth="1" style="251" min="7688" max="7688"/>
    <col width="14.7109375" customWidth="1" style="251" min="7689" max="7689"/>
    <col width="12.85546875" customWidth="1" style="251" min="7690" max="7692"/>
    <col width="15.5703125" customWidth="1" style="251" min="7693" max="7693"/>
    <col width="12.85546875" customWidth="1" style="251" min="7694" max="7697"/>
    <col width="10.42578125" customWidth="1" style="251" min="7698" max="7699"/>
    <col width="12.28515625" customWidth="1" style="251" min="7700" max="7700"/>
    <col width="10.42578125" customWidth="1" style="251" min="7701" max="7941"/>
    <col width="2.28515625" customWidth="1" style="251" min="7942" max="7943"/>
    <col width="35.42578125" customWidth="1" style="251" min="7944" max="7944"/>
    <col width="14.7109375" customWidth="1" style="251" min="7945" max="7945"/>
    <col width="12.85546875" customWidth="1" style="251" min="7946" max="7948"/>
    <col width="15.5703125" customWidth="1" style="251" min="7949" max="7949"/>
    <col width="12.85546875" customWidth="1" style="251" min="7950" max="7953"/>
    <col width="10.42578125" customWidth="1" style="251" min="7954" max="7955"/>
    <col width="12.28515625" customWidth="1" style="251" min="7956" max="7956"/>
    <col width="10.42578125" customWidth="1" style="251" min="7957" max="8197"/>
    <col width="2.28515625" customWidth="1" style="251" min="8198" max="8199"/>
    <col width="35.42578125" customWidth="1" style="251" min="8200" max="8200"/>
    <col width="14.7109375" customWidth="1" style="251" min="8201" max="8201"/>
    <col width="12.85546875" customWidth="1" style="251" min="8202" max="8204"/>
    <col width="15.5703125" customWidth="1" style="251" min="8205" max="8205"/>
    <col width="12.85546875" customWidth="1" style="251" min="8206" max="8209"/>
    <col width="10.42578125" customWidth="1" style="251" min="8210" max="8211"/>
    <col width="12.28515625" customWidth="1" style="251" min="8212" max="8212"/>
    <col width="10.42578125" customWidth="1" style="251" min="8213" max="8453"/>
    <col width="2.28515625" customWidth="1" style="251" min="8454" max="8455"/>
    <col width="35.42578125" customWidth="1" style="251" min="8456" max="8456"/>
    <col width="14.7109375" customWidth="1" style="251" min="8457" max="8457"/>
    <col width="12.85546875" customWidth="1" style="251" min="8458" max="8460"/>
    <col width="15.5703125" customWidth="1" style="251" min="8461" max="8461"/>
    <col width="12.85546875" customWidth="1" style="251" min="8462" max="8465"/>
    <col width="10.42578125" customWidth="1" style="251" min="8466" max="8467"/>
    <col width="12.28515625" customWidth="1" style="251" min="8468" max="8468"/>
    <col width="10.42578125" customWidth="1" style="251" min="8469" max="8709"/>
    <col width="2.28515625" customWidth="1" style="251" min="8710" max="8711"/>
    <col width="35.42578125" customWidth="1" style="251" min="8712" max="8712"/>
    <col width="14.7109375" customWidth="1" style="251" min="8713" max="8713"/>
    <col width="12.85546875" customWidth="1" style="251" min="8714" max="8716"/>
    <col width="15.5703125" customWidth="1" style="251" min="8717" max="8717"/>
    <col width="12.85546875" customWidth="1" style="251" min="8718" max="8721"/>
    <col width="10.42578125" customWidth="1" style="251" min="8722" max="8723"/>
    <col width="12.28515625" customWidth="1" style="251" min="8724" max="8724"/>
    <col width="10.42578125" customWidth="1" style="251" min="8725" max="8965"/>
    <col width="2.28515625" customWidth="1" style="251" min="8966" max="8967"/>
    <col width="35.42578125" customWidth="1" style="251" min="8968" max="8968"/>
    <col width="14.7109375" customWidth="1" style="251" min="8969" max="8969"/>
    <col width="12.85546875" customWidth="1" style="251" min="8970" max="8972"/>
    <col width="15.5703125" customWidth="1" style="251" min="8973" max="8973"/>
    <col width="12.85546875" customWidth="1" style="251" min="8974" max="8977"/>
    <col width="10.42578125" customWidth="1" style="251" min="8978" max="8979"/>
    <col width="12.28515625" customWidth="1" style="251" min="8980" max="8980"/>
    <col width="10.42578125" customWidth="1" style="251" min="8981" max="9221"/>
    <col width="2.28515625" customWidth="1" style="251" min="9222" max="9223"/>
    <col width="35.42578125" customWidth="1" style="251" min="9224" max="9224"/>
    <col width="14.7109375" customWidth="1" style="251" min="9225" max="9225"/>
    <col width="12.85546875" customWidth="1" style="251" min="9226" max="9228"/>
    <col width="15.5703125" customWidth="1" style="251" min="9229" max="9229"/>
    <col width="12.85546875" customWidth="1" style="251" min="9230" max="9233"/>
    <col width="10.42578125" customWidth="1" style="251" min="9234" max="9235"/>
    <col width="12.28515625" customWidth="1" style="251" min="9236" max="9236"/>
    <col width="10.42578125" customWidth="1" style="251" min="9237" max="9477"/>
    <col width="2.28515625" customWidth="1" style="251" min="9478" max="9479"/>
    <col width="35.42578125" customWidth="1" style="251" min="9480" max="9480"/>
    <col width="14.7109375" customWidth="1" style="251" min="9481" max="9481"/>
    <col width="12.85546875" customWidth="1" style="251" min="9482" max="9484"/>
    <col width="15.5703125" customWidth="1" style="251" min="9485" max="9485"/>
    <col width="12.85546875" customWidth="1" style="251" min="9486" max="9489"/>
    <col width="10.42578125" customWidth="1" style="251" min="9490" max="9491"/>
    <col width="12.28515625" customWidth="1" style="251" min="9492" max="9492"/>
    <col width="10.42578125" customWidth="1" style="251" min="9493" max="9733"/>
    <col width="2.28515625" customWidth="1" style="251" min="9734" max="9735"/>
    <col width="35.42578125" customWidth="1" style="251" min="9736" max="9736"/>
    <col width="14.7109375" customWidth="1" style="251" min="9737" max="9737"/>
    <col width="12.85546875" customWidth="1" style="251" min="9738" max="9740"/>
    <col width="15.5703125" customWidth="1" style="251" min="9741" max="9741"/>
    <col width="12.85546875" customWidth="1" style="251" min="9742" max="9745"/>
    <col width="10.42578125" customWidth="1" style="251" min="9746" max="9747"/>
    <col width="12.28515625" customWidth="1" style="251" min="9748" max="9748"/>
    <col width="10.42578125" customWidth="1" style="251" min="9749" max="9989"/>
    <col width="2.28515625" customWidth="1" style="251" min="9990" max="9991"/>
    <col width="35.42578125" customWidth="1" style="251" min="9992" max="9992"/>
    <col width="14.7109375" customWidth="1" style="251" min="9993" max="9993"/>
    <col width="12.85546875" customWidth="1" style="251" min="9994" max="9996"/>
    <col width="15.5703125" customWidth="1" style="251" min="9997" max="9997"/>
    <col width="12.85546875" customWidth="1" style="251" min="9998" max="10001"/>
    <col width="10.42578125" customWidth="1" style="251" min="10002" max="10003"/>
    <col width="12.28515625" customWidth="1" style="251" min="10004" max="10004"/>
    <col width="10.42578125" customWidth="1" style="251" min="10005" max="10245"/>
    <col width="2.28515625" customWidth="1" style="251" min="10246" max="10247"/>
    <col width="35.42578125" customWidth="1" style="251" min="10248" max="10248"/>
    <col width="14.7109375" customWidth="1" style="251" min="10249" max="10249"/>
    <col width="12.85546875" customWidth="1" style="251" min="10250" max="10252"/>
    <col width="15.5703125" customWidth="1" style="251" min="10253" max="10253"/>
    <col width="12.85546875" customWidth="1" style="251" min="10254" max="10257"/>
    <col width="10.42578125" customWidth="1" style="251" min="10258" max="10259"/>
    <col width="12.28515625" customWidth="1" style="251" min="10260" max="10260"/>
    <col width="10.42578125" customWidth="1" style="251" min="10261" max="10501"/>
    <col width="2.28515625" customWidth="1" style="251" min="10502" max="10503"/>
    <col width="35.42578125" customWidth="1" style="251" min="10504" max="10504"/>
    <col width="14.7109375" customWidth="1" style="251" min="10505" max="10505"/>
    <col width="12.85546875" customWidth="1" style="251" min="10506" max="10508"/>
    <col width="15.5703125" customWidth="1" style="251" min="10509" max="10509"/>
    <col width="12.85546875" customWidth="1" style="251" min="10510" max="10513"/>
    <col width="10.42578125" customWidth="1" style="251" min="10514" max="10515"/>
    <col width="12.28515625" customWidth="1" style="251" min="10516" max="10516"/>
    <col width="10.42578125" customWidth="1" style="251" min="10517" max="10757"/>
    <col width="2.28515625" customWidth="1" style="251" min="10758" max="10759"/>
    <col width="35.42578125" customWidth="1" style="251" min="10760" max="10760"/>
    <col width="14.7109375" customWidth="1" style="251" min="10761" max="10761"/>
    <col width="12.85546875" customWidth="1" style="251" min="10762" max="10764"/>
    <col width="15.5703125" customWidth="1" style="251" min="10765" max="10765"/>
    <col width="12.85546875" customWidth="1" style="251" min="10766" max="10769"/>
    <col width="10.42578125" customWidth="1" style="251" min="10770" max="10771"/>
    <col width="12.28515625" customWidth="1" style="251" min="10772" max="10772"/>
    <col width="10.42578125" customWidth="1" style="251" min="10773" max="11013"/>
    <col width="2.28515625" customWidth="1" style="251" min="11014" max="11015"/>
    <col width="35.42578125" customWidth="1" style="251" min="11016" max="11016"/>
    <col width="14.7109375" customWidth="1" style="251" min="11017" max="11017"/>
    <col width="12.85546875" customWidth="1" style="251" min="11018" max="11020"/>
    <col width="15.5703125" customWidth="1" style="251" min="11021" max="11021"/>
    <col width="12.85546875" customWidth="1" style="251" min="11022" max="11025"/>
    <col width="10.42578125" customWidth="1" style="251" min="11026" max="11027"/>
    <col width="12.28515625" customWidth="1" style="251" min="11028" max="11028"/>
    <col width="10.42578125" customWidth="1" style="251" min="11029" max="11269"/>
    <col width="2.28515625" customWidth="1" style="251" min="11270" max="11271"/>
    <col width="35.42578125" customWidth="1" style="251" min="11272" max="11272"/>
    <col width="14.7109375" customWidth="1" style="251" min="11273" max="11273"/>
    <col width="12.85546875" customWidth="1" style="251" min="11274" max="11276"/>
    <col width="15.5703125" customWidth="1" style="251" min="11277" max="11277"/>
    <col width="12.85546875" customWidth="1" style="251" min="11278" max="11281"/>
    <col width="10.42578125" customWidth="1" style="251" min="11282" max="11283"/>
    <col width="12.28515625" customWidth="1" style="251" min="11284" max="11284"/>
    <col width="10.42578125" customWidth="1" style="251" min="11285" max="11525"/>
    <col width="2.28515625" customWidth="1" style="251" min="11526" max="11527"/>
    <col width="35.42578125" customWidth="1" style="251" min="11528" max="11528"/>
    <col width="14.7109375" customWidth="1" style="251" min="11529" max="11529"/>
    <col width="12.85546875" customWidth="1" style="251" min="11530" max="11532"/>
    <col width="15.5703125" customWidth="1" style="251" min="11533" max="11533"/>
    <col width="12.85546875" customWidth="1" style="251" min="11534" max="11537"/>
    <col width="10.42578125" customWidth="1" style="251" min="11538" max="11539"/>
    <col width="12.28515625" customWidth="1" style="251" min="11540" max="11540"/>
    <col width="10.42578125" customWidth="1" style="251" min="11541" max="11781"/>
    <col width="2.28515625" customWidth="1" style="251" min="11782" max="11783"/>
    <col width="35.42578125" customWidth="1" style="251" min="11784" max="11784"/>
    <col width="14.7109375" customWidth="1" style="251" min="11785" max="11785"/>
    <col width="12.85546875" customWidth="1" style="251" min="11786" max="11788"/>
    <col width="15.5703125" customWidth="1" style="251" min="11789" max="11789"/>
    <col width="12.85546875" customWidth="1" style="251" min="11790" max="11793"/>
    <col width="10.42578125" customWidth="1" style="251" min="11794" max="11795"/>
    <col width="12.28515625" customWidth="1" style="251" min="11796" max="11796"/>
    <col width="10.42578125" customWidth="1" style="251" min="11797" max="12037"/>
    <col width="2.28515625" customWidth="1" style="251" min="12038" max="12039"/>
    <col width="35.42578125" customWidth="1" style="251" min="12040" max="12040"/>
    <col width="14.7109375" customWidth="1" style="251" min="12041" max="12041"/>
    <col width="12.85546875" customWidth="1" style="251" min="12042" max="12044"/>
    <col width="15.5703125" customWidth="1" style="251" min="12045" max="12045"/>
    <col width="12.85546875" customWidth="1" style="251" min="12046" max="12049"/>
    <col width="10.42578125" customWidth="1" style="251" min="12050" max="12051"/>
    <col width="12.28515625" customWidth="1" style="251" min="12052" max="12052"/>
    <col width="10.42578125" customWidth="1" style="251" min="12053" max="12293"/>
    <col width="2.28515625" customWidth="1" style="251" min="12294" max="12295"/>
    <col width="35.42578125" customWidth="1" style="251" min="12296" max="12296"/>
    <col width="14.7109375" customWidth="1" style="251" min="12297" max="12297"/>
    <col width="12.85546875" customWidth="1" style="251" min="12298" max="12300"/>
    <col width="15.5703125" customWidth="1" style="251" min="12301" max="12301"/>
    <col width="12.85546875" customWidth="1" style="251" min="12302" max="12305"/>
    <col width="10.42578125" customWidth="1" style="251" min="12306" max="12307"/>
    <col width="12.28515625" customWidth="1" style="251" min="12308" max="12308"/>
    <col width="10.42578125" customWidth="1" style="251" min="12309" max="12549"/>
    <col width="2.28515625" customWidth="1" style="251" min="12550" max="12551"/>
    <col width="35.42578125" customWidth="1" style="251" min="12552" max="12552"/>
    <col width="14.7109375" customWidth="1" style="251" min="12553" max="12553"/>
    <col width="12.85546875" customWidth="1" style="251" min="12554" max="12556"/>
    <col width="15.5703125" customWidth="1" style="251" min="12557" max="12557"/>
    <col width="12.85546875" customWidth="1" style="251" min="12558" max="12561"/>
    <col width="10.42578125" customWidth="1" style="251" min="12562" max="12563"/>
    <col width="12.28515625" customWidth="1" style="251" min="12564" max="12564"/>
    <col width="10.42578125" customWidth="1" style="251" min="12565" max="12805"/>
    <col width="2.28515625" customWidth="1" style="251" min="12806" max="12807"/>
    <col width="35.42578125" customWidth="1" style="251" min="12808" max="12808"/>
    <col width="14.7109375" customWidth="1" style="251" min="12809" max="12809"/>
    <col width="12.85546875" customWidth="1" style="251" min="12810" max="12812"/>
    <col width="15.5703125" customWidth="1" style="251" min="12813" max="12813"/>
    <col width="12.85546875" customWidth="1" style="251" min="12814" max="12817"/>
    <col width="10.42578125" customWidth="1" style="251" min="12818" max="12819"/>
    <col width="12.28515625" customWidth="1" style="251" min="12820" max="12820"/>
    <col width="10.42578125" customWidth="1" style="251" min="12821" max="13061"/>
    <col width="2.28515625" customWidth="1" style="251" min="13062" max="13063"/>
    <col width="35.42578125" customWidth="1" style="251" min="13064" max="13064"/>
    <col width="14.7109375" customWidth="1" style="251" min="13065" max="13065"/>
    <col width="12.85546875" customWidth="1" style="251" min="13066" max="13068"/>
    <col width="15.5703125" customWidth="1" style="251" min="13069" max="13069"/>
    <col width="12.85546875" customWidth="1" style="251" min="13070" max="13073"/>
    <col width="10.42578125" customWidth="1" style="251" min="13074" max="13075"/>
    <col width="12.28515625" customWidth="1" style="251" min="13076" max="13076"/>
    <col width="10.42578125" customWidth="1" style="251" min="13077" max="13317"/>
    <col width="2.28515625" customWidth="1" style="251" min="13318" max="13319"/>
    <col width="35.42578125" customWidth="1" style="251" min="13320" max="13320"/>
    <col width="14.7109375" customWidth="1" style="251" min="13321" max="13321"/>
    <col width="12.85546875" customWidth="1" style="251" min="13322" max="13324"/>
    <col width="15.5703125" customWidth="1" style="251" min="13325" max="13325"/>
    <col width="12.85546875" customWidth="1" style="251" min="13326" max="13329"/>
    <col width="10.42578125" customWidth="1" style="251" min="13330" max="13331"/>
    <col width="12.28515625" customWidth="1" style="251" min="13332" max="13332"/>
    <col width="10.42578125" customWidth="1" style="251" min="13333" max="13573"/>
    <col width="2.28515625" customWidth="1" style="251" min="13574" max="13575"/>
    <col width="35.42578125" customWidth="1" style="251" min="13576" max="13576"/>
    <col width="14.7109375" customWidth="1" style="251" min="13577" max="13577"/>
    <col width="12.85546875" customWidth="1" style="251" min="13578" max="13580"/>
    <col width="15.5703125" customWidth="1" style="251" min="13581" max="13581"/>
    <col width="12.85546875" customWidth="1" style="251" min="13582" max="13585"/>
    <col width="10.42578125" customWidth="1" style="251" min="13586" max="13587"/>
    <col width="12.28515625" customWidth="1" style="251" min="13588" max="13588"/>
    <col width="10.42578125" customWidth="1" style="251" min="13589" max="13829"/>
    <col width="2.28515625" customWidth="1" style="251" min="13830" max="13831"/>
    <col width="35.42578125" customWidth="1" style="251" min="13832" max="13832"/>
    <col width="14.7109375" customWidth="1" style="251" min="13833" max="13833"/>
    <col width="12.85546875" customWidth="1" style="251" min="13834" max="13836"/>
    <col width="15.5703125" customWidth="1" style="251" min="13837" max="13837"/>
    <col width="12.85546875" customWidth="1" style="251" min="13838" max="13841"/>
    <col width="10.42578125" customWidth="1" style="251" min="13842" max="13843"/>
    <col width="12.28515625" customWidth="1" style="251" min="13844" max="13844"/>
    <col width="10.42578125" customWidth="1" style="251" min="13845" max="14085"/>
    <col width="2.28515625" customWidth="1" style="251" min="14086" max="14087"/>
    <col width="35.42578125" customWidth="1" style="251" min="14088" max="14088"/>
    <col width="14.7109375" customWidth="1" style="251" min="14089" max="14089"/>
    <col width="12.85546875" customWidth="1" style="251" min="14090" max="14092"/>
    <col width="15.5703125" customWidth="1" style="251" min="14093" max="14093"/>
    <col width="12.85546875" customWidth="1" style="251" min="14094" max="14097"/>
    <col width="10.42578125" customWidth="1" style="251" min="14098" max="14099"/>
    <col width="12.28515625" customWidth="1" style="251" min="14100" max="14100"/>
    <col width="10.42578125" customWidth="1" style="251" min="14101" max="14341"/>
    <col width="2.28515625" customWidth="1" style="251" min="14342" max="14343"/>
    <col width="35.42578125" customWidth="1" style="251" min="14344" max="14344"/>
    <col width="14.7109375" customWidth="1" style="251" min="14345" max="14345"/>
    <col width="12.85546875" customWidth="1" style="251" min="14346" max="14348"/>
    <col width="15.5703125" customWidth="1" style="251" min="14349" max="14349"/>
    <col width="12.85546875" customWidth="1" style="251" min="14350" max="14353"/>
    <col width="10.42578125" customWidth="1" style="251" min="14354" max="14355"/>
    <col width="12.28515625" customWidth="1" style="251" min="14356" max="14356"/>
    <col width="10.42578125" customWidth="1" style="251" min="14357" max="14597"/>
    <col width="2.28515625" customWidth="1" style="251" min="14598" max="14599"/>
    <col width="35.42578125" customWidth="1" style="251" min="14600" max="14600"/>
    <col width="14.7109375" customWidth="1" style="251" min="14601" max="14601"/>
    <col width="12.85546875" customWidth="1" style="251" min="14602" max="14604"/>
    <col width="15.5703125" customWidth="1" style="251" min="14605" max="14605"/>
    <col width="12.85546875" customWidth="1" style="251" min="14606" max="14609"/>
    <col width="10.42578125" customWidth="1" style="251" min="14610" max="14611"/>
    <col width="12.28515625" customWidth="1" style="251" min="14612" max="14612"/>
    <col width="10.42578125" customWidth="1" style="251" min="14613" max="14853"/>
    <col width="2.28515625" customWidth="1" style="251" min="14854" max="14855"/>
    <col width="35.42578125" customWidth="1" style="251" min="14856" max="14856"/>
    <col width="14.7109375" customWidth="1" style="251" min="14857" max="14857"/>
    <col width="12.85546875" customWidth="1" style="251" min="14858" max="14860"/>
    <col width="15.5703125" customWidth="1" style="251" min="14861" max="14861"/>
    <col width="12.85546875" customWidth="1" style="251" min="14862" max="14865"/>
    <col width="10.42578125" customWidth="1" style="251" min="14866" max="14867"/>
    <col width="12.28515625" customWidth="1" style="251" min="14868" max="14868"/>
    <col width="10.42578125" customWidth="1" style="251" min="14869" max="15109"/>
    <col width="2.28515625" customWidth="1" style="251" min="15110" max="15111"/>
    <col width="35.42578125" customWidth="1" style="251" min="15112" max="15112"/>
    <col width="14.7109375" customWidth="1" style="251" min="15113" max="15113"/>
    <col width="12.85546875" customWidth="1" style="251" min="15114" max="15116"/>
    <col width="15.5703125" customWidth="1" style="251" min="15117" max="15117"/>
    <col width="12.85546875" customWidth="1" style="251" min="15118" max="15121"/>
    <col width="10.42578125" customWidth="1" style="251" min="15122" max="15123"/>
    <col width="12.28515625" customWidth="1" style="251" min="15124" max="15124"/>
    <col width="10.42578125" customWidth="1" style="251" min="15125" max="15365"/>
    <col width="2.28515625" customWidth="1" style="251" min="15366" max="15367"/>
    <col width="35.42578125" customWidth="1" style="251" min="15368" max="15368"/>
    <col width="14.7109375" customWidth="1" style="251" min="15369" max="15369"/>
    <col width="12.85546875" customWidth="1" style="251" min="15370" max="15372"/>
    <col width="15.5703125" customWidth="1" style="251" min="15373" max="15373"/>
    <col width="12.85546875" customWidth="1" style="251" min="15374" max="15377"/>
    <col width="10.42578125" customWidth="1" style="251" min="15378" max="15379"/>
    <col width="12.28515625" customWidth="1" style="251" min="15380" max="15380"/>
    <col width="10.42578125" customWidth="1" style="251" min="15381" max="15621"/>
    <col width="2.28515625" customWidth="1" style="251" min="15622" max="15623"/>
    <col width="35.42578125" customWidth="1" style="251" min="15624" max="15624"/>
    <col width="14.7109375" customWidth="1" style="251" min="15625" max="15625"/>
    <col width="12.85546875" customWidth="1" style="251" min="15626" max="15628"/>
    <col width="15.5703125" customWidth="1" style="251" min="15629" max="15629"/>
    <col width="12.85546875" customWidth="1" style="251" min="15630" max="15633"/>
    <col width="10.42578125" customWidth="1" style="251" min="15634" max="15635"/>
    <col width="12.28515625" customWidth="1" style="251" min="15636" max="15636"/>
    <col width="10.42578125" customWidth="1" style="251" min="15637" max="15877"/>
    <col width="2.28515625" customWidth="1" style="251" min="15878" max="15879"/>
    <col width="35.42578125" customWidth="1" style="251" min="15880" max="15880"/>
    <col width="14.7109375" customWidth="1" style="251" min="15881" max="15881"/>
    <col width="12.85546875" customWidth="1" style="251" min="15882" max="15884"/>
    <col width="15.5703125" customWidth="1" style="251" min="15885" max="15885"/>
    <col width="12.85546875" customWidth="1" style="251" min="15886" max="15889"/>
    <col width="10.42578125" customWidth="1" style="251" min="15890" max="15891"/>
    <col width="12.28515625" customWidth="1" style="251" min="15892" max="15892"/>
    <col width="10.42578125" customWidth="1" style="251" min="15893" max="16133"/>
    <col width="2.28515625" customWidth="1" style="251" min="16134" max="16135"/>
    <col width="35.42578125" customWidth="1" style="251" min="16136" max="16136"/>
    <col width="14.7109375" customWidth="1" style="251" min="16137" max="16137"/>
    <col width="12.85546875" customWidth="1" style="251" min="16138" max="16140"/>
    <col width="15.5703125" customWidth="1" style="251" min="16141" max="16141"/>
    <col width="12.85546875" customWidth="1" style="251" min="16142" max="16145"/>
    <col width="10.42578125" customWidth="1" style="251" min="16146" max="16147"/>
    <col width="12.28515625" customWidth="1" style="251" min="16148" max="16148"/>
    <col width="10.42578125" customWidth="1" style="251" min="16149" max="16384"/>
  </cols>
  <sheetData>
    <row r="1" ht="6.75" customFormat="1" customHeight="1" s="93"/>
    <row r="2" ht="6.75" customFormat="1" customHeight="1" s="93"/>
    <row r="3">
      <c r="C3" s="251" t="inlineStr">
        <is>
          <t>Discounted Cash Flow Model</t>
        </is>
      </c>
    </row>
    <row r="4" ht="13.5" customHeight="1">
      <c r="C4" s="94" t="inlineStr">
        <is>
          <t>All figures in millions, except per share data</t>
        </is>
      </c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</row>
    <row r="5"/>
    <row r="6"/>
    <row r="7">
      <c r="C7" s="251" t="inlineStr">
        <is>
          <t>Ticker</t>
        </is>
      </c>
      <c r="D7" s="95" t="str">
        <f>IFERROR(IF(Control!B4="","",Control!B4),"")</f>
        <v>TSLA</v>
      </c>
      <c r="F7" s="251" t="inlineStr">
        <is>
          <t>Last close</t>
        </is>
      </c>
      <c r="G7" s="96" t="str">
        <f>IFERROR(IF(Control!E4="","",Control!E4),"")</f>
        <v/>
      </c>
    </row>
    <row r="8">
      <c r="C8" s="251" t="inlineStr">
        <is>
          <t>Operating scenario:</t>
        </is>
      </c>
      <c r="D8" s="97" t="str">
        <f>IFERROR(IF(Control!B10=1,"Bull Case",IF(Control!B10=2,"Base Case","Bear Case")),"")</f>
        <v>Base Case</v>
      </c>
    </row>
    <row r="9">
      <c r="C9" s="251" t="inlineStr">
        <is>
          <t>Last fiscal year end date:</t>
        </is>
      </c>
      <c r="D9" s="98" t="str">
        <f>IFERROR(IF(Control!B12="","",DATE(YEAR(Control!B12)-1,12,31)),"")</f>
        <v/>
      </c>
    </row>
    <row r="10">
      <c r="C10" s="251" t="inlineStr">
        <is>
          <t>Valuation / deal date:</t>
        </is>
      </c>
      <c r="D10" s="98" t="str">
        <f>IFERROR(IF(Control!B12="","",Control!B12),"")</f>
        <v/>
      </c>
    </row>
    <row r="11">
      <c r="C11" s="251" t="inlineStr">
        <is>
          <t>Stub year fraction:</t>
        </is>
      </c>
      <c r="D11" s="99" t="str">
        <f>IFERROR(IF(Control!B12="","",Control!B13),"")</f>
        <v/>
      </c>
      <c r="E11" s="100" t="n"/>
      <c r="I11" s="101" t="n"/>
      <c r="O11" s="102" t="n"/>
      <c r="Z11" s="103" t="n"/>
    </row>
    <row r="12">
      <c r="C12" s="251" t="inlineStr">
        <is>
          <t>Weighted average cost of capital:</t>
        </is>
      </c>
      <c r="D12" s="99" t="str">
        <f>IFERROR(IF(Control!E12="","",Control!E12),"")</f>
        <v/>
      </c>
      <c r="I12" s="101" t="n"/>
    </row>
    <row r="13">
      <c r="D13" s="99" t="n"/>
      <c r="E13" s="99" t="n"/>
    </row>
    <row r="14" ht="14.85" customHeight="1">
      <c r="C14" s="104" t="inlineStr">
        <is>
          <t>Historicals</t>
        </is>
      </c>
      <c r="D14" s="104" t="n"/>
      <c r="E14" s="104" t="n"/>
      <c r="F14" s="104" t="n"/>
      <c r="G14" s="250" t="inlineStr">
        <is>
          <t>Projected Annual Forecast</t>
        </is>
      </c>
    </row>
    <row r="15">
      <c r="C15" s="105" t="n"/>
      <c r="D15" s="105" t="n"/>
      <c r="E15" s="105" t="n"/>
      <c r="F15" s="105" t="n"/>
      <c r="G15" s="256" t="inlineStr">
        <is>
          <t>Granular</t>
        </is>
      </c>
      <c r="H15" s="253" t="n"/>
      <c r="I15" s="253" t="n"/>
      <c r="J15" s="253" t="n"/>
      <c r="K15" s="253" t="n"/>
      <c r="L15" s="253" t="n"/>
      <c r="M15" s="253" t="n"/>
      <c r="N15" s="253" t="n"/>
      <c r="O15" s="253" t="n"/>
      <c r="P15" s="253" t="n"/>
      <c r="Q15" s="253" t="n"/>
      <c r="R15" s="253" t="n"/>
      <c r="S15" s="253" t="n"/>
      <c r="T15" s="253" t="n"/>
      <c r="U15" s="253" t="n"/>
      <c r="V15" s="253" t="n"/>
      <c r="X15" s="106" t="n"/>
      <c r="Y15" s="107" t="n"/>
      <c r="Z15" s="107" t="n"/>
    </row>
    <row r="16">
      <c r="D16" s="108" t="n">
        <v>2023</v>
      </c>
      <c r="E16" s="108" t="n">
        <v>2024</v>
      </c>
      <c r="F16" s="108" t="n">
        <v>2025</v>
      </c>
      <c r="G16" s="108" t="n">
        <v>2026</v>
      </c>
      <c r="H16" s="108" t="n">
        <v>2027</v>
      </c>
      <c r="I16" s="108" t="n">
        <v>2028</v>
      </c>
      <c r="J16" s="108" t="n">
        <v>2029</v>
      </c>
      <c r="K16" s="108" t="n">
        <v>2030</v>
      </c>
      <c r="L16" s="108" t="n"/>
      <c r="M16" s="108" t="n"/>
      <c r="N16" s="108" t="n"/>
      <c r="O16" s="108" t="n"/>
      <c r="P16" s="108" t="n"/>
      <c r="Q16" s="108" t="n"/>
      <c r="R16" s="108" t="n"/>
      <c r="S16" s="108" t="n"/>
      <c r="T16" s="108" t="n"/>
      <c r="U16" s="108" t="n"/>
      <c r="V16" s="108" t="n"/>
      <c r="W16" s="108" t="n"/>
      <c r="X16" s="107" t="n"/>
      <c r="Y16" s="107" t="n"/>
      <c r="Z16" s="107" t="n"/>
    </row>
    <row r="17">
      <c r="C17" s="109" t="n"/>
      <c r="D17" s="110" t="n">
        <v>45291</v>
      </c>
      <c r="E17" s="110" t="n">
        <v>45657</v>
      </c>
      <c r="F17" s="110" t="n">
        <v>46022</v>
      </c>
      <c r="G17" s="110" t="n">
        <v>46387</v>
      </c>
      <c r="H17" s="110" t="n">
        <v>46752</v>
      </c>
      <c r="I17" s="110" t="n">
        <v>47118</v>
      </c>
      <c r="J17" s="110" t="n">
        <v>47483</v>
      </c>
      <c r="K17" s="110" t="n">
        <v>47848</v>
      </c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1" t="n"/>
      <c r="X17" s="107" t="n"/>
      <c r="Y17" s="107" t="n"/>
      <c r="Z17" s="107" t="n"/>
    </row>
    <row r="18">
      <c r="C18" s="112" t="inlineStr">
        <is>
          <t>Net Revenues</t>
        </is>
      </c>
      <c r="D18" s="113">
        <f>IFERROR(Model!W15,"")</f>
        <v>96773</v>
      </c>
      <c r="E18" s="113">
        <f>IFERROR(Model!AB15,"")</f>
        <v>97690</v>
      </c>
      <c r="F18" s="113">
        <f>IFERROR(Model!AG15,"")</f>
        <v>94827</v>
      </c>
      <c r="G18" s="113">
        <f>IFERROR(Model!AL15,"")</f>
        <v>106156.001661498</v>
      </c>
      <c r="H18" s="113">
        <f>IFERROR(Model!AQ15,"")</f>
        <v>111237.856001319</v>
      </c>
      <c r="I18" s="113">
        <f>IFERROR(Model!AV15,"")</f>
        <v>116006.797400926</v>
      </c>
      <c r="J18" s="113">
        <f>IFERROR(Model!BA15,"")</f>
        <v>120400.156812968</v>
      </c>
      <c r="K18" s="113">
        <f>IFERROR(Model!BF15,"")</f>
        <v>124357.898854296</v>
      </c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4" t="n"/>
      <c r="X18" s="115" t="n"/>
      <c r="Y18" s="115" t="n"/>
      <c r="Z18" s="107" t="n"/>
    </row>
    <row r="19">
      <c r="C19" s="116" t="n"/>
      <c r="D19" s="109" t="str">
        <f>IFERROR("","")</f>
        <v/>
      </c>
      <c r="E19" s="117">
        <f>IFERROR(IF(D18=0,"",E18/D18-1),"")</f>
        <v>0.0094757835346635</v>
      </c>
      <c r="F19" s="117">
        <f>IFERROR(IF(E18=0,"",F18/E18-1),"")</f>
        <v>-0.0293069915037363</v>
      </c>
      <c r="G19" s="117">
        <f>IFERROR(IF(F18=0,"",G18/F18-1),"")</f>
        <v>0.119470210609824</v>
      </c>
      <c r="H19" s="117">
        <f>IFERROR(IF(G18=0,"",H18/G18-1),"")</f>
        <v>0.047871568825907</v>
      </c>
      <c r="I19" s="117">
        <f>IFERROR(IF(H18=0,"",I18/H18-1),"")</f>
        <v>0.0428715688259072</v>
      </c>
      <c r="J19" s="117">
        <f>IFERROR(IF(I18=0,"",J18/I18-1),"")</f>
        <v>0.037871568825907</v>
      </c>
      <c r="K19" s="117">
        <f>IFERROR(IF(J18=0,"",K18/J18-1),"")</f>
        <v>0.0328715688259071</v>
      </c>
      <c r="L19" s="117" t="n"/>
      <c r="M19" s="117" t="n"/>
      <c r="N19" s="117" t="n"/>
      <c r="O19" s="117" t="n"/>
      <c r="P19" s="117" t="n"/>
      <c r="Q19" s="117" t="n"/>
      <c r="R19" s="117" t="n"/>
      <c r="S19" s="117" t="n"/>
      <c r="T19" s="117" t="n"/>
      <c r="U19" s="117" t="n"/>
      <c r="V19" s="118" t="n"/>
      <c r="X19" s="107" t="n"/>
      <c r="Y19" s="107" t="n"/>
      <c r="Z19" s="107" t="n"/>
    </row>
    <row r="20">
      <c r="C20" s="119" t="inlineStr">
        <is>
          <t>EBITDA</t>
        </is>
      </c>
      <c r="D20" s="113">
        <f>IFERROR(Model!W63,"")</f>
        <v>13558</v>
      </c>
      <c r="E20" s="113">
        <f>IFERROR(Model!AB63,"")</f>
        <v>12444</v>
      </c>
      <c r="F20" s="113">
        <f>IFERROR(Model!AG63,"")</f>
        <v>10503</v>
      </c>
      <c r="G20" s="113">
        <f>IFERROR(Model!AL63,"")</f>
        <v>10313.2815270625</v>
      </c>
      <c r="H20" s="113">
        <f>IFERROR(Model!AQ63,"")</f>
        <v>11548.4043204364</v>
      </c>
      <c r="I20" s="113">
        <f>IFERROR(Model!AV63,"")</f>
        <v>12043.5025310894</v>
      </c>
      <c r="J20" s="113">
        <f>IFERROR(Model!BA63,"")</f>
        <v>12499.6088661006</v>
      </c>
      <c r="K20" s="113">
        <f>IFERROR(Model!BF63,"")</f>
        <v>12910.4906192395</v>
      </c>
      <c r="L20" s="113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1" t="n"/>
      <c r="X20" s="107" t="n"/>
      <c r="Y20" s="107" t="n"/>
      <c r="Z20" s="107" t="n"/>
    </row>
    <row r="21">
      <c r="C21" s="116" t="n"/>
      <c r="D21" s="122">
        <f>IFERROR(IF(D18=0,"",D20/D18),"")</f>
        <v>0.140101061246422</v>
      </c>
      <c r="E21" s="122">
        <f>IFERROR(IF(E18=0,"",E20/E18),"")</f>
        <v>0.127382536595353</v>
      </c>
      <c r="F21" s="122">
        <f>IFERROR(IF(F18=0,"",F20/F18),"")</f>
        <v>0.11075959378658</v>
      </c>
      <c r="G21" s="122">
        <f>IFERROR(IF(G18=0,"",G20/G18),"")</f>
        <v>0.0971521286186787</v>
      </c>
      <c r="H21" s="122">
        <f>IFERROR(IF(H18=0,"",H20/H18),"")</f>
        <v>0.103817214171221</v>
      </c>
      <c r="I21" s="122">
        <f>IFERROR(IF(I18=0,"",I20/I18),"")</f>
        <v>0.103817214171221</v>
      </c>
      <c r="J21" s="122">
        <f>IFERROR(IF(J18=0,"",J20/J18),"")</f>
        <v>0.103817214171221</v>
      </c>
      <c r="K21" s="122">
        <f>IFERROR(IF(K18=0,"",K20/K18),"")</f>
        <v>0.103817214171221</v>
      </c>
      <c r="L21" s="122" t="n"/>
      <c r="M21" s="109" t="n"/>
      <c r="N21" s="109" t="n"/>
      <c r="O21" s="109" t="n"/>
      <c r="P21" s="109" t="n"/>
      <c r="Q21" s="109" t="n"/>
      <c r="R21" s="109" t="n"/>
      <c r="S21" s="109" t="n"/>
      <c r="T21" s="109" t="n"/>
      <c r="U21" s="109" t="n"/>
      <c r="V21" s="123" t="n"/>
      <c r="X21" s="115" t="n"/>
      <c r="Y21" s="115" t="n"/>
      <c r="Z21" s="107" t="n"/>
    </row>
    <row r="22">
      <c r="C22" s="112" t="inlineStr">
        <is>
          <t>EBIT</t>
        </is>
      </c>
      <c r="D22" s="113">
        <f>IFERROR(Model!W67,"")</f>
        <v>8891</v>
      </c>
      <c r="E22" s="113">
        <f>IFERROR(Model!AB67,"")</f>
        <v>7076</v>
      </c>
      <c r="F22" s="113">
        <f>IFERROR(Model!AG67,"")</f>
        <v>4355</v>
      </c>
      <c r="G22" s="113">
        <f>IFERROR(Model!AL67,"")</f>
        <v>3487.96449790098</v>
      </c>
      <c r="H22" s="113">
        <f>IFERROR(Model!AQ67,"")</f>
        <v>4304.5791910649</v>
      </c>
      <c r="I22" s="113">
        <f>IFERROR(Model!AV67,"")</f>
        <v>4489.12325412121</v>
      </c>
      <c r="J22" s="113">
        <f>IFERROR(Model!BA67,"")</f>
        <v>4659.13339440764</v>
      </c>
      <c r="K22" s="113">
        <f>IFERROR(Model!BF67,"")</f>
        <v>4812.28641845099</v>
      </c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4" t="n"/>
      <c r="X22" s="115" t="n"/>
      <c r="Y22" s="115" t="n"/>
      <c r="Z22" s="107" t="n"/>
    </row>
    <row r="23">
      <c r="C23" s="116" t="n"/>
      <c r="D23" s="122">
        <f>IFERROR(IF(D18=0,"",D22/D18),"")</f>
        <v>0.0918747997891974</v>
      </c>
      <c r="E23" s="122">
        <f>IFERROR(IF(E18=0,"",E22/E18),"")</f>
        <v>0.0724332070836319</v>
      </c>
      <c r="F23" s="122">
        <f>IFERROR(IF(F18=0,"",F22/F18),"")</f>
        <v>0.0459257384500195</v>
      </c>
      <c r="G23" s="122">
        <f>IFERROR(IF(G18=0,"",G22/G18),"")</f>
        <v>0.0328569693970119</v>
      </c>
      <c r="H23" s="122">
        <f>IFERROR(IF(H18=0,"",H22/H18),"")</f>
        <v>0.0386970708156569</v>
      </c>
      <c r="I23" s="122">
        <f>IFERROR(IF(I18=0,"",I22/I18),"")</f>
        <v>0.038697070815657</v>
      </c>
      <c r="J23" s="122">
        <f>IFERROR(IF(J18=0,"",J22/J18),"")</f>
        <v>0.038697070815657</v>
      </c>
      <c r="K23" s="122">
        <f>IFERROR(IF(K18=0,"",K22/K18),"")</f>
        <v>0.038697070815657</v>
      </c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4" t="n"/>
      <c r="X23" s="107" t="n"/>
      <c r="Y23" s="107" t="n"/>
      <c r="Z23" s="107" t="n"/>
    </row>
    <row r="24">
      <c r="C24" s="112" t="inlineStr">
        <is>
          <t>Tax rate</t>
        </is>
      </c>
      <c r="D24" s="125">
        <f>IFERROR(Model!W126,"")</f>
        <v>-0.501453925599118</v>
      </c>
      <c r="E24" s="125">
        <f>IFERROR(Model!AB126,"")</f>
        <v>0.204338153503893</v>
      </c>
      <c r="F24" s="125">
        <f>IFERROR(Model!AG126,"")</f>
        <v>0.269609700644183</v>
      </c>
      <c r="G24" s="125">
        <f>IFERROR(Model!AL126,"")</f>
        <v>0.245706550605576</v>
      </c>
      <c r="H24" s="125">
        <f>IFERROR(Model!AQ126,"")</f>
        <v>0.263278189904622</v>
      </c>
      <c r="I24" s="125">
        <f>IFERROR(Model!AV126,"")</f>
        <v>0.263278189904622</v>
      </c>
      <c r="J24" s="125">
        <f>IFERROR(Model!BA126,"")</f>
        <v>0.263278189904622</v>
      </c>
      <c r="K24" s="125">
        <f>IFERROR(Model!BF126,"")</f>
        <v>0.263278189904622</v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6" t="n"/>
      <c r="X24" s="107" t="n"/>
      <c r="Y24" s="107" t="n"/>
      <c r="Z24" s="107" t="n"/>
    </row>
    <row r="25">
      <c r="C25" s="116" t="inlineStr">
        <is>
          <t>NOPLAT</t>
        </is>
      </c>
      <c r="D25" s="127">
        <f>IFERROR(D22*(1-D24),"")</f>
        <v>13349.4268525018</v>
      </c>
      <c r="E25" s="127">
        <f>IFERROR(E22*(1-E24),"")</f>
        <v>5630.10322580645</v>
      </c>
      <c r="F25" s="127">
        <f>IFERROR(F22*(1-F24),"")</f>
        <v>3180.84975369458</v>
      </c>
      <c r="G25" s="127">
        <f>IFERROR(G22*(1-G24),"")</f>
        <v>2630.94877248702</v>
      </c>
      <c r="H25" s="127">
        <f>IFERROR(H22*(1-H24),"")</f>
        <v>3171.27737334023</v>
      </c>
      <c r="I25" s="127">
        <f>IFERROR(I22*(1-I24),"")</f>
        <v>3307.23500951743</v>
      </c>
      <c r="J25" s="127">
        <f>IFERROR(J22*(1-J24),"")</f>
        <v>3432.48518780382</v>
      </c>
      <c r="K25" s="127">
        <f>IFERROR(K22*(1-K24),"")</f>
        <v>3545.31636089862</v>
      </c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8" t="n"/>
      <c r="X25" s="115" t="n"/>
      <c r="Y25" s="115" t="n"/>
      <c r="Z25" s="107" t="n"/>
    </row>
    <row r="26">
      <c r="C26" s="129" t="inlineStr">
        <is>
          <t>Depreciation &amp; Amortization</t>
        </is>
      </c>
      <c r="D26" s="130">
        <f>IFERROR(-Model!W64,"")</f>
        <v>4667</v>
      </c>
      <c r="E26" s="130">
        <f>IFERROR(-Model!AB64,"")</f>
        <v>5368</v>
      </c>
      <c r="F26" s="130">
        <f>IFERROR(-Model!AG64,"")</f>
        <v>6148</v>
      </c>
      <c r="G26" s="130">
        <f>IFERROR(-Model!AL64,"")</f>
        <v>6825.31702916153</v>
      </c>
      <c r="H26" s="130">
        <f>IFERROR(-Model!AQ64,"")</f>
        <v>7243.82512937153</v>
      </c>
      <c r="I26" s="130">
        <f>IFERROR(-Model!AV64,"")</f>
        <v>7554.37927696822</v>
      </c>
      <c r="J26" s="130">
        <f>IFERROR(-Model!BA64,"")</f>
        <v>7840.47547169293</v>
      </c>
      <c r="K26" s="130">
        <f>IFERROR(-Model!BF64,"")</f>
        <v>8098.20420078852</v>
      </c>
      <c r="L26" s="131" t="n"/>
      <c r="X26" s="107" t="n"/>
      <c r="Y26" s="107" t="n"/>
      <c r="Z26" s="107" t="n"/>
    </row>
    <row r="27">
      <c r="C27" s="132" t="inlineStr">
        <is>
          <t>Cash from working capital</t>
        </is>
      </c>
      <c r="D27" s="133">
        <f>IFERROR(Model!W273,"")</f>
        <v>-6484</v>
      </c>
      <c r="E27" s="133">
        <f>IFERROR(Model!AB273,"")</f>
        <v>-993</v>
      </c>
      <c r="F27" s="133">
        <f>IFERROR(Model!AG273,"")</f>
        <v>-294</v>
      </c>
      <c r="G27" s="133">
        <f>IFERROR(Model!AL273,"")</f>
        <v>1035.51047148996</v>
      </c>
      <c r="H27" s="133">
        <f>IFERROR(Model!AQ273,"")</f>
        <v>-202.472299062521</v>
      </c>
      <c r="I27" s="133">
        <f>IFERROR(Model!AV273,"")</f>
        <v>-190.00515652457</v>
      </c>
      <c r="J27" s="133">
        <f>IFERROR(Model!BA273,"")</f>
        <v>-175.041140749306</v>
      </c>
      <c r="K27" s="133">
        <f>IFERROR(Model!BF273,"")</f>
        <v>-157.685182734325</v>
      </c>
      <c r="L27" s="134" t="n"/>
      <c r="X27" s="107" t="n"/>
      <c r="Y27" s="107" t="n"/>
      <c r="Z27" s="107" t="n"/>
    </row>
    <row r="28">
      <c r="C28" s="135" t="inlineStr">
        <is>
          <t>Accounts receivable</t>
        </is>
      </c>
      <c r="D28" s="136">
        <f>IFERROR(Model!W274,"")</f>
        <v>-556</v>
      </c>
      <c r="E28" s="136">
        <f>IFERROR(Model!AB274,"")</f>
        <v>-910</v>
      </c>
      <c r="F28" s="136">
        <f>IFERROR(Model!AG274,"")</f>
        <v>-158</v>
      </c>
      <c r="G28" s="136">
        <f>IFERROR(Model!AL274,"")</f>
        <v>107.828032161116</v>
      </c>
      <c r="H28" s="136">
        <f>IFERROR(Model!AQ274,"")</f>
        <v>-213.898401884388</v>
      </c>
      <c r="I28" s="136">
        <f>IFERROR(Model!AV274,"")</f>
        <v>-200.727702103331</v>
      </c>
      <c r="J28" s="136">
        <f>IFERROR(Model!BA274,"")</f>
        <v>-184.919223240188</v>
      </c>
      <c r="K28" s="136">
        <f>IFERROR(Model!BF274,"")</f>
        <v>-166.583817855028</v>
      </c>
      <c r="L28" s="137" t="n"/>
      <c r="X28" s="107" t="n"/>
      <c r="Y28" s="107" t="n"/>
      <c r="Z28" s="107" t="n"/>
    </row>
    <row r="29">
      <c r="C29" s="135" t="inlineStr">
        <is>
          <t>Inventories</t>
        </is>
      </c>
      <c r="D29" s="136">
        <f>IFERROR(Model!W275,"")</f>
        <v>-787</v>
      </c>
      <c r="E29" s="136">
        <f>IFERROR(Model!AB275,"")</f>
        <v>1609</v>
      </c>
      <c r="F29" s="136">
        <f>IFERROR(Model!AG275,"")</f>
        <v>-375</v>
      </c>
      <c r="G29" s="136">
        <f>IFERROR(Model!AL275,"")</f>
        <v>-2313.41201549255</v>
      </c>
      <c r="H29" s="136">
        <f>IFERROR(Model!AQ275,"")</f>
        <v>-703.971143412973</v>
      </c>
      <c r="I29" s="136">
        <f>IFERROR(Model!AV275,"")</f>
        <v>-660.624430661792</v>
      </c>
      <c r="J29" s="136">
        <f>IFERROR(Model!BA275,"")</f>
        <v>-608.596398461146</v>
      </c>
      <c r="K29" s="136">
        <f>IFERROR(Model!BF275,"")</f>
        <v>-548.251878912528</v>
      </c>
      <c r="L29" s="137" t="n"/>
      <c r="X29" s="107" t="n"/>
      <c r="Y29" s="107" t="n"/>
      <c r="Z29" s="107" t="n"/>
    </row>
    <row r="30">
      <c r="C30" s="135" t="inlineStr">
        <is>
          <t>Deferred income taxes (assets)</t>
        </is>
      </c>
      <c r="D30" s="136">
        <f>IFERROR(Model!W276,"")</f>
        <v>-6733</v>
      </c>
      <c r="E30" s="136">
        <f>IFERROR(Model!AB276,"")</f>
        <v>209</v>
      </c>
      <c r="F30" s="136">
        <f>IFERROR(Model!AG276,"")</f>
        <v>-401</v>
      </c>
      <c r="G30" s="136">
        <f>IFERROR(Model!AL276,"")</f>
        <v>-310</v>
      </c>
      <c r="H30" s="136">
        <f>IFERROR(Model!AQ276,"")</f>
        <v>0</v>
      </c>
      <c r="I30" s="136">
        <f>IFERROR(Model!AV276,"")</f>
        <v>0</v>
      </c>
      <c r="J30" s="136">
        <f>IFERROR(Model!BA276,"")</f>
        <v>0</v>
      </c>
      <c r="K30" s="136">
        <f>IFERROR(Model!BF276,"")</f>
        <v>0</v>
      </c>
      <c r="L30" s="137" t="n"/>
      <c r="X30" s="107" t="n"/>
      <c r="Y30" s="107" t="n"/>
      <c r="Z30" s="107" t="n"/>
    </row>
    <row r="31">
      <c r="C31" s="135" t="inlineStr">
        <is>
          <t>Prepaid expenses</t>
        </is>
      </c>
      <c r="D31" s="136">
        <f>IFERROR(Model!W277,"")</f>
        <v>0</v>
      </c>
      <c r="E31" s="136">
        <f>IFERROR(Model!AB277,"")</f>
        <v>0</v>
      </c>
      <c r="F31" s="136">
        <f>IFERROR(Model!AG277,"")</f>
        <v>0</v>
      </c>
      <c r="G31" s="136">
        <f>IFERROR(Model!AL277,"")</f>
        <v>0</v>
      </c>
      <c r="H31" s="136">
        <f>IFERROR(Model!AQ277,"")</f>
        <v>0</v>
      </c>
      <c r="I31" s="136">
        <f>IFERROR(Model!AV277,"")</f>
        <v>0</v>
      </c>
      <c r="J31" s="136">
        <f>IFERROR(Model!BA277,"")</f>
        <v>0</v>
      </c>
      <c r="K31" s="136">
        <f>IFERROR(Model!BF277,"")</f>
        <v>0</v>
      </c>
      <c r="L31" s="137" t="n"/>
      <c r="X31" s="107" t="n"/>
      <c r="Y31" s="107" t="n"/>
      <c r="Z31" s="107" t="n"/>
    </row>
    <row r="32">
      <c r="C32" s="135" t="inlineStr">
        <is>
          <t>Other current assets</t>
        </is>
      </c>
      <c r="D32" s="136">
        <f>IFERROR(Model!W278,"")</f>
        <v>-447</v>
      </c>
      <c r="E32" s="136">
        <f>IFERROR(Model!AB278,"")</f>
        <v>-1974</v>
      </c>
      <c r="F32" s="136">
        <f>IFERROR(Model!AG278,"")</f>
        <v>-2253</v>
      </c>
      <c r="G32" s="136">
        <f>IFERROR(Model!AL278,"")</f>
        <v>220</v>
      </c>
      <c r="H32" s="136">
        <f>IFERROR(Model!AQ278,"")</f>
        <v>0</v>
      </c>
      <c r="I32" s="136">
        <f>IFERROR(Model!AV278,"")</f>
        <v>0</v>
      </c>
      <c r="J32" s="136">
        <f>IFERROR(Model!BA278,"")</f>
        <v>0</v>
      </c>
      <c r="K32" s="136">
        <f>IFERROR(Model!BF278,"")</f>
        <v>0</v>
      </c>
      <c r="L32" s="137" t="n"/>
      <c r="X32" s="107" t="n"/>
      <c r="Y32" s="107" t="n"/>
      <c r="Z32" s="107" t="n"/>
    </row>
    <row r="33">
      <c r="C33" s="135" t="inlineStr">
        <is>
          <t>Accounts payable</t>
        </is>
      </c>
      <c r="D33" s="136">
        <f>IFERROR(Model!W279,"")</f>
        <v>-824</v>
      </c>
      <c r="E33" s="136">
        <f>IFERROR(Model!AB279,"")</f>
        <v>-1957</v>
      </c>
      <c r="F33" s="136">
        <f>IFERROR(Model!AG279,"")</f>
        <v>897</v>
      </c>
      <c r="G33" s="136">
        <f>IFERROR(Model!AL279,"")</f>
        <v>1573.0944548214</v>
      </c>
      <c r="H33" s="136">
        <f>IFERROR(Model!AQ279,"")</f>
        <v>715.397246234839</v>
      </c>
      <c r="I33" s="136">
        <f>IFERROR(Model!AV279,"")</f>
        <v>671.346976240553</v>
      </c>
      <c r="J33" s="136">
        <f>IFERROR(Model!BA279,"")</f>
        <v>618.474480952029</v>
      </c>
      <c r="K33" s="136">
        <f>IFERROR(Model!BF279,"")</f>
        <v>557.15051403323</v>
      </c>
      <c r="L33" s="137" t="n"/>
      <c r="X33" s="107" t="n"/>
      <c r="Y33" s="107" t="n"/>
      <c r="Z33" s="107" t="n"/>
    </row>
    <row r="34">
      <c r="C34" s="135" t="inlineStr">
        <is>
          <t>Accrued expenses</t>
        </is>
      </c>
      <c r="D34" s="136">
        <f>IFERROR(Model!W280,"")</f>
        <v>0</v>
      </c>
      <c r="E34" s="136">
        <f>IFERROR(Model!AB280,"")</f>
        <v>0</v>
      </c>
      <c r="F34" s="136">
        <f>IFERROR(Model!AG280,"")</f>
        <v>0</v>
      </c>
      <c r="G34" s="136">
        <f>IFERROR(Model!AL280,"")</f>
        <v>0</v>
      </c>
      <c r="H34" s="136">
        <f>IFERROR(Model!AQ280,"")</f>
        <v>0</v>
      </c>
      <c r="I34" s="136">
        <f>IFERROR(Model!AV280,"")</f>
        <v>0</v>
      </c>
      <c r="J34" s="136">
        <f>IFERROR(Model!BA280,"")</f>
        <v>0</v>
      </c>
      <c r="K34" s="136">
        <f>IFERROR(Model!BF280,"")</f>
        <v>0</v>
      </c>
      <c r="L34" s="137" t="n"/>
      <c r="X34" s="107" t="n"/>
      <c r="Y34" s="107" t="n"/>
      <c r="Z34" s="107" t="n"/>
    </row>
    <row r="35">
      <c r="C35" s="135" t="inlineStr">
        <is>
          <t>Taxes payable</t>
        </is>
      </c>
      <c r="D35" s="136">
        <f>IFERROR(Model!W281,"")</f>
        <v>0</v>
      </c>
      <c r="E35" s="136">
        <f>IFERROR(Model!AB281,"")</f>
        <v>0</v>
      </c>
      <c r="F35" s="136">
        <f>IFERROR(Model!AG281,"")</f>
        <v>0</v>
      </c>
      <c r="G35" s="136">
        <f>IFERROR(Model!AL281,"")</f>
        <v>0</v>
      </c>
      <c r="H35" s="136">
        <f>IFERROR(Model!AQ281,"")</f>
        <v>0</v>
      </c>
      <c r="I35" s="136">
        <f>IFERROR(Model!AV281,"")</f>
        <v>0</v>
      </c>
      <c r="J35" s="136">
        <f>IFERROR(Model!BA281,"")</f>
        <v>0</v>
      </c>
      <c r="K35" s="136">
        <f>IFERROR(Model!BF281,"")</f>
        <v>0</v>
      </c>
      <c r="L35" s="137" t="n"/>
      <c r="X35" s="107" t="n"/>
      <c r="Y35" s="107" t="n"/>
      <c r="Z35" s="107" t="n"/>
    </row>
    <row r="36">
      <c r="C36" s="135" t="inlineStr">
        <is>
          <t>Other current liabilities</t>
        </is>
      </c>
      <c r="D36" s="136">
        <f>IFERROR(Model!W282,"")</f>
        <v>2863</v>
      </c>
      <c r="E36" s="136">
        <f>IFERROR(Model!AB282,"")</f>
        <v>2030</v>
      </c>
      <c r="F36" s="136">
        <f>IFERROR(Model!AG282,"")</f>
        <v>1996</v>
      </c>
      <c r="G36" s="136">
        <f>IFERROR(Model!AL282,"")</f>
        <v>1758</v>
      </c>
      <c r="H36" s="136">
        <f>IFERROR(Model!AQ282,"")</f>
        <v>0</v>
      </c>
      <c r="I36" s="136">
        <f>IFERROR(Model!AV282,"")</f>
        <v>0</v>
      </c>
      <c r="J36" s="136">
        <f>IFERROR(Model!BA282,"")</f>
        <v>0</v>
      </c>
      <c r="K36" s="136">
        <f>IFERROR(Model!BF282,"")</f>
        <v>0</v>
      </c>
      <c r="L36" s="137" t="n"/>
      <c r="X36" s="107" t="n"/>
      <c r="Y36" s="107" t="n"/>
      <c r="Z36" s="107" t="n"/>
    </row>
    <row r="37">
      <c r="C37" s="135" t="inlineStr">
        <is>
          <t>Deferred tax (liabilities)</t>
        </is>
      </c>
      <c r="D37" s="136">
        <f>IFERROR(Model!W283,"")</f>
        <v>0</v>
      </c>
      <c r="E37" s="136">
        <f>IFERROR(Model!AB283,"")</f>
        <v>0</v>
      </c>
      <c r="F37" s="136">
        <f>IFERROR(Model!AG283,"")</f>
        <v>0</v>
      </c>
      <c r="G37" s="136">
        <f>IFERROR(Model!AL283,"")</f>
        <v>0</v>
      </c>
      <c r="H37" s="136">
        <f>IFERROR(Model!AQ283,"")</f>
        <v>0</v>
      </c>
      <c r="I37" s="136">
        <f>IFERROR(Model!AV283,"")</f>
        <v>0</v>
      </c>
      <c r="J37" s="136">
        <f>IFERROR(Model!BA283,"")</f>
        <v>0</v>
      </c>
      <c r="K37" s="136">
        <f>IFERROR(Model!BF283,"")</f>
        <v>0</v>
      </c>
      <c r="L37" s="137" t="n"/>
      <c r="X37" s="107" t="n"/>
      <c r="Y37" s="107" t="n"/>
      <c r="Z37" s="107" t="n"/>
    </row>
    <row r="38">
      <c r="C38" s="135" t="inlineStr">
        <is>
          <t>Other non-current assets</t>
        </is>
      </c>
      <c r="D38" s="136">
        <f>IFERROR((Model!W183-Model!R183)*-1,"")</f>
        <v>-1032</v>
      </c>
      <c r="E38" s="136">
        <f>IFERROR((Model!AB183-Model!W183)*-1,"")</f>
        <v>137</v>
      </c>
      <c r="F38" s="136">
        <f>IFERROR((Model!AG183-Model!AB183)*-1,"")</f>
        <v>227</v>
      </c>
      <c r="G38" s="136">
        <f>IFERROR((Model!AL183-Model!AG183)*-1,"")</f>
        <v>-3321</v>
      </c>
      <c r="H38" s="136">
        <f>IFERROR((Model!AQ183-Model!AL183)*-1,"")</f>
        <v>0</v>
      </c>
      <c r="I38" s="136">
        <f>IFERROR((Model!AV183-Model!AQ183)*-1,"")</f>
        <v>0</v>
      </c>
      <c r="J38" s="136">
        <f>IFERROR((Model!BA183-Model!AV183)*-1,"")</f>
        <v>0</v>
      </c>
      <c r="K38" s="136">
        <f>IFERROR((Model!BF183-Model!BA183)*-1,"")</f>
        <v>0</v>
      </c>
      <c r="L38" s="137" t="n"/>
      <c r="X38" s="107" t="n"/>
      <c r="Y38" s="107" t="n"/>
      <c r="Z38" s="107" t="n"/>
    </row>
    <row r="39">
      <c r="C39" s="135" t="inlineStr">
        <is>
          <t>Other non-current liabilities</t>
        </is>
      </c>
      <c r="D39" s="136">
        <f>IFERROR(Model!W234-Model!R234,"")</f>
        <v>4530</v>
      </c>
      <c r="E39" s="136">
        <f>IFERROR(Model!AB234-Model!W234,"")</f>
        <v>5308</v>
      </c>
      <c r="F39" s="136">
        <f>IFERROR(Model!AG234-Model!AB234,"")</f>
        <v>3658</v>
      </c>
      <c r="G39" s="136">
        <f>IFERROR(Model!AL234-Model!AG234,"")</f>
        <v>2353</v>
      </c>
      <c r="H39" s="136">
        <f>IFERROR(Model!AQ234-Model!AL234,"")</f>
        <v>0</v>
      </c>
      <c r="I39" s="136">
        <f>IFERROR(Model!AV234-Model!AQ234,"")</f>
        <v>0</v>
      </c>
      <c r="J39" s="136">
        <f>IFERROR(Model!BA234-Model!AV234,"")</f>
        <v>0</v>
      </c>
      <c r="K39" s="136">
        <f>IFERROR(Model!BF234-Model!BA234,"")</f>
        <v>0</v>
      </c>
      <c r="L39" s="137" t="n"/>
      <c r="X39" s="107" t="n"/>
      <c r="Y39" s="107" t="n"/>
      <c r="Z39" s="107" t="n"/>
    </row>
    <row r="40">
      <c r="C40" s="135" t="inlineStr">
        <is>
          <t>Capital expenditures</t>
        </is>
      </c>
      <c r="D40" s="136">
        <f>IFERROR(Model!W289,"")</f>
        <v>-10844</v>
      </c>
      <c r="E40" s="136">
        <f>IFERROR(Model!AB289,"")</f>
        <v>-11479</v>
      </c>
      <c r="F40" s="136">
        <f>IFERROR(Model!AG289,"")</f>
        <v>-10955</v>
      </c>
      <c r="G40" s="136">
        <f>IFERROR(Model!AL289,"")</f>
        <v>-17753.3041768256</v>
      </c>
      <c r="H40" s="136">
        <f>IFERROR(Model!AQ289,"")</f>
        <v>-15889.155698064</v>
      </c>
      <c r="I40" s="136">
        <f>IFERROR(Model!AV289,"")</f>
        <v>-16570.3487301591</v>
      </c>
      <c r="J40" s="136">
        <f>IFERROR(Model!BA289,"")</f>
        <v>-17197.8938325626</v>
      </c>
      <c r="K40" s="136">
        <f>IFERROR(Model!BF289,"")</f>
        <v>-17763.2155833403</v>
      </c>
      <c r="L40" s="137" t="n"/>
      <c r="X40" s="107" t="n"/>
      <c r="Y40" s="107" t="n"/>
      <c r="Z40" s="107" t="n"/>
    </row>
    <row r="41">
      <c r="C41" s="135" t="inlineStr">
        <is>
          <t>Capital expenditures [IFRS16 - implied lease payments]</t>
        </is>
      </c>
      <c r="D41" s="251">
        <f>IFERROR(0,"")</f>
        <v>0</v>
      </c>
      <c r="E41" s="251">
        <f>IFERROR(0,"")</f>
        <v>0</v>
      </c>
      <c r="F41" s="136">
        <f>IFERROR(0,"")</f>
        <v>0</v>
      </c>
      <c r="G41" s="136">
        <f>IFERROR(0,"")</f>
        <v>0</v>
      </c>
      <c r="H41" s="136">
        <f>IFERROR(0,"")</f>
        <v>0</v>
      </c>
      <c r="I41" s="136">
        <f>IFERROR(0,"")</f>
        <v>0</v>
      </c>
      <c r="J41" s="136">
        <f>IFERROR(0,"")</f>
        <v>0</v>
      </c>
      <c r="K41" s="136">
        <f>IFERROR(0,"")</f>
        <v>0</v>
      </c>
      <c r="L41" s="137" t="n"/>
      <c r="X41" s="107" t="n"/>
      <c r="Y41" s="107" t="n"/>
      <c r="Z41" s="107" t="n"/>
    </row>
    <row r="42">
      <c r="C42" s="138" t="inlineStr">
        <is>
          <t>Purchase of intangible assets</t>
        </is>
      </c>
      <c r="D42" s="139">
        <f>IFERROR(0,"")</f>
        <v>0</v>
      </c>
      <c r="E42" s="139">
        <f>IFERROR(0,"")</f>
        <v>0</v>
      </c>
      <c r="F42" s="139">
        <f>IFERROR(0,"")</f>
        <v>0</v>
      </c>
      <c r="G42" s="139">
        <f>IFERROR(0,"")</f>
        <v>0</v>
      </c>
      <c r="H42" s="139">
        <f>IFERROR(0,"")</f>
        <v>0</v>
      </c>
      <c r="I42" s="139">
        <f>IFERROR(0,"")</f>
        <v>0</v>
      </c>
      <c r="J42" s="139">
        <f>IFERROR(0,"")</f>
        <v>0</v>
      </c>
      <c r="K42" s="139">
        <f>IFERROR(0,"")</f>
        <v>0</v>
      </c>
      <c r="L42" s="140" t="n"/>
      <c r="M42" s="141" t="n"/>
      <c r="X42" s="107" t="n"/>
      <c r="Y42" s="107" t="n"/>
      <c r="Z42" s="107" t="n"/>
      <c r="AB42" s="102" t="n"/>
    </row>
    <row r="43">
      <c r="X43" s="107" t="n"/>
      <c r="Y43" s="107" t="n"/>
      <c r="Z43" s="107" t="n"/>
    </row>
    <row r="44">
      <c r="C44" s="112" t="inlineStr">
        <is>
          <t>Net Investments</t>
        </is>
      </c>
      <c r="D44" s="133">
        <f>IFERROR(SUM(D27,D40:D42,D26),"")</f>
        <v>-12661</v>
      </c>
      <c r="E44" s="133">
        <f>IFERROR(SUM(E27,E40:E42,E26),"")</f>
        <v>-7104</v>
      </c>
      <c r="F44" s="133">
        <f>IFERROR(SUM(F27,F40:F42,F26),"")</f>
        <v>-5101</v>
      </c>
      <c r="G44" s="133">
        <f>IFERROR(SUM(G27,G40:G42,G26),"")</f>
        <v>-9892.47667617407</v>
      </c>
      <c r="H44" s="133">
        <f>IFERROR(SUM(H27,H40:H42,H26),"")</f>
        <v>-8847.80286775499</v>
      </c>
      <c r="I44" s="133">
        <f>IFERROR(SUM(I27,I40:I42,I26),"")</f>
        <v>-9205.97460971546</v>
      </c>
      <c r="J44" s="133">
        <f>IFERROR(SUM(J27,J40:J42,J26),"")</f>
        <v>-9532.45950161899</v>
      </c>
      <c r="K44" s="133">
        <f>IFERROR(SUM(K27,K40:K42,K26),"")</f>
        <v>-9822.69656528614</v>
      </c>
      <c r="L44" s="133" t="n"/>
      <c r="M44" s="142" t="n"/>
      <c r="N44" s="133" t="n"/>
      <c r="O44" s="133" t="n"/>
      <c r="P44" s="133" t="n"/>
      <c r="Q44" s="133" t="n"/>
      <c r="R44" s="133" t="n"/>
      <c r="S44" s="133" t="n"/>
      <c r="T44" s="133" t="n"/>
      <c r="U44" s="133" t="n"/>
      <c r="V44" s="134" t="n"/>
      <c r="X44" s="107" t="n"/>
      <c r="Y44" s="141" t="n"/>
      <c r="Z44" s="107" t="n"/>
    </row>
    <row r="45">
      <c r="C45" s="143" t="n"/>
      <c r="D45" s="141" t="n"/>
      <c r="E45" s="141" t="n"/>
      <c r="F45" s="141" t="n"/>
      <c r="G45" s="141" t="n"/>
      <c r="H45" s="141" t="n"/>
      <c r="I45" s="141" t="n"/>
      <c r="J45" s="141" t="n"/>
      <c r="K45" s="141" t="n"/>
      <c r="L45" s="141" t="n"/>
      <c r="V45" s="144" t="n"/>
      <c r="X45" s="107" t="n"/>
      <c r="Y45" s="107" t="n"/>
      <c r="Z45" s="107" t="n"/>
    </row>
    <row r="46">
      <c r="C46" s="143" t="inlineStr">
        <is>
          <t>Invested Capital</t>
        </is>
      </c>
      <c r="D46" s="136">
        <f>IFERROR(Model!W344,"")</f>
        <v>34515</v>
      </c>
      <c r="E46" s="136">
        <f>IFERROR(Model!AB344,"")</f>
        <v>37117</v>
      </c>
      <c r="F46" s="136">
        <f>IFERROR(Model!AG344,"")</f>
        <v>38806</v>
      </c>
      <c r="G46" s="136">
        <f>IFERROR(Model!AL344,"")</f>
        <v>50025.4766761741</v>
      </c>
      <c r="H46" s="136">
        <f>IFERROR(Model!AQ344,"")</f>
        <v>58873.2795439291</v>
      </c>
      <c r="I46" s="136">
        <f>IFERROR(Model!AV344,"")</f>
        <v>68079.2541536445</v>
      </c>
      <c r="J46" s="136">
        <f>IFERROR(Model!BA344,"")</f>
        <v>77611.7136552635</v>
      </c>
      <c r="K46" s="136">
        <f>IFERROR(Model!BF344,"")</f>
        <v>87434.4102205497</v>
      </c>
      <c r="L46" s="136" t="n"/>
      <c r="M46" s="145" t="n"/>
      <c r="N46" s="145" t="n"/>
      <c r="O46" s="145" t="n"/>
      <c r="P46" s="145" t="n"/>
      <c r="Q46" s="145" t="n"/>
      <c r="R46" s="145" t="n"/>
      <c r="S46" s="145" t="n"/>
      <c r="T46" s="145" t="n"/>
      <c r="U46" s="145" t="n"/>
      <c r="V46" s="146" t="n"/>
      <c r="X46" s="141" t="n"/>
      <c r="Y46" s="141" t="n"/>
      <c r="Z46" s="107" t="n"/>
    </row>
    <row r="47">
      <c r="C47" s="143" t="inlineStr">
        <is>
          <t>Invested Capital (ex Goodwill)</t>
        </is>
      </c>
      <c r="D47" s="136">
        <f>IFERROR(Model!W345,"")</f>
        <v>34262</v>
      </c>
      <c r="E47" s="136">
        <f>IFERROR(Model!AB345,"")</f>
        <v>36873</v>
      </c>
      <c r="F47" s="136">
        <f>IFERROR(Model!AG345,"")</f>
        <v>38806</v>
      </c>
      <c r="G47" s="136">
        <f>IFERROR(Model!AL345,"")</f>
        <v>50025.4766761741</v>
      </c>
      <c r="H47" s="136">
        <f>IFERROR(Model!AQ345,"")</f>
        <v>58873.2795439291</v>
      </c>
      <c r="I47" s="136">
        <f>IFERROR(Model!AV345,"")</f>
        <v>68079.2541536445</v>
      </c>
      <c r="J47" s="136">
        <f>IFERROR(Model!BA345,"")</f>
        <v>77611.7136552635</v>
      </c>
      <c r="K47" s="136">
        <f>IFERROR(Model!BF345,"")</f>
        <v>87434.4102205497</v>
      </c>
      <c r="L47" s="136" t="n"/>
      <c r="V47" s="144" t="n"/>
      <c r="X47" s="107" t="n"/>
      <c r="Y47" s="107" t="n"/>
      <c r="Z47" s="107" t="n"/>
    </row>
    <row r="48">
      <c r="C48" s="116" t="inlineStr">
        <is>
          <t>Invested Capital / Net Revenues</t>
        </is>
      </c>
      <c r="D48" s="122">
        <f>IFERROR(IF(D18=0,"",D46/D18),"")</f>
        <v>0.356659398799252</v>
      </c>
      <c r="E48" s="122">
        <f>IFERROR(IF(E18=0,"",E46/E18),"")</f>
        <v>0.379946770396151</v>
      </c>
      <c r="F48" s="122">
        <f>IFERROR(IF(F18=0,"",F46/F18),"")</f>
        <v>0.409229438872895</v>
      </c>
      <c r="G48" s="122">
        <f>IFERROR(IF(G18=0,"",G46/G18),"")</f>
        <v>0.471244921560738</v>
      </c>
      <c r="H48" s="122">
        <f>IFERROR(IF(H18=0,"",H46/H18),"")</f>
        <v>0.529255791690473</v>
      </c>
      <c r="I48" s="122">
        <f>IFERROR(IF(I18=0,"",I46/I18),"")</f>
        <v>0.586855733275342</v>
      </c>
      <c r="J48" s="122">
        <f>IFERROR(IF(J18=0,"",J46/J18),"")</f>
        <v>0.644614722353118</v>
      </c>
      <c r="K48" s="122">
        <f>IFERROR(IF(K18=0,"",K46/K18),"")</f>
        <v>0.703086905022353</v>
      </c>
      <c r="L48" s="122" t="n"/>
      <c r="M48" s="147" t="n"/>
      <c r="N48" s="147" t="n"/>
      <c r="O48" s="147" t="n"/>
      <c r="P48" s="147" t="n"/>
      <c r="Q48" s="147" t="n"/>
      <c r="R48" s="147" t="n"/>
      <c r="S48" s="147" t="n"/>
      <c r="T48" s="147" t="n"/>
      <c r="U48" s="147" t="n"/>
      <c r="V48" s="148" t="n"/>
      <c r="X48" s="106" t="n"/>
      <c r="Y48" s="107" t="n"/>
      <c r="Z48" s="107" t="n"/>
    </row>
    <row r="49">
      <c r="X49" s="107" t="n"/>
      <c r="Y49" s="107" t="n"/>
      <c r="Z49" s="107" t="n"/>
    </row>
    <row r="50">
      <c r="C50" s="149" t="inlineStr">
        <is>
          <t>ROIC</t>
        </is>
      </c>
      <c r="D50" s="150">
        <f>IFERROR(IF(D46=0,"",D25/D46),"")</f>
        <v>0.386771747138976</v>
      </c>
      <c r="E50" s="150">
        <f>IFERROR(IF(E46=0,"",E25/E46),"")</f>
        <v>0.151685298537232</v>
      </c>
      <c r="F50" s="150">
        <f>IFERROR(IF(F46=0,"",F25/F46),"")</f>
        <v>0.0819679882929078</v>
      </c>
      <c r="G50" s="150">
        <f>IFERROR(IF(G46=0,"",G25/G46),"")</f>
        <v>0.0525921779719907</v>
      </c>
      <c r="H50" s="150">
        <f>IFERROR(IF(H46=0,"",H25/H46),"")</f>
        <v>0.0538661579226946</v>
      </c>
      <c r="I50" s="150">
        <f>IFERROR(IF(I46=0,"",I25/I46),"")</f>
        <v>0.0485791898080068</v>
      </c>
      <c r="J50" s="150">
        <f>IFERROR(IF(J46=0,"",J25/J46),"")</f>
        <v>0.0442263806086059</v>
      </c>
      <c r="K50" s="150">
        <f>IFERROR(IF(K46=0,"",K25/K46),"")</f>
        <v>0.0405482961680156</v>
      </c>
      <c r="L50" s="150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2" t="n"/>
      <c r="X50" s="115" t="n"/>
      <c r="Y50" s="115" t="n"/>
      <c r="Z50" s="153" t="n"/>
    </row>
    <row r="51">
      <c r="C51" s="102" t="inlineStr">
        <is>
          <t>Capital Turnover</t>
        </is>
      </c>
      <c r="D51" s="154">
        <f>IFERROR(IF(D46=0,"",D18/D46),"")</f>
        <v>2.80379545125308</v>
      </c>
      <c r="E51" s="154">
        <f>IFERROR(IF(E46=0,"",E18/E46),"")</f>
        <v>2.63194762507746</v>
      </c>
      <c r="F51" s="154">
        <f>IFERROR(IF(F46=0,"",F18/F46),"")</f>
        <v>2.44361696644849</v>
      </c>
      <c r="G51" s="154">
        <f>IFERROR(IF(G46=0,"",G18/G46),"")</f>
        <v>2.12203878333172</v>
      </c>
      <c r="H51" s="154">
        <f>IFERROR(IF(H46=0,"",H18/H46),"")</f>
        <v>1.88944554920399</v>
      </c>
      <c r="I51" s="154">
        <f>IFERROR(IF(I46=0,"",I18/I46),"")</f>
        <v>1.70399630317801</v>
      </c>
      <c r="J51" s="154">
        <f>IFERROR(IF(J46=0,"",J18/J46),"")</f>
        <v>1.55131424294744</v>
      </c>
      <c r="K51" s="154">
        <f>IFERROR(IF(K46=0,"",K18/K46),"")</f>
        <v>1.42229928171996</v>
      </c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</row>
    <row r="52"/>
    <row r="53" customFormat="1" s="102">
      <c r="A53" s="251" t="n"/>
      <c r="B53" s="251" t="n"/>
      <c r="C53" s="102" t="inlineStr">
        <is>
          <t>Unlevered free cash flows = FCFF</t>
        </is>
      </c>
      <c r="D53" s="155">
        <f>IFERROR(D25+D44,"")</f>
        <v>688.426852501754</v>
      </c>
      <c r="E53" s="155">
        <f>IFERROR(E25+E44,"")</f>
        <v>-1473.89677419355</v>
      </c>
      <c r="F53" s="155">
        <f>IFERROR(F25+F44,"")</f>
        <v>-1920.15024630542</v>
      </c>
      <c r="G53" s="156">
        <f>IFERROR(G25+G44,"")</f>
        <v>-7261.52790368705</v>
      </c>
      <c r="H53" s="155">
        <f>IFERROR(H25+H44,"")</f>
        <v>-5676.52549441476</v>
      </c>
      <c r="I53" s="155">
        <f>IFERROR(I25+I44,"")</f>
        <v>-5898.73960019803</v>
      </c>
      <c r="J53" s="155">
        <f>IFERROR(J25+J44,"")</f>
        <v>-6099.97431381517</v>
      </c>
      <c r="K53" s="155">
        <f>IFERROR(K25+K44,"")</f>
        <v>-6277.38020438752</v>
      </c>
      <c r="L53" s="155" t="n"/>
      <c r="M53" s="155" t="n"/>
      <c r="N53" s="155" t="n"/>
      <c r="O53" s="155" t="n"/>
      <c r="P53" s="155" t="n"/>
      <c r="Q53" s="155" t="n"/>
      <c r="R53" s="155" t="n"/>
      <c r="S53" s="155" t="n"/>
      <c r="T53" s="155" t="n"/>
      <c r="U53" s="155" t="n"/>
      <c r="V53" s="155" t="n"/>
    </row>
    <row r="54">
      <c r="C54" s="157" t="inlineStr">
        <is>
          <t>Discount factor</t>
        </is>
      </c>
      <c r="G54" s="158" t="str">
        <f>IFERROR(IF(Control!E12="","",1/(1+Control!E12)^Control!B13),"")</f>
        <v/>
      </c>
      <c r="H54" s="158" t="str">
        <f>IFERROR(IF(G54="","",G54/(1+Control!E12)),"")</f>
        <v/>
      </c>
      <c r="I54" s="158" t="str">
        <f>IFERROR(IF(H54="","",H54/(1+Control!E12)),"")</f>
        <v/>
      </c>
      <c r="J54" s="158" t="str">
        <f>IFERROR(IF(I54="","",I54/(1+Control!E12)),"")</f>
        <v/>
      </c>
      <c r="K54" s="158" t="str">
        <f>IFERROR(IF(J54="","",J54/(1+Control!E12)),"")</f>
        <v/>
      </c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C55" s="157" t="inlineStr">
        <is>
          <t>Midyear adjustment factor</t>
        </is>
      </c>
      <c r="G55" s="159" t="str">
        <f>IFERROR(IF(Control!E12="","",(1+Control!E12)^0.5),"")</f>
        <v/>
      </c>
      <c r="H55" s="158" t="str">
        <f>IFERROR(G55,"")</f>
        <v/>
      </c>
      <c r="I55" s="158" t="str">
        <f>IFERROR(H55,"")</f>
        <v/>
      </c>
      <c r="J55" s="158" t="str">
        <f>IFERROR(I55,"")</f>
        <v/>
      </c>
      <c r="K55" s="158" t="str">
        <f>IFERROR(J55,"")</f>
        <v/>
      </c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C56" s="157" t="inlineStr">
        <is>
          <t>Present value of free cash flows</t>
        </is>
      </c>
      <c r="G56" s="141" t="str">
        <f>IFERROR(IF(G54="","",G53*G54*G55),"")</f>
        <v/>
      </c>
      <c r="H56" s="141" t="str">
        <f>IFERROR(IF(H54="","",H53*H54*H55),"")</f>
        <v/>
      </c>
      <c r="I56" s="141" t="str">
        <f>IFERROR(IF(I54="","",I53*I54*I55),"")</f>
        <v/>
      </c>
      <c r="J56" s="141" t="str">
        <f>IFERROR(IF(J54="","",J53*J54*J55),"")</f>
        <v/>
      </c>
      <c r="K56" s="141" t="str">
        <f>IFERROR(IF(K54="","",K53*K54*K55),"")</f>
        <v/>
      </c>
      <c r="L56" s="141" t="n"/>
      <c r="M56" s="141" t="n"/>
      <c r="N56" s="141" t="n"/>
      <c r="O56" s="141" t="n"/>
      <c r="P56" s="141" t="n"/>
      <c r="Q56" s="141" t="n"/>
      <c r="R56" s="141" t="n"/>
      <c r="S56" s="141" t="n"/>
      <c r="T56" s="141" t="n"/>
      <c r="U56" s="141" t="n"/>
      <c r="V56" s="141" t="n"/>
    </row>
    <row r="57">
      <c r="C57" s="102" t="inlineStr">
        <is>
          <t>Sum of present values of FCFs</t>
        </is>
      </c>
      <c r="G57" s="155" t="str">
        <f>IFERROR(IF(COUNT(G56:K56)=0,"",SUM(G56:K56)),"")</f>
        <v/>
      </c>
      <c r="H57" s="141" t="n"/>
      <c r="N57" s="160" t="n"/>
    </row>
    <row r="58"/>
    <row r="59">
      <c r="C59" s="102" t="n"/>
      <c r="D59" s="95">
        <f>IFERROR(IF(Control!B9="","",Control!B9),"")</f>
        <v>47848.0</v>
      </c>
      <c r="E59" s="161" t="n"/>
      <c r="F59" s="162" t="n"/>
      <c r="G59" s="162" t="n"/>
      <c r="H59" s="95">
        <f>IFERROR(IF(Control!B7="","",Control!B7),"")</f>
        <v>46203.0</v>
      </c>
      <c r="I59" s="162" t="n"/>
      <c r="J59" s="162" t="n"/>
      <c r="K59" s="162" t="n"/>
      <c r="L59" s="162" t="n"/>
    </row>
    <row r="60" ht="13.5" customHeight="1">
      <c r="C60" s="163" t="inlineStr">
        <is>
          <t>Terminal value</t>
        </is>
      </c>
      <c r="D60" s="164" t="n"/>
      <c r="E60" s="165" t="inlineStr">
        <is>
          <t>Equity value calculations</t>
        </is>
      </c>
      <c r="F60" s="166" t="n"/>
      <c r="G60" s="166" t="n"/>
      <c r="H60" s="166" t="n"/>
      <c r="I60" s="167" t="inlineStr">
        <is>
          <t xml:space="preserve"> Shares Outstanding Worksheet</t>
        </is>
      </c>
      <c r="J60" s="168" t="n"/>
      <c r="K60" s="169" t="n"/>
      <c r="L60" s="170" t="n"/>
    </row>
    <row r="61">
      <c r="C61" s="143" t="n"/>
      <c r="D61" s="144" t="n"/>
      <c r="I61" s="143" t="n"/>
      <c r="L61" s="144" t="n"/>
    </row>
    <row r="62">
      <c r="C62" s="171" t="inlineStr">
        <is>
          <t>Key value driver method</t>
        </is>
      </c>
      <c r="D62" s="172" t="n"/>
      <c r="E62" s="173" t="inlineStr">
        <is>
          <t>Enterprise value</t>
        </is>
      </c>
      <c r="H62" s="155" t="str">
        <f>IFERROR(D80,"")</f>
        <v/>
      </c>
      <c r="I62" s="174" t="inlineStr">
        <is>
          <t>Basic Shares Outanding :</t>
        </is>
      </c>
      <c r="J62" s="97" t="n"/>
      <c r="L62" s="175" t="n"/>
    </row>
    <row r="63" ht="13.5" customHeight="1">
      <c r="C63" s="171" t="inlineStr">
        <is>
          <t>g</t>
        </is>
      </c>
      <c r="D63" s="176" t="str">
        <f>IFERROR(IF(Control!E13="","",Control!E13),"")</f>
        <v/>
      </c>
      <c r="E63" s="157" t="inlineStr">
        <is>
          <t>Calculation of net debt:</t>
        </is>
      </c>
      <c r="H63" s="141" t="n"/>
      <c r="I63" s="174" t="inlineStr">
        <is>
          <t>Current Share Price:</t>
        </is>
      </c>
      <c r="L63" s="177" t="n"/>
    </row>
    <row r="64" ht="13.5" customHeight="1">
      <c r="C64" s="171" t="inlineStr">
        <is>
          <t>RONIC</t>
        </is>
      </c>
      <c r="D64" s="178">
        <f>IFERROR(K50,"")</f>
        <v>0.0405482961680156</v>
      </c>
      <c r="E64" s="157" t="inlineStr">
        <is>
          <t>Current portion of long-term debt</t>
        </is>
      </c>
      <c r="H64" s="137">
        <f>IFERROR(INDEX(Model!$I$206:$BF$206,1,MATCH(Control!$B$7,Model!$I$5:$BF$5,0)),"")</f>
        <v>0</v>
      </c>
      <c r="I64" s="179" t="inlineStr">
        <is>
          <t>Options / Warrants Data</t>
        </is>
      </c>
      <c r="J64" s="109" t="n"/>
      <c r="K64" s="109" t="n"/>
      <c r="L64" s="180" t="n"/>
    </row>
    <row r="65">
      <c r="C65" s="171" t="inlineStr">
        <is>
          <t>NOPLAT (t+1)</t>
        </is>
      </c>
      <c r="D65" s="181" t="str">
        <f>IFERROR(K25*(1+D63),"")</f>
        <v/>
      </c>
      <c r="E65" s="157" t="inlineStr">
        <is>
          <t>Short term debt</t>
        </is>
      </c>
      <c r="H65" s="137">
        <f>IFERROR(INDEX(Model!$I$207:$BF$207,1,MATCH(Control!$B$7,Model!$I$5:$BF$5,0)),"")</f>
        <v>0</v>
      </c>
      <c r="I65" s="179" t="n"/>
      <c r="J65" s="182" t="inlineStr">
        <is>
          <t># of options</t>
        </is>
      </c>
      <c r="K65" s="182" t="inlineStr">
        <is>
          <t xml:space="preserve">$ strike </t>
        </is>
      </c>
      <c r="L65" s="180" t="n"/>
    </row>
    <row r="66">
      <c r="C66" s="171" t="inlineStr">
        <is>
          <t>Terminal value</t>
        </is>
      </c>
      <c r="D66" s="181" t="str">
        <f>IFERROR(IF(OR(Control!E12="",D64="",D64&lt;=D63,Control!E12&lt;=D63),"",(D65*(1-D63/D64))/(Control!E12-D63)),"")</f>
        <v/>
      </c>
      <c r="E66" s="157" t="inlineStr">
        <is>
          <t>Long term debt</t>
        </is>
      </c>
      <c r="H66" s="137">
        <f>IFERROR(INDEX(Model!$I$211:$BF$211,1,MATCH(Control!$B$7,Model!$I$5:$BF$5,0)),"")</f>
        <v>0</v>
      </c>
      <c r="I66" s="157" t="inlineStr">
        <is>
          <t>Batch 1</t>
        </is>
      </c>
      <c r="J66" s="183" t="n"/>
      <c r="K66" s="184" t="n"/>
      <c r="L66" s="185" t="n"/>
    </row>
    <row r="67">
      <c r="C67" s="171" t="inlineStr">
        <is>
          <t>Midyear adjusted terminal value</t>
        </is>
      </c>
      <c r="D67" s="181" t="str">
        <f>IFERROR(IF(D66="","",D66*K55),"")</f>
        <v/>
      </c>
      <c r="E67" s="157" t="inlineStr">
        <is>
          <t>Convertible debt</t>
        </is>
      </c>
      <c r="H67" s="137">
        <f>IFERROR(INDEX(Model!$I$232:$BF$232,1,MATCH(Control!$B$7,Model!$I$5:$BF$5,0)),"")</f>
        <v>0</v>
      </c>
      <c r="I67" s="157" t="inlineStr">
        <is>
          <t>Batch 2</t>
        </is>
      </c>
      <c r="J67" s="186" t="n"/>
      <c r="K67" s="187" t="n"/>
      <c r="L67" s="185" t="n"/>
    </row>
    <row r="68">
      <c r="C68" s="171" t="inlineStr">
        <is>
          <t>Present value of terminal value</t>
        </is>
      </c>
      <c r="D68" s="181" t="str">
        <f>IFERROR(IF(D67="","",D67*K54),"")</f>
        <v/>
      </c>
      <c r="E68" s="157" t="inlineStr">
        <is>
          <t>Minority interest</t>
        </is>
      </c>
      <c r="H68" s="137">
        <f>IFERROR(INDEX(Model!$I$242:$BF$242,1,MATCH(Control!$B$7,Model!$I$5:$BF$5,0)),"")</f>
        <v>661</v>
      </c>
      <c r="I68" s="157" t="inlineStr">
        <is>
          <t>Batch 3</t>
        </is>
      </c>
      <c r="J68" s="186" t="n"/>
      <c r="K68" s="187" t="n"/>
      <c r="L68" s="185" t="n"/>
    </row>
    <row r="69">
      <c r="C69" s="174" t="inlineStr">
        <is>
          <t>Enterprise value</t>
        </is>
      </c>
      <c r="D69" s="188" t="str">
        <f>IFERROR(IF(OR(D68="",G57=""),"",D68+G57),"")</f>
        <v/>
      </c>
      <c r="E69" s="157" t="inlineStr">
        <is>
          <t>Convertible preferred stock</t>
        </is>
      </c>
      <c r="H69" s="137">
        <f>IFERROR(INDEX(Model!$I$247:$BF$247,1,MATCH(Control!$B$7,Model!$I$5:$BF$5,0)),"")</f>
        <v>0</v>
      </c>
      <c r="I69" s="157" t="inlineStr">
        <is>
          <t>Batch 4</t>
        </is>
      </c>
      <c r="J69" s="186" t="n"/>
      <c r="K69" s="187" t="n"/>
      <c r="L69" s="185" t="n"/>
    </row>
    <row r="70">
      <c r="C70" s="143" t="n"/>
      <c r="D70" s="144" t="n"/>
      <c r="E70" s="157" t="inlineStr">
        <is>
          <t>Short term operating leases</t>
        </is>
      </c>
      <c r="H70" s="137">
        <f>IFERROR(INDEX(Model!$I$208:$BF$208,1,MATCH(Control!$B$7,Model!$I$5:$BF$5,0)),"")</f>
        <v>0</v>
      </c>
      <c r="I70" s="157" t="inlineStr">
        <is>
          <t>Batch 5</t>
        </is>
      </c>
      <c r="J70" s="186" t="n"/>
      <c r="K70" s="187" t="n"/>
      <c r="L70" s="185" t="n"/>
    </row>
    <row r="71">
      <c r="C71" s="171" t="inlineStr">
        <is>
          <t>Exit multiple method</t>
        </is>
      </c>
      <c r="D71" s="172" t="n"/>
      <c r="E71" s="157" t="inlineStr">
        <is>
          <t>Long term operating leases</t>
        </is>
      </c>
      <c r="H71" s="137">
        <f>IFERROR(INDEX(Model!$I$229:$BF$229,1,MATCH(Control!$B$7,Model!$I$5:$BF$5,0)),"")</f>
        <v>0</v>
      </c>
      <c r="I71" s="179" t="inlineStr">
        <is>
          <t>Batch 6</t>
        </is>
      </c>
      <c r="J71" s="189" t="n"/>
      <c r="K71" s="190" t="n"/>
      <c r="L71" s="191" t="n"/>
    </row>
    <row r="72">
      <c r="C72" s="174" t="inlineStr">
        <is>
          <t>Exit EV / EBITDA multiple</t>
        </is>
      </c>
      <c r="D72" s="192" t="str">
        <f>IFERROR(IF(Control!E14="","",Control!E14),"")</f>
        <v/>
      </c>
      <c r="E72" s="157" t="inlineStr">
        <is>
          <t>Less: Excess cash</t>
        </is>
      </c>
      <c r="H72" s="137">
        <f>IFERROR(-INDEX(Model!$I$138:$BF$138,1,MATCH(Control!$B$7,Model!$I$5:$BF$5,0)),"")</f>
        <v>-43524</v>
      </c>
      <c r="J72" s="162" t="n"/>
      <c r="K72" s="193" t="inlineStr">
        <is>
          <t>Total in-the-$ options:</t>
        </is>
      </c>
      <c r="L72" s="185" t="n"/>
    </row>
    <row r="73">
      <c r="C73" s="174" t="inlineStr">
        <is>
          <t>LTM EBITDA at end of projection</t>
        </is>
      </c>
      <c r="D73" s="188">
        <f>IFERROR(K20,"")</f>
        <v>12910.4906192395</v>
      </c>
      <c r="E73" s="157" t="inlineStr">
        <is>
          <t>Less: Equity investments</t>
        </is>
      </c>
      <c r="H73" s="137">
        <f>IFERROR(-INDEX(Model!$I$155:$BF$155,1,MATCH(Control!$B$7,Model!$I$5:$BF$5,0)),"")</f>
        <v>0</v>
      </c>
      <c r="J73" s="162" t="n"/>
      <c r="K73" s="193" t="inlineStr">
        <is>
          <t>Total $ proceeds:</t>
        </is>
      </c>
      <c r="L73" s="194" t="n"/>
    </row>
    <row r="74">
      <c r="C74" s="174" t="inlineStr">
        <is>
          <t>Terminal value</t>
        </is>
      </c>
      <c r="D74" s="188" t="str">
        <f>IFERROR(IF(OR(D72="",D73=""),"",D73*D72),"")</f>
        <v/>
      </c>
      <c r="E74" s="157" t="inlineStr">
        <is>
          <t>Net debt</t>
        </is>
      </c>
      <c r="H74" s="188">
        <f>IFERROR(SUM(H64:H73),"")</f>
        <v>-42863</v>
      </c>
      <c r="J74" s="162" t="n"/>
      <c r="K74" s="193" t="inlineStr">
        <is>
          <t>Total shares repurchased:</t>
        </is>
      </c>
      <c r="L74" s="185" t="n"/>
    </row>
    <row r="75">
      <c r="C75" s="174" t="inlineStr">
        <is>
          <t>Present value of terminal value</t>
        </is>
      </c>
      <c r="D75" s="188" t="str">
        <f>IFERROR(IF(OR(D74="",K54="",K55=""),"",D74*K54*K55),"")</f>
        <v/>
      </c>
      <c r="E75" s="173" t="inlineStr">
        <is>
          <t>Equity value</t>
        </is>
      </c>
      <c r="H75" s="181" t="str">
        <f>IFERROR(IF(H62="","",H62-H74),"")</f>
        <v/>
      </c>
      <c r="J75" s="162" t="n"/>
      <c r="K75" s="195" t="inlineStr">
        <is>
          <t>Basic shares outstanding</t>
        </is>
      </c>
      <c r="L75" s="172" t="n"/>
    </row>
    <row r="76" ht="13.5" customHeight="1">
      <c r="C76" s="174" t="inlineStr">
        <is>
          <t>Enterprise value</t>
        </is>
      </c>
      <c r="D76" s="188" t="str">
        <f>IFERROR(IF(OR(D75="",G57=""),"",G57+D75),"")</f>
        <v/>
      </c>
      <c r="E76" s="157" t="inlineStr">
        <is>
          <t>Shares outstanding</t>
        </is>
      </c>
      <c r="H76" s="188" t="str">
        <f>IFERROR(IF(Control!E5="","",Control!E5),"")</f>
        <v/>
      </c>
      <c r="J76" s="196" t="n"/>
      <c r="K76" s="195" t="inlineStr">
        <is>
          <t>New shares from options:</t>
        </is>
      </c>
      <c r="L76" s="172" t="n"/>
    </row>
    <row r="77" ht="13.5" customHeight="1">
      <c r="C77" s="143" t="n"/>
      <c r="D77" s="197" t="n"/>
      <c r="E77" s="173" t="inlineStr">
        <is>
          <t>Equity value / share</t>
        </is>
      </c>
      <c r="H77" s="198" t="str">
        <f>IFERROR(IF(OR(H75="",H76="",H76=0),"",H75/H76),"")</f>
        <v/>
      </c>
      <c r="K77" s="195" t="inlineStr">
        <is>
          <t>New shares from convert. pref. stock:</t>
        </is>
      </c>
      <c r="L77" s="199" t="n"/>
    </row>
    <row r="78">
      <c r="C78" s="171" t="inlineStr">
        <is>
          <t>Select a terminal value method</t>
        </is>
      </c>
      <c r="D78" s="200" t="n"/>
      <c r="F78" s="160" t="n"/>
      <c r="H78" s="201" t="n"/>
      <c r="K78" s="195" t="inlineStr">
        <is>
          <t>New shares from convertible debt:</t>
        </is>
      </c>
      <c r="L78" s="202" t="n"/>
    </row>
    <row r="79">
      <c r="C79" s="174" t="inlineStr">
        <is>
          <t>Perpetual growth = 1 / Exit multiple = 2</t>
        </is>
      </c>
      <c r="D79" s="203">
        <f>IFERROR(Control!B11,"")</f>
        <v>1</v>
      </c>
      <c r="H79" s="201" t="n"/>
      <c r="K79" s="204" t="inlineStr">
        <is>
          <t>Total Shares Outstanding:</t>
        </is>
      </c>
      <c r="L79" s="205" t="n"/>
    </row>
    <row r="80">
      <c r="C80" s="174" t="inlineStr">
        <is>
          <t>Enterprise value</t>
        </is>
      </c>
      <c r="D80" s="172" t="str">
        <f>IFERROR(IF(D79=1,D69,D76),"")</f>
        <v/>
      </c>
      <c r="H80" s="144" t="n"/>
      <c r="K80" s="204" t="n"/>
      <c r="L80" s="205" t="n"/>
    </row>
    <row r="81">
      <c r="C81" s="206" t="inlineStr">
        <is>
          <t>Terminal value as percent of total value</t>
        </is>
      </c>
      <c r="D81" s="207" t="str">
        <f>IFERROR(IF(D79=1,D68/D69,D75/D76),"")</f>
        <v/>
      </c>
      <c r="E81" s="109" t="n"/>
      <c r="F81" s="109" t="n"/>
      <c r="G81" s="109" t="n"/>
      <c r="H81" s="123" t="n"/>
      <c r="I81" s="109" t="n"/>
      <c r="J81" s="109" t="n"/>
      <c r="K81" s="109" t="n"/>
      <c r="L81" s="123" t="n"/>
    </row>
    <row r="82"/>
    <row r="83" ht="13.5" customHeight="1">
      <c r="C83" s="208" t="inlineStr">
        <is>
          <t>Analysis of WACC</t>
        </is>
      </c>
      <c r="D83" s="209" t="n"/>
      <c r="E83" s="210" t="n"/>
      <c r="F83" s="210" t="n"/>
      <c r="G83" s="208" t="n"/>
      <c r="H83" s="209" t="n"/>
      <c r="I83" s="210" t="n"/>
      <c r="J83" s="210" t="n"/>
      <c r="K83" s="210" t="n"/>
      <c r="L83" s="210" t="n"/>
    </row>
    <row r="84"/>
    <row r="85">
      <c r="C85" s="211" t="inlineStr">
        <is>
          <t>Cost of debt</t>
        </is>
      </c>
      <c r="D85" s="109" t="n"/>
      <c r="F85" s="211" t="inlineStr">
        <is>
          <t>Capital structure</t>
        </is>
      </c>
      <c r="G85" s="211" t="n"/>
      <c r="H85" s="211" t="n"/>
      <c r="I85" s="211" t="n"/>
      <c r="J85" s="211" t="n"/>
    </row>
    <row r="86">
      <c r="C86" s="157" t="inlineStr">
        <is>
          <t>Cost of debt</t>
        </is>
      </c>
      <c r="D86" s="212" t="str">
        <f>IFERROR(IF(Control!E9="","",Control!E9),"")</f>
        <v/>
      </c>
      <c r="G86" s="252" t="inlineStr">
        <is>
          <t>Current capital structure</t>
        </is>
      </c>
      <c r="H86" s="253" t="n"/>
      <c r="I86" s="254" t="inlineStr">
        <is>
          <t>Target capital structure</t>
        </is>
      </c>
      <c r="J86" s="255" t="n"/>
    </row>
    <row r="87">
      <c r="C87" s="157" t="inlineStr">
        <is>
          <t>Marginal tax rate</t>
        </is>
      </c>
      <c r="D87" s="212" t="str">
        <f>IFERROR(IF(Control!E10="","",Control!E10),"")</f>
        <v/>
      </c>
      <c r="F87" s="109" t="n"/>
      <c r="G87" s="182" t="inlineStr">
        <is>
          <t>Market value</t>
        </is>
      </c>
      <c r="H87" s="182" t="inlineStr">
        <is>
          <t>% Weight</t>
        </is>
      </c>
      <c r="I87" s="182" t="inlineStr">
        <is>
          <t>override</t>
        </is>
      </c>
      <c r="J87" s="213" t="inlineStr">
        <is>
          <t>% Weight</t>
        </is>
      </c>
      <c r="K87" s="214" t="n"/>
      <c r="L87" s="215" t="n"/>
    </row>
    <row r="88">
      <c r="C88" s="251" t="inlineStr">
        <is>
          <t>Cost of debt after tax shield</t>
        </is>
      </c>
      <c r="D88" s="216" t="str">
        <f>IFERROR(IF(D86="","",D86*(1-D87)),"")</f>
        <v/>
      </c>
      <c r="F88" s="251" t="inlineStr">
        <is>
          <t>Net debt</t>
        </is>
      </c>
      <c r="G88" s="217">
        <f>IFERROR(H74,"")</f>
        <v>-42863</v>
      </c>
      <c r="H88" s="97">
        <f>IFERROR(debt/totalcap,"")</f>
        <v>1</v>
      </c>
      <c r="I88" s="212" t="n"/>
      <c r="J88" s="97">
        <f>IFERROR(IF(I88,I88,H88),"")</f>
        <v>1</v>
      </c>
      <c r="L88" s="218" t="n"/>
    </row>
    <row r="89">
      <c r="F89" s="251" t="inlineStr">
        <is>
          <t>Equity</t>
        </is>
      </c>
      <c r="G89" s="217">
        <f>IFERROR(L63*L79,"")</f>
        <v>0</v>
      </c>
      <c r="H89" s="97">
        <f>IFERROR(1-H88,"")</f>
        <v>0</v>
      </c>
      <c r="J89" s="97">
        <f>IFERROR(1-debt_weight,"")</f>
        <v>0</v>
      </c>
    </row>
    <row r="90">
      <c r="C90" s="211" t="inlineStr">
        <is>
          <t>Cost of equity</t>
        </is>
      </c>
      <c r="D90" s="109" t="n"/>
      <c r="F90" s="251" t="inlineStr">
        <is>
          <t>Total</t>
        </is>
      </c>
      <c r="G90" s="214">
        <f>IFERROR(SUM(G88:G89),"")</f>
        <v>-42863</v>
      </c>
    </row>
    <row r="91">
      <c r="C91" s="157" t="inlineStr">
        <is>
          <t>Risk-Free Rate (rf)</t>
        </is>
      </c>
      <c r="D91" s="212" t="str">
        <f>IFERROR(IF(Control!E6="","",Control!E6),"")</f>
        <v/>
      </c>
      <c r="E91" s="195" t="n"/>
    </row>
    <row r="92">
      <c r="C92" s="157" t="inlineStr">
        <is>
          <t>Market Risk Premium (rm-rf)</t>
        </is>
      </c>
      <c r="D92" s="212" t="str">
        <f>IFERROR(IF(Control!E7="","",Control!E7),"")</f>
        <v/>
      </c>
      <c r="F92" s="211" t="inlineStr">
        <is>
          <t>Weighted average cost of capital</t>
        </is>
      </c>
      <c r="G92" s="109" t="n"/>
      <c r="H92" s="109" t="n"/>
      <c r="I92" s="109" t="n"/>
      <c r="J92" s="109" t="n"/>
    </row>
    <row r="93">
      <c r="C93" s="157" t="inlineStr">
        <is>
          <t>Raw (observed) beta</t>
        </is>
      </c>
      <c r="D93" s="219" t="str">
        <f>IFERROR(IF(Control!E8="","",Control!E8),"")</f>
        <v/>
      </c>
      <c r="F93" s="251" t="inlineStr">
        <is>
          <t>Weighted average cost of capital:</t>
        </is>
      </c>
      <c r="J93" s="97" t="str">
        <f>IFERROR(IF(Control!E12="","",Control!E12),"")</f>
        <v/>
      </c>
    </row>
    <row r="94">
      <c r="C94" s="157" t="inlineStr">
        <is>
          <t>Cost of equity using relevered industry beta</t>
        </is>
      </c>
      <c r="D94" s="216" t="str">
        <f>IFERROR(IF(COUNT(D91:D93)&lt;3,"",D91+D93*D92),"")</f>
        <v/>
      </c>
      <c r="E94" s="102" t="n"/>
    </row>
    <row r="95">
      <c r="C95" s="157" t="n"/>
      <c r="D95" s="216" t="n"/>
      <c r="E95" s="102" t="n"/>
      <c r="G95" s="214" t="n"/>
    </row>
    <row r="96">
      <c r="C96" s="211" t="inlineStr">
        <is>
          <t>Industry beta calculation</t>
        </is>
      </c>
      <c r="D96" s="109" t="n"/>
      <c r="E96" s="109" t="n"/>
      <c r="F96" s="109" t="n"/>
      <c r="G96" s="109" t="n"/>
      <c r="H96" s="109" t="n"/>
      <c r="I96" s="109" t="n"/>
      <c r="J96" s="109" t="n"/>
      <c r="K96" s="109" t="n"/>
      <c r="L96" s="109" t="n"/>
      <c r="M96" s="109" t="n"/>
    </row>
    <row r="97" ht="25.5" customHeight="1">
      <c r="C97" s="220" t="inlineStr">
        <is>
          <t xml:space="preserve">Comps </t>
        </is>
      </c>
      <c r="D97" s="221" t="inlineStr">
        <is>
          <t>Raw beta</t>
        </is>
      </c>
      <c r="E97" s="221" t="inlineStr">
        <is>
          <t>Share price</t>
        </is>
      </c>
      <c r="F97" s="221" t="inlineStr">
        <is>
          <t>Shares</t>
        </is>
      </c>
      <c r="G97" s="221" t="inlineStr">
        <is>
          <t>Market cap.</t>
        </is>
      </c>
      <c r="H97" s="221" t="inlineStr">
        <is>
          <t>Debt</t>
        </is>
      </c>
      <c r="I97" s="221" t="inlineStr">
        <is>
          <t>D / E</t>
        </is>
      </c>
      <c r="J97" s="221" t="inlineStr">
        <is>
          <t>Tax rate</t>
        </is>
      </c>
      <c r="K97" s="221" t="inlineStr">
        <is>
          <t>Unl. Beta</t>
        </is>
      </c>
      <c r="L97" s="221" t="n"/>
      <c r="M97" s="221" t="n"/>
    </row>
    <row r="98">
      <c r="C98" s="251" t="str">
        <f>IFERROR(ticker,"")</f>
        <v>TSLA</v>
      </c>
      <c r="D98" s="222" t="n"/>
      <c r="E98" s="223" t="n"/>
      <c r="F98" s="141" t="n"/>
      <c r="G98" s="141" t="n"/>
      <c r="H98" s="141" t="n"/>
      <c r="I98" s="224" t="n"/>
      <c r="J98" s="224" t="n"/>
      <c r="K98" s="222" t="n"/>
      <c r="L98" s="225" t="n"/>
    </row>
    <row r="99">
      <c r="C99" s="226" t="inlineStr">
        <is>
          <t>TICKER 2</t>
        </is>
      </c>
      <c r="D99" s="219" t="n"/>
      <c r="E99" s="227" t="n"/>
      <c r="F99" s="228" t="n"/>
      <c r="G99" s="141" t="n"/>
      <c r="H99" s="228" t="n"/>
      <c r="I99" s="224" t="n"/>
      <c r="J99" s="229" t="n"/>
      <c r="K99" s="222" t="n"/>
      <c r="L99" s="225" t="n"/>
    </row>
    <row r="100">
      <c r="C100" s="226" t="inlineStr">
        <is>
          <t>TICKER 3</t>
        </is>
      </c>
      <c r="D100" s="219" t="n"/>
      <c r="E100" s="227" t="n"/>
      <c r="F100" s="228" t="n"/>
      <c r="G100" s="141" t="n"/>
      <c r="H100" s="228" t="n"/>
      <c r="I100" s="224" t="n"/>
      <c r="J100" s="229" t="n"/>
      <c r="K100" s="222" t="n"/>
      <c r="L100" s="225" t="n"/>
    </row>
    <row r="101">
      <c r="C101" s="230" t="inlineStr">
        <is>
          <t>TICKER 4</t>
        </is>
      </c>
      <c r="D101" s="231" t="n"/>
      <c r="E101" s="232" t="n"/>
      <c r="F101" s="233" t="n"/>
      <c r="G101" s="127" t="n"/>
      <c r="H101" s="233" t="n"/>
      <c r="I101" s="234" t="n"/>
      <c r="J101" s="235" t="n"/>
      <c r="K101" s="236" t="n"/>
      <c r="L101" s="225" t="n"/>
      <c r="M101" s="237" t="n"/>
    </row>
    <row r="102">
      <c r="D102" s="222" t="n"/>
      <c r="E102" s="204" t="n"/>
      <c r="F102" s="161" t="n"/>
      <c r="G102" s="141" t="n"/>
      <c r="I102" s="222" t="n"/>
      <c r="J102" s="237" t="n"/>
      <c r="K102" s="238" t="n"/>
      <c r="L102" s="238" t="n"/>
      <c r="M102" s="238" t="n"/>
    </row>
  </sheetData>
  <mergeCells count="4">
    <mergeCell ref="G14:V14"/>
    <mergeCell ref="G86:H86"/>
    <mergeCell ref="I86:J86"/>
    <mergeCell ref="G15:V15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F33"/>
  <sheetViews>
    <sheetView showGridLines="0" zoomScaleNormal="100" workbookViewId="0">
      <pane ySplit="1" topLeftCell="A2" activePane="bottomLeft" state="frozen"/>
      <selection pane="bottomLeft" activeCell="B3" sqref="B3:B12"/>
    </sheetView>
  </sheetViews>
  <sheetFormatPr baseColWidth="8" defaultColWidth="9.7109375" defaultRowHeight="12.75"/>
  <cols>
    <col width="43.140625" customWidth="1" min="1" max="1"/>
    <col width="27.28515625" customWidth="1" min="2" max="2"/>
    <col width="18.140625" customWidth="1" min="3" max="3"/>
    <col width="34" customWidth="1" min="4" max="4"/>
    <col width="18.140625" customWidth="1" min="5" max="6"/>
  </cols>
  <sheetData>
    <row r="1" ht="18" customHeight="1">
      <c r="A1" s="239" t="inlineStr">
        <is>
          <t>CONTROL &amp; ASSUMPTIONS – BASE MODEL</t>
        </is>
      </c>
      <c r="B1" s="239" t="n"/>
      <c r="C1" s="239" t="n"/>
      <c r="D1" s="239" t="n"/>
      <c r="E1" s="239" t="n"/>
      <c r="F1" s="239" t="n"/>
    </row>
    <row r="3" ht="14.25" customHeight="1">
      <c r="A3" t="inlineStr">
        <is>
          <t>Company</t>
        </is>
      </c>
      <c r="B3" s="240" t="inlineStr">
        <is>
          <t>Tesla Inc.</t>
        </is>
      </c>
      <c r="D3" s="241" t="inlineStr">
        <is>
          <t>Valuation assumptions</t>
        </is>
      </c>
      <c r="E3" s="241" t="n"/>
      <c r="F3" s="241" t="n"/>
    </row>
    <row r="4" ht="14.25" customHeight="1">
      <c r="A4" t="inlineStr">
        <is>
          <t>Ticker</t>
        </is>
      </c>
      <c r="B4" s="240" t="inlineStr">
        <is>
          <t>TSLA</t>
        </is>
      </c>
      <c r="D4" t="inlineStr">
        <is>
          <t>Last close (US$/share)</t>
        </is>
      </c>
      <c r="E4" s="242" t="n"/>
    </row>
    <row r="5" ht="14.25" customHeight="1">
      <c r="A5" t="inlineStr">
        <is>
          <t>Currency</t>
        </is>
      </c>
      <c r="B5" s="240" t="inlineStr">
        <is>
          <t>USD</t>
        </is>
      </c>
      <c r="D5" t="inlineStr">
        <is>
          <t>Shares outstanding (mm)</t>
        </is>
      </c>
      <c r="E5" s="243" t="n"/>
    </row>
    <row r="6" ht="14.25" customHeight="1">
      <c r="A6" t="inlineStr">
        <is>
          <t>Model unit</t>
        </is>
      </c>
      <c r="B6" s="240" t="inlineStr">
        <is>
          <t>US$ milhões</t>
        </is>
      </c>
      <c r="D6" t="inlineStr">
        <is>
          <t>Risk-free rate</t>
        </is>
      </c>
      <c r="E6" s="244" t="n"/>
    </row>
    <row r="7" ht="14.25" customHeight="1">
      <c r="A7" t="inlineStr">
        <is>
          <t>Last actual period</t>
        </is>
      </c>
      <c r="B7" s="274" t="n">
        <v>46203</v>
      </c>
      <c r="D7" t="inlineStr">
        <is>
          <t>Market risk premium</t>
        </is>
      </c>
      <c r="E7" s="244" t="n"/>
    </row>
    <row r="8" ht="14.25" customHeight="1">
      <c r="A8" t="inlineStr">
        <is>
          <t>Quarterly forecast through</t>
        </is>
      </c>
      <c r="B8" s="245" t="n">
        <v>47118</v>
      </c>
      <c r="D8" t="inlineStr">
        <is>
          <t>Beta</t>
        </is>
      </c>
      <c r="E8" s="246" t="n"/>
    </row>
    <row r="9" ht="15" customHeight="1">
      <c r="A9" t="inlineStr">
        <is>
          <t>Forecast end</t>
        </is>
      </c>
      <c r="B9" s="245" t="n">
        <v>47848</v>
      </c>
      <c r="D9" t="inlineStr">
        <is>
          <t>Pre-tax cost of debt</t>
        </is>
      </c>
      <c r="E9" s="247" t="str">
        <f>IFERROR(-Model!AG68/AVERAGE(Model!AB86,Model!AG86),"")</f>
        <v/>
      </c>
    </row>
    <row r="10" ht="14.25" customHeight="1">
      <c r="A10" t="inlineStr">
        <is>
          <t>Scenario (1 Bull / 2 Base / 3 Bear)</t>
        </is>
      </c>
      <c r="B10" s="240" t="n">
        <v>2</v>
      </c>
      <c r="D10" t="inlineStr">
        <is>
          <t>Marginal tax rate</t>
        </is>
      </c>
      <c r="E10" s="244" t="n"/>
    </row>
    <row r="11" ht="14.25" customHeight="1">
      <c r="A11" t="inlineStr">
        <is>
          <t>Terminal method (1 Perpetuity / 2 Exit)</t>
        </is>
      </c>
      <c r="B11" s="240" t="n">
        <v>1</v>
      </c>
      <c r="D11" t="inlineStr">
        <is>
          <t>Target debt weight</t>
        </is>
      </c>
      <c r="E11" s="244" t="n"/>
    </row>
    <row r="12" ht="15" customHeight="1">
      <c r="A12" t="inlineStr">
        <is>
          <t>Valuation date</t>
        </is>
      </c>
      <c r="B12" s="245" t="n"/>
      <c r="D12" t="inlineStr">
        <is>
          <t>WACC</t>
        </is>
      </c>
      <c r="E12" s="247" t="str">
        <f>IF(COUNT(E6:E11)&lt;6,"",E11*E9*(1-E10)+(1-E11)*(E6+E8*E7))</f>
        <v/>
      </c>
    </row>
    <row r="13" ht="15" customHeight="1">
      <c r="A13" t="inlineStr">
        <is>
          <t>Stub year fraction</t>
        </is>
      </c>
      <c r="B13" s="247">
        <f>IFERROR((DATE(YEAR(B12),12,31)-B12)/365,"")</f>
        <v>0.00273972602739726</v>
      </c>
      <c r="D13" t="inlineStr">
        <is>
          <t>Terminal growth</t>
        </is>
      </c>
      <c r="E13" s="244" t="n"/>
    </row>
    <row r="14" ht="14.25" customHeight="1">
      <c r="D14" t="inlineStr">
        <is>
          <t>Exit EV/EBITDA</t>
        </is>
      </c>
      <c r="E14" s="248" t="n"/>
    </row>
    <row r="15" ht="14.25" customHeight="1">
      <c r="D15" t="inlineStr">
        <is>
          <t>Dividend payout</t>
        </is>
      </c>
      <c r="E15" s="244" t="n"/>
    </row>
    <row r="17" ht="14.25" customHeight="1">
      <c r="A17" s="241" t="inlineStr">
        <is>
          <t>Forecast drivers</t>
        </is>
      </c>
      <c r="B17" s="241" t="inlineStr">
        <is>
          <t>2026E</t>
        </is>
      </c>
      <c r="C17" s="241" t="inlineStr">
        <is>
          <t>2027E</t>
        </is>
      </c>
      <c r="D17" s="241" t="inlineStr">
        <is>
          <t>2028E</t>
        </is>
      </c>
      <c r="E17" s="241" t="inlineStr">
        <is>
          <t>2029E</t>
        </is>
      </c>
      <c r="F17" s="241" t="inlineStr">
        <is>
          <t>2030E</t>
        </is>
      </c>
    </row>
    <row r="18" ht="15" customHeight="1">
      <c r="A18" t="inlineStr">
        <is>
          <t>Revenue growth</t>
        </is>
      </c>
      <c r="B18" s="247">
        <f>IFERROR(AVERAGE(Model!AC16:AF16,Model!AH16:AI16),"")</f>
        <v>0.047871568825907</v>
      </c>
      <c r="C18" s="247">
        <f>IF(B18="","",B18)</f>
        <v>0.047871568825907</v>
      </c>
      <c r="D18" s="247">
        <f>IF(C18="","",MAX(0,C18-0.5%))</f>
        <v>0.042871568825907</v>
      </c>
      <c r="E18" s="247">
        <f>IF(D18="","",MAX(0,D18-0.5%))</f>
        <v>0.037871568825907</v>
      </c>
      <c r="F18" s="247">
        <f>IF(E18="","",MAX(0,E18-0.5%))</f>
        <v>0.0328715688259071</v>
      </c>
    </row>
    <row r="19" ht="15" customHeight="1">
      <c r="A19" t="inlineStr">
        <is>
          <t>Gross margin</t>
        </is>
      </c>
      <c r="B19" s="247">
        <f>IFERROR(AVERAGE(Model!AC49:AF49,Model!AH49:AI49),"")</f>
        <v>0.182600269029145</v>
      </c>
      <c r="C19" s="247">
        <f>IF(B19="","",B19)</f>
        <v>0.182600269029145</v>
      </c>
      <c r="D19" s="247">
        <f>IF(C19="","",C19)</f>
        <v>0.182600269029145</v>
      </c>
      <c r="E19" s="247">
        <f>IF(D19="","",D19)</f>
        <v>0.182600269029145</v>
      </c>
      <c r="F19" s="247">
        <f>IF(E19="","",E19)</f>
        <v>0.182600269029145</v>
      </c>
    </row>
    <row r="20" ht="15" customHeight="1">
      <c r="A20" t="inlineStr">
        <is>
          <t>SG&amp;A / Revenue</t>
        </is>
      </c>
      <c r="B20" s="247">
        <f>IFERROR(AVERAGE(Model!AC53:AF53,Model!AH53:AI53),"")</f>
        <v>0.0787830548579234</v>
      </c>
      <c r="C20" s="247">
        <f>IF(B20="","",B20)</f>
        <v>0.0787830548579234</v>
      </c>
      <c r="D20" s="247">
        <f>IF(C20="","",C20)</f>
        <v>0.0787830548579234</v>
      </c>
      <c r="E20" s="247">
        <f>IF(D20="","",D20)</f>
        <v>0.0787830548579234</v>
      </c>
      <c r="F20" s="247">
        <f>IF(E20="","",E20)</f>
        <v>0.0787830548579234</v>
      </c>
    </row>
    <row r="21" ht="15" customHeight="1">
      <c r="A21" t="inlineStr">
        <is>
          <t>D&amp;A / Revenue</t>
        </is>
      </c>
      <c r="B21" s="247">
        <f>IFERROR(AVERAGE(Model!AC65:AF65,Model!AH65:AI65),"")</f>
        <v>0.0651201433555643</v>
      </c>
      <c r="C21" s="247">
        <f>IF(B21="","",B21)</f>
        <v>0.0651201433555643</v>
      </c>
      <c r="D21" s="247">
        <f>IF(C21="","",C21)</f>
        <v>0.0651201433555643</v>
      </c>
      <c r="E21" s="247">
        <f>IF(D21="","",D21)</f>
        <v>0.0651201433555643</v>
      </c>
      <c r="F21" s="247">
        <f>IF(E21="","",E21)</f>
        <v>0.0651201433555643</v>
      </c>
    </row>
    <row r="22" ht="15" customHeight="1">
      <c r="A22" t="inlineStr">
        <is>
          <t>Effective tax rate</t>
        </is>
      </c>
      <c r="B22" s="247">
        <f>IFERROR(AVERAGE(Model!AC126:AF126,Model!AH126:AI126),"")</f>
        <v>0.263278189904622</v>
      </c>
      <c r="C22" s="247">
        <f>IF(B22="","",B22)</f>
        <v>0.263278189904622</v>
      </c>
      <c r="D22" s="247">
        <f>IF(C22="","",C22)</f>
        <v>0.263278189904622</v>
      </c>
      <c r="E22" s="247">
        <f>IF(D22="","",D22)</f>
        <v>0.263278189904622</v>
      </c>
      <c r="F22" s="247">
        <f>IF(E22="","",E22)</f>
        <v>0.263278189904622</v>
      </c>
    </row>
    <row r="23" ht="15" customHeight="1">
      <c r="A23" t="inlineStr">
        <is>
          <t>Financial income / Revenue</t>
        </is>
      </c>
      <c r="B23" s="247">
        <f>IFERROR(AVERAGE(Model!AC117:AF117,Model!AH117:AI117)/AVERAGE(Model!AC15:AF15,Model!AH15:AI15),"")</f>
        <v>0.014932966655208</v>
      </c>
      <c r="C23" s="247">
        <f>IF(B23="","",B23)</f>
        <v>0.014932966655208</v>
      </c>
      <c r="D23" s="247">
        <f>IF(C23="","",C23)</f>
        <v>0.014932966655208</v>
      </c>
      <c r="E23" s="247">
        <f>IF(D23="","",D23)</f>
        <v>0.014932966655208</v>
      </c>
      <c r="F23" s="247">
        <f>IF(E23="","",E23)</f>
        <v>0.014932966655208</v>
      </c>
    </row>
    <row r="24" ht="15" customHeight="1">
      <c r="A24" t="inlineStr">
        <is>
          <t>Capex / Revenue</t>
        </is>
      </c>
      <c r="B24" s="247">
        <f>IFERROR(-AVERAGE(Model!AC289:AF289,Model!AH289:AI289)/AVERAGE(Model!AC15:AF15,Model!AH15:AI15),"")</f>
        <v>0.142839463733242</v>
      </c>
      <c r="C24" s="247">
        <f>IF(B24="","",B24)</f>
        <v>0.142839463733242</v>
      </c>
      <c r="D24" s="247">
        <f>IF(C24="","",C24)</f>
        <v>0.142839463733242</v>
      </c>
      <c r="E24" s="247">
        <f>IF(D24="","",D24)</f>
        <v>0.142839463733242</v>
      </c>
      <c r="F24" s="247">
        <f>IF(E24="","",E24)</f>
        <v>0.142839463733242</v>
      </c>
    </row>
    <row r="25" ht="15" customHeight="1">
      <c r="A25" t="inlineStr">
        <is>
          <t>DSO</t>
        </is>
      </c>
      <c r="B25" s="249">
        <f>IFERROR(AVERAGE(Model!AC140:AF140,Model!AH140:AI140),0)</f>
        <v>15.7540732900114</v>
      </c>
      <c r="C25" s="249">
        <f>IF(B25="","",B25)</f>
        <v>15.7540732900114</v>
      </c>
      <c r="D25" s="249">
        <f>IF(C25="","",C25)</f>
        <v>15.7540732900114</v>
      </c>
      <c r="E25" s="249">
        <f>IF(D25="","",D25)</f>
        <v>15.7540732900114</v>
      </c>
      <c r="F25" s="249">
        <f>IF(E25="","",E25)</f>
        <v>15.7540732900114</v>
      </c>
    </row>
    <row r="26" ht="15" customHeight="1">
      <c r="A26" t="inlineStr">
        <is>
          <t>DIO</t>
        </is>
      </c>
      <c r="B26" s="249">
        <f>IFERROR(AVERAGE(Model!AC144:AF144,Model!AH144:AI144),0)</f>
        <v>63.4316032684108</v>
      </c>
      <c r="C26" s="249">
        <f>IF(B26="","",B26)</f>
        <v>63.4316032684108</v>
      </c>
      <c r="D26" s="249">
        <f>IF(C26="","",C26)</f>
        <v>63.4316032684108</v>
      </c>
      <c r="E26" s="249">
        <f>IF(D26="","",D26)</f>
        <v>63.4316032684108</v>
      </c>
      <c r="F26" s="249">
        <f>IF(E26="","",E26)</f>
        <v>63.4316032684108</v>
      </c>
    </row>
    <row r="27" ht="15" customHeight="1">
      <c r="A27" t="inlineStr">
        <is>
          <t>DPO</t>
        </is>
      </c>
      <c r="B27" s="249">
        <f>IFERROR(AVERAGE(Model!AC193:AF193,Model!AH193:AI193),0)</f>
        <v>64.4611568628761</v>
      </c>
      <c r="C27" s="249">
        <f>IF(B27="","",B27)</f>
        <v>64.4611568628761</v>
      </c>
      <c r="D27" s="249">
        <f>IF(C27="","",C27)</f>
        <v>64.4611568628761</v>
      </c>
      <c r="E27" s="249">
        <f>IF(D27="","",D27)</f>
        <v>64.4611568628761</v>
      </c>
      <c r="F27" s="249">
        <f>IF(E27="","",E27)</f>
        <v>64.4611568628761</v>
      </c>
    </row>
    <row r="29">
      <c r="A29" t="inlineStr">
        <is>
          <t>Model status</t>
        </is>
      </c>
    </row>
    <row r="30">
      <c r="A30" t="inlineStr">
        <is>
          <t>Source</t>
        </is>
      </c>
      <c r="B30" t="inlineStr">
        <is>
          <t xml:space="preserve">Tesla Inc. (TSLA, CIK 1318605) - fonte: SEC EDGAR XBRL (instâncias dos 10-Q/10-K). Moeda: USD. Brutos em USD unidades (fator 0,000001 -&gt; milhões). Colunas = trimestres-CALENDÁRIO (cada fechamento vai para o fim de trimestre mais próximo); ano fiscal </t>
        </is>
      </c>
    </row>
    <row r="31">
      <c r="A31" t="inlineStr">
        <is>
          <t>Unit flow</t>
        </is>
      </c>
      <c r="B31" t="inlineStr">
        <is>
          <t>US$ mil na Inputs → US$ milhões via Inputs (2)</t>
        </is>
      </c>
    </row>
    <row r="32">
      <c r="A32" t="inlineStr">
        <is>
          <t>Historical coverage</t>
        </is>
      </c>
      <c r="B32" t="str">
        <f>IF(B7="","","1Q21–"&amp;ROUNDUP(MONTH(B7)/3,0)&amp;"Q"&amp;RIGHT(YEAR(B7),2))</f>
        <v>1Q21–2Q26</v>
      </c>
    </row>
    <row r="33">
      <c r="A33" t="inlineStr">
        <is>
          <t>Valuation readiness</t>
        </is>
      </c>
      <c r="B33" t="str">
        <f>IF(OR(B3="",B4=""),"PENDING COMPANY SETUP",IF(OR(E4="",E5="",E12=""),"PENDING MARKET INPUTS","READY"))</f>
        <v>PENDING MARKET INPUTS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2026-09-23T00:39:42Z</dcterms:created>
  <dcterms:modified xmlns:dcterms="http://purl.org/dc/terms/" xmlns:xsi="http://www.w3.org/2001/XMLSchema-instance" xsi:type="dcterms:W3CDTF">2026-10-16T15:41:09Z</dcterms:modified>
  <cp:lastModifiedBy>Lucas Nascimento</cp:lastModifiedBy>
  <cp:revision>0</cp:revision>
</cp:coreProperties>
</file>